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princ\Downloads\"/>
    </mc:Choice>
  </mc:AlternateContent>
  <xr:revisionPtr revIDLastSave="0" documentId="13_ncr:9_{B8C198B8-3FAE-4461-8881-D9C7EECF16BA}" xr6:coauthVersionLast="47" xr6:coauthVersionMax="47" xr10:uidLastSave="{00000000-0000-0000-0000-000000000000}"/>
  <bookViews>
    <workbookView xWindow="-108" yWindow="-108" windowWidth="23256" windowHeight="12456" activeTab="6" xr2:uid="{BFA92B91-4F7F-4798-ACA3-AEFC2A51744B}"/>
  </bookViews>
  <sheets>
    <sheet name="DATASET" sheetId="1" r:id="rId1"/>
    <sheet name="Clean Data" sheetId="2" r:id="rId2"/>
    <sheet name="Advanced Formulas" sheetId="4" r:id="rId3"/>
    <sheet name="10% Customers" sheetId="8" r:id="rId4"/>
    <sheet name="Pivot Tables" sheetId="3" r:id="rId5"/>
    <sheet name="Charts And Slicers" sheetId="7" r:id="rId6"/>
    <sheet name="Dashboard" sheetId="6" r:id="rId7"/>
  </sheets>
  <definedNames>
    <definedName name="Slicer_Aisle">#N/A</definedName>
    <definedName name="Slicer_Months__Transaction_Date">#N/A</definedName>
    <definedName name="Slicer_Store_Name">#N/A</definedName>
    <definedName name="Slicer_Years__Transaction_Date">#N/A</definedName>
  </definedNames>
  <calcPr calcId="0"/>
  <pivotCaches>
    <pivotCache cacheId="11"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Lst>
</workbook>
</file>

<file path=xl/calcChain.xml><?xml version="1.0" encoding="utf-8"?>
<calcChain xmlns="http://schemas.openxmlformats.org/spreadsheetml/2006/main">
  <c r="S5" i="4" l="1"/>
  <c r="P5"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1004" i="4"/>
  <c r="M1005" i="4"/>
  <c r="M1006" i="4"/>
  <c r="M1007" i="4"/>
  <c r="M1008" i="4"/>
  <c r="M1009" i="4"/>
  <c r="M1010" i="4"/>
  <c r="M1011" i="4"/>
  <c r="M1012" i="4"/>
  <c r="M1013" i="4"/>
  <c r="M1014" i="4"/>
  <c r="M1015" i="4"/>
  <c r="M1016" i="4"/>
  <c r="M1017" i="4"/>
  <c r="M1018" i="4"/>
  <c r="M1019" i="4"/>
  <c r="M1020" i="4"/>
  <c r="M1021" i="4"/>
  <c r="M1022" i="4"/>
  <c r="M1023" i="4"/>
  <c r="M1024" i="4"/>
  <c r="M1025" i="4"/>
  <c r="M1026" i="4"/>
  <c r="M1027" i="4"/>
  <c r="M1028" i="4"/>
  <c r="M1029" i="4"/>
  <c r="M1030" i="4"/>
  <c r="M1031" i="4"/>
  <c r="M1032" i="4"/>
  <c r="M1033" i="4"/>
  <c r="M1034" i="4"/>
  <c r="M1035" i="4"/>
  <c r="M1036" i="4"/>
  <c r="M1037" i="4"/>
  <c r="M1038" i="4"/>
  <c r="M1039" i="4"/>
  <c r="M1040" i="4"/>
  <c r="M1041" i="4"/>
  <c r="M1042" i="4"/>
  <c r="M1043" i="4"/>
  <c r="M1044" i="4"/>
  <c r="M1045" i="4"/>
  <c r="M1046" i="4"/>
  <c r="M1047" i="4"/>
  <c r="M1048" i="4"/>
  <c r="M1049" i="4"/>
  <c r="M1050" i="4"/>
  <c r="M1051" i="4"/>
  <c r="M1052" i="4"/>
  <c r="M1053" i="4"/>
  <c r="M1054" i="4"/>
  <c r="M1055" i="4"/>
  <c r="M1056" i="4"/>
  <c r="M1057" i="4"/>
  <c r="M1058" i="4"/>
  <c r="M1059" i="4"/>
  <c r="M1060" i="4"/>
  <c r="M1061" i="4"/>
  <c r="M1062" i="4"/>
  <c r="M1063" i="4"/>
  <c r="M1064" i="4"/>
  <c r="M1065" i="4"/>
  <c r="M1066" i="4"/>
  <c r="M1067" i="4"/>
  <c r="M1068" i="4"/>
  <c r="M1069" i="4"/>
  <c r="M1070" i="4"/>
  <c r="M1071" i="4"/>
  <c r="M1072" i="4"/>
  <c r="M1073" i="4"/>
  <c r="M1074" i="4"/>
  <c r="M1075" i="4"/>
  <c r="M1076" i="4"/>
  <c r="M1077" i="4"/>
  <c r="M1078" i="4"/>
  <c r="M1079" i="4"/>
  <c r="M1080" i="4"/>
  <c r="M1081" i="4"/>
  <c r="M1082" i="4"/>
  <c r="M1083" i="4"/>
  <c r="M1084" i="4"/>
  <c r="M1085" i="4"/>
  <c r="M1086" i="4"/>
  <c r="M1087" i="4"/>
  <c r="M1088" i="4"/>
  <c r="M1089" i="4"/>
  <c r="M1090" i="4"/>
  <c r="M1091" i="4"/>
  <c r="M1092" i="4"/>
  <c r="M1093" i="4"/>
  <c r="M1094" i="4"/>
  <c r="M1095" i="4"/>
  <c r="M1096" i="4"/>
  <c r="M1097" i="4"/>
  <c r="M1098" i="4"/>
  <c r="M1099" i="4"/>
  <c r="M1100" i="4"/>
  <c r="M1101" i="4"/>
  <c r="M1102" i="4"/>
  <c r="M1103" i="4"/>
  <c r="M1104" i="4"/>
  <c r="M1105" i="4"/>
  <c r="M1106" i="4"/>
  <c r="M1107" i="4"/>
  <c r="M1108" i="4"/>
  <c r="M1109" i="4"/>
  <c r="M1110" i="4"/>
  <c r="M1111" i="4"/>
  <c r="M1112" i="4"/>
  <c r="M1113" i="4"/>
  <c r="M1114" i="4"/>
  <c r="M1115" i="4"/>
  <c r="M1116" i="4"/>
  <c r="M1117" i="4"/>
  <c r="M1118" i="4"/>
  <c r="M1119" i="4"/>
  <c r="M1120" i="4"/>
  <c r="M1121" i="4"/>
  <c r="M1122" i="4"/>
  <c r="M1123" i="4"/>
  <c r="M1124" i="4"/>
  <c r="M1125" i="4"/>
  <c r="M1126" i="4"/>
  <c r="M1127" i="4"/>
  <c r="M1128" i="4"/>
  <c r="M1129" i="4"/>
  <c r="M1130" i="4"/>
  <c r="M1131" i="4"/>
  <c r="M1132" i="4"/>
  <c r="M1133" i="4"/>
  <c r="M1134" i="4"/>
  <c r="M1135" i="4"/>
  <c r="M1136" i="4"/>
  <c r="M1137" i="4"/>
  <c r="M1138" i="4"/>
  <c r="M1139" i="4"/>
  <c r="M1140" i="4"/>
  <c r="M1141" i="4"/>
  <c r="M1142" i="4"/>
  <c r="M1143" i="4"/>
  <c r="M1144" i="4"/>
  <c r="M1145" i="4"/>
  <c r="M1146" i="4"/>
  <c r="M1147" i="4"/>
  <c r="M1148" i="4"/>
  <c r="M1149" i="4"/>
  <c r="M1150" i="4"/>
  <c r="M1151" i="4"/>
  <c r="M1152" i="4"/>
  <c r="M1153" i="4"/>
  <c r="M1154" i="4"/>
  <c r="M1155" i="4"/>
  <c r="M1156" i="4"/>
  <c r="M1157" i="4"/>
  <c r="M1158" i="4"/>
  <c r="M1159" i="4"/>
  <c r="M1160" i="4"/>
  <c r="M1161" i="4"/>
  <c r="M1162" i="4"/>
  <c r="M1163" i="4"/>
  <c r="M1164" i="4"/>
  <c r="M1165" i="4"/>
  <c r="M1166" i="4"/>
  <c r="M1167" i="4"/>
  <c r="M1168" i="4"/>
  <c r="M1169" i="4"/>
  <c r="M1170" i="4"/>
  <c r="M1171" i="4"/>
  <c r="M1172" i="4"/>
  <c r="M1173" i="4"/>
  <c r="M1174" i="4"/>
  <c r="M1175" i="4"/>
  <c r="M1176" i="4"/>
  <c r="M1177" i="4"/>
  <c r="M1178" i="4"/>
  <c r="M1179" i="4"/>
  <c r="M1180" i="4"/>
  <c r="M1181" i="4"/>
  <c r="M1182" i="4"/>
  <c r="M1183" i="4"/>
  <c r="M1184" i="4"/>
  <c r="M1185" i="4"/>
  <c r="M1186" i="4"/>
  <c r="M1187" i="4"/>
  <c r="M1188" i="4"/>
  <c r="M1189" i="4"/>
  <c r="M1190" i="4"/>
  <c r="M1191" i="4"/>
  <c r="M1192" i="4"/>
  <c r="M1193" i="4"/>
  <c r="M1194" i="4"/>
  <c r="M1195" i="4"/>
  <c r="M1196" i="4"/>
  <c r="M1197" i="4"/>
  <c r="M1198" i="4"/>
  <c r="M1199" i="4"/>
  <c r="M1200" i="4"/>
  <c r="M1201" i="4"/>
  <c r="M1202" i="4"/>
  <c r="M1203" i="4"/>
  <c r="M1204" i="4"/>
  <c r="M1205" i="4"/>
  <c r="M1206" i="4"/>
  <c r="M1207" i="4"/>
  <c r="M1208" i="4"/>
  <c r="M1209" i="4"/>
  <c r="M1210" i="4"/>
  <c r="M1211" i="4"/>
  <c r="M1212" i="4"/>
  <c r="M1213" i="4"/>
  <c r="M1214" i="4"/>
  <c r="M1215" i="4"/>
  <c r="M1216" i="4"/>
  <c r="M1217" i="4"/>
  <c r="M1218" i="4"/>
  <c r="M1219" i="4"/>
  <c r="M1220" i="4"/>
  <c r="M1221" i="4"/>
  <c r="M1222" i="4"/>
  <c r="M1223" i="4"/>
  <c r="M1224" i="4"/>
  <c r="M1225" i="4"/>
  <c r="M1226" i="4"/>
  <c r="M1227" i="4"/>
  <c r="M1228" i="4"/>
  <c r="M1229" i="4"/>
  <c r="M1230" i="4"/>
  <c r="M1231" i="4"/>
  <c r="M1232" i="4"/>
  <c r="M1233" i="4"/>
  <c r="M1234" i="4"/>
  <c r="M1235" i="4"/>
  <c r="M1236" i="4"/>
  <c r="M1237" i="4"/>
  <c r="M1238" i="4"/>
  <c r="M1239" i="4"/>
  <c r="M1240" i="4"/>
  <c r="M1241" i="4"/>
  <c r="M1242" i="4"/>
  <c r="M1243" i="4"/>
  <c r="M1244" i="4"/>
  <c r="M1245" i="4"/>
  <c r="M1246" i="4"/>
  <c r="M1247" i="4"/>
  <c r="M1248" i="4"/>
  <c r="M1249" i="4"/>
  <c r="M1250" i="4"/>
  <c r="M1251" i="4"/>
  <c r="M1252" i="4"/>
  <c r="M1253" i="4"/>
  <c r="M1254" i="4"/>
  <c r="M1255" i="4"/>
  <c r="M1256" i="4"/>
  <c r="M1257" i="4"/>
  <c r="M1258" i="4"/>
  <c r="M1259" i="4"/>
  <c r="M1260" i="4"/>
  <c r="M1261" i="4"/>
  <c r="M1262" i="4"/>
  <c r="M1263" i="4"/>
  <c r="M1264" i="4"/>
  <c r="M1265" i="4"/>
  <c r="M1266" i="4"/>
  <c r="M1267" i="4"/>
  <c r="M1268" i="4"/>
  <c r="M1269" i="4"/>
  <c r="M1270" i="4"/>
  <c r="M1271" i="4"/>
  <c r="M1272" i="4"/>
  <c r="M1273" i="4"/>
  <c r="M1274" i="4"/>
  <c r="M1275" i="4"/>
  <c r="M1276" i="4"/>
  <c r="M1277" i="4"/>
  <c r="M1278" i="4"/>
  <c r="M1279" i="4"/>
  <c r="M1280" i="4"/>
  <c r="M1281" i="4"/>
  <c r="M1282" i="4"/>
  <c r="M1283" i="4"/>
  <c r="M1284" i="4"/>
  <c r="M1285" i="4"/>
  <c r="M1286" i="4"/>
  <c r="M1287" i="4"/>
  <c r="M1288" i="4"/>
  <c r="M1289" i="4"/>
  <c r="M1290" i="4"/>
  <c r="M1291" i="4"/>
  <c r="M1292" i="4"/>
  <c r="M1293" i="4"/>
  <c r="M1294" i="4"/>
  <c r="M1295" i="4"/>
  <c r="M1296" i="4"/>
  <c r="M1297" i="4"/>
  <c r="M1298" i="4"/>
  <c r="M1299" i="4"/>
  <c r="M1300" i="4"/>
  <c r="M1301" i="4"/>
  <c r="M1302" i="4"/>
  <c r="M1303" i="4"/>
  <c r="M1304" i="4"/>
  <c r="M1305" i="4"/>
  <c r="M1306" i="4"/>
  <c r="M1307" i="4"/>
  <c r="M1308" i="4"/>
  <c r="M1309" i="4"/>
  <c r="M1310" i="4"/>
  <c r="M1311" i="4"/>
  <c r="M1312" i="4"/>
  <c r="M1313" i="4"/>
  <c r="M1314" i="4"/>
  <c r="M1315" i="4"/>
  <c r="M1316" i="4"/>
  <c r="M1317" i="4"/>
  <c r="M1318" i="4"/>
  <c r="M1319" i="4"/>
  <c r="M1320" i="4"/>
  <c r="M1321" i="4"/>
  <c r="M1322" i="4"/>
  <c r="M1323" i="4"/>
  <c r="M1324" i="4"/>
  <c r="M1325" i="4"/>
  <c r="M1326" i="4"/>
  <c r="M1327" i="4"/>
  <c r="M1328" i="4"/>
  <c r="M1329" i="4"/>
  <c r="M1330" i="4"/>
  <c r="M1331" i="4"/>
  <c r="M1332" i="4"/>
  <c r="M1333" i="4"/>
  <c r="M1334" i="4"/>
  <c r="M1335" i="4"/>
  <c r="M1336" i="4"/>
  <c r="M1337" i="4"/>
  <c r="M1338" i="4"/>
  <c r="M1339" i="4"/>
  <c r="M1340" i="4"/>
  <c r="M1341" i="4"/>
  <c r="M1342" i="4"/>
  <c r="M1343" i="4"/>
  <c r="M1344" i="4"/>
  <c r="M1345" i="4"/>
  <c r="M1346" i="4"/>
  <c r="M1347" i="4"/>
  <c r="M1348" i="4"/>
  <c r="M1349" i="4"/>
  <c r="M1350" i="4"/>
  <c r="M1351" i="4"/>
  <c r="M1352" i="4"/>
  <c r="M1353" i="4"/>
  <c r="M1354" i="4"/>
  <c r="M1355" i="4"/>
  <c r="M1356" i="4"/>
  <c r="M1357" i="4"/>
  <c r="M1358" i="4"/>
  <c r="M1359" i="4"/>
  <c r="M1360" i="4"/>
  <c r="M1361" i="4"/>
  <c r="M1362" i="4"/>
  <c r="M1363" i="4"/>
  <c r="M1364" i="4"/>
  <c r="M1365" i="4"/>
  <c r="M1366" i="4"/>
  <c r="M1367" i="4"/>
  <c r="M1368" i="4"/>
  <c r="M1369" i="4"/>
  <c r="M1370" i="4"/>
  <c r="M1371" i="4"/>
  <c r="M1372" i="4"/>
  <c r="M1373" i="4"/>
  <c r="M1374" i="4"/>
  <c r="M1375" i="4"/>
  <c r="M1376" i="4"/>
  <c r="M1377" i="4"/>
  <c r="M1378" i="4"/>
  <c r="M1379" i="4"/>
  <c r="M1380" i="4"/>
  <c r="M1381" i="4"/>
  <c r="M1382" i="4"/>
  <c r="M1383" i="4"/>
  <c r="M1384" i="4"/>
  <c r="M1385" i="4"/>
  <c r="M1386" i="4"/>
  <c r="M1387" i="4"/>
  <c r="M1388" i="4"/>
  <c r="M1389" i="4"/>
  <c r="M1390" i="4"/>
  <c r="M1391" i="4"/>
  <c r="M1392" i="4"/>
  <c r="M1393" i="4"/>
  <c r="M1394" i="4"/>
  <c r="M1395" i="4"/>
  <c r="M1396" i="4"/>
  <c r="M1397" i="4"/>
  <c r="M1398" i="4"/>
  <c r="M1399" i="4"/>
  <c r="M1400" i="4"/>
  <c r="M1401" i="4"/>
  <c r="M1402" i="4"/>
  <c r="M1403" i="4"/>
  <c r="M1404" i="4"/>
  <c r="M1405" i="4"/>
  <c r="M1406" i="4"/>
  <c r="M1407" i="4"/>
  <c r="M1408" i="4"/>
  <c r="M1409" i="4"/>
  <c r="M1410" i="4"/>
  <c r="M1411" i="4"/>
  <c r="M1412" i="4"/>
  <c r="M1413" i="4"/>
  <c r="M1414" i="4"/>
  <c r="M1415" i="4"/>
  <c r="M1416" i="4"/>
  <c r="M1417" i="4"/>
  <c r="M1418" i="4"/>
  <c r="M1419" i="4"/>
  <c r="M1420" i="4"/>
  <c r="M1421" i="4"/>
  <c r="M1422" i="4"/>
  <c r="M1423" i="4"/>
  <c r="M1424" i="4"/>
  <c r="M1425" i="4"/>
  <c r="M1426" i="4"/>
  <c r="M1427" i="4"/>
  <c r="M1428" i="4"/>
  <c r="M1429" i="4"/>
  <c r="M1430" i="4"/>
  <c r="M1431" i="4"/>
  <c r="M1432" i="4"/>
  <c r="M1433" i="4"/>
  <c r="M1434" i="4"/>
  <c r="M1435" i="4"/>
  <c r="M1436" i="4"/>
  <c r="M1437" i="4"/>
  <c r="M1438" i="4"/>
  <c r="M1439" i="4"/>
  <c r="M1440" i="4"/>
  <c r="M1441" i="4"/>
  <c r="M1442" i="4"/>
  <c r="M1443" i="4"/>
  <c r="M1444" i="4"/>
  <c r="M1445" i="4"/>
  <c r="M1446" i="4"/>
  <c r="M1447" i="4"/>
  <c r="M1448" i="4"/>
  <c r="M1449" i="4"/>
  <c r="M1450" i="4"/>
  <c r="M1451" i="4"/>
  <c r="M1452" i="4"/>
  <c r="M1453" i="4"/>
  <c r="M1454" i="4"/>
  <c r="M1455" i="4"/>
  <c r="M1456" i="4"/>
  <c r="M1457" i="4"/>
  <c r="M1458" i="4"/>
  <c r="M1459" i="4"/>
  <c r="M1460" i="4"/>
  <c r="M1461" i="4"/>
  <c r="M1462" i="4"/>
  <c r="M1463" i="4"/>
  <c r="M1464" i="4"/>
  <c r="M1465" i="4"/>
  <c r="M1466" i="4"/>
  <c r="M1467" i="4"/>
  <c r="M1468" i="4"/>
  <c r="M1469" i="4"/>
  <c r="M1470" i="4"/>
  <c r="M1471" i="4"/>
  <c r="M1472" i="4"/>
  <c r="M1473" i="4"/>
  <c r="M1474" i="4"/>
  <c r="M1475" i="4"/>
  <c r="M1476" i="4"/>
  <c r="M1477" i="4"/>
  <c r="M1478" i="4"/>
  <c r="M1479" i="4"/>
  <c r="M1480" i="4"/>
  <c r="M1481" i="4"/>
  <c r="M1482" i="4"/>
  <c r="M1483" i="4"/>
  <c r="M1484" i="4"/>
  <c r="M1485" i="4"/>
  <c r="M1486" i="4"/>
  <c r="M1487" i="4"/>
  <c r="M1488" i="4"/>
  <c r="M1489" i="4"/>
  <c r="M1490" i="4"/>
  <c r="M1491" i="4"/>
  <c r="M1492" i="4"/>
  <c r="M1493" i="4"/>
  <c r="M1494" i="4"/>
  <c r="M1495" i="4"/>
  <c r="M1496" i="4"/>
  <c r="M1497" i="4"/>
  <c r="M1498" i="4"/>
  <c r="M1499" i="4"/>
  <c r="M1500" i="4"/>
  <c r="M1501" i="4"/>
  <c r="M1502" i="4"/>
  <c r="M1503" i="4"/>
  <c r="M1504" i="4"/>
  <c r="M1505" i="4"/>
  <c r="M1506" i="4"/>
  <c r="M1507" i="4"/>
  <c r="M1508" i="4"/>
  <c r="M1509" i="4"/>
  <c r="M1510" i="4"/>
  <c r="M1511" i="4"/>
  <c r="M1512" i="4"/>
  <c r="M1513" i="4"/>
  <c r="M1514" i="4"/>
  <c r="M1515" i="4"/>
  <c r="M1516" i="4"/>
  <c r="M1517" i="4"/>
  <c r="M1518" i="4"/>
  <c r="M1519" i="4"/>
  <c r="M1520" i="4"/>
  <c r="M1521" i="4"/>
  <c r="M1522" i="4"/>
  <c r="M1523" i="4"/>
  <c r="M1524" i="4"/>
  <c r="M1525" i="4"/>
  <c r="M1526" i="4"/>
  <c r="M1527" i="4"/>
  <c r="M1528" i="4"/>
  <c r="M1529" i="4"/>
  <c r="M1530" i="4"/>
  <c r="M1531" i="4"/>
  <c r="M1532" i="4"/>
  <c r="M1533" i="4"/>
  <c r="M1534" i="4"/>
  <c r="M1535" i="4"/>
  <c r="M1536" i="4"/>
  <c r="M1537" i="4"/>
  <c r="M1538" i="4"/>
  <c r="M1539" i="4"/>
  <c r="M1540" i="4"/>
  <c r="M1541" i="4"/>
  <c r="M1542" i="4"/>
  <c r="M1543" i="4"/>
  <c r="M1544" i="4"/>
  <c r="M1545" i="4"/>
  <c r="M1546" i="4"/>
  <c r="M1547" i="4"/>
  <c r="M1548" i="4"/>
  <c r="M1549" i="4"/>
  <c r="M1550" i="4"/>
  <c r="M1551" i="4"/>
  <c r="M1552" i="4"/>
  <c r="M1553" i="4"/>
  <c r="M1554" i="4"/>
  <c r="M1555" i="4"/>
  <c r="M1556" i="4"/>
  <c r="M1557" i="4"/>
  <c r="M1558" i="4"/>
  <c r="M1559" i="4"/>
  <c r="M1560" i="4"/>
  <c r="M1561" i="4"/>
  <c r="M1562" i="4"/>
  <c r="M1563" i="4"/>
  <c r="M1564" i="4"/>
  <c r="M1565" i="4"/>
  <c r="M1566" i="4"/>
  <c r="M1567" i="4"/>
  <c r="M1568" i="4"/>
  <c r="M1569" i="4"/>
  <c r="M1570" i="4"/>
  <c r="M1571" i="4"/>
  <c r="M1572" i="4"/>
  <c r="M1573" i="4"/>
  <c r="M1574" i="4"/>
  <c r="M1575" i="4"/>
  <c r="M1576" i="4"/>
  <c r="M1577" i="4"/>
  <c r="M1578" i="4"/>
  <c r="M1579" i="4"/>
  <c r="M1580" i="4"/>
  <c r="M1581" i="4"/>
  <c r="M1582" i="4"/>
  <c r="M1583" i="4"/>
  <c r="M1584" i="4"/>
  <c r="M1585" i="4"/>
  <c r="M1586" i="4"/>
  <c r="M1587" i="4"/>
  <c r="M1588" i="4"/>
  <c r="M1589" i="4"/>
  <c r="M1590" i="4"/>
  <c r="M1591" i="4"/>
  <c r="M1592" i="4"/>
  <c r="M1593" i="4"/>
  <c r="M1594" i="4"/>
  <c r="M1595" i="4"/>
  <c r="M1596" i="4"/>
  <c r="M1597" i="4"/>
  <c r="M1598" i="4"/>
  <c r="M1599" i="4"/>
  <c r="M1600" i="4"/>
  <c r="M1601" i="4"/>
  <c r="M1602" i="4"/>
  <c r="M1603" i="4"/>
  <c r="M1604" i="4"/>
  <c r="M1605" i="4"/>
  <c r="M1606" i="4"/>
  <c r="M1607" i="4"/>
  <c r="M1608" i="4"/>
  <c r="M1609" i="4"/>
  <c r="M1610" i="4"/>
  <c r="M1611" i="4"/>
  <c r="M1612" i="4"/>
  <c r="M1613" i="4"/>
  <c r="M1614" i="4"/>
  <c r="M1615" i="4"/>
  <c r="M1616" i="4"/>
  <c r="M1617" i="4"/>
  <c r="M1618" i="4"/>
  <c r="M1619" i="4"/>
  <c r="M1620" i="4"/>
  <c r="M1621" i="4"/>
  <c r="M1622" i="4"/>
  <c r="M1623" i="4"/>
  <c r="M1624" i="4"/>
  <c r="M1625" i="4"/>
  <c r="M1626" i="4"/>
  <c r="M1627" i="4"/>
  <c r="M1628" i="4"/>
  <c r="M1629" i="4"/>
  <c r="M1630" i="4"/>
  <c r="M1631" i="4"/>
  <c r="M1632" i="4"/>
  <c r="M1633" i="4"/>
  <c r="M1634" i="4"/>
  <c r="M1635" i="4"/>
  <c r="M1636" i="4"/>
  <c r="M1637" i="4"/>
  <c r="M1638" i="4"/>
  <c r="M1639" i="4"/>
  <c r="M1640" i="4"/>
  <c r="M1641" i="4"/>
  <c r="M1642" i="4"/>
  <c r="M1643" i="4"/>
  <c r="M1644" i="4"/>
  <c r="M1645" i="4"/>
  <c r="M1646" i="4"/>
  <c r="M1647" i="4"/>
  <c r="M1648" i="4"/>
  <c r="M1649" i="4"/>
  <c r="M1650" i="4"/>
  <c r="M1651" i="4"/>
  <c r="M1652" i="4"/>
  <c r="M1653" i="4"/>
  <c r="M1654" i="4"/>
  <c r="M1655" i="4"/>
  <c r="M1656" i="4"/>
  <c r="M1657" i="4"/>
  <c r="M1658" i="4"/>
  <c r="M1659" i="4"/>
  <c r="M1660" i="4"/>
  <c r="M1661" i="4"/>
  <c r="M1662" i="4"/>
  <c r="M1663" i="4"/>
  <c r="M1664" i="4"/>
  <c r="M1665" i="4"/>
  <c r="M1666" i="4"/>
  <c r="M1667" i="4"/>
  <c r="M1668" i="4"/>
  <c r="M1669" i="4"/>
  <c r="M1670" i="4"/>
  <c r="M1671" i="4"/>
  <c r="M1672" i="4"/>
  <c r="M1673" i="4"/>
  <c r="M1674" i="4"/>
  <c r="M1675" i="4"/>
  <c r="M1676" i="4"/>
  <c r="M1677" i="4"/>
  <c r="M1678" i="4"/>
  <c r="M1679" i="4"/>
  <c r="M1680" i="4"/>
  <c r="M1681" i="4"/>
  <c r="M1682" i="4"/>
  <c r="M1683" i="4"/>
  <c r="M1684" i="4"/>
  <c r="M1685" i="4"/>
  <c r="M1686" i="4"/>
  <c r="M1687" i="4"/>
  <c r="M1688" i="4"/>
  <c r="M1689" i="4"/>
  <c r="M1690" i="4"/>
  <c r="M1691" i="4"/>
  <c r="M1692" i="4"/>
  <c r="M1693" i="4"/>
  <c r="M1694" i="4"/>
  <c r="M1695" i="4"/>
  <c r="M1696" i="4"/>
  <c r="M1697" i="4"/>
  <c r="M1698" i="4"/>
  <c r="M1699" i="4"/>
  <c r="M1700" i="4"/>
  <c r="M1701" i="4"/>
  <c r="M1702" i="4"/>
  <c r="M1703" i="4"/>
  <c r="M1704" i="4"/>
  <c r="M1705" i="4"/>
  <c r="M1706" i="4"/>
  <c r="M1707" i="4"/>
  <c r="M1708" i="4"/>
  <c r="M1709" i="4"/>
  <c r="M1710" i="4"/>
  <c r="M1711" i="4"/>
  <c r="M1712" i="4"/>
  <c r="M1713" i="4"/>
  <c r="M1714" i="4"/>
  <c r="M1715" i="4"/>
  <c r="M1716" i="4"/>
  <c r="M1717" i="4"/>
  <c r="M1718" i="4"/>
  <c r="M1719" i="4"/>
  <c r="M1720" i="4"/>
  <c r="M1721" i="4"/>
  <c r="M1722" i="4"/>
  <c r="M1723" i="4"/>
  <c r="M1724" i="4"/>
  <c r="M1725" i="4"/>
  <c r="M1726" i="4"/>
  <c r="M1727" i="4"/>
  <c r="M1728" i="4"/>
  <c r="M1729" i="4"/>
  <c r="M1730" i="4"/>
  <c r="M1731" i="4"/>
  <c r="M1732" i="4"/>
  <c r="M1733" i="4"/>
  <c r="M1734" i="4"/>
  <c r="M1735" i="4"/>
  <c r="M1736" i="4"/>
  <c r="M1737" i="4"/>
  <c r="M1738" i="4"/>
  <c r="M1739" i="4"/>
  <c r="M1740" i="4"/>
  <c r="M1741" i="4"/>
  <c r="M1742" i="4"/>
  <c r="M1743" i="4"/>
  <c r="M1744" i="4"/>
  <c r="M1745" i="4"/>
  <c r="M1746" i="4"/>
  <c r="M1747" i="4"/>
  <c r="M1748" i="4"/>
  <c r="M1749" i="4"/>
  <c r="M1750" i="4"/>
  <c r="M1751" i="4"/>
  <c r="M1752" i="4"/>
  <c r="M1753" i="4"/>
  <c r="M1754" i="4"/>
  <c r="M1755" i="4"/>
  <c r="M1756" i="4"/>
  <c r="M1757" i="4"/>
  <c r="M1758" i="4"/>
  <c r="M1759" i="4"/>
  <c r="M1760" i="4"/>
  <c r="M1761" i="4"/>
  <c r="M1762" i="4"/>
  <c r="M1763" i="4"/>
  <c r="M1764" i="4"/>
  <c r="M1765" i="4"/>
  <c r="M1766" i="4"/>
  <c r="M1767" i="4"/>
  <c r="M1768" i="4"/>
  <c r="M1769" i="4"/>
  <c r="M1770" i="4"/>
  <c r="M1771" i="4"/>
  <c r="M1772" i="4"/>
  <c r="M1773" i="4"/>
  <c r="M1774" i="4"/>
  <c r="M1775" i="4"/>
  <c r="M1776" i="4"/>
  <c r="M1777" i="4"/>
  <c r="M1778" i="4"/>
  <c r="M1779" i="4"/>
  <c r="M1780" i="4"/>
  <c r="M1781" i="4"/>
  <c r="M1782" i="4"/>
  <c r="M1783" i="4"/>
  <c r="M1784" i="4"/>
  <c r="M1785" i="4"/>
  <c r="M1786" i="4"/>
  <c r="M1787" i="4"/>
  <c r="M1788" i="4"/>
  <c r="M1789" i="4"/>
  <c r="M1790" i="4"/>
  <c r="M1791" i="4"/>
  <c r="M1792" i="4"/>
  <c r="M1793" i="4"/>
  <c r="M1794" i="4"/>
  <c r="M1795" i="4"/>
  <c r="M1796" i="4"/>
  <c r="M1797" i="4"/>
  <c r="M1798" i="4"/>
  <c r="M1799" i="4"/>
  <c r="M1800" i="4"/>
  <c r="M1801" i="4"/>
  <c r="M1802" i="4"/>
  <c r="M1803" i="4"/>
  <c r="M1804" i="4"/>
  <c r="M1805" i="4"/>
  <c r="M1806" i="4"/>
  <c r="M1807" i="4"/>
  <c r="M1808" i="4"/>
  <c r="M1809" i="4"/>
  <c r="M1810" i="4"/>
  <c r="M1811" i="4"/>
  <c r="M1812" i="4"/>
  <c r="M1813" i="4"/>
  <c r="M1814" i="4"/>
  <c r="M1815" i="4"/>
  <c r="M1816" i="4"/>
  <c r="M1817" i="4"/>
  <c r="M1818" i="4"/>
  <c r="M1819" i="4"/>
  <c r="M1820" i="4"/>
  <c r="M1821" i="4"/>
  <c r="M1822" i="4"/>
  <c r="M1823" i="4"/>
  <c r="M1824" i="4"/>
  <c r="M1825" i="4"/>
  <c r="M1826" i="4"/>
  <c r="M1827" i="4"/>
  <c r="M1828" i="4"/>
  <c r="M1829" i="4"/>
  <c r="M1830" i="4"/>
  <c r="M1831" i="4"/>
  <c r="M1832" i="4"/>
  <c r="M1833" i="4"/>
  <c r="M1834" i="4"/>
  <c r="M1835" i="4"/>
  <c r="M1836" i="4"/>
  <c r="M1837" i="4"/>
  <c r="M1838" i="4"/>
  <c r="M1839" i="4"/>
  <c r="M1840" i="4"/>
  <c r="M1841" i="4"/>
  <c r="M1842" i="4"/>
  <c r="M1843" i="4"/>
  <c r="M1844" i="4"/>
  <c r="M1845" i="4"/>
  <c r="M1846" i="4"/>
  <c r="M1847" i="4"/>
  <c r="M1848" i="4"/>
  <c r="M1849" i="4"/>
  <c r="M1850" i="4"/>
  <c r="M1851" i="4"/>
  <c r="M1852" i="4"/>
  <c r="M1853" i="4"/>
  <c r="M1854" i="4"/>
  <c r="M1855" i="4"/>
  <c r="M1856" i="4"/>
  <c r="M1857" i="4"/>
  <c r="M1858" i="4"/>
  <c r="M1859" i="4"/>
  <c r="M1860" i="4"/>
  <c r="M1861" i="4"/>
  <c r="M1862" i="4"/>
  <c r="M1863" i="4"/>
  <c r="M1864" i="4"/>
  <c r="M1865" i="4"/>
  <c r="M1866" i="4"/>
  <c r="M1867" i="4"/>
  <c r="M1868" i="4"/>
  <c r="M1869" i="4"/>
  <c r="M1870" i="4"/>
  <c r="M1871" i="4"/>
  <c r="M1872" i="4"/>
  <c r="M1873" i="4"/>
  <c r="M1874" i="4"/>
  <c r="M1875" i="4"/>
  <c r="M1876" i="4"/>
  <c r="M1877" i="4"/>
  <c r="M1878" i="4"/>
  <c r="M1879" i="4"/>
  <c r="M1880" i="4"/>
  <c r="M1881" i="4"/>
  <c r="M1882" i="4"/>
  <c r="M1883" i="4"/>
  <c r="M1884" i="4"/>
  <c r="M1885" i="4"/>
  <c r="M1886" i="4"/>
  <c r="M1887" i="4"/>
  <c r="M1888" i="4"/>
  <c r="M1889" i="4"/>
  <c r="M1890" i="4"/>
  <c r="M1891" i="4"/>
  <c r="M1892" i="4"/>
  <c r="M1893" i="4"/>
  <c r="M1894" i="4"/>
  <c r="M1895" i="4"/>
  <c r="M1896" i="4"/>
  <c r="M1897" i="4"/>
  <c r="M1898" i="4"/>
  <c r="M1899" i="4"/>
  <c r="M1900" i="4"/>
  <c r="M1901" i="4"/>
  <c r="M1902" i="4"/>
  <c r="M1903" i="4"/>
  <c r="M1904" i="4"/>
  <c r="M1905" i="4"/>
  <c r="M1906" i="4"/>
  <c r="M1907" i="4"/>
  <c r="M1908" i="4"/>
  <c r="M1909" i="4"/>
  <c r="M1910" i="4"/>
  <c r="M1911" i="4"/>
  <c r="M1912" i="4"/>
  <c r="M1913" i="4"/>
  <c r="M1914" i="4"/>
  <c r="M1915" i="4"/>
  <c r="M1916" i="4"/>
  <c r="M1917" i="4"/>
  <c r="M1918" i="4"/>
  <c r="M1919" i="4"/>
  <c r="M1920" i="4"/>
  <c r="M1921" i="4"/>
  <c r="M1922" i="4"/>
  <c r="M1923" i="4"/>
  <c r="M1924" i="4"/>
  <c r="M1925" i="4"/>
  <c r="M1926" i="4"/>
  <c r="M1927" i="4"/>
  <c r="M1928" i="4"/>
  <c r="M1929" i="4"/>
  <c r="M1930" i="4"/>
  <c r="M1931" i="4"/>
  <c r="M1932" i="4"/>
  <c r="M1933" i="4"/>
  <c r="M1934" i="4"/>
  <c r="M1935" i="4"/>
  <c r="M1936" i="4"/>
  <c r="M1937" i="4"/>
  <c r="M1938" i="4"/>
  <c r="M1939" i="4"/>
  <c r="M1940" i="4"/>
  <c r="M1941" i="4"/>
  <c r="M1942" i="4"/>
  <c r="M1943" i="4"/>
  <c r="M1944" i="4"/>
  <c r="M1945" i="4"/>
  <c r="M1946" i="4"/>
  <c r="M1947" i="4"/>
  <c r="M1948" i="4"/>
  <c r="M1949" i="4"/>
  <c r="M1950" i="4"/>
  <c r="M1951" i="4"/>
  <c r="M1952" i="4"/>
  <c r="M1953" i="4"/>
  <c r="M1954" i="4"/>
  <c r="M1955" i="4"/>
  <c r="M1956" i="4"/>
  <c r="M1957" i="4"/>
  <c r="M1958" i="4"/>
  <c r="M1959" i="4"/>
  <c r="M1960" i="4"/>
  <c r="M1961" i="4"/>
  <c r="M1962" i="4"/>
  <c r="M1963" i="4"/>
  <c r="M1964" i="4"/>
  <c r="M1965" i="4"/>
  <c r="M1966" i="4"/>
  <c r="M1967" i="4"/>
  <c r="M1968" i="4"/>
  <c r="M1969" i="4"/>
  <c r="M1970" i="4"/>
  <c r="M1971" i="4"/>
  <c r="M1972" i="4"/>
  <c r="M1973" i="4"/>
  <c r="M1974" i="4"/>
  <c r="M1975" i="4"/>
  <c r="M1976" i="4"/>
  <c r="M1977" i="4"/>
  <c r="M1978" i="4"/>
  <c r="M1979" i="4"/>
  <c r="M1980" i="4"/>
  <c r="M1981" i="4"/>
  <c r="M3" i="4"/>
  <c r="M4" i="4"/>
  <c r="M5" i="4"/>
  <c r="M6" i="4"/>
  <c r="M7" i="4"/>
  <c r="M8" i="4"/>
  <c r="M9" i="4"/>
  <c r="M10" i="4"/>
  <c r="M11" i="4"/>
  <c r="M12" i="4"/>
  <c r="M2"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L102" i="4"/>
  <c r="L103" i="4"/>
  <c r="L104" i="4"/>
  <c r="L105" i="4"/>
  <c r="L106" i="4"/>
  <c r="L107" i="4"/>
  <c r="L108" i="4"/>
  <c r="L109" i="4"/>
  <c r="L110" i="4"/>
  <c r="L111" i="4"/>
  <c r="L112" i="4"/>
  <c r="L113" i="4"/>
  <c r="L114" i="4"/>
  <c r="L115" i="4"/>
  <c r="L116" i="4"/>
  <c r="L117" i="4"/>
  <c r="L118" i="4"/>
  <c r="L119" i="4"/>
  <c r="L120" i="4"/>
  <c r="L121" i="4"/>
  <c r="L122" i="4"/>
  <c r="L123" i="4"/>
  <c r="L124" i="4"/>
  <c r="L125" i="4"/>
  <c r="L126" i="4"/>
  <c r="L127" i="4"/>
  <c r="L128" i="4"/>
  <c r="L129" i="4"/>
  <c r="L130" i="4"/>
  <c r="L131" i="4"/>
  <c r="L132" i="4"/>
  <c r="L133" i="4"/>
  <c r="L134" i="4"/>
  <c r="L135" i="4"/>
  <c r="L136" i="4"/>
  <c r="L137" i="4"/>
  <c r="L138" i="4"/>
  <c r="L139" i="4"/>
  <c r="L140" i="4"/>
  <c r="L141" i="4"/>
  <c r="L142" i="4"/>
  <c r="L143" i="4"/>
  <c r="L144" i="4"/>
  <c r="L145" i="4"/>
  <c r="L146" i="4"/>
  <c r="L147" i="4"/>
  <c r="L148" i="4"/>
  <c r="L149" i="4"/>
  <c r="L150" i="4"/>
  <c r="L151" i="4"/>
  <c r="L152" i="4"/>
  <c r="L153" i="4"/>
  <c r="L154" i="4"/>
  <c r="L155" i="4"/>
  <c r="L156" i="4"/>
  <c r="L157" i="4"/>
  <c r="L158" i="4"/>
  <c r="L159" i="4"/>
  <c r="L160" i="4"/>
  <c r="L161" i="4"/>
  <c r="L162" i="4"/>
  <c r="L163" i="4"/>
  <c r="L164" i="4"/>
  <c r="L165" i="4"/>
  <c r="L166" i="4"/>
  <c r="L167" i="4"/>
  <c r="L168" i="4"/>
  <c r="L169" i="4"/>
  <c r="L170" i="4"/>
  <c r="L171" i="4"/>
  <c r="L172" i="4"/>
  <c r="L173" i="4"/>
  <c r="L174" i="4"/>
  <c r="L175" i="4"/>
  <c r="L176" i="4"/>
  <c r="L177" i="4"/>
  <c r="L178" i="4"/>
  <c r="L179" i="4"/>
  <c r="L180" i="4"/>
  <c r="L181" i="4"/>
  <c r="L182" i="4"/>
  <c r="L183" i="4"/>
  <c r="L184" i="4"/>
  <c r="L185" i="4"/>
  <c r="L186" i="4"/>
  <c r="L187" i="4"/>
  <c r="L188" i="4"/>
  <c r="L189" i="4"/>
  <c r="L190" i="4"/>
  <c r="L191" i="4"/>
  <c r="L192" i="4"/>
  <c r="L193" i="4"/>
  <c r="L194" i="4"/>
  <c r="L195" i="4"/>
  <c r="L196" i="4"/>
  <c r="L197" i="4"/>
  <c r="L198" i="4"/>
  <c r="L199" i="4"/>
  <c r="L200" i="4"/>
  <c r="L201" i="4"/>
  <c r="L202" i="4"/>
  <c r="L203" i="4"/>
  <c r="L204" i="4"/>
  <c r="L205" i="4"/>
  <c r="L206" i="4"/>
  <c r="L207" i="4"/>
  <c r="L208" i="4"/>
  <c r="L209" i="4"/>
  <c r="L210" i="4"/>
  <c r="L211" i="4"/>
  <c r="L212" i="4"/>
  <c r="L213" i="4"/>
  <c r="L214" i="4"/>
  <c r="L215" i="4"/>
  <c r="L216" i="4"/>
  <c r="L217" i="4"/>
  <c r="L218" i="4"/>
  <c r="L219" i="4"/>
  <c r="L220" i="4"/>
  <c r="L221" i="4"/>
  <c r="L222" i="4"/>
  <c r="L223" i="4"/>
  <c r="L224" i="4"/>
  <c r="L225" i="4"/>
  <c r="L226" i="4"/>
  <c r="L227" i="4"/>
  <c r="L228" i="4"/>
  <c r="L229" i="4"/>
  <c r="L230" i="4"/>
  <c r="L231" i="4"/>
  <c r="L232" i="4"/>
  <c r="L233" i="4"/>
  <c r="L234" i="4"/>
  <c r="L235" i="4"/>
  <c r="L236" i="4"/>
  <c r="L237" i="4"/>
  <c r="L238" i="4"/>
  <c r="L239" i="4"/>
  <c r="L240" i="4"/>
  <c r="L241" i="4"/>
  <c r="L242" i="4"/>
  <c r="L243" i="4"/>
  <c r="L244" i="4"/>
  <c r="L245" i="4"/>
  <c r="L246" i="4"/>
  <c r="L247" i="4"/>
  <c r="L248" i="4"/>
  <c r="L249" i="4"/>
  <c r="L250" i="4"/>
  <c r="L251" i="4"/>
  <c r="L252" i="4"/>
  <c r="L253" i="4"/>
  <c r="L254" i="4"/>
  <c r="L255" i="4"/>
  <c r="L256" i="4"/>
  <c r="L257" i="4"/>
  <c r="L258" i="4"/>
  <c r="L259" i="4"/>
  <c r="L260" i="4"/>
  <c r="L261" i="4"/>
  <c r="L262" i="4"/>
  <c r="L263" i="4"/>
  <c r="L264" i="4"/>
  <c r="L265" i="4"/>
  <c r="L266" i="4"/>
  <c r="L267" i="4"/>
  <c r="L268" i="4"/>
  <c r="L269" i="4"/>
  <c r="L270" i="4"/>
  <c r="L271" i="4"/>
  <c r="L272" i="4"/>
  <c r="L273" i="4"/>
  <c r="L274" i="4"/>
  <c r="L275" i="4"/>
  <c r="L276" i="4"/>
  <c r="L277" i="4"/>
  <c r="L278" i="4"/>
  <c r="L279" i="4"/>
  <c r="L280" i="4"/>
  <c r="L281" i="4"/>
  <c r="L282" i="4"/>
  <c r="L283" i="4"/>
  <c r="L284" i="4"/>
  <c r="L285" i="4"/>
  <c r="L286" i="4"/>
  <c r="L287" i="4"/>
  <c r="L288" i="4"/>
  <c r="L289" i="4"/>
  <c r="L290" i="4"/>
  <c r="L291" i="4"/>
  <c r="L292" i="4"/>
  <c r="L293" i="4"/>
  <c r="L294" i="4"/>
  <c r="L295" i="4"/>
  <c r="L296" i="4"/>
  <c r="L297" i="4"/>
  <c r="L298" i="4"/>
  <c r="L299" i="4"/>
  <c r="L300" i="4"/>
  <c r="L301" i="4"/>
  <c r="L302" i="4"/>
  <c r="L303" i="4"/>
  <c r="L304" i="4"/>
  <c r="L305" i="4"/>
  <c r="L306" i="4"/>
  <c r="L307" i="4"/>
  <c r="L308" i="4"/>
  <c r="L309" i="4"/>
  <c r="L310" i="4"/>
  <c r="L311" i="4"/>
  <c r="L312" i="4"/>
  <c r="L313" i="4"/>
  <c r="L314" i="4"/>
  <c r="L315" i="4"/>
  <c r="L316" i="4"/>
  <c r="L317" i="4"/>
  <c r="L318" i="4"/>
  <c r="L319" i="4"/>
  <c r="L320" i="4"/>
  <c r="L321" i="4"/>
  <c r="L322" i="4"/>
  <c r="L323" i="4"/>
  <c r="L324" i="4"/>
  <c r="L325" i="4"/>
  <c r="L326" i="4"/>
  <c r="L327" i="4"/>
  <c r="L328" i="4"/>
  <c r="L329" i="4"/>
  <c r="L330" i="4"/>
  <c r="L331" i="4"/>
  <c r="L332" i="4"/>
  <c r="L333" i="4"/>
  <c r="L334" i="4"/>
  <c r="L335" i="4"/>
  <c r="L336" i="4"/>
  <c r="L337" i="4"/>
  <c r="L338" i="4"/>
  <c r="L339" i="4"/>
  <c r="L340" i="4"/>
  <c r="L341" i="4"/>
  <c r="L342" i="4"/>
  <c r="L343" i="4"/>
  <c r="L344" i="4"/>
  <c r="L345" i="4"/>
  <c r="L346" i="4"/>
  <c r="L347" i="4"/>
  <c r="L348" i="4"/>
  <c r="L349" i="4"/>
  <c r="L350" i="4"/>
  <c r="L351" i="4"/>
  <c r="L352" i="4"/>
  <c r="L353" i="4"/>
  <c r="L354" i="4"/>
  <c r="L355" i="4"/>
  <c r="L356" i="4"/>
  <c r="L357" i="4"/>
  <c r="L358" i="4"/>
  <c r="L359" i="4"/>
  <c r="L360" i="4"/>
  <c r="L361" i="4"/>
  <c r="L362" i="4"/>
  <c r="L363" i="4"/>
  <c r="L364" i="4"/>
  <c r="L365" i="4"/>
  <c r="L366" i="4"/>
  <c r="L367" i="4"/>
  <c r="L368" i="4"/>
  <c r="L369" i="4"/>
  <c r="L370" i="4"/>
  <c r="L371" i="4"/>
  <c r="L372" i="4"/>
  <c r="L373" i="4"/>
  <c r="L374" i="4"/>
  <c r="L375" i="4"/>
  <c r="L376" i="4"/>
  <c r="L377" i="4"/>
  <c r="L378" i="4"/>
  <c r="L379" i="4"/>
  <c r="L380" i="4"/>
  <c r="L381" i="4"/>
  <c r="L382" i="4"/>
  <c r="L383" i="4"/>
  <c r="L384" i="4"/>
  <c r="L385" i="4"/>
  <c r="L386" i="4"/>
  <c r="L387" i="4"/>
  <c r="L388" i="4"/>
  <c r="L389" i="4"/>
  <c r="L390" i="4"/>
  <c r="L391" i="4"/>
  <c r="L392" i="4"/>
  <c r="L393" i="4"/>
  <c r="L394" i="4"/>
  <c r="L395" i="4"/>
  <c r="L396" i="4"/>
  <c r="L397" i="4"/>
  <c r="L398" i="4"/>
  <c r="L399" i="4"/>
  <c r="L400" i="4"/>
  <c r="L401" i="4"/>
  <c r="L402" i="4"/>
  <c r="L403" i="4"/>
  <c r="L404" i="4"/>
  <c r="L405" i="4"/>
  <c r="L406" i="4"/>
  <c r="L407" i="4"/>
  <c r="L408" i="4"/>
  <c r="L409" i="4"/>
  <c r="L410" i="4"/>
  <c r="L411" i="4"/>
  <c r="L412" i="4"/>
  <c r="L413" i="4"/>
  <c r="L414" i="4"/>
  <c r="L415" i="4"/>
  <c r="L416" i="4"/>
  <c r="L417" i="4"/>
  <c r="L418" i="4"/>
  <c r="L419" i="4"/>
  <c r="L420" i="4"/>
  <c r="L421" i="4"/>
  <c r="L422" i="4"/>
  <c r="L423" i="4"/>
  <c r="L424" i="4"/>
  <c r="L425" i="4"/>
  <c r="L426" i="4"/>
  <c r="L427" i="4"/>
  <c r="L428" i="4"/>
  <c r="L429" i="4"/>
  <c r="L430" i="4"/>
  <c r="L431" i="4"/>
  <c r="L432" i="4"/>
  <c r="L433" i="4"/>
  <c r="L434" i="4"/>
  <c r="L435" i="4"/>
  <c r="L436" i="4"/>
  <c r="L437" i="4"/>
  <c r="L438" i="4"/>
  <c r="L439" i="4"/>
  <c r="L440" i="4"/>
  <c r="L441" i="4"/>
  <c r="L442" i="4"/>
  <c r="L443" i="4"/>
  <c r="L444" i="4"/>
  <c r="L445" i="4"/>
  <c r="L446" i="4"/>
  <c r="L447" i="4"/>
  <c r="L448" i="4"/>
  <c r="L449" i="4"/>
  <c r="L450" i="4"/>
  <c r="L451" i="4"/>
  <c r="L452" i="4"/>
  <c r="L453" i="4"/>
  <c r="L454" i="4"/>
  <c r="L455" i="4"/>
  <c r="L456" i="4"/>
  <c r="L457" i="4"/>
  <c r="L458" i="4"/>
  <c r="L459" i="4"/>
  <c r="L460" i="4"/>
  <c r="L461" i="4"/>
  <c r="L462" i="4"/>
  <c r="L463" i="4"/>
  <c r="L464" i="4"/>
  <c r="L465" i="4"/>
  <c r="L466" i="4"/>
  <c r="L467" i="4"/>
  <c r="L468" i="4"/>
  <c r="L469" i="4"/>
  <c r="L470" i="4"/>
  <c r="L471" i="4"/>
  <c r="L472" i="4"/>
  <c r="L473" i="4"/>
  <c r="L474" i="4"/>
  <c r="L475" i="4"/>
  <c r="L476" i="4"/>
  <c r="L477" i="4"/>
  <c r="L478" i="4"/>
  <c r="L479" i="4"/>
  <c r="L480" i="4"/>
  <c r="L481" i="4"/>
  <c r="L482" i="4"/>
  <c r="L483" i="4"/>
  <c r="L484" i="4"/>
  <c r="L485" i="4"/>
  <c r="L486" i="4"/>
  <c r="L487" i="4"/>
  <c r="L488" i="4"/>
  <c r="L489" i="4"/>
  <c r="L490" i="4"/>
  <c r="L491" i="4"/>
  <c r="L492" i="4"/>
  <c r="L493" i="4"/>
  <c r="L494" i="4"/>
  <c r="L495" i="4"/>
  <c r="L496" i="4"/>
  <c r="L497" i="4"/>
  <c r="L498" i="4"/>
  <c r="L499" i="4"/>
  <c r="L500" i="4"/>
  <c r="L501" i="4"/>
  <c r="L502" i="4"/>
  <c r="L503" i="4"/>
  <c r="L504" i="4"/>
  <c r="L505" i="4"/>
  <c r="L506" i="4"/>
  <c r="L507" i="4"/>
  <c r="L508" i="4"/>
  <c r="L509" i="4"/>
  <c r="L510" i="4"/>
  <c r="L511" i="4"/>
  <c r="L512" i="4"/>
  <c r="L513" i="4"/>
  <c r="L514" i="4"/>
  <c r="L515" i="4"/>
  <c r="L516" i="4"/>
  <c r="L517" i="4"/>
  <c r="L518" i="4"/>
  <c r="L519" i="4"/>
  <c r="L520" i="4"/>
  <c r="L521" i="4"/>
  <c r="L522" i="4"/>
  <c r="L523" i="4"/>
  <c r="L524" i="4"/>
  <c r="L525" i="4"/>
  <c r="L526" i="4"/>
  <c r="L527" i="4"/>
  <c r="L528" i="4"/>
  <c r="L529" i="4"/>
  <c r="L530" i="4"/>
  <c r="L531" i="4"/>
  <c r="L532" i="4"/>
  <c r="L533" i="4"/>
  <c r="L534" i="4"/>
  <c r="L535" i="4"/>
  <c r="L536" i="4"/>
  <c r="L537" i="4"/>
  <c r="L538" i="4"/>
  <c r="L539" i="4"/>
  <c r="L540" i="4"/>
  <c r="L541" i="4"/>
  <c r="L542" i="4"/>
  <c r="L543" i="4"/>
  <c r="L544" i="4"/>
  <c r="L545" i="4"/>
  <c r="L546" i="4"/>
  <c r="L547" i="4"/>
  <c r="L548" i="4"/>
  <c r="L549" i="4"/>
  <c r="L550" i="4"/>
  <c r="L551" i="4"/>
  <c r="L552" i="4"/>
  <c r="L553" i="4"/>
  <c r="L554" i="4"/>
  <c r="L555" i="4"/>
  <c r="L556" i="4"/>
  <c r="L557" i="4"/>
  <c r="L558" i="4"/>
  <c r="L559" i="4"/>
  <c r="L560" i="4"/>
  <c r="L561" i="4"/>
  <c r="L562" i="4"/>
  <c r="L563" i="4"/>
  <c r="L564" i="4"/>
  <c r="L565" i="4"/>
  <c r="L566" i="4"/>
  <c r="L567" i="4"/>
  <c r="L568" i="4"/>
  <c r="L569" i="4"/>
  <c r="L570" i="4"/>
  <c r="L571" i="4"/>
  <c r="L572" i="4"/>
  <c r="L573" i="4"/>
  <c r="L574" i="4"/>
  <c r="L575" i="4"/>
  <c r="L576" i="4"/>
  <c r="L577" i="4"/>
  <c r="L578" i="4"/>
  <c r="L579" i="4"/>
  <c r="L580" i="4"/>
  <c r="L581" i="4"/>
  <c r="L582" i="4"/>
  <c r="L583" i="4"/>
  <c r="L584" i="4"/>
  <c r="L585" i="4"/>
  <c r="L586" i="4"/>
  <c r="L587" i="4"/>
  <c r="L588" i="4"/>
  <c r="L589" i="4"/>
  <c r="L590" i="4"/>
  <c r="L591" i="4"/>
  <c r="L592" i="4"/>
  <c r="L593" i="4"/>
  <c r="L594" i="4"/>
  <c r="L595" i="4"/>
  <c r="L596" i="4"/>
  <c r="L597" i="4"/>
  <c r="L598" i="4"/>
  <c r="L599" i="4"/>
  <c r="L600" i="4"/>
  <c r="L601" i="4"/>
  <c r="L602" i="4"/>
  <c r="L603" i="4"/>
  <c r="L604" i="4"/>
  <c r="L605" i="4"/>
  <c r="L606" i="4"/>
  <c r="L607" i="4"/>
  <c r="L608" i="4"/>
  <c r="L609" i="4"/>
  <c r="L610" i="4"/>
  <c r="L611" i="4"/>
  <c r="L612" i="4"/>
  <c r="L613" i="4"/>
  <c r="L614" i="4"/>
  <c r="L615" i="4"/>
  <c r="L616" i="4"/>
  <c r="L617" i="4"/>
  <c r="L618" i="4"/>
  <c r="L619" i="4"/>
  <c r="L620" i="4"/>
  <c r="L621" i="4"/>
  <c r="L622" i="4"/>
  <c r="L623" i="4"/>
  <c r="L624" i="4"/>
  <c r="L625" i="4"/>
  <c r="L626" i="4"/>
  <c r="L627" i="4"/>
  <c r="L628" i="4"/>
  <c r="L629" i="4"/>
  <c r="L630" i="4"/>
  <c r="L631" i="4"/>
  <c r="L632" i="4"/>
  <c r="L633" i="4"/>
  <c r="L634" i="4"/>
  <c r="L635" i="4"/>
  <c r="L636" i="4"/>
  <c r="L637" i="4"/>
  <c r="L638" i="4"/>
  <c r="L639" i="4"/>
  <c r="L640" i="4"/>
  <c r="L641" i="4"/>
  <c r="L642" i="4"/>
  <c r="L643" i="4"/>
  <c r="L644" i="4"/>
  <c r="L645" i="4"/>
  <c r="L646" i="4"/>
  <c r="L647" i="4"/>
  <c r="L648" i="4"/>
  <c r="L649" i="4"/>
  <c r="L650" i="4"/>
  <c r="L651" i="4"/>
  <c r="L652" i="4"/>
  <c r="L653" i="4"/>
  <c r="L654" i="4"/>
  <c r="L655" i="4"/>
  <c r="L656" i="4"/>
  <c r="L657" i="4"/>
  <c r="L658" i="4"/>
  <c r="L659" i="4"/>
  <c r="L660" i="4"/>
  <c r="L661" i="4"/>
  <c r="L662" i="4"/>
  <c r="L663" i="4"/>
  <c r="L664" i="4"/>
  <c r="L665" i="4"/>
  <c r="L666" i="4"/>
  <c r="L667" i="4"/>
  <c r="L668" i="4"/>
  <c r="L669" i="4"/>
  <c r="L670" i="4"/>
  <c r="L671" i="4"/>
  <c r="L672" i="4"/>
  <c r="L673" i="4"/>
  <c r="L674" i="4"/>
  <c r="L675" i="4"/>
  <c r="L676" i="4"/>
  <c r="L677" i="4"/>
  <c r="L678" i="4"/>
  <c r="L679" i="4"/>
  <c r="L680" i="4"/>
  <c r="L681" i="4"/>
  <c r="L682" i="4"/>
  <c r="L683" i="4"/>
  <c r="L684" i="4"/>
  <c r="L685" i="4"/>
  <c r="L686" i="4"/>
  <c r="L687" i="4"/>
  <c r="L688" i="4"/>
  <c r="L689" i="4"/>
  <c r="L690" i="4"/>
  <c r="L691" i="4"/>
  <c r="L692" i="4"/>
  <c r="L693" i="4"/>
  <c r="L694" i="4"/>
  <c r="L695" i="4"/>
  <c r="L696" i="4"/>
  <c r="L697" i="4"/>
  <c r="L698" i="4"/>
  <c r="L699" i="4"/>
  <c r="L700" i="4"/>
  <c r="L701" i="4"/>
  <c r="L702" i="4"/>
  <c r="L703" i="4"/>
  <c r="L704" i="4"/>
  <c r="L705" i="4"/>
  <c r="L706" i="4"/>
  <c r="L707" i="4"/>
  <c r="L708" i="4"/>
  <c r="L709" i="4"/>
  <c r="L710" i="4"/>
  <c r="L711" i="4"/>
  <c r="L712" i="4"/>
  <c r="L713" i="4"/>
  <c r="L714" i="4"/>
  <c r="L715" i="4"/>
  <c r="L716" i="4"/>
  <c r="L717" i="4"/>
  <c r="L718" i="4"/>
  <c r="L719" i="4"/>
  <c r="L720" i="4"/>
  <c r="L721" i="4"/>
  <c r="L722" i="4"/>
  <c r="L723" i="4"/>
  <c r="L724" i="4"/>
  <c r="L725" i="4"/>
  <c r="L726" i="4"/>
  <c r="L727" i="4"/>
  <c r="L728" i="4"/>
  <c r="L729" i="4"/>
  <c r="L730" i="4"/>
  <c r="L731" i="4"/>
  <c r="L732" i="4"/>
  <c r="L733" i="4"/>
  <c r="L734" i="4"/>
  <c r="L735" i="4"/>
  <c r="L736" i="4"/>
  <c r="L737" i="4"/>
  <c r="L738" i="4"/>
  <c r="L739" i="4"/>
  <c r="L740" i="4"/>
  <c r="L741" i="4"/>
  <c r="L742" i="4"/>
  <c r="L743" i="4"/>
  <c r="L744" i="4"/>
  <c r="L745" i="4"/>
  <c r="L746" i="4"/>
  <c r="L747" i="4"/>
  <c r="L748" i="4"/>
  <c r="L749" i="4"/>
  <c r="L750" i="4"/>
  <c r="L751" i="4"/>
  <c r="L752" i="4"/>
  <c r="L753" i="4"/>
  <c r="L754" i="4"/>
  <c r="L755" i="4"/>
  <c r="L756" i="4"/>
  <c r="L757" i="4"/>
  <c r="L758" i="4"/>
  <c r="L759" i="4"/>
  <c r="L760" i="4"/>
  <c r="L761" i="4"/>
  <c r="L762" i="4"/>
  <c r="L763" i="4"/>
  <c r="L764" i="4"/>
  <c r="L765" i="4"/>
  <c r="L766" i="4"/>
  <c r="L767" i="4"/>
  <c r="L768" i="4"/>
  <c r="L769" i="4"/>
  <c r="L770" i="4"/>
  <c r="L771" i="4"/>
  <c r="L772" i="4"/>
  <c r="L773" i="4"/>
  <c r="L774" i="4"/>
  <c r="L775" i="4"/>
  <c r="L776" i="4"/>
  <c r="L777" i="4"/>
  <c r="L778" i="4"/>
  <c r="L779" i="4"/>
  <c r="L780" i="4"/>
  <c r="L781" i="4"/>
  <c r="L782" i="4"/>
  <c r="L783" i="4"/>
  <c r="L784" i="4"/>
  <c r="L785" i="4"/>
  <c r="L786" i="4"/>
  <c r="L787" i="4"/>
  <c r="L788" i="4"/>
  <c r="L789" i="4"/>
  <c r="L790" i="4"/>
  <c r="L791" i="4"/>
  <c r="L792" i="4"/>
  <c r="L793" i="4"/>
  <c r="L794" i="4"/>
  <c r="L795" i="4"/>
  <c r="L796" i="4"/>
  <c r="L797" i="4"/>
  <c r="L798" i="4"/>
  <c r="L799" i="4"/>
  <c r="L800" i="4"/>
  <c r="L801" i="4"/>
  <c r="L802" i="4"/>
  <c r="L803" i="4"/>
  <c r="L804" i="4"/>
  <c r="L805" i="4"/>
  <c r="L806" i="4"/>
  <c r="L807" i="4"/>
  <c r="L808" i="4"/>
  <c r="L809" i="4"/>
  <c r="L810" i="4"/>
  <c r="L811" i="4"/>
  <c r="L812" i="4"/>
  <c r="L813" i="4"/>
  <c r="L814" i="4"/>
  <c r="L815" i="4"/>
  <c r="L816" i="4"/>
  <c r="L817" i="4"/>
  <c r="L818" i="4"/>
  <c r="L819" i="4"/>
  <c r="L820" i="4"/>
  <c r="L821" i="4"/>
  <c r="L822" i="4"/>
  <c r="L823" i="4"/>
  <c r="L824" i="4"/>
  <c r="L825" i="4"/>
  <c r="L826" i="4"/>
  <c r="L827" i="4"/>
  <c r="L828" i="4"/>
  <c r="L829" i="4"/>
  <c r="L830" i="4"/>
  <c r="L831" i="4"/>
  <c r="L832" i="4"/>
  <c r="L833" i="4"/>
  <c r="L834" i="4"/>
  <c r="L835" i="4"/>
  <c r="L836" i="4"/>
  <c r="L837" i="4"/>
  <c r="L838" i="4"/>
  <c r="L839" i="4"/>
  <c r="L840" i="4"/>
  <c r="L841" i="4"/>
  <c r="L842" i="4"/>
  <c r="L843" i="4"/>
  <c r="L844" i="4"/>
  <c r="L845" i="4"/>
  <c r="L846" i="4"/>
  <c r="L847" i="4"/>
  <c r="L848" i="4"/>
  <c r="L849" i="4"/>
  <c r="L850" i="4"/>
  <c r="L851" i="4"/>
  <c r="L852" i="4"/>
  <c r="L853" i="4"/>
  <c r="L854" i="4"/>
  <c r="L855" i="4"/>
  <c r="L856" i="4"/>
  <c r="L857" i="4"/>
  <c r="L858" i="4"/>
  <c r="L859" i="4"/>
  <c r="L860" i="4"/>
  <c r="L861" i="4"/>
  <c r="L862" i="4"/>
  <c r="L863" i="4"/>
  <c r="L864" i="4"/>
  <c r="L865" i="4"/>
  <c r="L866" i="4"/>
  <c r="L867" i="4"/>
  <c r="L868" i="4"/>
  <c r="L869" i="4"/>
  <c r="L870" i="4"/>
  <c r="L871" i="4"/>
  <c r="L872" i="4"/>
  <c r="L873" i="4"/>
  <c r="L874" i="4"/>
  <c r="L875" i="4"/>
  <c r="L876" i="4"/>
  <c r="L877" i="4"/>
  <c r="L878" i="4"/>
  <c r="L879" i="4"/>
  <c r="L880" i="4"/>
  <c r="L881" i="4"/>
  <c r="L882" i="4"/>
  <c r="L883" i="4"/>
  <c r="L884" i="4"/>
  <c r="L885" i="4"/>
  <c r="L886" i="4"/>
  <c r="L887" i="4"/>
  <c r="L888" i="4"/>
  <c r="L889" i="4"/>
  <c r="L890" i="4"/>
  <c r="L891" i="4"/>
  <c r="L892" i="4"/>
  <c r="L893" i="4"/>
  <c r="L894" i="4"/>
  <c r="L895" i="4"/>
  <c r="L896" i="4"/>
  <c r="L897" i="4"/>
  <c r="L898" i="4"/>
  <c r="L899" i="4"/>
  <c r="L900" i="4"/>
  <c r="L901" i="4"/>
  <c r="L902" i="4"/>
  <c r="L903" i="4"/>
  <c r="L904" i="4"/>
  <c r="L905" i="4"/>
  <c r="L906" i="4"/>
  <c r="L907" i="4"/>
  <c r="L908" i="4"/>
  <c r="L909" i="4"/>
  <c r="L910" i="4"/>
  <c r="L911" i="4"/>
  <c r="L912" i="4"/>
  <c r="L913" i="4"/>
  <c r="L914" i="4"/>
  <c r="L915" i="4"/>
  <c r="L916" i="4"/>
  <c r="L917" i="4"/>
  <c r="L918" i="4"/>
  <c r="L919" i="4"/>
  <c r="L920" i="4"/>
  <c r="L921" i="4"/>
  <c r="L922" i="4"/>
  <c r="L923" i="4"/>
  <c r="L924" i="4"/>
  <c r="L925" i="4"/>
  <c r="L926" i="4"/>
  <c r="L927" i="4"/>
  <c r="L928" i="4"/>
  <c r="L929" i="4"/>
  <c r="L930" i="4"/>
  <c r="L931" i="4"/>
  <c r="L932" i="4"/>
  <c r="L933" i="4"/>
  <c r="L934" i="4"/>
  <c r="L935" i="4"/>
  <c r="L936" i="4"/>
  <c r="L937" i="4"/>
  <c r="L938" i="4"/>
  <c r="L939" i="4"/>
  <c r="L940" i="4"/>
  <c r="L941" i="4"/>
  <c r="L942" i="4"/>
  <c r="L943" i="4"/>
  <c r="L944" i="4"/>
  <c r="L945" i="4"/>
  <c r="L946" i="4"/>
  <c r="L947" i="4"/>
  <c r="L948" i="4"/>
  <c r="L949" i="4"/>
  <c r="L950" i="4"/>
  <c r="L951" i="4"/>
  <c r="L952" i="4"/>
  <c r="L953" i="4"/>
  <c r="L954" i="4"/>
  <c r="L955" i="4"/>
  <c r="L956" i="4"/>
  <c r="L957" i="4"/>
  <c r="L958" i="4"/>
  <c r="L959" i="4"/>
  <c r="L960" i="4"/>
  <c r="L961" i="4"/>
  <c r="L962" i="4"/>
  <c r="L963" i="4"/>
  <c r="L964" i="4"/>
  <c r="L965" i="4"/>
  <c r="L966" i="4"/>
  <c r="L967" i="4"/>
  <c r="L968" i="4"/>
  <c r="L969" i="4"/>
  <c r="L970" i="4"/>
  <c r="L971" i="4"/>
  <c r="L972" i="4"/>
  <c r="L973" i="4"/>
  <c r="L974" i="4"/>
  <c r="L975" i="4"/>
  <c r="L976" i="4"/>
  <c r="L977" i="4"/>
  <c r="L978" i="4"/>
  <c r="L979" i="4"/>
  <c r="L980" i="4"/>
  <c r="L981" i="4"/>
  <c r="L982" i="4"/>
  <c r="L983" i="4"/>
  <c r="L984" i="4"/>
  <c r="L985" i="4"/>
  <c r="L986" i="4"/>
  <c r="L987" i="4"/>
  <c r="L988" i="4"/>
  <c r="L989" i="4"/>
  <c r="L990" i="4"/>
  <c r="L991" i="4"/>
  <c r="L992" i="4"/>
  <c r="L993" i="4"/>
  <c r="L994" i="4"/>
  <c r="L995" i="4"/>
  <c r="L996" i="4"/>
  <c r="L997" i="4"/>
  <c r="L998" i="4"/>
  <c r="L999" i="4"/>
  <c r="L1000" i="4"/>
  <c r="L1001" i="4"/>
  <c r="L1002" i="4"/>
  <c r="L1003" i="4"/>
  <c r="L1004" i="4"/>
  <c r="L1005" i="4"/>
  <c r="L1006" i="4"/>
  <c r="L1007" i="4"/>
  <c r="L1008" i="4"/>
  <c r="L1009" i="4"/>
  <c r="L1010" i="4"/>
  <c r="L1011" i="4"/>
  <c r="L1012" i="4"/>
  <c r="L1013" i="4"/>
  <c r="L1014" i="4"/>
  <c r="L1015" i="4"/>
  <c r="L1016" i="4"/>
  <c r="L1017" i="4"/>
  <c r="L1018" i="4"/>
  <c r="L1019" i="4"/>
  <c r="L1020" i="4"/>
  <c r="L1021" i="4"/>
  <c r="L1022" i="4"/>
  <c r="L1023" i="4"/>
  <c r="L1024" i="4"/>
  <c r="L1025" i="4"/>
  <c r="L1026" i="4"/>
  <c r="L1027" i="4"/>
  <c r="L1028" i="4"/>
  <c r="L1029" i="4"/>
  <c r="L1030" i="4"/>
  <c r="L1031" i="4"/>
  <c r="L1032" i="4"/>
  <c r="L1033" i="4"/>
  <c r="L1034" i="4"/>
  <c r="L1035" i="4"/>
  <c r="L1036" i="4"/>
  <c r="L1037" i="4"/>
  <c r="L1038" i="4"/>
  <c r="L1039" i="4"/>
  <c r="L1040" i="4"/>
  <c r="L1041" i="4"/>
  <c r="L1042" i="4"/>
  <c r="L1043" i="4"/>
  <c r="L1044" i="4"/>
  <c r="L1045" i="4"/>
  <c r="L1046" i="4"/>
  <c r="L1047" i="4"/>
  <c r="L1048" i="4"/>
  <c r="L1049" i="4"/>
  <c r="L1050" i="4"/>
  <c r="L1051" i="4"/>
  <c r="L1052" i="4"/>
  <c r="L1053" i="4"/>
  <c r="L1054" i="4"/>
  <c r="L1055" i="4"/>
  <c r="L1056" i="4"/>
  <c r="L1057" i="4"/>
  <c r="L1058" i="4"/>
  <c r="L1059" i="4"/>
  <c r="L1060" i="4"/>
  <c r="L1061" i="4"/>
  <c r="L1062" i="4"/>
  <c r="L1063" i="4"/>
  <c r="L1064" i="4"/>
  <c r="L1065" i="4"/>
  <c r="L1066" i="4"/>
  <c r="L1067" i="4"/>
  <c r="L1068" i="4"/>
  <c r="L1069" i="4"/>
  <c r="L1070" i="4"/>
  <c r="L1071" i="4"/>
  <c r="L1072" i="4"/>
  <c r="L1073" i="4"/>
  <c r="L1074" i="4"/>
  <c r="L1075" i="4"/>
  <c r="L1076" i="4"/>
  <c r="L1077" i="4"/>
  <c r="L1078" i="4"/>
  <c r="L1079" i="4"/>
  <c r="L1080" i="4"/>
  <c r="L1081" i="4"/>
  <c r="L1082" i="4"/>
  <c r="L1083" i="4"/>
  <c r="L1084" i="4"/>
  <c r="L1085" i="4"/>
  <c r="L1086" i="4"/>
  <c r="L1087" i="4"/>
  <c r="L1088" i="4"/>
  <c r="L1089" i="4"/>
  <c r="L1090" i="4"/>
  <c r="L1091" i="4"/>
  <c r="L1092" i="4"/>
  <c r="L1093" i="4"/>
  <c r="L1094" i="4"/>
  <c r="L1095" i="4"/>
  <c r="L1096" i="4"/>
  <c r="L1097" i="4"/>
  <c r="L1098" i="4"/>
  <c r="L1099" i="4"/>
  <c r="L1100" i="4"/>
  <c r="L1101" i="4"/>
  <c r="L1102" i="4"/>
  <c r="L1103" i="4"/>
  <c r="L1104" i="4"/>
  <c r="L1105" i="4"/>
  <c r="L1106" i="4"/>
  <c r="L1107" i="4"/>
  <c r="L1108" i="4"/>
  <c r="L1109" i="4"/>
  <c r="L1110" i="4"/>
  <c r="L1111" i="4"/>
  <c r="L1112" i="4"/>
  <c r="L1113" i="4"/>
  <c r="L1114" i="4"/>
  <c r="L1115" i="4"/>
  <c r="L1116" i="4"/>
  <c r="L1117" i="4"/>
  <c r="L1118" i="4"/>
  <c r="L1119" i="4"/>
  <c r="L1120" i="4"/>
  <c r="L1121" i="4"/>
  <c r="L1122" i="4"/>
  <c r="L1123" i="4"/>
  <c r="L1124" i="4"/>
  <c r="L1125" i="4"/>
  <c r="L1126" i="4"/>
  <c r="L1127" i="4"/>
  <c r="L1128" i="4"/>
  <c r="L1129" i="4"/>
  <c r="L1130" i="4"/>
  <c r="L1131" i="4"/>
  <c r="L1132" i="4"/>
  <c r="L1133" i="4"/>
  <c r="L1134" i="4"/>
  <c r="L1135" i="4"/>
  <c r="L1136" i="4"/>
  <c r="L1137" i="4"/>
  <c r="L1138" i="4"/>
  <c r="L1139" i="4"/>
  <c r="L1140" i="4"/>
  <c r="L1141" i="4"/>
  <c r="L1142" i="4"/>
  <c r="L1143" i="4"/>
  <c r="L1144" i="4"/>
  <c r="L1145" i="4"/>
  <c r="L1146" i="4"/>
  <c r="L1147" i="4"/>
  <c r="L1148" i="4"/>
  <c r="L1149" i="4"/>
  <c r="L1150" i="4"/>
  <c r="L1151" i="4"/>
  <c r="L1152" i="4"/>
  <c r="L1153" i="4"/>
  <c r="L1154" i="4"/>
  <c r="L1155" i="4"/>
  <c r="L1156" i="4"/>
  <c r="L1157" i="4"/>
  <c r="L1158" i="4"/>
  <c r="L1159" i="4"/>
  <c r="L1160" i="4"/>
  <c r="L1161" i="4"/>
  <c r="L1162" i="4"/>
  <c r="L1163" i="4"/>
  <c r="L1164" i="4"/>
  <c r="L1165" i="4"/>
  <c r="L1166" i="4"/>
  <c r="L1167" i="4"/>
  <c r="L1168" i="4"/>
  <c r="L1169" i="4"/>
  <c r="L1170" i="4"/>
  <c r="L1171" i="4"/>
  <c r="L1172" i="4"/>
  <c r="L1173" i="4"/>
  <c r="L1174" i="4"/>
  <c r="L1175" i="4"/>
  <c r="L1176" i="4"/>
  <c r="L1177" i="4"/>
  <c r="L1178" i="4"/>
  <c r="L1179" i="4"/>
  <c r="L1180" i="4"/>
  <c r="L1181" i="4"/>
  <c r="L1182" i="4"/>
  <c r="L1183" i="4"/>
  <c r="L1184" i="4"/>
  <c r="L1185" i="4"/>
  <c r="L1186" i="4"/>
  <c r="L1187" i="4"/>
  <c r="L1188" i="4"/>
  <c r="L1189" i="4"/>
  <c r="L1190" i="4"/>
  <c r="L1191" i="4"/>
  <c r="L1192" i="4"/>
  <c r="L1193" i="4"/>
  <c r="L1194" i="4"/>
  <c r="L1195" i="4"/>
  <c r="L1196" i="4"/>
  <c r="L1197" i="4"/>
  <c r="L1198" i="4"/>
  <c r="L1199" i="4"/>
  <c r="L1200" i="4"/>
  <c r="L1201" i="4"/>
  <c r="L1202" i="4"/>
  <c r="L1203" i="4"/>
  <c r="L1204" i="4"/>
  <c r="L1205" i="4"/>
  <c r="L1206" i="4"/>
  <c r="L1207" i="4"/>
  <c r="L1208" i="4"/>
  <c r="L1209" i="4"/>
  <c r="L1210" i="4"/>
  <c r="L1211" i="4"/>
  <c r="L1212" i="4"/>
  <c r="L1213" i="4"/>
  <c r="L1214" i="4"/>
  <c r="L1215" i="4"/>
  <c r="L1216" i="4"/>
  <c r="L1217" i="4"/>
  <c r="L1218" i="4"/>
  <c r="L1219" i="4"/>
  <c r="L1220" i="4"/>
  <c r="L1221" i="4"/>
  <c r="L1222" i="4"/>
  <c r="L1223" i="4"/>
  <c r="L1224" i="4"/>
  <c r="L1225" i="4"/>
  <c r="L1226" i="4"/>
  <c r="L1227" i="4"/>
  <c r="L1228" i="4"/>
  <c r="L1229" i="4"/>
  <c r="L1230" i="4"/>
  <c r="L1231" i="4"/>
  <c r="L1232" i="4"/>
  <c r="L1233" i="4"/>
  <c r="L1234" i="4"/>
  <c r="L1235" i="4"/>
  <c r="L1236" i="4"/>
  <c r="L1237" i="4"/>
  <c r="L1238" i="4"/>
  <c r="L1239" i="4"/>
  <c r="L1240" i="4"/>
  <c r="L1241" i="4"/>
  <c r="L1242" i="4"/>
  <c r="L1243" i="4"/>
  <c r="L1244" i="4"/>
  <c r="L1245" i="4"/>
  <c r="L1246" i="4"/>
  <c r="L1247" i="4"/>
  <c r="L1248" i="4"/>
  <c r="L1249" i="4"/>
  <c r="L1250" i="4"/>
  <c r="L1251" i="4"/>
  <c r="L1252" i="4"/>
  <c r="L1253" i="4"/>
  <c r="L1254" i="4"/>
  <c r="L1255" i="4"/>
  <c r="L1256" i="4"/>
  <c r="L1257" i="4"/>
  <c r="L1258" i="4"/>
  <c r="L1259" i="4"/>
  <c r="L1260" i="4"/>
  <c r="L1261" i="4"/>
  <c r="L1262" i="4"/>
  <c r="L1263" i="4"/>
  <c r="L1264" i="4"/>
  <c r="L1265" i="4"/>
  <c r="L1266" i="4"/>
  <c r="L1267" i="4"/>
  <c r="L1268" i="4"/>
  <c r="L1269" i="4"/>
  <c r="L1270" i="4"/>
  <c r="L1271" i="4"/>
  <c r="L1272" i="4"/>
  <c r="L1273" i="4"/>
  <c r="L1274" i="4"/>
  <c r="L1275" i="4"/>
  <c r="L1276" i="4"/>
  <c r="L1277" i="4"/>
  <c r="L1278" i="4"/>
  <c r="L1279" i="4"/>
  <c r="L1280" i="4"/>
  <c r="L1281" i="4"/>
  <c r="L1282" i="4"/>
  <c r="L1283" i="4"/>
  <c r="L1284" i="4"/>
  <c r="L1285" i="4"/>
  <c r="L1286" i="4"/>
  <c r="L1287" i="4"/>
  <c r="L1288" i="4"/>
  <c r="L1289" i="4"/>
  <c r="L1290" i="4"/>
  <c r="L1291" i="4"/>
  <c r="L1292" i="4"/>
  <c r="L1293" i="4"/>
  <c r="L1294" i="4"/>
  <c r="L1295" i="4"/>
  <c r="L1296" i="4"/>
  <c r="L1297" i="4"/>
  <c r="L1298" i="4"/>
  <c r="L1299" i="4"/>
  <c r="L1300" i="4"/>
  <c r="L1301" i="4"/>
  <c r="L1302" i="4"/>
  <c r="L1303" i="4"/>
  <c r="L1304" i="4"/>
  <c r="L1305" i="4"/>
  <c r="L1306" i="4"/>
  <c r="L1307" i="4"/>
  <c r="L1308" i="4"/>
  <c r="L1309" i="4"/>
  <c r="L1310" i="4"/>
  <c r="L1311" i="4"/>
  <c r="L1312" i="4"/>
  <c r="L1313" i="4"/>
  <c r="L1314" i="4"/>
  <c r="L1315" i="4"/>
  <c r="L1316" i="4"/>
  <c r="L1317" i="4"/>
  <c r="L1318" i="4"/>
  <c r="L1319" i="4"/>
  <c r="L1320" i="4"/>
  <c r="L1321" i="4"/>
  <c r="L1322" i="4"/>
  <c r="L1323" i="4"/>
  <c r="L1324" i="4"/>
  <c r="L1325" i="4"/>
  <c r="L1326" i="4"/>
  <c r="L1327" i="4"/>
  <c r="L1328" i="4"/>
  <c r="L1329" i="4"/>
  <c r="L1330" i="4"/>
  <c r="L1331" i="4"/>
  <c r="L1332" i="4"/>
  <c r="L1333" i="4"/>
  <c r="L1334" i="4"/>
  <c r="L1335" i="4"/>
  <c r="L1336" i="4"/>
  <c r="L1337" i="4"/>
  <c r="L1338" i="4"/>
  <c r="L1339" i="4"/>
  <c r="L1340" i="4"/>
  <c r="L1341" i="4"/>
  <c r="L1342" i="4"/>
  <c r="L1343" i="4"/>
  <c r="L1344" i="4"/>
  <c r="L1345" i="4"/>
  <c r="L1346" i="4"/>
  <c r="L1347" i="4"/>
  <c r="L1348" i="4"/>
  <c r="L1349" i="4"/>
  <c r="L1350" i="4"/>
  <c r="L1351" i="4"/>
  <c r="L1352" i="4"/>
  <c r="L1353" i="4"/>
  <c r="L1354" i="4"/>
  <c r="L1355" i="4"/>
  <c r="L1356" i="4"/>
  <c r="L1357" i="4"/>
  <c r="L1358" i="4"/>
  <c r="L1359" i="4"/>
  <c r="L1360" i="4"/>
  <c r="L1361" i="4"/>
  <c r="L1362" i="4"/>
  <c r="L1363" i="4"/>
  <c r="L1364" i="4"/>
  <c r="L1365" i="4"/>
  <c r="L1366" i="4"/>
  <c r="L1367" i="4"/>
  <c r="L1368" i="4"/>
  <c r="L1369" i="4"/>
  <c r="L1370" i="4"/>
  <c r="L1371" i="4"/>
  <c r="L1372" i="4"/>
  <c r="L1373" i="4"/>
  <c r="L1374" i="4"/>
  <c r="L1375" i="4"/>
  <c r="L1376" i="4"/>
  <c r="L1377" i="4"/>
  <c r="L1378" i="4"/>
  <c r="L1379" i="4"/>
  <c r="L1380" i="4"/>
  <c r="L1381" i="4"/>
  <c r="L1382" i="4"/>
  <c r="L1383" i="4"/>
  <c r="L1384" i="4"/>
  <c r="L1385" i="4"/>
  <c r="L1386" i="4"/>
  <c r="L1387" i="4"/>
  <c r="L1388" i="4"/>
  <c r="L1389" i="4"/>
  <c r="L1390" i="4"/>
  <c r="L1391" i="4"/>
  <c r="L1392" i="4"/>
  <c r="L1393" i="4"/>
  <c r="L1394" i="4"/>
  <c r="L1395" i="4"/>
  <c r="L1396" i="4"/>
  <c r="L1397" i="4"/>
  <c r="L1398" i="4"/>
  <c r="L1399" i="4"/>
  <c r="L1400" i="4"/>
  <c r="L1401" i="4"/>
  <c r="L1402" i="4"/>
  <c r="L1403" i="4"/>
  <c r="L1404" i="4"/>
  <c r="L1405" i="4"/>
  <c r="L1406" i="4"/>
  <c r="L1407" i="4"/>
  <c r="L1408" i="4"/>
  <c r="L1409" i="4"/>
  <c r="L1410" i="4"/>
  <c r="L1411" i="4"/>
  <c r="L1412" i="4"/>
  <c r="L1413" i="4"/>
  <c r="L1414" i="4"/>
  <c r="L1415" i="4"/>
  <c r="L1416" i="4"/>
  <c r="L1417" i="4"/>
  <c r="L1418" i="4"/>
  <c r="L1419" i="4"/>
  <c r="L1420" i="4"/>
  <c r="L1421" i="4"/>
  <c r="L1422" i="4"/>
  <c r="L1423" i="4"/>
  <c r="L1424" i="4"/>
  <c r="L1425" i="4"/>
  <c r="L1426" i="4"/>
  <c r="L1427" i="4"/>
  <c r="L1428" i="4"/>
  <c r="L1429" i="4"/>
  <c r="L1430" i="4"/>
  <c r="L1431" i="4"/>
  <c r="L1432" i="4"/>
  <c r="L1433" i="4"/>
  <c r="L1434" i="4"/>
  <c r="L1435" i="4"/>
  <c r="L1436" i="4"/>
  <c r="L1437" i="4"/>
  <c r="L1438" i="4"/>
  <c r="L1439" i="4"/>
  <c r="L1440" i="4"/>
  <c r="L1441" i="4"/>
  <c r="L1442" i="4"/>
  <c r="L1443" i="4"/>
  <c r="L1444" i="4"/>
  <c r="L1445" i="4"/>
  <c r="L1446" i="4"/>
  <c r="L1447" i="4"/>
  <c r="L1448" i="4"/>
  <c r="L1449" i="4"/>
  <c r="L1450" i="4"/>
  <c r="L1451" i="4"/>
  <c r="L1452" i="4"/>
  <c r="L1453" i="4"/>
  <c r="L1454" i="4"/>
  <c r="L1455" i="4"/>
  <c r="L1456" i="4"/>
  <c r="L1457" i="4"/>
  <c r="L1458" i="4"/>
  <c r="L1459" i="4"/>
  <c r="L1460" i="4"/>
  <c r="L1461" i="4"/>
  <c r="L1462" i="4"/>
  <c r="L1463" i="4"/>
  <c r="L1464" i="4"/>
  <c r="L1465" i="4"/>
  <c r="L1466" i="4"/>
  <c r="L1467" i="4"/>
  <c r="L1468" i="4"/>
  <c r="L1469" i="4"/>
  <c r="L1470" i="4"/>
  <c r="L1471" i="4"/>
  <c r="L1472" i="4"/>
  <c r="L1473" i="4"/>
  <c r="L1474" i="4"/>
  <c r="L1475" i="4"/>
  <c r="L1476" i="4"/>
  <c r="L1477" i="4"/>
  <c r="L1478" i="4"/>
  <c r="L1479" i="4"/>
  <c r="L1480" i="4"/>
  <c r="L1481" i="4"/>
  <c r="L1482" i="4"/>
  <c r="L1483" i="4"/>
  <c r="L1484" i="4"/>
  <c r="L1485" i="4"/>
  <c r="L1486" i="4"/>
  <c r="L1487" i="4"/>
  <c r="L1488" i="4"/>
  <c r="L1489" i="4"/>
  <c r="L1490" i="4"/>
  <c r="L1491" i="4"/>
  <c r="L1492" i="4"/>
  <c r="L1493" i="4"/>
  <c r="L1494" i="4"/>
  <c r="L1495" i="4"/>
  <c r="L1496" i="4"/>
  <c r="L1497" i="4"/>
  <c r="L1498" i="4"/>
  <c r="L1499" i="4"/>
  <c r="L1500" i="4"/>
  <c r="L1501" i="4"/>
  <c r="L1502" i="4"/>
  <c r="L1503" i="4"/>
  <c r="L1504" i="4"/>
  <c r="L1505" i="4"/>
  <c r="L1506" i="4"/>
  <c r="L1507" i="4"/>
  <c r="L1508" i="4"/>
  <c r="L1509" i="4"/>
  <c r="L1510" i="4"/>
  <c r="L1511" i="4"/>
  <c r="L1512" i="4"/>
  <c r="L1513" i="4"/>
  <c r="L1514" i="4"/>
  <c r="L1515" i="4"/>
  <c r="L1516" i="4"/>
  <c r="L1517" i="4"/>
  <c r="L1518" i="4"/>
  <c r="L1519" i="4"/>
  <c r="L1520" i="4"/>
  <c r="L1521" i="4"/>
  <c r="L1522" i="4"/>
  <c r="L1523" i="4"/>
  <c r="L1524" i="4"/>
  <c r="L1525" i="4"/>
  <c r="L1526" i="4"/>
  <c r="L1527" i="4"/>
  <c r="L1528" i="4"/>
  <c r="L1529" i="4"/>
  <c r="L1530" i="4"/>
  <c r="L1531" i="4"/>
  <c r="L1532" i="4"/>
  <c r="L1533" i="4"/>
  <c r="L1534" i="4"/>
  <c r="L1535" i="4"/>
  <c r="L1536" i="4"/>
  <c r="L1537" i="4"/>
  <c r="L1538" i="4"/>
  <c r="L1539" i="4"/>
  <c r="L1540" i="4"/>
  <c r="L1541" i="4"/>
  <c r="L1542" i="4"/>
  <c r="L1543" i="4"/>
  <c r="L1544" i="4"/>
  <c r="L1545" i="4"/>
  <c r="L1546" i="4"/>
  <c r="L1547" i="4"/>
  <c r="L1548" i="4"/>
  <c r="L1549" i="4"/>
  <c r="L1550" i="4"/>
  <c r="L1551" i="4"/>
  <c r="L1552" i="4"/>
  <c r="L1553" i="4"/>
  <c r="L1554" i="4"/>
  <c r="L1555" i="4"/>
  <c r="L1556" i="4"/>
  <c r="L1557" i="4"/>
  <c r="L1558" i="4"/>
  <c r="L1559" i="4"/>
  <c r="L1560" i="4"/>
  <c r="L1561" i="4"/>
  <c r="L1562" i="4"/>
  <c r="L1563" i="4"/>
  <c r="L1564" i="4"/>
  <c r="L1565" i="4"/>
  <c r="L1566" i="4"/>
  <c r="L1567" i="4"/>
  <c r="L1568" i="4"/>
  <c r="L1569" i="4"/>
  <c r="L1570" i="4"/>
  <c r="L1571" i="4"/>
  <c r="L1572" i="4"/>
  <c r="L1573" i="4"/>
  <c r="L1574" i="4"/>
  <c r="L1575" i="4"/>
  <c r="L1576" i="4"/>
  <c r="L1577" i="4"/>
  <c r="L1578" i="4"/>
  <c r="L1579" i="4"/>
  <c r="L1580" i="4"/>
  <c r="L1581" i="4"/>
  <c r="L1582" i="4"/>
  <c r="L1583" i="4"/>
  <c r="L1584" i="4"/>
  <c r="L1585" i="4"/>
  <c r="L1586" i="4"/>
  <c r="L1587" i="4"/>
  <c r="L1588" i="4"/>
  <c r="L1589" i="4"/>
  <c r="L1590" i="4"/>
  <c r="L1591" i="4"/>
  <c r="L1592" i="4"/>
  <c r="L1593" i="4"/>
  <c r="L1594" i="4"/>
  <c r="L1595" i="4"/>
  <c r="L1596" i="4"/>
  <c r="L1597" i="4"/>
  <c r="L1598" i="4"/>
  <c r="L1599" i="4"/>
  <c r="L1600" i="4"/>
  <c r="L1601" i="4"/>
  <c r="L1602" i="4"/>
  <c r="L1603" i="4"/>
  <c r="L1604" i="4"/>
  <c r="L1605" i="4"/>
  <c r="L1606" i="4"/>
  <c r="L1607" i="4"/>
  <c r="L1608" i="4"/>
  <c r="L1609" i="4"/>
  <c r="L1610" i="4"/>
  <c r="L1611" i="4"/>
  <c r="L1612" i="4"/>
  <c r="L1613" i="4"/>
  <c r="L1614" i="4"/>
  <c r="L1615" i="4"/>
  <c r="L1616" i="4"/>
  <c r="L1617" i="4"/>
  <c r="L1618" i="4"/>
  <c r="L1619" i="4"/>
  <c r="L1620" i="4"/>
  <c r="L1621" i="4"/>
  <c r="L1622" i="4"/>
  <c r="L1623" i="4"/>
  <c r="L1624" i="4"/>
  <c r="L1625" i="4"/>
  <c r="L1626" i="4"/>
  <c r="L1627" i="4"/>
  <c r="L1628" i="4"/>
  <c r="L1629" i="4"/>
  <c r="L1630" i="4"/>
  <c r="L1631" i="4"/>
  <c r="L1632" i="4"/>
  <c r="L1633" i="4"/>
  <c r="L1634" i="4"/>
  <c r="L1635" i="4"/>
  <c r="L1636" i="4"/>
  <c r="L1637" i="4"/>
  <c r="L1638" i="4"/>
  <c r="L1639" i="4"/>
  <c r="L1640" i="4"/>
  <c r="L1641" i="4"/>
  <c r="L1642" i="4"/>
  <c r="L1643" i="4"/>
  <c r="L1644" i="4"/>
  <c r="L1645" i="4"/>
  <c r="L1646" i="4"/>
  <c r="L1647" i="4"/>
  <c r="L1648" i="4"/>
  <c r="L1649" i="4"/>
  <c r="L1650" i="4"/>
  <c r="L1651" i="4"/>
  <c r="L1652" i="4"/>
  <c r="L1653" i="4"/>
  <c r="L1654" i="4"/>
  <c r="L1655" i="4"/>
  <c r="L1656" i="4"/>
  <c r="L1657" i="4"/>
  <c r="L1658" i="4"/>
  <c r="L1659" i="4"/>
  <c r="L1660" i="4"/>
  <c r="L1661" i="4"/>
  <c r="L1662" i="4"/>
  <c r="L1663" i="4"/>
  <c r="L1664" i="4"/>
  <c r="L1665" i="4"/>
  <c r="L1666" i="4"/>
  <c r="L1667" i="4"/>
  <c r="L1668" i="4"/>
  <c r="L1669" i="4"/>
  <c r="L1670" i="4"/>
  <c r="L1671" i="4"/>
  <c r="L1672" i="4"/>
  <c r="L1673" i="4"/>
  <c r="L1674" i="4"/>
  <c r="L1675" i="4"/>
  <c r="L1676" i="4"/>
  <c r="L1677" i="4"/>
  <c r="L1678" i="4"/>
  <c r="L1679" i="4"/>
  <c r="L1680" i="4"/>
  <c r="L1681" i="4"/>
  <c r="L1682" i="4"/>
  <c r="L1683" i="4"/>
  <c r="L1684" i="4"/>
  <c r="L1685" i="4"/>
  <c r="L1686" i="4"/>
  <c r="L1687" i="4"/>
  <c r="L1688" i="4"/>
  <c r="L1689" i="4"/>
  <c r="L1690" i="4"/>
  <c r="L1691" i="4"/>
  <c r="L1692" i="4"/>
  <c r="L1693" i="4"/>
  <c r="L1694" i="4"/>
  <c r="L1695" i="4"/>
  <c r="L1696" i="4"/>
  <c r="L1697" i="4"/>
  <c r="L1698" i="4"/>
  <c r="L1699" i="4"/>
  <c r="L1700" i="4"/>
  <c r="L1701" i="4"/>
  <c r="L1702" i="4"/>
  <c r="L1703" i="4"/>
  <c r="L1704" i="4"/>
  <c r="L1705" i="4"/>
  <c r="L1706" i="4"/>
  <c r="L1707" i="4"/>
  <c r="L1708" i="4"/>
  <c r="L1709" i="4"/>
  <c r="L1710" i="4"/>
  <c r="L1711" i="4"/>
  <c r="L1712" i="4"/>
  <c r="L1713" i="4"/>
  <c r="L1714" i="4"/>
  <c r="L1715" i="4"/>
  <c r="L1716" i="4"/>
  <c r="L1717" i="4"/>
  <c r="L1718" i="4"/>
  <c r="L1719" i="4"/>
  <c r="L1720" i="4"/>
  <c r="L1721" i="4"/>
  <c r="L1722" i="4"/>
  <c r="L1723" i="4"/>
  <c r="L1724" i="4"/>
  <c r="L1725" i="4"/>
  <c r="L1726" i="4"/>
  <c r="L1727" i="4"/>
  <c r="L1728" i="4"/>
  <c r="L1729" i="4"/>
  <c r="L1730" i="4"/>
  <c r="L1731" i="4"/>
  <c r="L1732" i="4"/>
  <c r="L1733" i="4"/>
  <c r="L1734" i="4"/>
  <c r="L1735" i="4"/>
  <c r="L1736" i="4"/>
  <c r="L1737" i="4"/>
  <c r="L1738" i="4"/>
  <c r="L1739" i="4"/>
  <c r="L1740" i="4"/>
  <c r="L1741" i="4"/>
  <c r="L1742" i="4"/>
  <c r="L1743" i="4"/>
  <c r="L1744" i="4"/>
  <c r="L1745" i="4"/>
  <c r="L1746" i="4"/>
  <c r="L1747" i="4"/>
  <c r="L1748" i="4"/>
  <c r="L1749" i="4"/>
  <c r="L1750" i="4"/>
  <c r="L1751" i="4"/>
  <c r="L1752" i="4"/>
  <c r="L1753" i="4"/>
  <c r="L1754" i="4"/>
  <c r="L1755" i="4"/>
  <c r="L1756" i="4"/>
  <c r="L1757" i="4"/>
  <c r="L1758" i="4"/>
  <c r="L1759" i="4"/>
  <c r="L1760" i="4"/>
  <c r="L1761" i="4"/>
  <c r="L1762" i="4"/>
  <c r="L1763" i="4"/>
  <c r="L1764" i="4"/>
  <c r="L1765" i="4"/>
  <c r="L1766" i="4"/>
  <c r="L1767" i="4"/>
  <c r="L1768" i="4"/>
  <c r="L1769" i="4"/>
  <c r="L1770" i="4"/>
  <c r="L1771" i="4"/>
  <c r="L1772" i="4"/>
  <c r="L1773" i="4"/>
  <c r="L1774" i="4"/>
  <c r="L1775" i="4"/>
  <c r="L1776" i="4"/>
  <c r="L1777" i="4"/>
  <c r="L1778" i="4"/>
  <c r="L1779" i="4"/>
  <c r="L1780" i="4"/>
  <c r="L1781" i="4"/>
  <c r="L1782" i="4"/>
  <c r="L1783" i="4"/>
  <c r="L1784" i="4"/>
  <c r="L1785" i="4"/>
  <c r="L1786" i="4"/>
  <c r="L1787" i="4"/>
  <c r="L1788" i="4"/>
  <c r="L1789" i="4"/>
  <c r="L1790" i="4"/>
  <c r="L1791" i="4"/>
  <c r="L1792" i="4"/>
  <c r="L1793" i="4"/>
  <c r="L1794" i="4"/>
  <c r="L1795" i="4"/>
  <c r="L1796" i="4"/>
  <c r="L1797" i="4"/>
  <c r="L1798" i="4"/>
  <c r="L1799" i="4"/>
  <c r="L1800" i="4"/>
  <c r="L1801" i="4"/>
  <c r="L1802" i="4"/>
  <c r="L1803" i="4"/>
  <c r="L1804" i="4"/>
  <c r="L1805" i="4"/>
  <c r="L1806" i="4"/>
  <c r="L1807" i="4"/>
  <c r="L1808" i="4"/>
  <c r="L1809" i="4"/>
  <c r="L1810" i="4"/>
  <c r="L1811" i="4"/>
  <c r="L1812" i="4"/>
  <c r="L1813" i="4"/>
  <c r="L1814" i="4"/>
  <c r="L1815" i="4"/>
  <c r="L1816" i="4"/>
  <c r="L1817" i="4"/>
  <c r="L1818" i="4"/>
  <c r="L1819" i="4"/>
  <c r="L1820" i="4"/>
  <c r="L1821" i="4"/>
  <c r="L1822" i="4"/>
  <c r="L1823" i="4"/>
  <c r="L1824" i="4"/>
  <c r="L1825" i="4"/>
  <c r="L1826" i="4"/>
  <c r="L1827" i="4"/>
  <c r="L1828" i="4"/>
  <c r="L1829" i="4"/>
  <c r="L1830" i="4"/>
  <c r="L1831" i="4"/>
  <c r="L1832" i="4"/>
  <c r="L1833" i="4"/>
  <c r="L1834" i="4"/>
  <c r="L1835" i="4"/>
  <c r="L1836" i="4"/>
  <c r="L1837" i="4"/>
  <c r="L1838" i="4"/>
  <c r="L1839" i="4"/>
  <c r="L1840" i="4"/>
  <c r="L1841" i="4"/>
  <c r="L1842" i="4"/>
  <c r="L1843" i="4"/>
  <c r="L1844" i="4"/>
  <c r="L1845" i="4"/>
  <c r="L1846" i="4"/>
  <c r="L1847" i="4"/>
  <c r="L1848" i="4"/>
  <c r="L1849" i="4"/>
  <c r="L1850" i="4"/>
  <c r="L1851" i="4"/>
  <c r="L1852" i="4"/>
  <c r="L1853" i="4"/>
  <c r="L1854" i="4"/>
  <c r="L1855" i="4"/>
  <c r="L1856" i="4"/>
  <c r="L1857" i="4"/>
  <c r="L1858" i="4"/>
  <c r="L1859" i="4"/>
  <c r="L1860" i="4"/>
  <c r="L1861" i="4"/>
  <c r="L1862" i="4"/>
  <c r="L1863" i="4"/>
  <c r="L1864" i="4"/>
  <c r="L1865" i="4"/>
  <c r="L1866" i="4"/>
  <c r="L1867" i="4"/>
  <c r="L1868" i="4"/>
  <c r="L1869" i="4"/>
  <c r="L1870" i="4"/>
  <c r="L1871" i="4"/>
  <c r="L1872" i="4"/>
  <c r="L1873" i="4"/>
  <c r="L1874" i="4"/>
  <c r="L1875" i="4"/>
  <c r="L1876" i="4"/>
  <c r="L1877" i="4"/>
  <c r="L1878" i="4"/>
  <c r="L1879" i="4"/>
  <c r="L1880" i="4"/>
  <c r="L1881" i="4"/>
  <c r="L1882" i="4"/>
  <c r="L1883" i="4"/>
  <c r="L1884" i="4"/>
  <c r="L1885" i="4"/>
  <c r="L1886" i="4"/>
  <c r="L1887" i="4"/>
  <c r="L1888" i="4"/>
  <c r="L1889" i="4"/>
  <c r="L1890" i="4"/>
  <c r="L1891" i="4"/>
  <c r="L1892" i="4"/>
  <c r="L1893" i="4"/>
  <c r="L1894" i="4"/>
  <c r="L1895" i="4"/>
  <c r="L1896" i="4"/>
  <c r="L1897" i="4"/>
  <c r="L1898" i="4"/>
  <c r="L1899" i="4"/>
  <c r="L1900" i="4"/>
  <c r="L1901" i="4"/>
  <c r="L1902" i="4"/>
  <c r="L1903" i="4"/>
  <c r="L1904" i="4"/>
  <c r="L1905" i="4"/>
  <c r="L1906" i="4"/>
  <c r="L1907" i="4"/>
  <c r="L1908" i="4"/>
  <c r="L1909" i="4"/>
  <c r="L1910" i="4"/>
  <c r="L1911" i="4"/>
  <c r="L1912" i="4"/>
  <c r="L1913" i="4"/>
  <c r="L1914" i="4"/>
  <c r="L1915" i="4"/>
  <c r="L1916" i="4"/>
  <c r="L1917" i="4"/>
  <c r="L1918" i="4"/>
  <c r="L1919" i="4"/>
  <c r="L1920" i="4"/>
  <c r="L1921" i="4"/>
  <c r="L1922" i="4"/>
  <c r="L1923" i="4"/>
  <c r="L1924" i="4"/>
  <c r="L1925" i="4"/>
  <c r="L1926" i="4"/>
  <c r="L1927" i="4"/>
  <c r="L1928" i="4"/>
  <c r="L1929" i="4"/>
  <c r="L1930" i="4"/>
  <c r="L1931" i="4"/>
  <c r="L1932" i="4"/>
  <c r="L1933" i="4"/>
  <c r="L1934" i="4"/>
  <c r="L1935" i="4"/>
  <c r="L1936" i="4"/>
  <c r="L1937" i="4"/>
  <c r="L1938" i="4"/>
  <c r="L1939" i="4"/>
  <c r="L1940" i="4"/>
  <c r="L1941" i="4"/>
  <c r="L1942" i="4"/>
  <c r="L1943" i="4"/>
  <c r="L1944" i="4"/>
  <c r="L1945" i="4"/>
  <c r="L1946" i="4"/>
  <c r="L1947" i="4"/>
  <c r="L1948" i="4"/>
  <c r="L1949" i="4"/>
  <c r="L1950" i="4"/>
  <c r="L1951" i="4"/>
  <c r="L1952" i="4"/>
  <c r="L1953" i="4"/>
  <c r="L1954" i="4"/>
  <c r="L1955" i="4"/>
  <c r="L1956" i="4"/>
  <c r="L1957" i="4"/>
  <c r="L1958" i="4"/>
  <c r="L1959" i="4"/>
  <c r="L1960" i="4"/>
  <c r="L1961" i="4"/>
  <c r="L1962" i="4"/>
  <c r="L1963" i="4"/>
  <c r="L1964" i="4"/>
  <c r="L1965" i="4"/>
  <c r="L1966" i="4"/>
  <c r="L1967" i="4"/>
  <c r="L1968" i="4"/>
  <c r="L1969" i="4"/>
  <c r="L1970" i="4"/>
  <c r="L1971" i="4"/>
  <c r="L1972" i="4"/>
  <c r="L1973" i="4"/>
  <c r="L1974" i="4"/>
  <c r="L1975" i="4"/>
  <c r="L1976" i="4"/>
  <c r="L1977" i="4"/>
  <c r="L1978" i="4"/>
  <c r="L1979" i="4"/>
  <c r="L1980" i="4"/>
  <c r="L1981" i="4"/>
  <c r="L2" i="4"/>
  <c r="S13" i="6"/>
  <c r="S6" i="6"/>
</calcChain>
</file>

<file path=xl/sharedStrings.xml><?xml version="1.0" encoding="utf-8"?>
<sst xmlns="http://schemas.openxmlformats.org/spreadsheetml/2006/main" count="23817" uniqueCount="93">
  <si>
    <t>customer_id</t>
  </si>
  <si>
    <t>store_name</t>
  </si>
  <si>
    <t>transaction_date</t>
  </si>
  <si>
    <t>aisle</t>
  </si>
  <si>
    <t>product_name</t>
  </si>
  <si>
    <t>quantity</t>
  </si>
  <si>
    <t>unit_price</t>
  </si>
  <si>
    <t>total_amount</t>
  </si>
  <si>
    <t>discount_amount</t>
  </si>
  <si>
    <t>final_amount</t>
  </si>
  <si>
    <t>loyalty_points</t>
  </si>
  <si>
    <t>GreenGrocer Plaza</t>
  </si>
  <si>
    <t>Produce</t>
  </si>
  <si>
    <t>Pasta</t>
  </si>
  <si>
    <t>ValuePlus Market</t>
  </si>
  <si>
    <t>Dairy</t>
  </si>
  <si>
    <t>Cheese</t>
  </si>
  <si>
    <t>Bakery</t>
  </si>
  <si>
    <t>Onions</t>
  </si>
  <si>
    <t>SuperSave Central</t>
  </si>
  <si>
    <t>Snacks &amp; Candy</t>
  </si>
  <si>
    <t>Cereal</t>
  </si>
  <si>
    <t>Canned Goods</t>
  </si>
  <si>
    <t>Orange Juice</t>
  </si>
  <si>
    <t>Corner Grocery</t>
  </si>
  <si>
    <t>Ground Beef</t>
  </si>
  <si>
    <t>City Fresh Store</t>
  </si>
  <si>
    <t>Health &amp; Wellness</t>
  </si>
  <si>
    <t>Household Items</t>
  </si>
  <si>
    <t>Apples</t>
  </si>
  <si>
    <t>QuickStop Market</t>
  </si>
  <si>
    <t>FreshMart Downtown</t>
  </si>
  <si>
    <t>Tomatoes</t>
  </si>
  <si>
    <t>Salmon</t>
  </si>
  <si>
    <t>Meat &amp; Seafood</t>
  </si>
  <si>
    <t>Frozen Foods</t>
  </si>
  <si>
    <t>MegaMart Westside</t>
  </si>
  <si>
    <t>Rice</t>
  </si>
  <si>
    <t>Personal Care</t>
  </si>
  <si>
    <t>Bananas</t>
  </si>
  <si>
    <t>Milk</t>
  </si>
  <si>
    <t>Eggs</t>
  </si>
  <si>
    <t>FamilyFood Express</t>
  </si>
  <si>
    <t>Bread</t>
  </si>
  <si>
    <t>Yogurt</t>
  </si>
  <si>
    <t>Beverages</t>
  </si>
  <si>
    <t>Carrots</t>
  </si>
  <si>
    <t>Potatoes</t>
  </si>
  <si>
    <t>Chicken Breast</t>
  </si>
  <si>
    <t>Customer id</t>
  </si>
  <si>
    <t>Store Name</t>
  </si>
  <si>
    <t>Transaction Date</t>
  </si>
  <si>
    <t>Aisle</t>
  </si>
  <si>
    <t>Product Name</t>
  </si>
  <si>
    <t>Quantity</t>
  </si>
  <si>
    <t>Unit Price</t>
  </si>
  <si>
    <t>Total Amount</t>
  </si>
  <si>
    <t>Discount Amount</t>
  </si>
  <si>
    <t>Final Amount</t>
  </si>
  <si>
    <t>Loyalty Points</t>
  </si>
  <si>
    <t>Sum of Final Amount</t>
  </si>
  <si>
    <t>Row Labels</t>
  </si>
  <si>
    <t>(blank)</t>
  </si>
  <si>
    <t>Grand Total</t>
  </si>
  <si>
    <t>Sum of Quantity</t>
  </si>
  <si>
    <t>2023</t>
  </si>
  <si>
    <t>2024</t>
  </si>
  <si>
    <t>2025</t>
  </si>
  <si>
    <t>Aug</t>
  </si>
  <si>
    <t>Sep</t>
  </si>
  <si>
    <t>Oct</t>
  </si>
  <si>
    <t>Nov</t>
  </si>
  <si>
    <t>Dec</t>
  </si>
  <si>
    <t>Jan</t>
  </si>
  <si>
    <t>Feb</t>
  </si>
  <si>
    <t>Mar</t>
  </si>
  <si>
    <t>Apr</t>
  </si>
  <si>
    <t>May</t>
  </si>
  <si>
    <t>Jun</t>
  </si>
  <si>
    <t>Jul</t>
  </si>
  <si>
    <t>Average of Discount Amount</t>
  </si>
  <si>
    <t>VLOOKUP</t>
  </si>
  <si>
    <t>Discount Flag ( IF )</t>
  </si>
  <si>
    <t>Store Value (nested if)</t>
  </si>
  <si>
    <t>LOOKUP ID</t>
  </si>
  <si>
    <t>Total Purchase of customer</t>
  </si>
  <si>
    <t>Store of Customer ID</t>
  </si>
  <si>
    <t>STORE DASHBOARD</t>
  </si>
  <si>
    <t>INDEX &amp; MATCH</t>
  </si>
  <si>
    <t>TOP 10% Customers (Conditional formatting)</t>
  </si>
  <si>
    <t>Slicers</t>
  </si>
  <si>
    <t>TOTAL SALES</t>
  </si>
  <si>
    <t>Total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</si>
</sst>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5" formatCode="&quot;₹&quot;\ #,##0.00"/>
  </numFmts>
  <fonts count="2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6"/>
      <color theme="1"/>
      <name val="Calibri"/>
      <family val="2"/>
      <scheme val="minor"/>
    </font>
    <font>
      <b/>
      <sz val="26"/>
      <color theme="0"/>
      <name val="Calibri"/>
      <family val="2"/>
      <scheme val="minor"/>
    </font>
    <font>
      <sz val="20"/>
      <color theme="0"/>
      <name val="Calibri"/>
      <family val="2"/>
      <scheme val="minor"/>
    </font>
    <font>
      <sz val="28"/>
      <color theme="0"/>
      <name val="Calibri"/>
      <family val="2"/>
      <scheme val="minor"/>
    </font>
    <font>
      <sz val="48"/>
      <color theme="4"/>
      <name val="Calibri"/>
      <family val="2"/>
      <scheme val="minor"/>
    </font>
    <font>
      <sz val="28"/>
      <color theme="1"/>
      <name val="Calibri"/>
      <family val="2"/>
      <scheme val="minor"/>
    </font>
    <font>
      <sz val="36"/>
      <color theme="4"/>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theme="5" tint="0.59999389629810485"/>
        <bgColor indexed="64"/>
      </patternFill>
    </fill>
    <fill>
      <patternFill patternType="solid">
        <fgColor theme="1"/>
        <bgColor indexed="64"/>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theme="0"/>
      </left>
      <right style="thin">
        <color theme="0"/>
      </right>
      <top style="thin">
        <color theme="0"/>
      </top>
      <bottom style="thin">
        <color theme="0"/>
      </bottom>
      <diagonal/>
    </border>
  </borders>
  <cellStyleXfs count="43">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7">
    <xf numFmtId="0" fontId="0" fillId="0" borderId="0" xfId="0"/>
    <xf numFmtId="14" fontId="0" fillId="0" borderId="0" xfId="0" applyNumberFormat="1"/>
    <xf numFmtId="0" fontId="16" fillId="0" borderId="10" xfId="0" applyFont="1" applyBorder="1" applyAlignment="1">
      <alignment horizontal="center"/>
    </xf>
    <xf numFmtId="0" fontId="0" fillId="0" borderId="10" xfId="0" applyBorder="1" applyAlignment="1">
      <alignment horizontal="center"/>
    </xf>
    <xf numFmtId="14" fontId="0" fillId="0" borderId="10" xfId="0" applyNumberFormat="1" applyBorder="1" applyAlignment="1">
      <alignment horizontal="center"/>
    </xf>
    <xf numFmtId="2" fontId="0" fillId="0" borderId="10" xfId="0" applyNumberFormat="1" applyBorder="1" applyAlignment="1">
      <alignment horizontal="center"/>
    </xf>
    <xf numFmtId="165" fontId="0" fillId="0" borderId="10" xfId="0" applyNumberFormat="1" applyBorder="1" applyAlignment="1">
      <alignment horizontal="center"/>
    </xf>
    <xf numFmtId="165"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0" fontId="16" fillId="0" borderId="0" xfId="0" applyFont="1" applyBorder="1" applyAlignment="1">
      <alignment horizontal="center"/>
    </xf>
    <xf numFmtId="2" fontId="0" fillId="0" borderId="0" xfId="0" applyNumberFormat="1" applyBorder="1" applyAlignment="1">
      <alignment horizontal="center"/>
    </xf>
    <xf numFmtId="0" fontId="16" fillId="0" borderId="0" xfId="0" applyFont="1" applyFill="1" applyBorder="1" applyAlignment="1">
      <alignment horizontal="center"/>
    </xf>
    <xf numFmtId="0" fontId="0" fillId="33" borderId="10" xfId="0" applyFill="1" applyBorder="1" applyAlignment="1">
      <alignment horizontal="center"/>
    </xf>
    <xf numFmtId="0" fontId="16" fillId="34" borderId="10" xfId="0" applyFont="1" applyFill="1" applyBorder="1" applyAlignment="1">
      <alignment horizontal="center"/>
    </xf>
    <xf numFmtId="0" fontId="18" fillId="33" borderId="0" xfId="0" applyFont="1" applyFill="1" applyAlignment="1">
      <alignment horizontal="center"/>
    </xf>
    <xf numFmtId="0" fontId="18" fillId="33" borderId="11" xfId="0" applyFont="1" applyFill="1" applyBorder="1" applyAlignment="1">
      <alignment horizontal="center"/>
    </xf>
    <xf numFmtId="0" fontId="19" fillId="35" borderId="12" xfId="0" applyFont="1" applyFill="1" applyBorder="1" applyAlignment="1">
      <alignment horizontal="center"/>
    </xf>
    <xf numFmtId="0" fontId="0" fillId="35" borderId="0" xfId="0" applyFill="1"/>
    <xf numFmtId="0" fontId="21" fillId="35" borderId="12" xfId="0" applyFont="1" applyFill="1" applyBorder="1" applyAlignment="1">
      <alignment horizontal="center"/>
    </xf>
    <xf numFmtId="0" fontId="21" fillId="35" borderId="12" xfId="0" applyFont="1" applyFill="1" applyBorder="1" applyAlignment="1">
      <alignment horizontal="center" vertical="center"/>
    </xf>
    <xf numFmtId="0" fontId="23" fillId="35" borderId="12" xfId="0" applyFont="1" applyFill="1" applyBorder="1" applyAlignment="1">
      <alignment horizontal="center"/>
    </xf>
    <xf numFmtId="44" fontId="22" fillId="35" borderId="12" xfId="1" applyFont="1" applyFill="1" applyBorder="1" applyAlignment="1">
      <alignment horizontal="center" vertical="center"/>
    </xf>
    <xf numFmtId="0" fontId="20" fillId="35" borderId="12" xfId="0" applyFont="1" applyFill="1" applyBorder="1" applyAlignment="1">
      <alignment horizontal="center"/>
    </xf>
    <xf numFmtId="0" fontId="24" fillId="35" borderId="12" xfId="0" applyNumberFormat="1" applyFont="1" applyFill="1" applyBorder="1" applyAlignment="1">
      <alignment horizontal="center"/>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Tables!PivotTable1</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Tables'!$A$2:$A$12</c:f>
              <c:strCache>
                <c:ptCount val="10"/>
                <c:pt idx="0">
                  <c:v>City Fresh Store</c:v>
                </c:pt>
                <c:pt idx="1">
                  <c:v>Corner Grocery</c:v>
                </c:pt>
                <c:pt idx="2">
                  <c:v>FamilyFood Express</c:v>
                </c:pt>
                <c:pt idx="3">
                  <c:v>FreshMart Downtown</c:v>
                </c:pt>
                <c:pt idx="4">
                  <c:v>GreenGrocer Plaza</c:v>
                </c:pt>
                <c:pt idx="5">
                  <c:v>MegaMart Westside</c:v>
                </c:pt>
                <c:pt idx="6">
                  <c:v>QuickStop Market</c:v>
                </c:pt>
                <c:pt idx="7">
                  <c:v>SuperSave Central</c:v>
                </c:pt>
                <c:pt idx="8">
                  <c:v>ValuePlus Market</c:v>
                </c:pt>
                <c:pt idx="9">
                  <c:v>(blank)</c:v>
                </c:pt>
              </c:strCache>
            </c:strRef>
          </c:cat>
          <c:val>
            <c:numRef>
              <c:f>'Pivot Tables'!$B$2:$B$12</c:f>
              <c:numCache>
                <c:formatCode>"₹"\ #,##0.00</c:formatCode>
                <c:ptCount val="10"/>
                <c:pt idx="0">
                  <c:v>9788.7000000000025</c:v>
                </c:pt>
                <c:pt idx="1">
                  <c:v>9285.5000000000018</c:v>
                </c:pt>
                <c:pt idx="2">
                  <c:v>7719.49</c:v>
                </c:pt>
                <c:pt idx="3">
                  <c:v>8206.8700000000026</c:v>
                </c:pt>
                <c:pt idx="4">
                  <c:v>9880.7599999999984</c:v>
                </c:pt>
                <c:pt idx="5">
                  <c:v>9295.7900000000027</c:v>
                </c:pt>
                <c:pt idx="6">
                  <c:v>8182.8900000000049</c:v>
                </c:pt>
                <c:pt idx="7">
                  <c:v>9859.8900000000012</c:v>
                </c:pt>
                <c:pt idx="8">
                  <c:v>8661.2400000000016</c:v>
                </c:pt>
                <c:pt idx="9">
                  <c:v>1156.18</c:v>
                </c:pt>
              </c:numCache>
            </c:numRef>
          </c:val>
          <c:extLst>
            <c:ext xmlns:c16="http://schemas.microsoft.com/office/drawing/2014/chart" uri="{C3380CC4-5D6E-409C-BE32-E72D297353CC}">
              <c16:uniqueId val="{00000000-581D-4477-B645-8902A4E2FBE5}"/>
            </c:ext>
          </c:extLst>
        </c:ser>
        <c:dLbls>
          <c:dLblPos val="inBase"/>
          <c:showLegendKey val="0"/>
          <c:showVal val="1"/>
          <c:showCatName val="0"/>
          <c:showSerName val="0"/>
          <c:showPercent val="0"/>
          <c:showBubbleSize val="0"/>
        </c:dLbls>
        <c:gapWidth val="115"/>
        <c:overlap val="-20"/>
        <c:axId val="21635727"/>
        <c:axId val="21645807"/>
      </c:barChart>
      <c:catAx>
        <c:axId val="21635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45807"/>
        <c:crosses val="autoZero"/>
        <c:auto val="1"/>
        <c:lblAlgn val="ctr"/>
        <c:lblOffset val="100"/>
        <c:noMultiLvlLbl val="0"/>
      </c:catAx>
      <c:valAx>
        <c:axId val="21645807"/>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63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Tables!PivotTable3</c:name>
    <c:fmtId val="29"/>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'Pivot Tables'!$H$1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7649-408B-9439-326C662207B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7649-408B-9439-326C662207B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7649-408B-9439-326C662207B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7649-408B-9439-326C662207B1}"/>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7649-408B-9439-326C662207B1}"/>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7649-408B-9439-326C662207B1}"/>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7649-408B-9439-326C662207B1}"/>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7649-408B-9439-326C662207B1}"/>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7649-408B-9439-326C662207B1}"/>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7649-408B-9439-326C662207B1}"/>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7649-408B-9439-326C662207B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Tables'!$G$2:$G$13</c:f>
              <c:strCache>
                <c:ptCount val="11"/>
                <c:pt idx="0">
                  <c:v>Bakery</c:v>
                </c:pt>
                <c:pt idx="1">
                  <c:v>Beverages</c:v>
                </c:pt>
                <c:pt idx="2">
                  <c:v>Canned Goods</c:v>
                </c:pt>
                <c:pt idx="3">
                  <c:v>Dairy</c:v>
                </c:pt>
                <c:pt idx="4">
                  <c:v>Frozen Foods</c:v>
                </c:pt>
                <c:pt idx="5">
                  <c:v>Health &amp; Wellness</c:v>
                </c:pt>
                <c:pt idx="6">
                  <c:v>Household Items</c:v>
                </c:pt>
                <c:pt idx="7">
                  <c:v>Meat &amp; Seafood</c:v>
                </c:pt>
                <c:pt idx="8">
                  <c:v>Personal Care</c:v>
                </c:pt>
                <c:pt idx="9">
                  <c:v>Produce</c:v>
                </c:pt>
                <c:pt idx="10">
                  <c:v>Snacks &amp; Candy</c:v>
                </c:pt>
              </c:strCache>
            </c:strRef>
          </c:cat>
          <c:val>
            <c:numRef>
              <c:f>'Pivot Tables'!$H$2:$H$13</c:f>
              <c:numCache>
                <c:formatCode>"₹"\ #,##0.00</c:formatCode>
                <c:ptCount val="11"/>
                <c:pt idx="0">
                  <c:v>7561.25</c:v>
                </c:pt>
                <c:pt idx="1">
                  <c:v>7820.2500000000036</c:v>
                </c:pt>
                <c:pt idx="2">
                  <c:v>8046.5800000000054</c:v>
                </c:pt>
                <c:pt idx="3">
                  <c:v>7383.2000000000016</c:v>
                </c:pt>
                <c:pt idx="4">
                  <c:v>7177.8499999999985</c:v>
                </c:pt>
                <c:pt idx="5">
                  <c:v>7905.4400000000014</c:v>
                </c:pt>
                <c:pt idx="6">
                  <c:v>6900.28</c:v>
                </c:pt>
                <c:pt idx="7">
                  <c:v>6791.21</c:v>
                </c:pt>
                <c:pt idx="8">
                  <c:v>8289.1200000000008</c:v>
                </c:pt>
                <c:pt idx="9">
                  <c:v>6095.1800000000012</c:v>
                </c:pt>
                <c:pt idx="10">
                  <c:v>8066.9500000000007</c:v>
                </c:pt>
              </c:numCache>
            </c:numRef>
          </c:val>
          <c:extLst>
            <c:ext xmlns:c16="http://schemas.microsoft.com/office/drawing/2014/chart" uri="{C3380CC4-5D6E-409C-BE32-E72D297353CC}">
              <c16:uniqueId val="{00000016-7649-408B-9439-326C662207B1}"/>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Tables!PivotTable4</c:name>
    <c:fmtId val="8"/>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Tables'!$J$2:$J$30</c:f>
              <c:multiLvlStrCache>
                <c:ptCount val="25"/>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Aug</c:v>
                  </c:pt>
                </c:lvl>
                <c:lvl>
                  <c:pt idx="0">
                    <c:v>2023</c:v>
                  </c:pt>
                  <c:pt idx="5">
                    <c:v>2024</c:v>
                  </c:pt>
                  <c:pt idx="17">
                    <c:v>2025</c:v>
                  </c:pt>
                </c:lvl>
              </c:multiLvlStrCache>
            </c:multiLvlStrRef>
          </c:cat>
          <c:val>
            <c:numRef>
              <c:f>'Pivot Tables'!$K$2:$K$30</c:f>
              <c:numCache>
                <c:formatCode>"₹"\ #,##0.00</c:formatCode>
                <c:ptCount val="25"/>
                <c:pt idx="0">
                  <c:v>2897.6400000000012</c:v>
                </c:pt>
                <c:pt idx="1">
                  <c:v>3144.36</c:v>
                </c:pt>
                <c:pt idx="2">
                  <c:v>3768.1800000000003</c:v>
                </c:pt>
                <c:pt idx="3">
                  <c:v>3589.9600000000019</c:v>
                </c:pt>
                <c:pt idx="4">
                  <c:v>2892.3500000000004</c:v>
                </c:pt>
                <c:pt idx="5">
                  <c:v>2715.54</c:v>
                </c:pt>
                <c:pt idx="6">
                  <c:v>3486.8599999999997</c:v>
                </c:pt>
                <c:pt idx="7">
                  <c:v>3644.5</c:v>
                </c:pt>
                <c:pt idx="8">
                  <c:v>2945.2900000000013</c:v>
                </c:pt>
                <c:pt idx="9">
                  <c:v>3954.7200000000003</c:v>
                </c:pt>
                <c:pt idx="10">
                  <c:v>3063.1299999999997</c:v>
                </c:pt>
                <c:pt idx="11">
                  <c:v>3684.6599999999994</c:v>
                </c:pt>
                <c:pt idx="12">
                  <c:v>3373.2699999999991</c:v>
                </c:pt>
                <c:pt idx="13">
                  <c:v>3182.1800000000003</c:v>
                </c:pt>
                <c:pt idx="14">
                  <c:v>4098.3100000000004</c:v>
                </c:pt>
                <c:pt idx="15">
                  <c:v>3816.0899999999997</c:v>
                </c:pt>
                <c:pt idx="16">
                  <c:v>3254.52</c:v>
                </c:pt>
                <c:pt idx="17">
                  <c:v>3694.0000000000005</c:v>
                </c:pt>
                <c:pt idx="18">
                  <c:v>2975.4700000000012</c:v>
                </c:pt>
                <c:pt idx="19">
                  <c:v>4560.01</c:v>
                </c:pt>
                <c:pt idx="20">
                  <c:v>3835.2199999999993</c:v>
                </c:pt>
                <c:pt idx="21">
                  <c:v>3170.9200000000019</c:v>
                </c:pt>
                <c:pt idx="22">
                  <c:v>2900.0499999999997</c:v>
                </c:pt>
                <c:pt idx="23">
                  <c:v>3036.56</c:v>
                </c:pt>
                <c:pt idx="24">
                  <c:v>353.52</c:v>
                </c:pt>
              </c:numCache>
            </c:numRef>
          </c:val>
          <c:smooth val="0"/>
          <c:extLst>
            <c:ext xmlns:c16="http://schemas.microsoft.com/office/drawing/2014/chart" uri="{C3380CC4-5D6E-409C-BE32-E72D297353CC}">
              <c16:uniqueId val="{00000000-C4AD-4DD2-A934-6101A2CA7B4E}"/>
            </c:ext>
          </c:extLst>
        </c:ser>
        <c:dLbls>
          <c:showLegendKey val="0"/>
          <c:showVal val="0"/>
          <c:showCatName val="0"/>
          <c:showSerName val="0"/>
          <c:showPercent val="0"/>
          <c:showBubbleSize val="0"/>
        </c:dLbls>
        <c:marker val="1"/>
        <c:smooth val="0"/>
        <c:axId val="2129197423"/>
        <c:axId val="2129177263"/>
      </c:lineChart>
      <c:catAx>
        <c:axId val="2129197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9177263"/>
        <c:crosses val="autoZero"/>
        <c:auto val="1"/>
        <c:lblAlgn val="ctr"/>
        <c:lblOffset val="100"/>
        <c:noMultiLvlLbl val="0"/>
      </c:catAx>
      <c:valAx>
        <c:axId val="212917726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91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Tables!PivotTable2</c:name>
    <c:fmtId val="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Tables'!$D$2:$D$20</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'Pivot Tables'!$E$2:$E$20</c:f>
              <c:numCache>
                <c:formatCode>0.00</c:formatCode>
                <c:ptCount val="18"/>
                <c:pt idx="0">
                  <c:v>322</c:v>
                </c:pt>
                <c:pt idx="1">
                  <c:v>317</c:v>
                </c:pt>
                <c:pt idx="2">
                  <c:v>359</c:v>
                </c:pt>
                <c:pt idx="3">
                  <c:v>270</c:v>
                </c:pt>
                <c:pt idx="4">
                  <c:v>336</c:v>
                </c:pt>
                <c:pt idx="5">
                  <c:v>324</c:v>
                </c:pt>
                <c:pt idx="6">
                  <c:v>379</c:v>
                </c:pt>
                <c:pt idx="7">
                  <c:v>333</c:v>
                </c:pt>
                <c:pt idx="8">
                  <c:v>258</c:v>
                </c:pt>
                <c:pt idx="9">
                  <c:v>294</c:v>
                </c:pt>
                <c:pt idx="10">
                  <c:v>342</c:v>
                </c:pt>
                <c:pt idx="11">
                  <c:v>331</c:v>
                </c:pt>
                <c:pt idx="12">
                  <c:v>304</c:v>
                </c:pt>
                <c:pt idx="13">
                  <c:v>353</c:v>
                </c:pt>
                <c:pt idx="14">
                  <c:v>312</c:v>
                </c:pt>
                <c:pt idx="15">
                  <c:v>336</c:v>
                </c:pt>
                <c:pt idx="16">
                  <c:v>366</c:v>
                </c:pt>
                <c:pt idx="17">
                  <c:v>341</c:v>
                </c:pt>
              </c:numCache>
            </c:numRef>
          </c:val>
          <c:extLst>
            <c:ext xmlns:c16="http://schemas.microsoft.com/office/drawing/2014/chart" uri="{C3380CC4-5D6E-409C-BE32-E72D297353CC}">
              <c16:uniqueId val="{00000000-9999-4F97-9DFA-85EE6D67F221}"/>
            </c:ext>
          </c:extLst>
        </c:ser>
        <c:dLbls>
          <c:showLegendKey val="0"/>
          <c:showVal val="0"/>
          <c:showCatName val="0"/>
          <c:showSerName val="0"/>
          <c:showPercent val="0"/>
          <c:showBubbleSize val="0"/>
        </c:dLbls>
        <c:gapWidth val="100"/>
        <c:overlap val="-24"/>
        <c:axId val="860538319"/>
        <c:axId val="860533999"/>
      </c:barChart>
      <c:catAx>
        <c:axId val="860538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533999"/>
        <c:crosses val="autoZero"/>
        <c:auto val="1"/>
        <c:lblAlgn val="ctr"/>
        <c:lblOffset val="100"/>
        <c:noMultiLvlLbl val="0"/>
      </c:catAx>
      <c:valAx>
        <c:axId val="8605339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053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Tables!PivotTable4</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Mounthly</a:t>
            </a:r>
            <a:r>
              <a:rPr lang="en-US" baseline="0"/>
              <a:t>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Tables'!$K$1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Tables'!$J$2:$J$30</c:f>
              <c:multiLvlStrCache>
                <c:ptCount val="25"/>
                <c:lvl>
                  <c:pt idx="0">
                    <c:v>Aug</c:v>
                  </c:pt>
                  <c:pt idx="1">
                    <c:v>Sep</c:v>
                  </c:pt>
                  <c:pt idx="2">
                    <c:v>Oct</c:v>
                  </c:pt>
                  <c:pt idx="3">
                    <c:v>Nov</c:v>
                  </c:pt>
                  <c:pt idx="4">
                    <c:v>Dec</c:v>
                  </c:pt>
                  <c:pt idx="5">
                    <c:v>Jan</c:v>
                  </c:pt>
                  <c:pt idx="6">
                    <c:v>Feb</c:v>
                  </c:pt>
                  <c:pt idx="7">
                    <c:v>Mar</c:v>
                  </c:pt>
                  <c:pt idx="8">
                    <c:v>Apr</c:v>
                  </c:pt>
                  <c:pt idx="9">
                    <c:v>May</c:v>
                  </c:pt>
                  <c:pt idx="10">
                    <c:v>Jun</c:v>
                  </c:pt>
                  <c:pt idx="11">
                    <c:v>Jul</c:v>
                  </c:pt>
                  <c:pt idx="12">
                    <c:v>Aug</c:v>
                  </c:pt>
                  <c:pt idx="13">
                    <c:v>Sep</c:v>
                  </c:pt>
                  <c:pt idx="14">
                    <c:v>Oct</c:v>
                  </c:pt>
                  <c:pt idx="15">
                    <c:v>Nov</c:v>
                  </c:pt>
                  <c:pt idx="16">
                    <c:v>Dec</c:v>
                  </c:pt>
                  <c:pt idx="17">
                    <c:v>Jan</c:v>
                  </c:pt>
                  <c:pt idx="18">
                    <c:v>Feb</c:v>
                  </c:pt>
                  <c:pt idx="19">
                    <c:v>Mar</c:v>
                  </c:pt>
                  <c:pt idx="20">
                    <c:v>Apr</c:v>
                  </c:pt>
                  <c:pt idx="21">
                    <c:v>May</c:v>
                  </c:pt>
                  <c:pt idx="22">
                    <c:v>Jun</c:v>
                  </c:pt>
                  <c:pt idx="23">
                    <c:v>Jul</c:v>
                  </c:pt>
                  <c:pt idx="24">
                    <c:v>Aug</c:v>
                  </c:pt>
                </c:lvl>
                <c:lvl>
                  <c:pt idx="0">
                    <c:v>2023</c:v>
                  </c:pt>
                  <c:pt idx="5">
                    <c:v>2024</c:v>
                  </c:pt>
                  <c:pt idx="17">
                    <c:v>2025</c:v>
                  </c:pt>
                </c:lvl>
              </c:multiLvlStrCache>
            </c:multiLvlStrRef>
          </c:cat>
          <c:val>
            <c:numRef>
              <c:f>'Pivot Tables'!$K$2:$K$30</c:f>
              <c:numCache>
                <c:formatCode>"₹"\ #,##0.00</c:formatCode>
                <c:ptCount val="25"/>
                <c:pt idx="0">
                  <c:v>2897.6400000000012</c:v>
                </c:pt>
                <c:pt idx="1">
                  <c:v>3144.36</c:v>
                </c:pt>
                <c:pt idx="2">
                  <c:v>3768.1800000000003</c:v>
                </c:pt>
                <c:pt idx="3">
                  <c:v>3589.9600000000019</c:v>
                </c:pt>
                <c:pt idx="4">
                  <c:v>2892.3500000000004</c:v>
                </c:pt>
                <c:pt idx="5">
                  <c:v>2715.54</c:v>
                </c:pt>
                <c:pt idx="6">
                  <c:v>3486.8599999999997</c:v>
                </c:pt>
                <c:pt idx="7">
                  <c:v>3644.5</c:v>
                </c:pt>
                <c:pt idx="8">
                  <c:v>2945.2900000000013</c:v>
                </c:pt>
                <c:pt idx="9">
                  <c:v>3954.7200000000003</c:v>
                </c:pt>
                <c:pt idx="10">
                  <c:v>3063.1299999999997</c:v>
                </c:pt>
                <c:pt idx="11">
                  <c:v>3684.6599999999994</c:v>
                </c:pt>
                <c:pt idx="12">
                  <c:v>3373.2699999999991</c:v>
                </c:pt>
                <c:pt idx="13">
                  <c:v>3182.1800000000003</c:v>
                </c:pt>
                <c:pt idx="14">
                  <c:v>4098.3100000000004</c:v>
                </c:pt>
                <c:pt idx="15">
                  <c:v>3816.0899999999997</c:v>
                </c:pt>
                <c:pt idx="16">
                  <c:v>3254.52</c:v>
                </c:pt>
                <c:pt idx="17">
                  <c:v>3694.0000000000005</c:v>
                </c:pt>
                <c:pt idx="18">
                  <c:v>2975.4700000000012</c:v>
                </c:pt>
                <c:pt idx="19">
                  <c:v>4560.01</c:v>
                </c:pt>
                <c:pt idx="20">
                  <c:v>3835.2199999999993</c:v>
                </c:pt>
                <c:pt idx="21">
                  <c:v>3170.9200000000019</c:v>
                </c:pt>
                <c:pt idx="22">
                  <c:v>2900.0499999999997</c:v>
                </c:pt>
                <c:pt idx="23">
                  <c:v>3036.56</c:v>
                </c:pt>
                <c:pt idx="24">
                  <c:v>353.52</c:v>
                </c:pt>
              </c:numCache>
            </c:numRef>
          </c:val>
          <c:smooth val="0"/>
          <c:extLst>
            <c:ext xmlns:c16="http://schemas.microsoft.com/office/drawing/2014/chart" uri="{C3380CC4-5D6E-409C-BE32-E72D297353CC}">
              <c16:uniqueId val="{00000000-EFA2-4830-9E4F-3765A1D48780}"/>
            </c:ext>
          </c:extLst>
        </c:ser>
        <c:dLbls>
          <c:showLegendKey val="0"/>
          <c:showVal val="0"/>
          <c:showCatName val="0"/>
          <c:showSerName val="0"/>
          <c:showPercent val="0"/>
          <c:showBubbleSize val="0"/>
        </c:dLbls>
        <c:marker val="1"/>
        <c:smooth val="0"/>
        <c:axId val="2129197423"/>
        <c:axId val="2129177263"/>
      </c:lineChart>
      <c:catAx>
        <c:axId val="212919742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9177263"/>
        <c:crosses val="autoZero"/>
        <c:auto val="1"/>
        <c:lblAlgn val="ctr"/>
        <c:lblOffset val="100"/>
        <c:noMultiLvlLbl val="0"/>
      </c:catAx>
      <c:valAx>
        <c:axId val="2129177263"/>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919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Tables!PivotTable1</c:name>
    <c:fmtId val="1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Store Wise Total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Tables'!$A$2:$A$12</c:f>
              <c:strCache>
                <c:ptCount val="10"/>
                <c:pt idx="0">
                  <c:v>City Fresh Store</c:v>
                </c:pt>
                <c:pt idx="1">
                  <c:v>Corner Grocery</c:v>
                </c:pt>
                <c:pt idx="2">
                  <c:v>FamilyFood Express</c:v>
                </c:pt>
                <c:pt idx="3">
                  <c:v>FreshMart Downtown</c:v>
                </c:pt>
                <c:pt idx="4">
                  <c:v>GreenGrocer Plaza</c:v>
                </c:pt>
                <c:pt idx="5">
                  <c:v>MegaMart Westside</c:v>
                </c:pt>
                <c:pt idx="6">
                  <c:v>QuickStop Market</c:v>
                </c:pt>
                <c:pt idx="7">
                  <c:v>SuperSave Central</c:v>
                </c:pt>
                <c:pt idx="8">
                  <c:v>ValuePlus Market</c:v>
                </c:pt>
                <c:pt idx="9">
                  <c:v>(blank)</c:v>
                </c:pt>
              </c:strCache>
            </c:strRef>
          </c:cat>
          <c:val>
            <c:numRef>
              <c:f>'Pivot Tables'!$B$2:$B$12</c:f>
              <c:numCache>
                <c:formatCode>"₹"\ #,##0.00</c:formatCode>
                <c:ptCount val="10"/>
                <c:pt idx="0">
                  <c:v>9788.7000000000025</c:v>
                </c:pt>
                <c:pt idx="1">
                  <c:v>9285.5000000000018</c:v>
                </c:pt>
                <c:pt idx="2">
                  <c:v>7719.49</c:v>
                </c:pt>
                <c:pt idx="3">
                  <c:v>8206.8700000000026</c:v>
                </c:pt>
                <c:pt idx="4">
                  <c:v>9880.7599999999984</c:v>
                </c:pt>
                <c:pt idx="5">
                  <c:v>9295.7900000000027</c:v>
                </c:pt>
                <c:pt idx="6">
                  <c:v>8182.8900000000049</c:v>
                </c:pt>
                <c:pt idx="7">
                  <c:v>9859.8900000000012</c:v>
                </c:pt>
                <c:pt idx="8">
                  <c:v>8661.2400000000016</c:v>
                </c:pt>
                <c:pt idx="9">
                  <c:v>1156.18</c:v>
                </c:pt>
              </c:numCache>
            </c:numRef>
          </c:val>
          <c:extLst>
            <c:ext xmlns:c16="http://schemas.microsoft.com/office/drawing/2014/chart" uri="{C3380CC4-5D6E-409C-BE32-E72D297353CC}">
              <c16:uniqueId val="{00000000-9522-4E22-86A0-F42752107156}"/>
            </c:ext>
          </c:extLst>
        </c:ser>
        <c:dLbls>
          <c:dLblPos val="inBase"/>
          <c:showLegendKey val="0"/>
          <c:showVal val="1"/>
          <c:showCatName val="0"/>
          <c:showSerName val="0"/>
          <c:showPercent val="0"/>
          <c:showBubbleSize val="0"/>
        </c:dLbls>
        <c:gapWidth val="115"/>
        <c:overlap val="-20"/>
        <c:axId val="21635727"/>
        <c:axId val="21645807"/>
      </c:barChart>
      <c:catAx>
        <c:axId val="216357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645807"/>
        <c:crosses val="autoZero"/>
        <c:auto val="1"/>
        <c:lblAlgn val="ctr"/>
        <c:lblOffset val="100"/>
        <c:noMultiLvlLbl val="0"/>
      </c:catAx>
      <c:valAx>
        <c:axId val="21645807"/>
        <c:scaling>
          <c:orientation val="minMax"/>
        </c:scaling>
        <c:delete val="0"/>
        <c:axPos val="b"/>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635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Tables!PivotTable2</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Product Wise</a:t>
            </a:r>
            <a:r>
              <a:rPr lang="en-US" baseline="0"/>
              <a:t> </a:t>
            </a:r>
            <a:r>
              <a:rPr lang="en-US"/>
              <a:t>Unit</a:t>
            </a:r>
            <a:r>
              <a:rPr lang="en-US" baseline="0"/>
              <a:t> Sold</a:t>
            </a:r>
            <a:endParaRPr lang="en-US"/>
          </a:p>
        </c:rich>
      </c:tx>
      <c:layout>
        <c:manualLayout>
          <c:xMode val="edge"/>
          <c:yMode val="edge"/>
          <c:x val="0.18805668016194332"/>
          <c:y val="4.065040650406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Tables'!$E$1</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Tables'!$D$2:$D$20</c:f>
              <c:strCache>
                <c:ptCount val="18"/>
                <c:pt idx="0">
                  <c:v>Apples</c:v>
                </c:pt>
                <c:pt idx="1">
                  <c:v>Bananas</c:v>
                </c:pt>
                <c:pt idx="2">
                  <c:v>Bread</c:v>
                </c:pt>
                <c:pt idx="3">
                  <c:v>Carrots</c:v>
                </c:pt>
                <c:pt idx="4">
                  <c:v>Cereal</c:v>
                </c:pt>
                <c:pt idx="5">
                  <c:v>Cheese</c:v>
                </c:pt>
                <c:pt idx="6">
                  <c:v>Chicken Breast</c:v>
                </c:pt>
                <c:pt idx="7">
                  <c:v>Eggs</c:v>
                </c:pt>
                <c:pt idx="8">
                  <c:v>Ground Beef</c:v>
                </c:pt>
                <c:pt idx="9">
                  <c:v>Milk</c:v>
                </c:pt>
                <c:pt idx="10">
                  <c:v>Onions</c:v>
                </c:pt>
                <c:pt idx="11">
                  <c:v>Orange Juice</c:v>
                </c:pt>
                <c:pt idx="12">
                  <c:v>Pasta</c:v>
                </c:pt>
                <c:pt idx="13">
                  <c:v>Potatoes</c:v>
                </c:pt>
                <c:pt idx="14">
                  <c:v>Rice</c:v>
                </c:pt>
                <c:pt idx="15">
                  <c:v>Salmon</c:v>
                </c:pt>
                <c:pt idx="16">
                  <c:v>Tomatoes</c:v>
                </c:pt>
                <c:pt idx="17">
                  <c:v>Yogurt</c:v>
                </c:pt>
              </c:strCache>
            </c:strRef>
          </c:cat>
          <c:val>
            <c:numRef>
              <c:f>'Pivot Tables'!$E$2:$E$20</c:f>
              <c:numCache>
                <c:formatCode>0.00</c:formatCode>
                <c:ptCount val="18"/>
                <c:pt idx="0">
                  <c:v>322</c:v>
                </c:pt>
                <c:pt idx="1">
                  <c:v>317</c:v>
                </c:pt>
                <c:pt idx="2">
                  <c:v>359</c:v>
                </c:pt>
                <c:pt idx="3">
                  <c:v>270</c:v>
                </c:pt>
                <c:pt idx="4">
                  <c:v>336</c:v>
                </c:pt>
                <c:pt idx="5">
                  <c:v>324</c:v>
                </c:pt>
                <c:pt idx="6">
                  <c:v>379</c:v>
                </c:pt>
                <c:pt idx="7">
                  <c:v>333</c:v>
                </c:pt>
                <c:pt idx="8">
                  <c:v>258</c:v>
                </c:pt>
                <c:pt idx="9">
                  <c:v>294</c:v>
                </c:pt>
                <c:pt idx="10">
                  <c:v>342</c:v>
                </c:pt>
                <c:pt idx="11">
                  <c:v>331</c:v>
                </c:pt>
                <c:pt idx="12">
                  <c:v>304</c:v>
                </c:pt>
                <c:pt idx="13">
                  <c:v>353</c:v>
                </c:pt>
                <c:pt idx="14">
                  <c:v>312</c:v>
                </c:pt>
                <c:pt idx="15">
                  <c:v>336</c:v>
                </c:pt>
                <c:pt idx="16">
                  <c:v>366</c:v>
                </c:pt>
                <c:pt idx="17">
                  <c:v>341</c:v>
                </c:pt>
              </c:numCache>
            </c:numRef>
          </c:val>
          <c:extLst>
            <c:ext xmlns:c16="http://schemas.microsoft.com/office/drawing/2014/chart" uri="{C3380CC4-5D6E-409C-BE32-E72D297353CC}">
              <c16:uniqueId val="{00000000-1C9C-4369-BF74-1049ED7D9C30}"/>
            </c:ext>
          </c:extLst>
        </c:ser>
        <c:dLbls>
          <c:showLegendKey val="0"/>
          <c:showVal val="0"/>
          <c:showCatName val="0"/>
          <c:showSerName val="0"/>
          <c:showPercent val="0"/>
          <c:showBubbleSize val="0"/>
        </c:dLbls>
        <c:gapWidth val="100"/>
        <c:overlap val="-24"/>
        <c:axId val="860538319"/>
        <c:axId val="860533999"/>
      </c:barChart>
      <c:catAx>
        <c:axId val="86053831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60533999"/>
        <c:crosses val="autoZero"/>
        <c:auto val="1"/>
        <c:lblAlgn val="ctr"/>
        <c:lblOffset val="100"/>
        <c:noMultiLvlLbl val="0"/>
      </c:catAx>
      <c:valAx>
        <c:axId val="860533999"/>
        <c:scaling>
          <c:orientation val="minMax"/>
        </c:scaling>
        <c:delete val="0"/>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8605383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[Yakshrajsinh_Dashboard.xlsx]Pivot Tables!PivotTable3</c:name>
    <c:fmtId val="3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Aisle</a:t>
            </a:r>
            <a:r>
              <a:rPr lang="en-US" baseline="0"/>
              <a:t> Wise Sales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9.1321491790270395E-2"/>
          <c:y val="0.18878844412741094"/>
          <c:w val="0.46787310016480499"/>
          <c:h val="0.7009945403166068"/>
        </c:manualLayout>
      </c:layout>
      <c:doughnutChart>
        <c:varyColors val="1"/>
        <c:ser>
          <c:idx val="0"/>
          <c:order val="0"/>
          <c:tx>
            <c:strRef>
              <c:f>'Pivot Tables'!$H$1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EAA-4518-9AE0-6FEAF630CB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EAA-4518-9AE0-6FEAF630CBF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EAA-4518-9AE0-6FEAF630CBF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EAA-4518-9AE0-6FEAF630CBF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EAA-4518-9AE0-6FEAF630CBF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5EAA-4518-9AE0-6FEAF630CBF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5EAA-4518-9AE0-6FEAF630CBF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5EAA-4518-9AE0-6FEAF630CBF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5EAA-4518-9AE0-6FEAF630CBFC}"/>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5EAA-4518-9AE0-6FEAF630CBFC}"/>
              </c:ext>
            </c:extLst>
          </c:dPt>
          <c:dPt>
            <c:idx val="10"/>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5-5EAA-4518-9AE0-6FEAF630CB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Tables'!$G$2:$G$13</c:f>
              <c:strCache>
                <c:ptCount val="11"/>
                <c:pt idx="0">
                  <c:v>Bakery</c:v>
                </c:pt>
                <c:pt idx="1">
                  <c:v>Beverages</c:v>
                </c:pt>
                <c:pt idx="2">
                  <c:v>Canned Goods</c:v>
                </c:pt>
                <c:pt idx="3">
                  <c:v>Dairy</c:v>
                </c:pt>
                <c:pt idx="4">
                  <c:v>Frozen Foods</c:v>
                </c:pt>
                <c:pt idx="5">
                  <c:v>Health &amp; Wellness</c:v>
                </c:pt>
                <c:pt idx="6">
                  <c:v>Household Items</c:v>
                </c:pt>
                <c:pt idx="7">
                  <c:v>Meat &amp; Seafood</c:v>
                </c:pt>
                <c:pt idx="8">
                  <c:v>Personal Care</c:v>
                </c:pt>
                <c:pt idx="9">
                  <c:v>Produce</c:v>
                </c:pt>
                <c:pt idx="10">
                  <c:v>Snacks &amp; Candy</c:v>
                </c:pt>
              </c:strCache>
            </c:strRef>
          </c:cat>
          <c:val>
            <c:numRef>
              <c:f>'Pivot Tables'!$H$2:$H$13</c:f>
              <c:numCache>
                <c:formatCode>"₹"\ #,##0.00</c:formatCode>
                <c:ptCount val="11"/>
                <c:pt idx="0">
                  <c:v>7561.25</c:v>
                </c:pt>
                <c:pt idx="1">
                  <c:v>7820.2500000000036</c:v>
                </c:pt>
                <c:pt idx="2">
                  <c:v>8046.5800000000054</c:v>
                </c:pt>
                <c:pt idx="3">
                  <c:v>7383.2000000000016</c:v>
                </c:pt>
                <c:pt idx="4">
                  <c:v>7177.8499999999985</c:v>
                </c:pt>
                <c:pt idx="5">
                  <c:v>7905.4400000000014</c:v>
                </c:pt>
                <c:pt idx="6">
                  <c:v>6900.28</c:v>
                </c:pt>
                <c:pt idx="7">
                  <c:v>6791.21</c:v>
                </c:pt>
                <c:pt idx="8">
                  <c:v>8289.1200000000008</c:v>
                </c:pt>
                <c:pt idx="9">
                  <c:v>6095.1800000000012</c:v>
                </c:pt>
                <c:pt idx="10">
                  <c:v>8066.9500000000007</c:v>
                </c:pt>
              </c:numCache>
            </c:numRef>
          </c:val>
          <c:extLst>
            <c:ext xmlns:c16="http://schemas.microsoft.com/office/drawing/2014/chart" uri="{C3380CC4-5D6E-409C-BE32-E72D297353CC}">
              <c16:uniqueId val="{00000016-5EAA-4518-9AE0-6FEAF630CBFC}"/>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15</xdr:row>
      <xdr:rowOff>91440</xdr:rowOff>
    </xdr:from>
    <xdr:to>
      <xdr:col>7</xdr:col>
      <xdr:colOff>304800</xdr:colOff>
      <xdr:row>30</xdr:row>
      <xdr:rowOff>91440</xdr:rowOff>
    </xdr:to>
    <xdr:graphicFrame macro="">
      <xdr:nvGraphicFramePr>
        <xdr:cNvPr id="2" name="Chart 1">
          <a:extLst>
            <a:ext uri="{FF2B5EF4-FFF2-40B4-BE49-F238E27FC236}">
              <a16:creationId xmlns:a16="http://schemas.microsoft.com/office/drawing/2014/main" id="{BA8F8084-83D4-4277-B50E-CCC31DD5D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129540</xdr:colOff>
      <xdr:row>13</xdr:row>
      <xdr:rowOff>152400</xdr:rowOff>
    </xdr:from>
    <xdr:to>
      <xdr:col>22</xdr:col>
      <xdr:colOff>434340</xdr:colOff>
      <xdr:row>28</xdr:row>
      <xdr:rowOff>152400</xdr:rowOff>
    </xdr:to>
    <xdr:graphicFrame macro="">
      <xdr:nvGraphicFramePr>
        <xdr:cNvPr id="3" name="Chart 2">
          <a:extLst>
            <a:ext uri="{FF2B5EF4-FFF2-40B4-BE49-F238E27FC236}">
              <a16:creationId xmlns:a16="http://schemas.microsoft.com/office/drawing/2014/main" id="{21FE184F-9EE6-48DB-9A92-2E97A9DB76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541020</xdr:colOff>
      <xdr:row>0</xdr:row>
      <xdr:rowOff>38100</xdr:rowOff>
    </xdr:from>
    <xdr:to>
      <xdr:col>21</xdr:col>
      <xdr:colOff>236220</xdr:colOff>
      <xdr:row>15</xdr:row>
      <xdr:rowOff>38100</xdr:rowOff>
    </xdr:to>
    <xdr:graphicFrame macro="">
      <xdr:nvGraphicFramePr>
        <xdr:cNvPr id="4" name="Chart 3">
          <a:extLst>
            <a:ext uri="{FF2B5EF4-FFF2-40B4-BE49-F238E27FC236}">
              <a16:creationId xmlns:a16="http://schemas.microsoft.com/office/drawing/2014/main" id="{B5ED012C-0998-4290-8E3B-8FF208397D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20</xdr:row>
      <xdr:rowOff>0</xdr:rowOff>
    </xdr:from>
    <xdr:to>
      <xdr:col>17</xdr:col>
      <xdr:colOff>304800</xdr:colOff>
      <xdr:row>35</xdr:row>
      <xdr:rowOff>0</xdr:rowOff>
    </xdr:to>
    <xdr:graphicFrame macro="">
      <xdr:nvGraphicFramePr>
        <xdr:cNvPr id="5" name="Chart 4">
          <a:extLst>
            <a:ext uri="{FF2B5EF4-FFF2-40B4-BE49-F238E27FC236}">
              <a16:creationId xmlns:a16="http://schemas.microsoft.com/office/drawing/2014/main" id="{D4799677-D382-4CD8-8B1B-5B9C9753A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137160</xdr:colOff>
      <xdr:row>0</xdr:row>
      <xdr:rowOff>38100</xdr:rowOff>
    </xdr:from>
    <xdr:to>
      <xdr:col>3</xdr:col>
      <xdr:colOff>137160</xdr:colOff>
      <xdr:row>13</xdr:row>
      <xdr:rowOff>127635</xdr:rowOff>
    </xdr:to>
    <mc:AlternateContent xmlns:mc="http://schemas.openxmlformats.org/markup-compatibility/2006">
      <mc:Choice xmlns:a14="http://schemas.microsoft.com/office/drawing/2010/main" Requires="a14">
        <xdr:graphicFrame macro="">
          <xdr:nvGraphicFramePr>
            <xdr:cNvPr id="6" name="Aisle">
              <a:extLst>
                <a:ext uri="{FF2B5EF4-FFF2-40B4-BE49-F238E27FC236}">
                  <a16:creationId xmlns:a16="http://schemas.microsoft.com/office/drawing/2014/main" id="{FC10048E-3DB8-D249-D464-9CDF12384FB4}"/>
                </a:ext>
              </a:extLst>
            </xdr:cNvPr>
            <xdr:cNvGraphicFramePr/>
          </xdr:nvGraphicFramePr>
          <xdr:xfrm>
            <a:off x="0" y="0"/>
            <a:ext cx="0" cy="0"/>
          </xdr:xfrm>
          <a:graphic>
            <a:graphicData uri="http://schemas.microsoft.com/office/drawing/2010/slicer">
              <sle:slicer xmlns:sle="http://schemas.microsoft.com/office/drawing/2010/slicer" name="Aisle"/>
            </a:graphicData>
          </a:graphic>
        </xdr:graphicFrame>
      </mc:Choice>
      <mc:Fallback>
        <xdr:sp macro="" textlink="">
          <xdr:nvSpPr>
            <xdr:cNvPr id="0" name=""/>
            <xdr:cNvSpPr>
              <a:spLocks noTextEdit="1"/>
            </xdr:cNvSpPr>
          </xdr:nvSpPr>
          <xdr:spPr>
            <a:xfrm>
              <a:off x="137160" y="381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579120</xdr:colOff>
      <xdr:row>0</xdr:row>
      <xdr:rowOff>83820</xdr:rowOff>
    </xdr:from>
    <xdr:to>
      <xdr:col>5</xdr:col>
      <xdr:colOff>579120</xdr:colOff>
      <xdr:row>13</xdr:row>
      <xdr:rowOff>173355</xdr:rowOff>
    </xdr:to>
    <mc:AlternateContent xmlns:mc="http://schemas.openxmlformats.org/markup-compatibility/2006">
      <mc:Choice xmlns:a14="http://schemas.microsoft.com/office/drawing/2010/main" Requires="a14">
        <xdr:graphicFrame macro="">
          <xdr:nvGraphicFramePr>
            <xdr:cNvPr id="7" name="Store Name">
              <a:extLst>
                <a:ext uri="{FF2B5EF4-FFF2-40B4-BE49-F238E27FC236}">
                  <a16:creationId xmlns:a16="http://schemas.microsoft.com/office/drawing/2014/main" id="{422FCEC7-CE34-9CDC-8BD9-CECA91CAB12A}"/>
                </a:ext>
              </a:extLst>
            </xdr:cNvPr>
            <xdr:cNvGraphicFramePr/>
          </xdr:nvGraphicFramePr>
          <xdr:xfrm>
            <a:off x="0" y="0"/>
            <a:ext cx="0" cy="0"/>
          </xdr:xfrm>
          <a:graphic>
            <a:graphicData uri="http://schemas.microsoft.com/office/drawing/2010/slicer">
              <sle:slicer xmlns:sle="http://schemas.microsoft.com/office/drawing/2010/slicer" name="Store Name"/>
            </a:graphicData>
          </a:graphic>
        </xdr:graphicFrame>
      </mc:Choice>
      <mc:Fallback>
        <xdr:sp macro="" textlink="">
          <xdr:nvSpPr>
            <xdr:cNvPr id="0" name=""/>
            <xdr:cNvSpPr>
              <a:spLocks noTextEdit="1"/>
            </xdr:cNvSpPr>
          </xdr:nvSpPr>
          <xdr:spPr>
            <a:xfrm>
              <a:off x="1798320" y="83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0</xdr:row>
      <xdr:rowOff>0</xdr:rowOff>
    </xdr:from>
    <xdr:to>
      <xdr:col>9</xdr:col>
      <xdr:colOff>0</xdr:colOff>
      <xdr:row>13</xdr:row>
      <xdr:rowOff>89535</xdr:rowOff>
    </xdr:to>
    <mc:AlternateContent xmlns:mc="http://schemas.openxmlformats.org/markup-compatibility/2006">
      <mc:Choice xmlns:a14="http://schemas.microsoft.com/office/drawing/2010/main" Requires="a14">
        <xdr:graphicFrame macro="">
          <xdr:nvGraphicFramePr>
            <xdr:cNvPr id="10" name="Months (Transaction Date) 2">
              <a:extLst>
                <a:ext uri="{FF2B5EF4-FFF2-40B4-BE49-F238E27FC236}">
                  <a16:creationId xmlns:a16="http://schemas.microsoft.com/office/drawing/2014/main" id="{AADE6E51-CC30-4CB3-88FF-204F3E75BC06}"/>
                </a:ext>
              </a:extLst>
            </xdr:cNvPr>
            <xdr:cNvGraphicFramePr/>
          </xdr:nvGraphicFramePr>
          <xdr:xfrm>
            <a:off x="0" y="0"/>
            <a:ext cx="0" cy="0"/>
          </xdr:xfrm>
          <a:graphic>
            <a:graphicData uri="http://schemas.microsoft.com/office/drawing/2010/slicer">
              <sle:slicer xmlns:sle="http://schemas.microsoft.com/office/drawing/2010/slicer" name="Months (Transaction Date) 2"/>
            </a:graphicData>
          </a:graphic>
        </xdr:graphicFrame>
      </mc:Choice>
      <mc:Fallback>
        <xdr:sp macro="" textlink="">
          <xdr:nvSpPr>
            <xdr:cNvPr id="0" name=""/>
            <xdr:cNvSpPr>
              <a:spLocks noTextEdit="1"/>
            </xdr:cNvSpPr>
          </xdr:nvSpPr>
          <xdr:spPr>
            <a:xfrm>
              <a:off x="3657600"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xdr:row>
      <xdr:rowOff>0</xdr:rowOff>
    </xdr:from>
    <xdr:to>
      <xdr:col>12</xdr:col>
      <xdr:colOff>0</xdr:colOff>
      <xdr:row>14</xdr:row>
      <xdr:rowOff>89535</xdr:rowOff>
    </xdr:to>
    <mc:AlternateContent xmlns:mc="http://schemas.openxmlformats.org/markup-compatibility/2006">
      <mc:Choice xmlns:a14="http://schemas.microsoft.com/office/drawing/2010/main" Requires="a14">
        <xdr:graphicFrame macro="">
          <xdr:nvGraphicFramePr>
            <xdr:cNvPr id="11" name="Years (Transaction Date) 1">
              <a:extLst>
                <a:ext uri="{FF2B5EF4-FFF2-40B4-BE49-F238E27FC236}">
                  <a16:creationId xmlns:a16="http://schemas.microsoft.com/office/drawing/2014/main" id="{37ADF73A-05E4-4A0E-9ED1-68493654EA3D}"/>
                </a:ext>
              </a:extLst>
            </xdr:cNvPr>
            <xdr:cNvGraphicFramePr/>
          </xdr:nvGraphicFramePr>
          <xdr:xfrm>
            <a:off x="0" y="0"/>
            <a:ext cx="0" cy="0"/>
          </xdr:xfrm>
          <a:graphic>
            <a:graphicData uri="http://schemas.microsoft.com/office/drawing/2010/slicer">
              <sle:slicer xmlns:sle="http://schemas.microsoft.com/office/drawing/2010/slicer" name="Years (Transaction Date) 1"/>
            </a:graphicData>
          </a:graphic>
        </xdr:graphicFrame>
      </mc:Choice>
      <mc:Fallback>
        <xdr:sp macro="" textlink="">
          <xdr:nvSpPr>
            <xdr:cNvPr id="0" name=""/>
            <xdr:cNvSpPr>
              <a:spLocks noTextEdit="1"/>
            </xdr:cNvSpPr>
          </xdr:nvSpPr>
          <xdr:spPr>
            <a:xfrm>
              <a:off x="5486400" y="1828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xdr:row>
      <xdr:rowOff>7621</xdr:rowOff>
    </xdr:from>
    <xdr:to>
      <xdr:col>2</xdr:col>
      <xdr:colOff>373380</xdr:colOff>
      <xdr:row>10</xdr:row>
      <xdr:rowOff>91440</xdr:rowOff>
    </xdr:to>
    <mc:AlternateContent xmlns:mc="http://schemas.openxmlformats.org/markup-compatibility/2006">
      <mc:Choice xmlns:a14="http://schemas.microsoft.com/office/drawing/2010/main" Requires="a14">
        <xdr:graphicFrame macro="">
          <xdr:nvGraphicFramePr>
            <xdr:cNvPr id="2" name="Aisle 1">
              <a:extLst>
                <a:ext uri="{FF2B5EF4-FFF2-40B4-BE49-F238E27FC236}">
                  <a16:creationId xmlns:a16="http://schemas.microsoft.com/office/drawing/2014/main" id="{0517E575-EAA5-4F2D-96FD-D15DAC7DAE44}"/>
                </a:ext>
              </a:extLst>
            </xdr:cNvPr>
            <xdr:cNvGraphicFramePr/>
          </xdr:nvGraphicFramePr>
          <xdr:xfrm>
            <a:off x="0" y="0"/>
            <a:ext cx="0" cy="0"/>
          </xdr:xfrm>
          <a:graphic>
            <a:graphicData uri="http://schemas.microsoft.com/office/drawing/2010/slicer">
              <sle:slicer xmlns:sle="http://schemas.microsoft.com/office/drawing/2010/slicer" name="Aisle 1"/>
            </a:graphicData>
          </a:graphic>
        </xdr:graphicFrame>
      </mc:Choice>
      <mc:Fallback>
        <xdr:sp macro="" textlink="">
          <xdr:nvSpPr>
            <xdr:cNvPr id="0" name=""/>
            <xdr:cNvSpPr>
              <a:spLocks noTextEdit="1"/>
            </xdr:cNvSpPr>
          </xdr:nvSpPr>
          <xdr:spPr>
            <a:xfrm>
              <a:off x="0" y="701041"/>
              <a:ext cx="159258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373380</xdr:colOff>
      <xdr:row>3</xdr:row>
      <xdr:rowOff>7621</xdr:rowOff>
    </xdr:from>
    <xdr:to>
      <xdr:col>5</xdr:col>
      <xdr:colOff>502920</xdr:colOff>
      <xdr:row>10</xdr:row>
      <xdr:rowOff>83820</xdr:rowOff>
    </xdr:to>
    <mc:AlternateContent xmlns:mc="http://schemas.openxmlformats.org/markup-compatibility/2006">
      <mc:Choice xmlns:a14="http://schemas.microsoft.com/office/drawing/2010/main" Requires="a14">
        <xdr:graphicFrame macro="">
          <xdr:nvGraphicFramePr>
            <xdr:cNvPr id="3" name="Store Name 1">
              <a:extLst>
                <a:ext uri="{FF2B5EF4-FFF2-40B4-BE49-F238E27FC236}">
                  <a16:creationId xmlns:a16="http://schemas.microsoft.com/office/drawing/2014/main" id="{205BDFF7-3ECA-4C5B-BA6A-1E0656E4B2C3}"/>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dr:sp macro="" textlink="">
          <xdr:nvSpPr>
            <xdr:cNvPr id="0" name=""/>
            <xdr:cNvSpPr>
              <a:spLocks noTextEdit="1"/>
            </xdr:cNvSpPr>
          </xdr:nvSpPr>
          <xdr:spPr>
            <a:xfrm>
              <a:off x="1592580" y="701041"/>
              <a:ext cx="1958340" cy="1356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487680</xdr:colOff>
      <xdr:row>3</xdr:row>
      <xdr:rowOff>1</xdr:rowOff>
    </xdr:from>
    <xdr:to>
      <xdr:col>8</xdr:col>
      <xdr:colOff>7620</xdr:colOff>
      <xdr:row>10</xdr:row>
      <xdr:rowOff>83820</xdr:rowOff>
    </xdr:to>
    <mc:AlternateContent xmlns:mc="http://schemas.openxmlformats.org/markup-compatibility/2006">
      <mc:Choice xmlns:a14="http://schemas.microsoft.com/office/drawing/2010/main" Requires="a14">
        <xdr:graphicFrame macro="">
          <xdr:nvGraphicFramePr>
            <xdr:cNvPr id="4" name="Months (Transaction Date) 1">
              <a:extLst>
                <a:ext uri="{FF2B5EF4-FFF2-40B4-BE49-F238E27FC236}">
                  <a16:creationId xmlns:a16="http://schemas.microsoft.com/office/drawing/2014/main" id="{BF448167-6189-44B0-AE8C-471DE7DE021E}"/>
                </a:ext>
              </a:extLst>
            </xdr:cNvPr>
            <xdr:cNvGraphicFramePr/>
          </xdr:nvGraphicFramePr>
          <xdr:xfrm>
            <a:off x="0" y="0"/>
            <a:ext cx="0" cy="0"/>
          </xdr:xfrm>
          <a:graphic>
            <a:graphicData uri="http://schemas.microsoft.com/office/drawing/2010/slicer">
              <sle:slicer xmlns:sle="http://schemas.microsoft.com/office/drawing/2010/slicer" name="Months (Transaction Date) 1"/>
            </a:graphicData>
          </a:graphic>
        </xdr:graphicFrame>
      </mc:Choice>
      <mc:Fallback>
        <xdr:sp macro="" textlink="">
          <xdr:nvSpPr>
            <xdr:cNvPr id="0" name=""/>
            <xdr:cNvSpPr>
              <a:spLocks noTextEdit="1"/>
            </xdr:cNvSpPr>
          </xdr:nvSpPr>
          <xdr:spPr>
            <a:xfrm>
              <a:off x="3535680" y="693421"/>
              <a:ext cx="1348740" cy="13639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76199</xdr:rowOff>
    </xdr:from>
    <xdr:to>
      <xdr:col>8</xdr:col>
      <xdr:colOff>0</xdr:colOff>
      <xdr:row>13</xdr:row>
      <xdr:rowOff>175559</xdr:rowOff>
    </xdr:to>
    <mc:AlternateContent xmlns:mc="http://schemas.openxmlformats.org/markup-compatibility/2006">
      <mc:Choice xmlns:a14="http://schemas.microsoft.com/office/drawing/2010/main" Requires="a14">
        <xdr:graphicFrame macro="">
          <xdr:nvGraphicFramePr>
            <xdr:cNvPr id="5" name="Years (Transaction Date) 2">
              <a:extLst>
                <a:ext uri="{FF2B5EF4-FFF2-40B4-BE49-F238E27FC236}">
                  <a16:creationId xmlns:a16="http://schemas.microsoft.com/office/drawing/2014/main" id="{ACBF0A7F-8425-4894-B1C7-D84C20EB4EA0}"/>
                </a:ext>
              </a:extLst>
            </xdr:cNvPr>
            <xdr:cNvGraphicFramePr/>
          </xdr:nvGraphicFramePr>
          <xdr:xfrm>
            <a:off x="0" y="0"/>
            <a:ext cx="0" cy="0"/>
          </xdr:xfrm>
          <a:graphic>
            <a:graphicData uri="http://schemas.microsoft.com/office/drawing/2010/slicer">
              <sle:slicer xmlns:sle="http://schemas.microsoft.com/office/drawing/2010/slicer" name="Years (Transaction Date) 2"/>
            </a:graphicData>
          </a:graphic>
        </xdr:graphicFrame>
      </mc:Choice>
      <mc:Fallback>
        <xdr:sp macro="" textlink="">
          <xdr:nvSpPr>
            <xdr:cNvPr id="0" name=""/>
            <xdr:cNvSpPr>
              <a:spLocks noTextEdit="1"/>
            </xdr:cNvSpPr>
          </xdr:nvSpPr>
          <xdr:spPr>
            <a:xfrm>
              <a:off x="0" y="2049779"/>
              <a:ext cx="4876800"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53340</xdr:colOff>
      <xdr:row>2</xdr:row>
      <xdr:rowOff>22860</xdr:rowOff>
    </xdr:from>
    <xdr:to>
      <xdr:col>17</xdr:col>
      <xdr:colOff>403860</xdr:colOff>
      <xdr:row>13</xdr:row>
      <xdr:rowOff>160020</xdr:rowOff>
    </xdr:to>
    <xdr:graphicFrame macro="">
      <xdr:nvGraphicFramePr>
        <xdr:cNvPr id="6" name="Chart 5">
          <a:extLst>
            <a:ext uri="{FF2B5EF4-FFF2-40B4-BE49-F238E27FC236}">
              <a16:creationId xmlns:a16="http://schemas.microsoft.com/office/drawing/2014/main" id="{DFC54108-9FE0-430D-92B3-E1838F775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38100</xdr:colOff>
      <xdr:row>14</xdr:row>
      <xdr:rowOff>45719</xdr:rowOff>
    </xdr:from>
    <xdr:to>
      <xdr:col>17</xdr:col>
      <xdr:colOff>335280</xdr:colOff>
      <xdr:row>27</xdr:row>
      <xdr:rowOff>7620</xdr:rowOff>
    </xdr:to>
    <xdr:graphicFrame macro="">
      <xdr:nvGraphicFramePr>
        <xdr:cNvPr id="7" name="Chart 6">
          <a:extLst>
            <a:ext uri="{FF2B5EF4-FFF2-40B4-BE49-F238E27FC236}">
              <a16:creationId xmlns:a16="http://schemas.microsoft.com/office/drawing/2014/main" id="{7270B809-EFD7-4E38-9389-E7BD0A7B63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15240</xdr:rowOff>
    </xdr:from>
    <xdr:to>
      <xdr:col>7</xdr:col>
      <xdr:colOff>571500</xdr:colOff>
      <xdr:row>27</xdr:row>
      <xdr:rowOff>22860</xdr:rowOff>
    </xdr:to>
    <xdr:graphicFrame macro="">
      <xdr:nvGraphicFramePr>
        <xdr:cNvPr id="8" name="Chart 7">
          <a:extLst>
            <a:ext uri="{FF2B5EF4-FFF2-40B4-BE49-F238E27FC236}">
              <a16:creationId xmlns:a16="http://schemas.microsoft.com/office/drawing/2014/main" id="{57E3BF9F-8582-402A-B4A8-8A1D07DBEB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533400</xdr:colOff>
      <xdr:row>15</xdr:row>
      <xdr:rowOff>22860</xdr:rowOff>
    </xdr:from>
    <xdr:to>
      <xdr:col>23</xdr:col>
      <xdr:colOff>312420</xdr:colOff>
      <xdr:row>27</xdr:row>
      <xdr:rowOff>15240</xdr:rowOff>
    </xdr:to>
    <xdr:graphicFrame macro="">
      <xdr:nvGraphicFramePr>
        <xdr:cNvPr id="9" name="Chart 8">
          <a:extLst>
            <a:ext uri="{FF2B5EF4-FFF2-40B4-BE49-F238E27FC236}">
              <a16:creationId xmlns:a16="http://schemas.microsoft.com/office/drawing/2014/main" id="{C3A78BD3-A5BE-46C8-A137-3ED1E42555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nce sompura" refreshedDate="46034.723826967595" createdVersion="8" refreshedVersion="8" minRefreshableVersion="3" recordCount="1980" xr:uid="{B1AEA208-CA51-4825-8D05-0088278ED1F4}">
  <cacheSource type="worksheet">
    <worksheetSource ref="A1:K1981" sheet="Clean Data"/>
  </cacheSource>
  <cacheFields count="14">
    <cacheField name="Customer id" numFmtId="0">
      <sharedItems containsSemiMixedTypes="0" containsString="0" containsNumber="1" containsInteger="1" minValue="1006" maxValue="9998"/>
    </cacheField>
    <cacheField name="Store Name" numFmtId="0">
      <sharedItems containsBlank="1" count="10">
        <s v="GreenGrocer Plaza"/>
        <s v="ValuePlus Market"/>
        <s v="SuperSave Central"/>
        <s v="Corner Grocery"/>
        <s v="City Fresh Store"/>
        <s v="QuickStop Market"/>
        <s v="FreshMart Downtown"/>
        <s v="MegaMart Westside"/>
        <s v="FamilyFood Express"/>
        <m/>
      </sharedItems>
    </cacheField>
    <cacheField name="Transaction Date" numFmtId="14">
      <sharedItems containsSemiMixedTypes="0" containsNonDate="0" containsDate="1" containsString="0" minDate="2023-08-07T00:00:00" maxDate="2025-08-06T00:00:00" count="689">
        <d v="2023-08-26T00:00:00"/>
        <d v="2024-02-13T00:00:00"/>
        <d v="2023-11-23T00:00:00"/>
        <d v="2025-01-13T00:00:00"/>
        <d v="2023-10-13T00:00:00"/>
        <d v="2023-08-31T00:00:00"/>
        <d v="2023-10-18T00:00:00"/>
        <d v="2024-02-03T00:00:00"/>
        <d v="2024-11-16T00:00:00"/>
        <d v="2024-10-15T00:00:00"/>
        <d v="2025-02-13T00:00:00"/>
        <d v="2024-06-27T00:00:00"/>
        <d v="2024-07-20T00:00:00"/>
        <d v="2025-04-26T00:00:00"/>
        <d v="2025-03-18T00:00:00"/>
        <d v="2025-01-30T00:00:00"/>
        <d v="2024-04-27T00:00:00"/>
        <d v="2023-12-05T00:00:00"/>
        <d v="2025-03-22T00:00:00"/>
        <d v="2023-10-25T00:00:00"/>
        <d v="2024-05-28T00:00:00"/>
        <d v="2024-05-11T00:00:00"/>
        <d v="2024-11-17T00:00:00"/>
        <d v="2025-04-24T00:00:00"/>
        <d v="2025-02-23T00:00:00"/>
        <d v="2024-09-26T00:00:00"/>
        <d v="2025-07-23T00:00:00"/>
        <d v="2023-10-07T00:00:00"/>
        <d v="2025-05-12T00:00:00"/>
        <d v="2024-10-28T00:00:00"/>
        <d v="2025-02-04T00:00:00"/>
        <d v="2023-09-11T00:00:00"/>
        <d v="2025-03-29T00:00:00"/>
        <d v="2025-06-10T00:00:00"/>
        <d v="2024-07-24T00:00:00"/>
        <d v="2023-12-11T00:00:00"/>
        <d v="2024-05-08T00:00:00"/>
        <d v="2025-01-08T00:00:00"/>
        <d v="2025-02-02T00:00:00"/>
        <d v="2024-11-22T00:00:00"/>
        <d v="2024-09-24T00:00:00"/>
        <d v="2024-05-27T00:00:00"/>
        <d v="2025-07-25T00:00:00"/>
        <d v="2025-01-19T00:00:00"/>
        <d v="2025-05-22T00:00:00"/>
        <d v="2024-01-31T00:00:00"/>
        <d v="2025-04-23T00:00:00"/>
        <d v="2024-06-13T00:00:00"/>
        <d v="2023-09-27T00:00:00"/>
        <d v="2025-07-16T00:00:00"/>
        <d v="2024-01-19T00:00:00"/>
        <d v="2024-06-09T00:00:00"/>
        <d v="2023-11-25T00:00:00"/>
        <d v="2025-03-07T00:00:00"/>
        <d v="2024-02-27T00:00:00"/>
        <d v="2025-07-04T00:00:00"/>
        <d v="2024-05-14T00:00:00"/>
        <d v="2023-11-22T00:00:00"/>
        <d v="2024-08-24T00:00:00"/>
        <d v="2025-03-16T00:00:00"/>
        <d v="2025-06-05T00:00:00"/>
        <d v="2023-12-03T00:00:00"/>
        <d v="2025-04-13T00:00:00"/>
        <d v="2024-11-12T00:00:00"/>
        <d v="2024-05-31T00:00:00"/>
        <d v="2024-11-11T00:00:00"/>
        <d v="2024-09-20T00:00:00"/>
        <d v="2024-10-09T00:00:00"/>
        <d v="2025-01-16T00:00:00"/>
        <d v="2025-01-17T00:00:00"/>
        <d v="2025-03-12T00:00:00"/>
        <d v="2025-03-25T00:00:00"/>
        <d v="2023-11-01T00:00:00"/>
        <d v="2024-07-09T00:00:00"/>
        <d v="2025-02-17T00:00:00"/>
        <d v="2024-08-29T00:00:00"/>
        <d v="2024-09-04T00:00:00"/>
        <d v="2025-06-13T00:00:00"/>
        <d v="2025-05-21T00:00:00"/>
        <d v="2025-03-21T00:00:00"/>
        <d v="2024-09-28T00:00:00"/>
        <d v="2025-07-20T00:00:00"/>
        <d v="2024-11-14T00:00:00"/>
        <d v="2024-08-20T00:00:00"/>
        <d v="2025-06-19T00:00:00"/>
        <d v="2024-02-08T00:00:00"/>
        <d v="2024-02-10T00:00:00"/>
        <d v="2023-10-12T00:00:00"/>
        <d v="2025-05-01T00:00:00"/>
        <d v="2025-03-19T00:00:00"/>
        <d v="2025-03-23T00:00:00"/>
        <d v="2023-11-14T00:00:00"/>
        <d v="2024-10-07T00:00:00"/>
        <d v="2024-02-28T00:00:00"/>
        <d v="2025-06-14T00:00:00"/>
        <d v="2024-01-18T00:00:00"/>
        <d v="2025-03-15T00:00:00"/>
        <d v="2025-02-10T00:00:00"/>
        <d v="2024-06-11T00:00:00"/>
        <d v="2024-07-12T00:00:00"/>
        <d v="2024-07-22T00:00:00"/>
        <d v="2024-02-15T00:00:00"/>
        <d v="2023-09-25T00:00:00"/>
        <d v="2023-08-23T00:00:00"/>
        <d v="2024-11-06T00:00:00"/>
        <d v="2023-08-12T00:00:00"/>
        <d v="2025-02-06T00:00:00"/>
        <d v="2025-07-10T00:00:00"/>
        <d v="2025-06-04T00:00:00"/>
        <d v="2023-10-01T00:00:00"/>
        <d v="2024-02-07T00:00:00"/>
        <d v="2025-01-07T00:00:00"/>
        <d v="2024-01-20T00:00:00"/>
        <d v="2023-11-17T00:00:00"/>
        <d v="2024-02-11T00:00:00"/>
        <d v="2025-04-25T00:00:00"/>
        <d v="2024-01-01T00:00:00"/>
        <d v="2023-10-21T00:00:00"/>
        <d v="2024-06-21T00:00:00"/>
        <d v="2025-06-07T00:00:00"/>
        <d v="2025-01-11T00:00:00"/>
        <d v="2023-09-23T00:00:00"/>
        <d v="2025-02-22T00:00:00"/>
        <d v="2025-04-19T00:00:00"/>
        <d v="2024-02-16T00:00:00"/>
        <d v="2024-06-29T00:00:00"/>
        <d v="2024-03-10T00:00:00"/>
        <d v="2024-02-17T00:00:00"/>
        <d v="2024-07-16T00:00:00"/>
        <d v="2023-09-15T00:00:00"/>
        <d v="2025-05-17T00:00:00"/>
        <d v="2023-12-14T00:00:00"/>
        <d v="2024-08-18T00:00:00"/>
        <d v="2025-07-07T00:00:00"/>
        <d v="2023-12-12T00:00:00"/>
        <d v="2023-08-08T00:00:00"/>
        <d v="2024-03-15T00:00:00"/>
        <d v="2025-01-29T00:00:00"/>
        <d v="2024-03-24T00:00:00"/>
        <d v="2023-09-21T00:00:00"/>
        <d v="2023-09-20T00:00:00"/>
        <d v="2024-11-02T00:00:00"/>
        <d v="2024-08-31T00:00:00"/>
        <d v="2023-12-07T00:00:00"/>
        <d v="2025-05-29T00:00:00"/>
        <d v="2023-09-29T00:00:00"/>
        <d v="2025-01-12T00:00:00"/>
        <d v="2024-06-15T00:00:00"/>
        <d v="2025-06-28T00:00:00"/>
        <d v="2024-10-29T00:00:00"/>
        <d v="2024-11-30T00:00:00"/>
        <d v="2024-04-08T00:00:00"/>
        <d v="2024-01-12T00:00:00"/>
        <d v="2025-01-09T00:00:00"/>
        <d v="2024-07-27T00:00:00"/>
        <d v="2025-07-28T00:00:00"/>
        <d v="2023-08-14T00:00:00"/>
        <d v="2024-12-01T00:00:00"/>
        <d v="2023-10-02T00:00:00"/>
        <d v="2025-07-31T00:00:00"/>
        <d v="2025-06-21T00:00:00"/>
        <d v="2024-05-20T00:00:00"/>
        <d v="2025-05-15T00:00:00"/>
        <d v="2025-02-03T00:00:00"/>
        <d v="2024-11-24T00:00:00"/>
        <d v="2023-08-13T00:00:00"/>
        <d v="2025-07-30T00:00:00"/>
        <d v="2025-08-05T00:00:00"/>
        <d v="2025-03-05T00:00:00"/>
        <d v="2024-03-05T00:00:00"/>
        <d v="2024-11-18T00:00:00"/>
        <d v="2025-02-14T00:00:00"/>
        <d v="2024-09-02T00:00:00"/>
        <d v="2024-02-18T00:00:00"/>
        <d v="2023-10-17T00:00:00"/>
        <d v="2023-09-10T00:00:00"/>
        <d v="2024-04-22T00:00:00"/>
        <d v="2024-12-13T00:00:00"/>
        <d v="2023-12-10T00:00:00"/>
        <d v="2024-10-08T00:00:00"/>
        <d v="2025-06-22T00:00:00"/>
        <d v="2024-10-03T00:00:00"/>
        <d v="2025-05-16T00:00:00"/>
        <d v="2024-11-01T00:00:00"/>
        <d v="2024-07-05T00:00:00"/>
        <d v="2023-09-08T00:00:00"/>
        <d v="2024-05-16T00:00:00"/>
        <d v="2025-07-05T00:00:00"/>
        <d v="2024-01-17T00:00:00"/>
        <d v="2025-01-06T00:00:00"/>
        <d v="2024-05-07T00:00:00"/>
        <d v="2025-07-26T00:00:00"/>
        <d v="2025-06-08T00:00:00"/>
        <d v="2025-03-01T00:00:00"/>
        <d v="2025-04-05T00:00:00"/>
        <d v="2025-04-21T00:00:00"/>
        <d v="2024-03-01T00:00:00"/>
        <d v="2025-04-09T00:00:00"/>
        <d v="2024-05-30T00:00:00"/>
        <d v="2025-06-03T00:00:00"/>
        <d v="2024-01-26T00:00:00"/>
        <d v="2025-05-02T00:00:00"/>
        <d v="2024-05-04T00:00:00"/>
        <d v="2025-05-05T00:00:00"/>
        <d v="2024-01-27T00:00:00"/>
        <d v="2024-12-31T00:00:00"/>
        <d v="2024-05-05T00:00:00"/>
        <d v="2024-06-12T00:00:00"/>
        <d v="2024-04-20T00:00:00"/>
        <d v="2023-11-04T00:00:00"/>
        <d v="2023-12-23T00:00:00"/>
        <d v="2023-09-05T00:00:00"/>
        <d v="2024-05-01T00:00:00"/>
        <d v="2024-07-10T00:00:00"/>
        <d v="2024-02-20T00:00:00"/>
        <d v="2025-02-07T00:00:00"/>
        <d v="2025-01-21T00:00:00"/>
        <d v="2024-05-15T00:00:00"/>
        <d v="2023-09-30T00:00:00"/>
        <d v="2024-12-03T00:00:00"/>
        <d v="2025-01-03T00:00:00"/>
        <d v="2025-02-16T00:00:00"/>
        <d v="2024-09-03T00:00:00"/>
        <d v="2025-01-05T00:00:00"/>
        <d v="2024-04-16T00:00:00"/>
        <d v="2024-10-10T00:00:00"/>
        <d v="2024-01-03T00:00:00"/>
        <d v="2025-01-04T00:00:00"/>
        <d v="2025-01-14T00:00:00"/>
        <d v="2024-11-27T00:00:00"/>
        <d v="2024-06-17T00:00:00"/>
        <d v="2024-03-30T00:00:00"/>
        <d v="2025-04-08T00:00:00"/>
        <d v="2024-08-02T00:00:00"/>
        <d v="2024-07-15T00:00:00"/>
        <d v="2024-09-07T00:00:00"/>
        <d v="2025-04-14T00:00:00"/>
        <d v="2024-12-30T00:00:00"/>
        <d v="2024-03-14T00:00:00"/>
        <d v="2025-01-10T00:00:00"/>
        <d v="2024-01-28T00:00:00"/>
        <d v="2023-11-29T00:00:00"/>
        <d v="2024-08-10T00:00:00"/>
        <d v="2024-07-25T00:00:00"/>
        <d v="2025-06-25T00:00:00"/>
        <d v="2024-02-12T00:00:00"/>
        <d v="2024-12-28T00:00:00"/>
        <d v="2025-06-30T00:00:00"/>
        <d v="2025-04-02T00:00:00"/>
        <d v="2024-01-23T00:00:00"/>
        <d v="2025-04-22T00:00:00"/>
        <d v="2024-08-01T00:00:00"/>
        <d v="2024-10-12T00:00:00"/>
        <d v="2025-07-19T00:00:00"/>
        <d v="2024-07-26T00:00:00"/>
        <d v="2025-04-20T00:00:00"/>
        <d v="2024-10-14T00:00:00"/>
        <d v="2024-07-03T00:00:00"/>
        <d v="2024-07-18T00:00:00"/>
        <d v="2025-03-06T00:00:00"/>
        <d v="2024-07-21T00:00:00"/>
        <d v="2025-05-20T00:00:00"/>
        <d v="2024-08-17T00:00:00"/>
        <d v="2024-03-07T00:00:00"/>
        <d v="2023-10-06T00:00:00"/>
        <d v="2024-02-05T00:00:00"/>
        <d v="2024-04-23T00:00:00"/>
        <d v="2023-10-08T00:00:00"/>
        <d v="2023-12-02T00:00:00"/>
        <d v="2025-02-05T00:00:00"/>
        <d v="2024-06-18T00:00:00"/>
        <d v="2024-10-01T00:00:00"/>
        <d v="2024-06-24T00:00:00"/>
        <d v="2024-01-14T00:00:00"/>
        <d v="2024-06-04T00:00:00"/>
        <d v="2025-06-02T00:00:00"/>
        <d v="2024-08-11T00:00:00"/>
        <d v="2024-05-06T00:00:00"/>
        <d v="2025-03-14T00:00:00"/>
        <d v="2025-05-30T00:00:00"/>
        <d v="2025-02-19T00:00:00"/>
        <d v="2025-07-21T00:00:00"/>
        <d v="2024-12-02T00:00:00"/>
        <d v="2023-08-27T00:00:00"/>
        <d v="2024-11-08T00:00:00"/>
        <d v="2023-10-11T00:00:00"/>
        <d v="2023-11-20T00:00:00"/>
        <d v="2023-12-26T00:00:00"/>
        <d v="2024-02-25T00:00:00"/>
        <d v="2024-04-17T00:00:00"/>
        <d v="2024-04-25T00:00:00"/>
        <d v="2024-08-06T00:00:00"/>
        <d v="2025-03-10T00:00:00"/>
        <d v="2023-09-16T00:00:00"/>
        <d v="2025-04-04T00:00:00"/>
        <d v="2025-05-19T00:00:00"/>
        <d v="2024-08-08T00:00:00"/>
        <d v="2024-10-18T00:00:00"/>
        <d v="2025-03-24T00:00:00"/>
        <d v="2023-12-15T00:00:00"/>
        <d v="2024-04-04T00:00:00"/>
        <d v="2024-10-27T00:00:00"/>
        <d v="2024-06-10T00:00:00"/>
        <d v="2023-10-05T00:00:00"/>
        <d v="2025-05-28T00:00:00"/>
        <d v="2025-04-16T00:00:00"/>
        <d v="2024-05-02T00:00:00"/>
        <d v="2024-07-04T00:00:00"/>
        <d v="2024-12-21T00:00:00"/>
        <d v="2023-08-16T00:00:00"/>
        <d v="2025-05-06T00:00:00"/>
        <d v="2023-10-27T00:00:00"/>
        <d v="2025-02-26T00:00:00"/>
        <d v="2024-12-24T00:00:00"/>
        <d v="2025-03-30T00:00:00"/>
        <d v="2025-05-09T00:00:00"/>
        <d v="2024-04-13T00:00:00"/>
        <d v="2025-05-13T00:00:00"/>
        <d v="2024-10-22T00:00:00"/>
        <d v="2024-04-24T00:00:00"/>
        <d v="2025-04-17T00:00:00"/>
        <d v="2025-06-20T00:00:00"/>
        <d v="2024-10-11T00:00:00"/>
        <d v="2024-09-11T00:00:00"/>
        <d v="2025-01-24T00:00:00"/>
        <d v="2024-12-20T00:00:00"/>
        <d v="2025-01-25T00:00:00"/>
        <d v="2024-03-31T00:00:00"/>
        <d v="2024-04-30T00:00:00"/>
        <d v="2025-03-08T00:00:00"/>
        <d v="2024-03-04T00:00:00"/>
        <d v="2023-11-08T00:00:00"/>
        <d v="2024-01-02T00:00:00"/>
        <d v="2025-03-02T00:00:00"/>
        <d v="2024-03-08T00:00:00"/>
        <d v="2023-10-24T00:00:00"/>
        <d v="2024-05-13T00:00:00"/>
        <d v="2024-03-28T00:00:00"/>
        <d v="2023-11-13T00:00:00"/>
        <d v="2024-12-14T00:00:00"/>
        <d v="2024-10-25T00:00:00"/>
        <d v="2024-08-05T00:00:00"/>
        <d v="2024-07-14T00:00:00"/>
        <d v="2023-12-28T00:00:00"/>
        <d v="2024-02-19T00:00:00"/>
        <d v="2023-11-03T00:00:00"/>
        <d v="2023-10-03T00:00:00"/>
        <d v="2025-04-28T00:00:00"/>
        <d v="2023-11-07T00:00:00"/>
        <d v="2024-11-19T00:00:00"/>
        <d v="2025-03-31T00:00:00"/>
        <d v="2025-07-12T00:00:00"/>
        <d v="2024-12-04T00:00:00"/>
        <d v="2023-12-06T00:00:00"/>
        <d v="2023-12-20T00:00:00"/>
        <d v="2024-06-19T00:00:00"/>
        <d v="2025-01-23T00:00:00"/>
        <d v="2024-03-20T00:00:00"/>
        <d v="2024-02-02T00:00:00"/>
        <d v="2025-07-24T00:00:00"/>
        <d v="2024-07-02T00:00:00"/>
        <d v="2024-10-02T00:00:00"/>
        <d v="2024-12-22T00:00:00"/>
        <d v="2025-05-10T00:00:00"/>
        <d v="2023-12-13T00:00:00"/>
        <d v="2024-07-13T00:00:00"/>
        <d v="2025-01-31T00:00:00"/>
        <d v="2024-09-29T00:00:00"/>
        <d v="2024-11-13T00:00:00"/>
        <d v="2025-06-27T00:00:00"/>
        <d v="2025-02-27T00:00:00"/>
        <d v="2024-12-25T00:00:00"/>
        <d v="2025-07-18T00:00:00"/>
        <d v="2023-12-25T00:00:00"/>
        <d v="2024-12-12T00:00:00"/>
        <d v="2023-10-16T00:00:00"/>
        <d v="2024-05-03T00:00:00"/>
        <d v="2024-04-21T00:00:00"/>
        <d v="2024-04-19T00:00:00"/>
        <d v="2025-01-26T00:00:00"/>
        <d v="2024-03-17T00:00:00"/>
        <d v="2025-04-29T00:00:00"/>
        <d v="2024-04-07T00:00:00"/>
        <d v="2024-04-14T00:00:00"/>
        <d v="2025-05-08T00:00:00"/>
        <d v="2024-12-29T00:00:00"/>
        <d v="2024-07-30T00:00:00"/>
        <d v="2023-09-18T00:00:00"/>
        <d v="2024-09-12T00:00:00"/>
        <d v="2024-10-06T00:00:00"/>
        <d v="2025-07-27T00:00:00"/>
        <d v="2023-11-09T00:00:00"/>
        <d v="2024-12-08T00:00:00"/>
        <d v="2025-02-08T00:00:00"/>
        <d v="2024-08-28T00:00:00"/>
        <d v="2024-09-05T00:00:00"/>
        <d v="2024-08-07T00:00:00"/>
        <d v="2024-04-26T00:00:00"/>
        <d v="2024-03-13T00:00:00"/>
        <d v="2025-05-18T00:00:00"/>
        <d v="2025-06-09T00:00:00"/>
        <d v="2024-05-25T00:00:00"/>
        <d v="2025-06-12T00:00:00"/>
        <d v="2024-10-24T00:00:00"/>
        <d v="2024-02-04T00:00:00"/>
        <d v="2023-09-09T00:00:00"/>
        <d v="2024-06-01T00:00:00"/>
        <d v="2024-08-25T00:00:00"/>
        <d v="2024-11-07T00:00:00"/>
        <d v="2025-06-16T00:00:00"/>
        <d v="2023-10-23T00:00:00"/>
        <d v="2025-07-14T00:00:00"/>
        <d v="2023-08-18T00:00:00"/>
        <d v="2024-06-20T00:00:00"/>
        <d v="2023-10-04T00:00:00"/>
        <d v="2024-12-23T00:00:00"/>
        <d v="2024-12-05T00:00:00"/>
        <d v="2023-09-03T00:00:00"/>
        <d v="2024-01-30T00:00:00"/>
        <d v="2025-01-27T00:00:00"/>
        <d v="2025-07-08T00:00:00"/>
        <d v="2024-03-21T00:00:00"/>
        <d v="2024-05-24T00:00:00"/>
        <d v="2023-11-28T00:00:00"/>
        <d v="2024-09-22T00:00:00"/>
        <d v="2024-10-19T00:00:00"/>
        <d v="2023-12-17T00:00:00"/>
        <d v="2024-08-27T00:00:00"/>
        <d v="2024-07-28T00:00:00"/>
        <d v="2025-07-06T00:00:00"/>
        <d v="2024-11-05T00:00:00"/>
        <d v="2024-12-15T00:00:00"/>
        <d v="2024-01-08T00:00:00"/>
        <d v="2023-10-28T00:00:00"/>
        <d v="2024-05-29T00:00:00"/>
        <d v="2024-10-26T00:00:00"/>
        <d v="2023-08-24T00:00:00"/>
        <d v="2025-05-14T00:00:00"/>
        <d v="2024-11-20T00:00:00"/>
        <d v="2024-01-24T00:00:00"/>
        <d v="2024-12-06T00:00:00"/>
        <d v="2024-04-02T00:00:00"/>
        <d v="2023-09-01T00:00:00"/>
        <d v="2025-02-25T00:00:00"/>
        <d v="2023-12-21T00:00:00"/>
        <d v="2025-06-17T00:00:00"/>
        <d v="2024-02-22T00:00:00"/>
        <d v="2024-08-04T00:00:00"/>
        <d v="2023-11-24T00:00:00"/>
        <d v="2025-05-24T00:00:00"/>
        <d v="2023-08-17T00:00:00"/>
        <d v="2024-11-03T00:00:00"/>
        <d v="2023-10-30T00:00:00"/>
        <d v="2025-07-17T00:00:00"/>
        <d v="2025-07-13T00:00:00"/>
        <d v="2023-11-05T00:00:00"/>
        <d v="2025-06-24T00:00:00"/>
        <d v="2024-12-27T00:00:00"/>
        <d v="2024-01-22T00:00:00"/>
        <d v="2024-07-17T00:00:00"/>
        <d v="2025-06-01T00:00:00"/>
        <d v="2024-12-17T00:00:00"/>
        <d v="2024-11-04T00:00:00"/>
        <d v="2024-04-18T00:00:00"/>
        <d v="2025-04-10T00:00:00"/>
        <d v="2024-03-09T00:00:00"/>
        <d v="2023-11-15T00:00:00"/>
        <d v="2023-10-31T00:00:00"/>
        <d v="2023-08-19T00:00:00"/>
        <d v="2024-02-29T00:00:00"/>
        <d v="2024-09-18T00:00:00"/>
        <d v="2024-09-08T00:00:00"/>
        <d v="2024-07-23T00:00:00"/>
        <d v="2025-02-21T00:00:00"/>
        <d v="2024-12-18T00:00:00"/>
        <d v="2025-05-26T00:00:00"/>
        <d v="2024-08-21T00:00:00"/>
        <d v="2024-03-23T00:00:00"/>
        <d v="2024-07-06T00:00:00"/>
        <d v="2025-06-26T00:00:00"/>
        <d v="2024-06-23T00:00:00"/>
        <d v="2024-04-05T00:00:00"/>
        <d v="2024-05-23T00:00:00"/>
        <d v="2023-09-28T00:00:00"/>
        <d v="2025-06-15T00:00:00"/>
        <d v="2025-06-11T00:00:00"/>
        <d v="2023-08-29T00:00:00"/>
        <d v="2024-03-06T00:00:00"/>
        <d v="2025-07-22T00:00:00"/>
        <d v="2025-03-04T00:00:00"/>
        <d v="2024-01-21T00:00:00"/>
        <d v="2024-06-28T00:00:00"/>
        <d v="2025-04-01T00:00:00"/>
        <d v="2025-06-23T00:00:00"/>
        <d v="2025-01-02T00:00:00"/>
        <d v="2024-09-19T00:00:00"/>
        <d v="2024-03-18T00:00:00"/>
        <d v="2025-06-06T00:00:00"/>
        <d v="2024-07-29T00:00:00"/>
        <d v="2024-06-16T00:00:00"/>
        <d v="2024-04-15T00:00:00"/>
        <d v="2023-10-14T00:00:00"/>
        <d v="2025-05-23T00:00:00"/>
        <d v="2024-09-16T00:00:00"/>
        <d v="2025-04-03T00:00:00"/>
        <d v="2024-12-10T00:00:00"/>
        <d v="2024-01-04T00:00:00"/>
        <d v="2024-02-06T00:00:00"/>
        <d v="2024-01-07T00:00:00"/>
        <d v="2023-12-22T00:00:00"/>
        <d v="2024-05-19T00:00:00"/>
        <d v="2024-11-26T00:00:00"/>
        <d v="2024-10-30T00:00:00"/>
        <d v="2024-04-12T00:00:00"/>
        <d v="2024-08-30T00:00:00"/>
        <d v="2023-09-24T00:00:00"/>
        <d v="2023-10-26T00:00:00"/>
        <d v="2025-02-11T00:00:00"/>
        <d v="2024-09-01T00:00:00"/>
        <d v="2023-09-06T00:00:00"/>
        <d v="2024-06-02T00:00:00"/>
        <d v="2025-01-15T00:00:00"/>
        <d v="2025-04-11T00:00:00"/>
        <d v="2023-10-19T00:00:00"/>
        <d v="2024-04-03T00:00:00"/>
        <d v="2023-08-21T00:00:00"/>
        <d v="2023-11-21T00:00:00"/>
        <d v="2023-12-04T00:00:00"/>
        <d v="2025-03-13T00:00:00"/>
        <d v="2025-07-09T00:00:00"/>
        <d v="2024-05-18T00:00:00"/>
        <d v="2025-02-09T00:00:00"/>
        <d v="2025-07-29T00:00:00"/>
        <d v="2023-08-28T00:00:00"/>
        <d v="2025-04-12T00:00:00"/>
        <d v="2024-03-16T00:00:00"/>
        <d v="2025-01-28T00:00:00"/>
        <d v="2024-06-30T00:00:00"/>
        <d v="2025-02-15T00:00:00"/>
        <d v="2024-02-09T00:00:00"/>
        <d v="2023-12-30T00:00:00"/>
        <d v="2024-06-05T00:00:00"/>
        <d v="2024-05-22T00:00:00"/>
        <d v="2025-03-09T00:00:00"/>
        <d v="2024-05-10T00:00:00"/>
        <d v="2025-03-28T00:00:00"/>
        <d v="2023-11-18T00:00:00"/>
        <d v="2024-12-09T00:00:00"/>
        <d v="2023-09-04T00:00:00"/>
        <d v="2024-01-10T00:00:00"/>
        <d v="2024-09-10T00:00:00"/>
        <d v="2025-04-18T00:00:00"/>
        <d v="2024-07-11T00:00:00"/>
        <d v="2025-07-01T00:00:00"/>
        <d v="2024-08-26T00:00:00"/>
        <d v="2025-01-01T00:00:00"/>
        <d v="2024-04-01T00:00:00"/>
        <d v="2025-05-27T00:00:00"/>
        <d v="2024-10-20T00:00:00"/>
        <d v="2024-05-21T00:00:00"/>
        <d v="2024-09-21T00:00:00"/>
        <d v="2024-02-26T00:00:00"/>
        <d v="2024-01-09T00:00:00"/>
        <d v="2024-03-19T00:00:00"/>
        <d v="2025-03-26T00:00:00"/>
        <d v="2025-05-07T00:00:00"/>
        <d v="2023-11-12T00:00:00"/>
        <d v="2025-06-18T00:00:00"/>
        <d v="2024-07-08T00:00:00"/>
        <d v="2025-08-02T00:00:00"/>
        <d v="2025-07-02T00:00:00"/>
        <d v="2025-05-25T00:00:00"/>
        <d v="2024-12-16T00:00:00"/>
        <d v="2023-10-09T00:00:00"/>
        <d v="2024-11-29T00:00:00"/>
        <d v="2024-08-16T00:00:00"/>
        <d v="2024-03-25T00:00:00"/>
        <d v="2024-09-09T00:00:00"/>
        <d v="2024-04-10T00:00:00"/>
        <d v="2024-08-03T00:00:00"/>
        <d v="2025-08-01T00:00:00"/>
        <d v="2023-10-15T00:00:00"/>
        <d v="2023-09-13T00:00:00"/>
        <d v="2024-03-12T00:00:00"/>
        <d v="2024-05-17T00:00:00"/>
        <d v="2024-06-07T00:00:00"/>
        <d v="2025-04-15T00:00:00"/>
        <d v="2024-10-13T00:00:00"/>
        <d v="2023-09-07T00:00:00"/>
        <d v="2024-09-13T00:00:00"/>
        <d v="2023-11-30T00:00:00"/>
        <d v="2024-11-10T00:00:00"/>
        <d v="2024-09-23T00:00:00"/>
        <d v="2024-08-09T00:00:00"/>
        <d v="2024-06-25T00:00:00"/>
        <d v="2024-12-07T00:00:00"/>
        <d v="2024-06-22T00:00:00"/>
        <d v="2024-04-06T00:00:00"/>
        <d v="2024-04-28T00:00:00"/>
        <d v="2025-03-27T00:00:00"/>
        <d v="2024-04-09T00:00:00"/>
        <d v="2025-05-03T00:00:00"/>
        <d v="2025-05-11T00:00:00"/>
        <d v="2024-01-29T00:00:00"/>
        <d v="2023-08-11T00:00:00"/>
        <d v="2024-09-25T00:00:00"/>
        <d v="2024-06-26T00:00:00"/>
        <d v="2023-12-29T00:00:00"/>
        <d v="2024-10-21T00:00:00"/>
        <d v="2024-09-17T00:00:00"/>
        <d v="2025-02-24T00:00:00"/>
        <d v="2023-12-09T00:00:00"/>
        <d v="2025-01-20T00:00:00"/>
        <d v="2024-08-12T00:00:00"/>
        <d v="2025-07-15T00:00:00"/>
        <d v="2025-03-17T00:00:00"/>
        <d v="2025-03-20T00:00:00"/>
        <d v="2024-01-11T00:00:00"/>
        <d v="2023-12-01T00:00:00"/>
        <d v="2025-02-18T00:00:00"/>
        <d v="2024-09-30T00:00:00"/>
        <d v="2025-01-18T00:00:00"/>
        <d v="2024-09-27T00:00:00"/>
        <d v="2024-07-01T00:00:00"/>
        <d v="2025-08-04T00:00:00"/>
        <d v="2024-06-14T00:00:00"/>
        <d v="2024-01-25T00:00:00"/>
        <d v="2024-03-27T00:00:00"/>
        <d v="2023-09-12T00:00:00"/>
        <d v="2024-03-26T00:00:00"/>
        <d v="2023-12-27T00:00:00"/>
        <d v="2024-10-16T00:00:00"/>
        <d v="2023-11-19T00:00:00"/>
        <d v="2023-12-31T00:00:00"/>
        <d v="2024-08-13T00:00:00"/>
        <d v="2024-03-29T00:00:00"/>
        <d v="2024-05-12T00:00:00"/>
        <d v="2024-01-06T00:00:00"/>
        <d v="2024-02-01T00:00:00"/>
        <d v="2023-12-16T00:00:00"/>
        <d v="2024-11-28T00:00:00"/>
        <d v="2023-08-20T00:00:00"/>
        <d v="2023-10-29T00:00:00"/>
        <d v="2024-12-26T00:00:00"/>
        <d v="2023-09-19T00:00:00"/>
        <d v="2023-10-10T00:00:00"/>
        <d v="2024-12-19T00:00:00"/>
        <d v="2024-10-17T00:00:00"/>
        <d v="2023-12-24T00:00:00"/>
        <d v="2023-09-17T00:00:00"/>
        <d v="2023-08-30T00:00:00"/>
        <d v="2025-04-06T00:00:00"/>
        <d v="2024-08-22T00:00:00"/>
        <d v="2024-05-09T00:00:00"/>
        <d v="2024-07-07T00:00:00"/>
        <d v="2025-03-03T00:00:00"/>
        <d v="2025-02-20T00:00:00"/>
        <d v="2024-03-02T00:00:00"/>
        <d v="2024-02-14T00:00:00"/>
        <d v="2024-03-11T00:00:00"/>
        <d v="2025-05-04T00:00:00"/>
        <d v="2025-02-12T00:00:00"/>
        <d v="2025-02-01T00:00:00"/>
        <d v="2023-10-22T00:00:00"/>
        <d v="2024-04-29T00:00:00"/>
        <d v="2025-04-07T00:00:00"/>
        <d v="2024-09-14T00:00:00"/>
        <d v="2025-04-27T00:00:00"/>
        <d v="2024-01-13T00:00:00"/>
        <d v="2024-11-23T00:00:00"/>
        <d v="2025-04-30T00:00:00"/>
        <d v="2024-09-06T00:00:00"/>
        <d v="2024-08-19T00:00:00"/>
        <d v="2023-11-02T00:00:00"/>
        <d v="2024-10-04T00:00:00"/>
        <d v="2025-02-28T00:00:00"/>
        <d v="2025-03-11T00:00:00"/>
        <d v="2023-08-07T00:00:00"/>
        <d v="2023-12-08T00:00:00"/>
        <d v="2024-02-21T00:00:00"/>
        <d v="2024-10-23T00:00:00"/>
        <d v="2023-08-25T00:00:00"/>
        <d v="2023-09-22T00:00:00"/>
        <d v="2025-07-03T00:00:00"/>
        <d v="2024-10-31T00:00:00"/>
        <d v="2024-07-31T00:00:00"/>
        <d v="2025-05-31T00:00:00"/>
        <d v="2023-11-16T00:00:00"/>
        <d v="2023-11-10T00:00:00"/>
      </sharedItems>
      <fieldGroup par="13"/>
    </cacheField>
    <cacheField name="Aisle" numFmtId="0">
      <sharedItems count="11">
        <s v="Produce"/>
        <s v="Dairy"/>
        <s v="Bakery"/>
        <s v="Snacks &amp; Candy"/>
        <s v="Canned Goods"/>
        <s v="Health &amp; Wellness"/>
        <s v="Household Items"/>
        <s v="Meat &amp; Seafood"/>
        <s v="Frozen Foods"/>
        <s v="Personal Care"/>
        <s v="Beverages"/>
      </sharedItems>
    </cacheField>
    <cacheField name="Product Name" numFmtId="0">
      <sharedItems count="18">
        <s v="Pasta"/>
        <s v="Cheese"/>
        <s v="Onions"/>
        <s v="Cereal"/>
        <s v="Orange Juice"/>
        <s v="Ground Beef"/>
        <s v="Apples"/>
        <s v="Tomatoes"/>
        <s v="Salmon"/>
        <s v="Rice"/>
        <s v="Bananas"/>
        <s v="Milk"/>
        <s v="Eggs"/>
        <s v="Bread"/>
        <s v="Yogurt"/>
        <s v="Carrots"/>
        <s v="Potatoes"/>
        <s v="Chicken Breast"/>
      </sharedItems>
    </cacheField>
    <cacheField name="Quantity" numFmtId="2">
      <sharedItems containsSemiMixedTypes="0" containsString="0" containsNumber="1" containsInteger="1" minValue="1" maxValue="5"/>
    </cacheField>
    <cacheField name="Unit Price" numFmtId="165">
      <sharedItems containsSemiMixedTypes="0" containsString="0" containsNumber="1" minValue="0.99" maxValue="29.98"/>
    </cacheField>
    <cacheField name="Total Amount" numFmtId="165">
      <sharedItems containsSemiMixedTypes="0" containsString="0" containsNumber="1" minValue="1.01" maxValue="149.9"/>
    </cacheField>
    <cacheField name="Discount Amount" numFmtId="165">
      <sharedItems containsSemiMixedTypes="0" containsString="0" containsNumber="1" minValue="0" maxValue="29.94"/>
    </cacheField>
    <cacheField name="Final Amount" numFmtId="165">
      <sharedItems containsSemiMixedTypes="0" containsString="0" containsNumber="1" minValue="-3.43" maxValue="147.91" count="1767">
        <n v="14.92"/>
        <n v="-1.56"/>
        <n v="25.48"/>
        <n v="15.13"/>
        <n v="41.8"/>
        <n v="73.349999999999994"/>
        <n v="86.16"/>
        <n v="23.46"/>
        <n v="99.58"/>
        <n v="33.340000000000003"/>
        <n v="6.98"/>
        <n v="17.34"/>
        <n v="18.03"/>
        <n v="68.180000000000007"/>
        <n v="20.72"/>
        <n v="18.27"/>
        <n v="74.599999999999994"/>
        <n v="44.16"/>
        <n v="48.97"/>
        <n v="34.200000000000003"/>
        <n v="55.86"/>
        <n v="86.66"/>
        <n v="16.77"/>
        <n v="22.03"/>
        <n v="35.15"/>
        <n v="3.42"/>
        <n v="0.76"/>
        <n v="21.15"/>
        <n v="-2.25"/>
        <n v="58.14"/>
        <n v="29.63"/>
        <n v="17.79"/>
        <n v="69.260000000000005"/>
        <n v="13.32"/>
        <n v="82.03"/>
        <n v="34.700000000000003"/>
        <n v="37.81"/>
        <n v="26.8"/>
        <n v="95.74"/>
        <n v="71.430000000000007"/>
        <n v="17.78"/>
        <n v="72.260000000000005"/>
        <n v="56.04"/>
        <n v="5.21"/>
        <n v="22.87"/>
        <n v="36.659999999999997"/>
        <n v="6.16"/>
        <n v="9.66"/>
        <n v="59.5"/>
        <n v="35.729999999999997"/>
        <n v="81.34"/>
        <n v="4.13"/>
        <n v="10.34"/>
        <n v="118.28"/>
        <n v="50.45"/>
        <n v="40.29"/>
        <n v="33.35"/>
        <n v="85.61"/>
        <n v="73.55"/>
        <n v="53.55"/>
        <n v="-1"/>
        <n v="29.84"/>
        <n v="24.19"/>
        <n v="8.82"/>
        <n v="87.04"/>
        <n v="97.24"/>
        <n v="67.680000000000007"/>
        <n v="25.75"/>
        <n v="38.659999999999997"/>
        <n v="10.08"/>
        <n v="4.18"/>
        <n v="114.88"/>
        <n v="42.96"/>
        <n v="79.14"/>
        <n v="44.42"/>
        <n v="35.6"/>
        <n v="5.27"/>
        <n v="18.29"/>
        <n v="4.51"/>
        <n v="29.7"/>
        <n v="47.76"/>
        <n v="17.079999999999998"/>
        <n v="4.57"/>
        <n v="58.26"/>
        <n v="130.46"/>
        <n v="65.510000000000005"/>
        <n v="90.47"/>
        <n v="19.18"/>
        <n v="142.4"/>
        <n v="37.840000000000003"/>
        <n v="25.44"/>
        <n v="46.58"/>
        <n v="19.579999999999998"/>
        <n v="14.54"/>
        <n v="21.37"/>
        <n v="21.13"/>
        <n v="23.67"/>
        <n v="53.69"/>
        <n v="76.959999999999994"/>
        <n v="14.65"/>
        <n v="41.95"/>
        <n v="12.72"/>
        <n v="62.14"/>
        <n v="50"/>
        <n v="53.42"/>
        <n v="18.399999999999999"/>
        <n v="68.89"/>
        <n v="3.64"/>
        <n v="24.87"/>
        <n v="104.72"/>
        <n v="17.93"/>
        <n v="9.2799999999999994"/>
        <n v="69.5"/>
        <n v="5.86"/>
        <n v="29.21"/>
        <n v="14.16"/>
        <n v="100.94"/>
        <n v="64.89"/>
        <n v="41.27"/>
        <n v="23.7"/>
        <n v="112.16"/>
        <n v="43.88"/>
        <n v="25.84"/>
        <n v="16.239999999999998"/>
        <n v="12.42"/>
        <n v="65.56"/>
        <n v="11.88"/>
        <n v="12.68"/>
        <n v="36.71"/>
        <n v="16.8"/>
        <n v="4.0599999999999996"/>
        <n v="18.36"/>
        <n v="4.16"/>
        <n v="90.4"/>
        <n v="41.3"/>
        <n v="71.58"/>
        <n v="54.41"/>
        <n v="116.79"/>
        <n v="11.66"/>
        <n v="22.43"/>
        <n v="56.5"/>
        <n v="82.59"/>
        <n v="4.28"/>
        <n v="48.1"/>
        <n v="64.87"/>
        <n v="5.24"/>
        <n v="26.85"/>
        <n v="16.059999999999999"/>
        <n v="23.19"/>
        <n v="17.73"/>
        <n v="6.04"/>
        <n v="11.43"/>
        <n v="10.130000000000001"/>
        <n v="53.4"/>
        <n v="47.51"/>
        <n v="77.73"/>
        <n v="24.23"/>
        <n v="75.31"/>
        <n v="9.0299999999999994"/>
        <n v="18"/>
        <n v="88.94"/>
        <n v="62.8"/>
        <n v="16.93"/>
        <n v="4.68"/>
        <n v="19.04"/>
        <n v="73.12"/>
        <n v="7.99"/>
        <n v="41.18"/>
        <n v="91.53"/>
        <n v="72.42"/>
        <n v="12.33"/>
        <n v="83.36"/>
        <n v="108.08"/>
        <n v="10.39"/>
        <n v="99.32"/>
        <n v="19.22"/>
        <n v="54.52"/>
        <n v="16.82"/>
        <n v="91.48"/>
        <n v="27.48"/>
        <n v="42.39"/>
        <n v="6.28"/>
        <n v="11.93"/>
        <n v="14.06"/>
        <n v="5.08"/>
        <n v="36.69"/>
        <n v="8.9700000000000006"/>
        <n v="8.5399999999999991"/>
        <n v="31.03"/>
        <n v="40.840000000000003"/>
        <n v="9.7799999999999994"/>
        <n v="6.88"/>
        <n v="19.16"/>
        <n v="8.14"/>
        <n v="31.72"/>
        <n v="90.09"/>
        <n v="2.76"/>
        <n v="21.53"/>
        <n v="95.9"/>
        <n v="18.79"/>
        <n v="61.05"/>
        <n v="73.34"/>
        <n v="14.31"/>
        <n v="76.64"/>
        <n v="19.32"/>
        <n v="15.06"/>
        <n v="25.78"/>
        <n v="22.67"/>
        <n v="4.5599999999999996"/>
        <n v="73.38"/>
        <n v="3.84"/>
        <n v="62.56"/>
        <n v="28.69"/>
        <n v="71.66"/>
        <n v="23.71"/>
        <n v="16.25"/>
        <n v="82.6"/>
        <n v="34.659999999999997"/>
        <n v="90.01"/>
        <n v="51.93"/>
        <n v="6.86"/>
        <n v="3.94"/>
        <n v="55"/>
        <n v="37.78"/>
        <n v="49.66"/>
        <n v="117.28"/>
        <n v="52.54"/>
        <n v="11.3"/>
        <n v="12.81"/>
        <n v="114.5"/>
        <n v="10.3"/>
        <n v="9.7200000000000006"/>
        <n v="58.81"/>
        <n v="27.51"/>
        <n v="21.98"/>
        <n v="70.12"/>
        <n v="18.28"/>
        <n v="7.53"/>
        <n v="41.62"/>
        <n v="22.72"/>
        <n v="2.09"/>
        <n v="17.53"/>
        <n v="15.38"/>
        <n v="36.4"/>
        <n v="41.21"/>
        <n v="2.0699999999999998"/>
        <n v="132.18"/>
        <n v="53.7"/>
        <n v="29.57"/>
        <n v="87.12"/>
        <n v="25.9"/>
        <n v="2.46"/>
        <n v="117.3"/>
        <n v="32.01"/>
        <n v="47.55"/>
        <n v="19.149999999999999"/>
        <n v="37.770000000000003"/>
        <n v="86.3"/>
        <n v="11.03"/>
        <n v="35.4"/>
        <n v="4.92"/>
        <n v="42.28"/>
        <n v="23.02"/>
        <n v="59.16"/>
        <n v="21.23"/>
        <n v="75.849999999999994"/>
        <n v="78.13"/>
        <n v="44.38"/>
        <n v="41.9"/>
        <n v="8.42"/>
        <n v="2.14"/>
        <n v="109.75"/>
        <n v="14.49"/>
        <n v="27.96"/>
        <n v="54.94"/>
        <n v="65.08"/>
        <n v="27.4"/>
        <n v="16.12"/>
        <n v="28.89"/>
        <n v="72.72"/>
        <n v="134.19"/>
        <n v="39.590000000000003"/>
        <n v="13.28"/>
        <n v="57.93"/>
        <n v="15.14"/>
        <n v="12.55"/>
        <n v="53.32"/>
        <n v="73.319999999999993"/>
        <n v="21.17"/>
        <n v="76.8"/>
        <n v="41.06"/>
        <n v="17.48"/>
        <n v="54.88"/>
        <n v="24.59"/>
        <n v="80.37"/>
        <n v="50.55"/>
        <n v="38.090000000000003"/>
        <n v="30.68"/>
        <n v="49.3"/>
        <n v="119.43"/>
        <n v="21.62"/>
        <n v="62.45"/>
        <n v="38.799999999999997"/>
        <n v="3.86"/>
        <n v="0.11"/>
        <n v="12.44"/>
        <n v="13.57"/>
        <n v="86.43"/>
        <n v="0.8"/>
        <n v="97.09"/>
        <n v="12.1"/>
        <n v="73.650000000000006"/>
        <n v="109.76"/>
        <n v="36.36"/>
        <n v="3.25"/>
        <n v="56.9"/>
        <n v="21.43"/>
        <n v="8.76"/>
        <n v="3.28"/>
        <n v="3.82"/>
        <n v="91.28"/>
        <n v="27.49"/>
        <n v="75.81"/>
        <n v="14.72"/>
        <n v="35.090000000000003"/>
        <n v="34.340000000000003"/>
        <n v="100.6"/>
        <n v="33.9"/>
        <n v="24.68"/>
        <n v="14.98"/>
        <n v="61.9"/>
        <n v="18.63"/>
        <n v="80.23"/>
        <n v="102.12"/>
        <n v="21.33"/>
        <n v="29.45"/>
        <n v="2.4700000000000002"/>
        <n v="27.12"/>
        <n v="38.590000000000003"/>
        <n v="119.7"/>
        <n v="67.02"/>
        <n v="20.13"/>
        <n v="52.11"/>
        <n v="82.89"/>
        <n v="19.7"/>
        <n v="65.84"/>
        <n v="27.33"/>
        <n v="78.25"/>
        <n v="18.690000000000001"/>
        <n v="29.19"/>
        <n v="13.31"/>
        <n v="50.47"/>
        <n v="73.87"/>
        <n v="77.36"/>
        <n v="38.840000000000003"/>
        <n v="34.130000000000003"/>
        <n v="20.440000000000001"/>
        <n v="17.43"/>
        <n v="114.2"/>
        <n v="21.65"/>
        <n v="70.62"/>
        <n v="2.38"/>
        <n v="29.75"/>
        <n v="49.08"/>
        <n v="4.9800000000000004"/>
        <n v="0.82"/>
        <n v="1.1000000000000001"/>
        <n v="21.95"/>
        <n v="36.08"/>
        <n v="40.21"/>
        <n v="4.29"/>
        <n v="14.64"/>
        <n v="32"/>
        <n v="27.61"/>
        <n v="81.53"/>
        <n v="111.33"/>
        <n v="25.59"/>
        <n v="11.49"/>
        <n v="136.19"/>
        <n v="2.5299999999999998"/>
        <n v="1.0900000000000001"/>
        <n v="94.8"/>
        <n v="21.02"/>
        <n v="58.45"/>
        <n v="13.16"/>
        <n v="102.7"/>
        <n v="7.27"/>
        <n v="97.12"/>
        <n v="23.57"/>
        <n v="142.74"/>
        <n v="13.62"/>
        <n v="32.08"/>
        <n v="25.64"/>
        <n v="100.62"/>
        <n v="28.01"/>
        <n v="41.49"/>
        <n v="18.149999999999999"/>
        <n v="77.010000000000005"/>
        <n v="18.62"/>
        <n v="24.92"/>
        <n v="27.78"/>
        <n v="46.62"/>
        <n v="15.82"/>
        <n v="6.43"/>
        <n v="43.78"/>
        <n v="49.7"/>
        <n v="9.84"/>
        <n v="66.56"/>
        <n v="106.44"/>
        <n v="66.959999999999994"/>
        <n v="36.99"/>
        <n v="39.49"/>
        <n v="50.7"/>
        <n v="147.91"/>
        <n v="18.760000000000002"/>
        <n v="14.59"/>
        <n v="140.21"/>
        <n v="4.83"/>
        <n v="20.65"/>
        <n v="85.15"/>
        <n v="44.46"/>
        <n v="107.14"/>
        <n v="43.13"/>
        <n v="17.04"/>
        <n v="17.579999999999998"/>
        <n v="9.74"/>
        <n v="46.86"/>
        <n v="21.9"/>
        <n v="48.71"/>
        <n v="8.94"/>
        <n v="20.85"/>
        <n v="25.95"/>
        <n v="9.73"/>
        <n v="4.0999999999999996"/>
        <n v="57.11"/>
        <n v="39.78"/>
        <n v="40.43"/>
        <n v="63.76"/>
        <n v="100.02"/>
        <n v="105.4"/>
        <n v="22.82"/>
        <n v="10.62"/>
        <n v="79.650000000000006"/>
        <n v="48.18"/>
        <n v="18.07"/>
        <n v="79.349999999999994"/>
        <n v="2.5499999999999998"/>
        <n v="53.58"/>
        <n v="30.03"/>
        <n v="74.56"/>
        <n v="27.6"/>
        <n v="13.54"/>
        <n v="105.96"/>
        <n v="14.23"/>
        <n v="69.67"/>
        <n v="7.41"/>
        <n v="31.31"/>
        <n v="97.06"/>
        <n v="60.48"/>
        <n v="83.98"/>
        <n v="75.61"/>
        <n v="6.46"/>
        <n v="37.25"/>
        <n v="76.02"/>
        <n v="106.92"/>
        <n v="19.02"/>
        <n v="47.93"/>
        <n v="22.77"/>
        <n v="20.11"/>
        <n v="17.489999999999998"/>
        <n v="42.56"/>
        <n v="17.12"/>
        <n v="61.06"/>
        <n v="11.9"/>
        <n v="9.69"/>
        <n v="38.369999999999997"/>
        <n v="66.31"/>
        <n v="78.099999999999994"/>
        <n v="95.3"/>
        <n v="18.89"/>
        <n v="72.56"/>
        <n v="39.69"/>
        <n v="10.32"/>
        <n v="18.190000000000001"/>
        <n v="33.520000000000003"/>
        <n v="20.170000000000002"/>
        <n v="24.51"/>
        <n v="3.3"/>
        <n v="85.23"/>
        <n v="97.55"/>
        <n v="45.36"/>
        <n v="87.81"/>
        <n v="99.65"/>
        <n v="4.05"/>
        <n v="16.87"/>
        <n v="47.07"/>
        <n v="89.08"/>
        <n v="14.12"/>
        <n v="87.23"/>
        <n v="81.36"/>
        <n v="1.7"/>
        <n v="20.97"/>
        <n v="65.25"/>
        <n v="72.09"/>
        <n v="18.22"/>
        <n v="28.96"/>
        <n v="25.07"/>
        <n v="53.14"/>
        <n v="99.96"/>
        <n v="93.52"/>
        <n v="51.91"/>
        <n v="79.930000000000007"/>
        <n v="12.92"/>
        <n v="14.84"/>
        <n v="17.62"/>
        <n v="36.03"/>
        <n v="47.7"/>
        <n v="51.65"/>
        <n v="19.649999999999999"/>
        <n v="6.94"/>
        <n v="124"/>
        <n v="55.84"/>
        <n v="11.12"/>
        <n v="17.670000000000002"/>
        <n v="28.11"/>
        <n v="29.07"/>
        <n v="51.37"/>
        <n v="58.34"/>
        <n v="100.88"/>
        <n v="13.02"/>
        <n v="15.89"/>
        <n v="39.659999999999997"/>
        <n v="62.59"/>
        <n v="34.67"/>
        <n v="15.87"/>
        <n v="7.86"/>
        <n v="9.06"/>
        <n v="61.07"/>
        <n v="37.450000000000003"/>
        <n v="7.87"/>
        <n v="97.28"/>
        <n v="10.07"/>
        <n v="37.26"/>
        <n v="57.77"/>
        <n v="66.78"/>
        <n v="22.71"/>
        <n v="134.6"/>
        <n v="42.94"/>
        <n v="12.5"/>
        <n v="20.51"/>
        <n v="5.28"/>
        <n v="122.89"/>
        <n v="11.94"/>
        <n v="25.63"/>
        <n v="99.28"/>
        <n v="5.31"/>
        <n v="78.599999999999994"/>
        <n v="23.42"/>
        <n v="26.38"/>
        <n v="36.83"/>
        <n v="145.5"/>
        <n v="59.46"/>
        <n v="99.12"/>
        <n v="22.11"/>
        <n v="33.700000000000003"/>
        <n v="14.97"/>
        <n v="63.26"/>
        <n v="109.44"/>
        <n v="50.25"/>
        <n v="18.47"/>
        <n v="39.29"/>
        <n v="20.75"/>
        <n v="33.4"/>
        <n v="26.02"/>
        <n v="84.8"/>
        <n v="23.6"/>
        <n v="6.78"/>
        <n v="31.3"/>
        <n v="22.04"/>
        <n v="26.35"/>
        <n v="71.959999999999994"/>
        <n v="56.23"/>
        <n v="95.03"/>
        <n v="14.61"/>
        <n v="122.85"/>
        <n v="45.92"/>
        <n v="17.440000000000001"/>
        <n v="38.85"/>
        <n v="9.34"/>
        <n v="17.59"/>
        <n v="35.71"/>
        <n v="51.87"/>
        <n v="122.27"/>
        <n v="22.64"/>
        <n v="15.11"/>
        <n v="66.91"/>
        <n v="14.96"/>
        <n v="22.34"/>
        <n v="31.24"/>
        <n v="24.05"/>
        <n v="17.600000000000001"/>
        <n v="9.99"/>
        <n v="76.77"/>
        <n v="4.71"/>
        <n v="49.96"/>
        <n v="12.04"/>
        <n v="75.88"/>
        <n v="56.21"/>
        <n v="64.400000000000006"/>
        <n v="32.299999999999997"/>
        <n v="1.62"/>
        <n v="8.6"/>
        <n v="35.81"/>
        <n v="18.21"/>
        <n v="66.06"/>
        <n v="79.28"/>
        <n v="16.64"/>
        <n v="17.8"/>
        <n v="30.8"/>
        <n v="29.66"/>
        <n v="65.010000000000005"/>
        <n v="43.76"/>
        <n v="56.48"/>
        <n v="26.98"/>
        <n v="5.78"/>
        <n v="101.76"/>
        <n v="56.35"/>
        <n v="4.08"/>
        <n v="25.04"/>
        <n v="84.42"/>
        <n v="38.119999999999997"/>
        <n v="91.39"/>
        <n v="63.02"/>
        <n v="2.72"/>
        <n v="27.86"/>
        <n v="59.4"/>
        <n v="103.61"/>
        <n v="4.04"/>
        <n v="39.549999999999997"/>
        <n v="101.87"/>
        <n v="-0.56000000000000005"/>
        <n v="4.9000000000000004"/>
        <n v="92.98"/>
        <n v="100.48"/>
        <n v="97.26"/>
        <n v="24.48"/>
        <n v="28.5"/>
        <n v="68.349999999999994"/>
        <n v="45.82"/>
        <n v="71.44"/>
        <n v="14.44"/>
        <n v="86.55"/>
        <n v="27.94"/>
        <n v="62.9"/>
        <n v="26.73"/>
        <n v="20.07"/>
        <n v="45.34"/>
        <n v="9.26"/>
        <n v="17.23"/>
        <n v="60.66"/>
        <n v="60.11"/>
        <n v="30.24"/>
        <n v="8.7100000000000009"/>
        <n v="39.369999999999997"/>
        <n v="12.57"/>
        <n v="3.54"/>
        <n v="16.920000000000002"/>
        <n v="75"/>
        <n v="6.72"/>
        <n v="2.92"/>
        <n v="62.74"/>
        <n v="36.119999999999997"/>
        <n v="111.4"/>
        <n v="42.16"/>
        <n v="56.24"/>
        <n v="22.59"/>
        <n v="129.82"/>
        <n v="104.9"/>
        <n v="28.54"/>
        <n v="119.44"/>
        <n v="65.8"/>
        <n v="67.599999999999994"/>
        <n v="37.729999999999997"/>
        <n v="69.72"/>
        <n v="19.52"/>
        <n v="47.14"/>
        <n v="68.52"/>
        <n v="60.8"/>
        <n v="100.39"/>
        <n v="13.73"/>
        <n v="132.11000000000001"/>
        <n v="23.06"/>
        <n v="31.17"/>
        <n v="77.52"/>
        <n v="57.63"/>
        <n v="39.61"/>
        <n v="98.67"/>
        <n v="41.22"/>
        <n v="4.82"/>
        <n v="17.28"/>
        <n v="115.6"/>
        <n v="48.62"/>
        <n v="19.53"/>
        <n v="31.62"/>
        <n v="15.8"/>
        <n v="38.950000000000003"/>
        <n v="97.68"/>
        <n v="1.69"/>
        <n v="5.68"/>
        <n v="27.64"/>
        <n v="75.400000000000006"/>
        <n v="86.8"/>
        <n v="134.85"/>
        <n v="88.04"/>
        <n v="16.420000000000002"/>
        <n v="36.5"/>
        <n v="44.69"/>
        <n v="19.329999999999998"/>
        <n v="66.73"/>
        <n v="46.68"/>
        <n v="39.53"/>
        <n v="17.510000000000002"/>
        <n v="7.84"/>
        <n v="28.42"/>
        <n v="3.35"/>
        <n v="3.65"/>
        <n v="8.77"/>
        <n v="38.18"/>
        <n v="98.78"/>
        <n v="8.8699999999999992"/>
        <n v="18.98"/>
        <n v="37.049999999999997"/>
        <n v="22.35"/>
        <n v="105.12"/>
        <n v="42.75"/>
        <n v="29.52"/>
        <n v="47.33"/>
        <n v="125.8"/>
        <n v="-3.43"/>
        <n v="55.89"/>
        <n v="32.32"/>
        <n v="17.47"/>
        <n v="35.06"/>
        <n v="105.88"/>
        <n v="43.74"/>
        <n v="39.97"/>
        <n v="10.25"/>
        <n v="13.04"/>
        <n v="102.55"/>
        <n v="57.1"/>
        <n v="4.0199999999999996"/>
        <n v="3.97"/>
        <n v="75.91"/>
        <n v="65.930000000000007"/>
        <n v="83.85"/>
        <n v="25.25"/>
        <n v="2.2599999999999998"/>
        <n v="21.6"/>
        <n v="4.79"/>
        <n v="24.84"/>
        <n v="65.5"/>
        <n v="45.77"/>
        <n v="1.34"/>
        <n v="23.5"/>
        <n v="3.15"/>
        <n v="28.59"/>
        <n v="21.55"/>
        <n v="71.69"/>
        <n v="35.799999999999997"/>
        <n v="85.68"/>
        <n v="63.54"/>
        <n v="34.43"/>
        <n v="8.81"/>
        <n v="73.73"/>
        <n v="71.39"/>
        <n v="44.14"/>
        <n v="9.75"/>
        <n v="113"/>
        <n v="29.16"/>
        <n v="0.08"/>
        <n v="11.45"/>
        <n v="7.61"/>
        <n v="21.94"/>
        <n v="1.85"/>
        <n v="84.4"/>
        <n v="38.78"/>
        <n v="63.72"/>
        <n v="10.67"/>
        <n v="79.319999999999993"/>
        <n v="37.549999999999997"/>
        <n v="17.72"/>
        <n v="3.22"/>
        <n v="-0.28000000000000003"/>
        <n v="45.21"/>
        <n v="1.68"/>
        <n v="24.44"/>
        <n v="20.55"/>
        <n v="68.31"/>
        <n v="11.57"/>
        <n v="26.77"/>
        <n v="10.1"/>
        <n v="25.79"/>
        <n v="101.97"/>
        <n v="57.51"/>
        <n v="9.6999999999999993"/>
        <n v="14.2"/>
        <n v="39.409999999999997"/>
        <n v="13.8"/>
        <n v="19.809999999999999"/>
        <n v="45.52"/>
        <n v="81.3"/>
        <n v="33.840000000000003"/>
        <n v="106.46"/>
        <n v="44.81"/>
        <n v="29.46"/>
        <n v="-1.95"/>
        <n v="40.74"/>
        <n v="17.760000000000002"/>
        <n v="40.53"/>
        <n v="45.01"/>
        <n v="16.23"/>
        <n v="29.65"/>
        <n v="16.559999999999999"/>
        <n v="86.4"/>
        <n v="38.69"/>
        <n v="7.34"/>
        <n v="14.02"/>
        <n v="21.86"/>
        <n v="16.13"/>
        <n v="146.97"/>
        <n v="57.56"/>
        <n v="73.88"/>
        <n v="20.350000000000001"/>
        <n v="23.28"/>
        <n v="110.31"/>
        <n v="10.039999999999999"/>
        <n v="37.32"/>
        <n v="63.67"/>
        <n v="44.76"/>
        <n v="49.89"/>
        <n v="84.51"/>
        <n v="47.21"/>
        <n v="64.64"/>
        <n v="9.44"/>
        <n v="9.5399999999999991"/>
        <n v="90.67"/>
        <n v="15.55"/>
        <n v="27.8"/>
        <n v="48.65"/>
        <n v="85.78"/>
        <n v="4.4800000000000004"/>
        <n v="27.03"/>
        <n v="24.65"/>
        <n v="8.93"/>
        <n v="27.14"/>
        <n v="18.57"/>
        <n v="80.36"/>
        <n v="4.88"/>
        <n v="6.58"/>
        <n v="39.93"/>
        <n v="14.83"/>
        <n v="3.49"/>
        <n v="95.92"/>
        <n v="45.2"/>
        <n v="76.03"/>
        <n v="30.48"/>
        <n v="92.56"/>
        <n v="8.6300000000000008"/>
        <n v="15.39"/>
        <n v="13.72"/>
        <n v="15.58"/>
        <n v="14.89"/>
        <n v="33.79"/>
        <n v="49.01"/>
        <n v="98.08"/>
        <n v="28.94"/>
        <n v="63.25"/>
        <n v="7.94"/>
        <n v="50.64"/>
        <n v="104.04"/>
        <n v="124.69"/>
        <n v="43.2"/>
        <n v="77.819999999999993"/>
        <n v="53.27"/>
        <n v="63.2"/>
        <n v="71.67"/>
        <n v="23.73"/>
        <n v="10"/>
        <n v="14.52"/>
        <n v="7.36"/>
        <n v="55.96"/>
        <n v="49.18"/>
        <n v="19.71"/>
        <n v="51.06"/>
        <n v="41.68"/>
        <n v="19.14"/>
        <n v="8.0500000000000007"/>
        <n v="23.63"/>
        <n v="1.84"/>
        <n v="28.18"/>
        <n v="16.88"/>
        <n v="29.24"/>
        <n v="62.32"/>
        <n v="21.83"/>
        <n v="11.08"/>
        <n v="87.79"/>
        <n v="81.5"/>
        <n v="22.38"/>
        <n v="43.36"/>
        <n v="12.11"/>
        <n v="7.1"/>
        <n v="56.4"/>
        <n v="67.45"/>
        <n v="11.83"/>
        <n v="79.260000000000005"/>
        <n v="32.44"/>
        <n v="13.17"/>
        <n v="40.79"/>
        <n v="8.9"/>
        <n v="129.16"/>
        <n v="110.72"/>
        <n v="56.02"/>
        <n v="16.350000000000001"/>
        <n v="100.35"/>
        <n v="44.25"/>
        <n v="48.2"/>
        <n v="23.14"/>
        <n v="9.65"/>
        <n v="59.07"/>
        <n v="46.76"/>
        <n v="74.75"/>
        <n v="47.57"/>
        <n v="31.04"/>
        <n v="10.42"/>
        <n v="68.510000000000005"/>
        <n v="5.84"/>
        <n v="11.1"/>
        <n v="12.21"/>
        <n v="48.72"/>
        <n v="8.4700000000000006"/>
        <n v="7.06"/>
        <n v="5.58"/>
        <n v="5.23"/>
        <n v="99.45"/>
        <n v="39.06"/>
        <n v="77.66"/>
        <n v="5.0999999999999996"/>
        <n v="32.39"/>
        <n v="103.75"/>
        <n v="68.67"/>
        <n v="47.65"/>
        <n v="14.7"/>
        <n v="80.94"/>
        <n v="28.09"/>
        <n v="54.82"/>
        <n v="4.37"/>
        <n v="83.88"/>
        <n v="5.88"/>
        <n v="85.75"/>
        <n v="81.209999999999994"/>
        <n v="27.32"/>
        <n v="48.89"/>
        <n v="61.42"/>
        <n v="55.72"/>
        <n v="50.74"/>
        <n v="19.21"/>
        <n v="90.85"/>
        <n v="24.21"/>
        <n v="89.44"/>
        <n v="29.01"/>
        <n v="97.34"/>
        <n v="9.76"/>
        <n v="119.56"/>
        <n v="18.72"/>
        <n v="25.92"/>
        <n v="1.41"/>
        <n v="23.47"/>
        <n v="22.53"/>
        <n v="15.18"/>
        <n v="63.5"/>
        <n v="73.86"/>
        <n v="29.78"/>
        <n v="39.42"/>
        <n v="80.41"/>
        <n v="17.98"/>
        <n v="38.71"/>
        <n v="13.36"/>
        <n v="82.34"/>
        <n v="7.7"/>
        <n v="111.39"/>
        <n v="58.53"/>
        <n v="15.25"/>
        <n v="45.17"/>
        <n v="24.56"/>
        <n v="30.33"/>
        <n v="5.89"/>
        <n v="35.229999999999997"/>
        <n v="74.97"/>
        <n v="74.05"/>
        <n v="92.4"/>
        <n v="79.53"/>
        <n v="45.03"/>
        <n v="7.2"/>
        <n v="4.4000000000000004"/>
        <n v="77.5"/>
        <n v="0.77"/>
        <n v="89.3"/>
        <n v="32.18"/>
        <n v="1.9"/>
        <n v="9.9"/>
        <n v="83.03"/>
        <n v="48.96"/>
        <n v="26.32"/>
        <n v="23.49"/>
        <n v="15.49"/>
        <n v="46.91"/>
        <n v="85.28"/>
        <n v="-0.19"/>
        <n v="42.1"/>
        <n v="40.97"/>
        <n v="43.01"/>
        <n v="33.119999999999997"/>
        <n v="17.61"/>
        <n v="78.34"/>
        <n v="95.04"/>
        <n v="26.14"/>
        <n v="24.03"/>
        <n v="13.94"/>
        <n v="12.48"/>
        <n v="67.540000000000006"/>
        <n v="146.65"/>
        <n v="48.08"/>
        <n v="53.22"/>
        <n v="14.37"/>
        <n v="76.58"/>
        <n v="39.4"/>
        <n v="58.92"/>
        <n v="22.56"/>
        <n v="23.59"/>
        <n v="7.64"/>
        <n v="48.33"/>
        <n v="24.06"/>
        <n v="69.180000000000007"/>
        <n v="23.45"/>
        <n v="20.99"/>
        <n v="71.86"/>
        <n v="31.08"/>
        <n v="61.25"/>
        <n v="6.64"/>
        <n v="25.09"/>
        <n v="142.76"/>
        <n v="71.150000000000006"/>
        <n v="16.97"/>
        <n v="5.37"/>
        <n v="59.04"/>
        <n v="32.450000000000003"/>
        <n v="22.58"/>
        <n v="10.6"/>
        <n v="67.569999999999993"/>
        <n v="48.6"/>
        <n v="53.34"/>
        <n v="46.48"/>
        <n v="30.91"/>
        <n v="2.8"/>
        <n v="8.36"/>
        <n v="57.48"/>
        <n v="74.8"/>
        <n v="23.52"/>
        <n v="18.45"/>
        <n v="4.5199999999999996"/>
        <n v="4.93"/>
        <n v="57.58"/>
        <n v="15.27"/>
        <n v="63.87"/>
        <n v="54.98"/>
        <n v="70.209999999999994"/>
        <n v="86.68"/>
        <n v="90.25"/>
        <n v="26.43"/>
        <n v="6.49"/>
        <n v="27.28"/>
        <n v="47.12"/>
        <n v="45.12"/>
        <n v="13.86"/>
        <n v="20.77"/>
        <n v="66.3"/>
        <n v="44.13"/>
        <n v="99.89"/>
        <n v="51.98"/>
        <n v="8.52"/>
        <n v="23.38"/>
        <n v="32.75"/>
        <n v="57.21"/>
        <n v="27.71"/>
        <n v="81.239999999999995"/>
        <n v="60.92"/>
        <n v="99.92"/>
        <n v="28.22"/>
        <n v="56.74"/>
        <n v="22.57"/>
        <n v="4.49"/>
        <n v="59"/>
        <n v="6.4"/>
        <n v="78"/>
        <n v="74.040000000000006"/>
        <n v="76.099999999999994"/>
        <n v="22.75"/>
        <n v="101.8"/>
        <n v="19.37"/>
        <n v="31.6"/>
        <n v="33.54"/>
        <n v="77.12"/>
        <n v="39.9"/>
        <n v="114.32"/>
        <n v="19.989999999999998"/>
        <n v="109.52"/>
        <n v="15.64"/>
        <n v="47.53"/>
        <n v="43.45"/>
        <n v="10.58"/>
        <n v="66.27"/>
        <n v="39.68"/>
        <n v="32.840000000000003"/>
        <n v="38.340000000000003"/>
        <n v="10.44"/>
        <n v="44.62"/>
        <n v="112.82"/>
        <n v="26.68"/>
        <n v="3.56"/>
        <n v="84.56"/>
        <n v="1.03"/>
        <n v="74.84"/>
        <n v="51.1"/>
        <n v="115.47"/>
        <n v="46.38"/>
        <n v="77.44"/>
        <n v="12.38"/>
        <n v="23.88"/>
        <n v="57.37"/>
        <n v="83"/>
        <n v="8.16"/>
        <n v="10.96"/>
        <n v="56.88"/>
        <n v="6.08"/>
        <n v="49.88"/>
        <n v="3.45"/>
        <n v="107.43"/>
        <n v="16.399999999999999"/>
        <n v="76.45"/>
        <n v="27.62"/>
        <n v="23.05"/>
        <n v="52.43"/>
        <n v="125.77"/>
        <n v="57.35"/>
        <n v="17.36"/>
        <n v="56"/>
        <n v="50.58"/>
        <n v="6.39"/>
        <n v="38"/>
        <n v="120.31"/>
        <n v="70.680000000000007"/>
        <n v="0.81"/>
        <n v="3.81"/>
        <n v="30.43"/>
        <n v="7.66"/>
        <n v="6.48"/>
        <n v="54.3"/>
        <n v="64.41"/>
        <n v="20.38"/>
        <n v="16.71"/>
        <n v="36.19"/>
        <n v="47.63"/>
        <n v="8.0399999999999991"/>
        <n v="23.83"/>
        <n v="59.56"/>
        <n v="34.590000000000003"/>
        <n v="6.26"/>
        <n v="32.799999999999997"/>
        <n v="32.04"/>
        <n v="21.2"/>
        <n v="14.4"/>
        <n v="75.760000000000005"/>
        <n v="8.1999999999999993"/>
        <n v="28.71"/>
        <n v="143.26"/>
        <n v="83.64"/>
        <n v="0.88"/>
        <n v="21.81"/>
        <n v="17.64"/>
        <n v="20.399999999999999"/>
        <n v="41.96"/>
        <n v="23.68"/>
        <n v="20"/>
        <n v="8.98"/>
        <n v="9.4600000000000009"/>
        <n v="48.52"/>
        <n v="3.92"/>
        <n v="5.49"/>
        <n v="-0.57999999999999996"/>
        <n v="2.7"/>
        <n v="55.44"/>
        <n v="6.38"/>
        <n v="8.02"/>
        <n v="44.11"/>
        <n v="25.98"/>
        <n v="54.31"/>
        <n v="9.32"/>
        <n v="55.63"/>
        <n v="49.38"/>
        <n v="108.6"/>
        <n v="2.1800000000000002"/>
        <n v="116.68"/>
        <n v="7.9"/>
        <n v="19.2"/>
        <n v="11.99"/>
        <n v="81.180000000000007"/>
        <n v="9.31"/>
        <n v="28.2"/>
        <n v="69.930000000000007"/>
        <n v="59.7"/>
        <n v="24.74"/>
        <n v="84.93"/>
        <n v="2.06"/>
        <n v="5.71"/>
        <n v="12.65"/>
        <n v="9.41"/>
        <n v="16.18"/>
        <n v="12.47"/>
        <n v="41.92"/>
        <n v="52.65"/>
        <n v="41.78"/>
        <n v="47.74"/>
        <n v="5.26"/>
        <n v="54.05"/>
        <n v="117.26"/>
        <n v="8.6999999999999993"/>
        <n v="34.049999999999997"/>
        <n v="28.03"/>
        <n v="21.47"/>
        <n v="8.15"/>
        <n v="47.66"/>
        <n v="5.12"/>
        <n v="6.14"/>
        <n v="69.430000000000007"/>
        <n v="66.08"/>
        <n v="13.37"/>
        <n v="4.8099999999999996"/>
        <n v="38.619999999999997"/>
        <n v="7.33"/>
        <n v="22.16"/>
        <n v="46.66"/>
        <n v="50.9"/>
        <n v="59.83"/>
        <n v="140.15"/>
        <n v="80.319999999999993"/>
        <n v="57.8"/>
        <n v="26.11"/>
        <n v="1.1599999999999999"/>
        <n v="40.799999999999997"/>
        <n v="95.68"/>
        <n v="117.01"/>
        <n v="-1.74"/>
        <n v="22.52"/>
        <n v="10.199999999999999"/>
        <n v="19.34"/>
        <n v="91.73"/>
        <n v="9.98"/>
        <n v="93.15"/>
        <n v="36.049999999999997"/>
        <n v="34.090000000000003"/>
        <n v="21.64"/>
        <n v="37.64"/>
        <n v="43.24"/>
        <n v="51.44"/>
        <n v="72.98"/>
        <n v="48.63"/>
        <n v="32.26"/>
        <n v="13.33"/>
        <n v="68.540000000000006"/>
        <n v="32.67"/>
        <n v="26.9"/>
        <n v="35.42"/>
        <n v="46.13"/>
        <n v="14.62"/>
        <n v="34.020000000000003"/>
        <n v="52.02"/>
        <n v="21.19"/>
        <n v="1.57"/>
        <n v="2.02"/>
        <n v="60.91"/>
        <n v="133.69999999999999"/>
        <n v="81.45"/>
        <n v="30.16"/>
        <n v="40.22"/>
        <n v="9.23"/>
        <n v="17.21"/>
        <n v="40.14"/>
        <n v="94.97"/>
        <n v="10.14"/>
        <n v="16.010000000000002"/>
        <n v="15.78"/>
        <n v="37.020000000000003"/>
        <n v="44.57"/>
        <n v="58.38"/>
        <n v="136.6"/>
        <n v="52.91"/>
        <n v="45.56"/>
        <n v="50.4"/>
        <n v="19.79"/>
        <n v="46.94"/>
        <n v="75.709999999999994"/>
        <n v="27.08"/>
        <n v="58.74"/>
        <n v="6.87"/>
        <n v="78.040000000000006"/>
        <n v="14.76"/>
        <n v="28.39"/>
        <n v="123.34"/>
        <n v="3.67"/>
        <n v="21.96"/>
        <n v="21.38"/>
        <n v="14.73"/>
        <n v="93.17"/>
        <n v="39.340000000000003"/>
        <n v="4.78"/>
        <n v="10.02"/>
        <n v="13.07"/>
        <n v="51.76"/>
        <n v="102.75"/>
        <n v="89.84"/>
        <n v="23.08"/>
        <n v="17.100000000000001"/>
        <n v="9.36"/>
        <n v="42.7"/>
        <n v="56.71"/>
        <n v="11.55"/>
        <n v="13.77"/>
        <n v="24.75"/>
        <n v="109.69"/>
        <n v="6.05"/>
        <n v="64.13"/>
        <n v="111.77"/>
        <n v="10.75"/>
        <n v="64.489999999999995"/>
        <n v="-1.6"/>
        <n v="47.47"/>
        <n v="20.329999999999998"/>
        <n v="6.76"/>
        <n v="59.8"/>
        <n v="52.25"/>
        <n v="13.55"/>
        <n v="7.55"/>
        <n v="126.04"/>
        <n v="73.25"/>
        <n v="27.39"/>
        <n v="6.65"/>
        <n v="74.349999999999994"/>
        <n v="56.56"/>
        <n v="24.57"/>
        <n v="74.849999999999994"/>
        <n v="20.02"/>
        <n v="32.76"/>
        <n v="21.45"/>
        <n v="2.4"/>
        <n v="62.65"/>
        <n v="27.84"/>
        <n v="42.83"/>
        <n v="2.56"/>
        <n v="46.65"/>
        <n v="61.12"/>
        <n v="1.37"/>
        <n v="63.7"/>
        <n v="38.880000000000003"/>
        <n v="8.5"/>
        <n v="71.11"/>
        <n v="14.19"/>
        <n v="46.53"/>
        <n v="25.47"/>
        <n v="24.11"/>
        <n v="51.88"/>
        <n v="31.07"/>
        <n v="21.08"/>
        <n v="8.4"/>
        <n v="83.94"/>
        <n v="9.7899999999999991"/>
        <n v="79.03"/>
        <n v="22.24"/>
        <n v="94.84"/>
        <n v="19.25"/>
        <n v="92.42"/>
        <n v="64.319999999999993"/>
        <n v="14.13"/>
        <n v="40.450000000000003"/>
        <n v="29.43"/>
        <n v="61.28"/>
        <n v="13.13"/>
        <n v="5.38"/>
        <n v="45.08"/>
        <n v="54.42"/>
        <n v="109.6"/>
        <n v="35.619999999999997"/>
        <n v="44.07"/>
        <n v="39.020000000000003"/>
        <n v="51.55"/>
        <n v="9.4"/>
        <n v="49.33"/>
        <n v="4.1500000000000004"/>
        <n v="2.0099999999999998"/>
        <n v="54.74"/>
        <n v="51.99"/>
        <n v="41.82"/>
        <n v="50.78"/>
        <n v="25.57"/>
        <n v="126.51"/>
        <n v="1.72"/>
        <n v="55.66"/>
        <n v="93.48"/>
        <n v="31.58"/>
        <n v="97.65"/>
        <n v="71.52"/>
        <n v="17.3"/>
        <n v="45.29"/>
        <n v="5.44"/>
        <n v="93.5"/>
        <n v="82.32"/>
        <n v="49.56"/>
        <n v="30.66"/>
        <n v="50.12"/>
        <n v="36.53"/>
        <n v="48.13"/>
        <n v="18.59"/>
        <n v="33.97"/>
        <n v="7.78"/>
        <n v="20.54"/>
        <n v="28.4"/>
        <n v="16.600000000000001"/>
        <n v="12.02"/>
        <n v="105.73"/>
        <n v="75.569999999999993"/>
        <n v="42.78"/>
        <n v="60.94"/>
        <n v="4.55"/>
        <n v="26.67"/>
        <n v="62.86"/>
        <n v="34.21"/>
        <n v="35.9"/>
        <n v="70.45"/>
        <n v="48.41"/>
        <n v="13.89"/>
        <n v="81.52"/>
        <n v="22.36"/>
        <n v="7.8"/>
        <n v="83.61"/>
        <n v="56.82"/>
        <n v="16.61"/>
        <n v="77.489999999999995"/>
        <n v="24.28"/>
        <n v="43.12"/>
        <n v="26.82"/>
        <n v="53.46"/>
        <n v="6.59"/>
        <n v="9.1199999999999992"/>
        <n v="4.3600000000000003"/>
        <n v="93.93"/>
        <n v="19.84"/>
        <n v="35.36"/>
        <n v="24.96"/>
        <n v="44.22"/>
        <n v="4.75"/>
        <n v="58.88"/>
        <n v="66.14"/>
        <n v="92.65"/>
        <n v="140.88999999999999"/>
        <n v="24.76"/>
        <n v="3.23"/>
        <n v="11.78"/>
        <n v="0.51"/>
        <n v="97.85"/>
        <n v="78.510000000000005"/>
        <n v="7.08"/>
        <n v="120.72"/>
        <n v="21.44"/>
        <n v="22.32"/>
        <n v="83.56"/>
        <n v="35.700000000000003"/>
        <n v="82.42"/>
        <n v="5.13"/>
        <n v="88.83"/>
        <n v="15.72"/>
        <n v="17.2"/>
        <n v="18.649999999999999"/>
        <n v="87.51"/>
        <n v="2.57"/>
        <n v="9.7100000000000009"/>
        <n v="59.18"/>
        <n v="56.52"/>
        <n v="46.1"/>
        <n v="18.52"/>
        <n v="28"/>
        <n v="71.55"/>
        <n v="16.04"/>
        <n v="95.06"/>
        <n v="38.04"/>
        <n v="5.96"/>
        <n v="4.99"/>
        <n v="46.25"/>
        <n v="128.29"/>
        <n v="46.9"/>
        <n v="58.09"/>
        <n v="37.340000000000003"/>
        <n v="59.88"/>
        <n v="125.3"/>
        <n v="64.12"/>
        <n v="34.17"/>
        <n v="41.2"/>
        <n v="130"/>
        <n v="59.29"/>
        <n v="5.77"/>
        <n v="44.63"/>
        <n v="87.72"/>
        <n v="145.16999999999999"/>
        <n v="88.92"/>
        <n v="85.03"/>
        <n v="81.02"/>
        <n v="72.11"/>
        <n v="58.83"/>
        <n v="8"/>
        <n v="26.1"/>
        <n v="36.1"/>
        <n v="2.88"/>
        <n v="101.75"/>
        <n v="115.74"/>
        <n v="71.180000000000007"/>
        <n v="16.829999999999998"/>
        <n v="46.35"/>
        <n v="51.64"/>
        <n v="141.61000000000001"/>
        <n v="57.86"/>
        <n v="43.5"/>
        <n v="39.08"/>
        <n v="132.80000000000001"/>
        <n v="10.64"/>
        <n v="119.79"/>
        <n v="75.02"/>
        <n v="21.76"/>
        <n v="4.25"/>
        <n v="69.73"/>
        <n v="20.89"/>
        <n v="71.12"/>
        <n v="43.71"/>
        <n v="19.43"/>
        <n v="-0.27"/>
        <n v="74.34"/>
        <n v="73.099999999999994"/>
        <n v="87.42"/>
        <n v="97.4"/>
        <n v="29.28"/>
        <n v="22.3"/>
        <n v="37.15"/>
        <n v="48.68"/>
        <n v="65.38"/>
        <n v="15.75"/>
        <n v="99.25"/>
        <n v="107.12"/>
        <n v="51.59"/>
        <n v="0.99"/>
        <n v="66.599999999999994"/>
        <n v="16.47"/>
        <n v="68.83"/>
        <n v="21.26"/>
        <n v="15.46"/>
        <n v="49.36"/>
        <n v="109.92"/>
        <n v="40.090000000000003"/>
        <n v="42.84"/>
        <n v="90.94"/>
        <n v="5.8"/>
        <n v="103.1"/>
        <n v="13.3"/>
        <n v="16.63"/>
        <n v="17.03"/>
        <n v="26.72"/>
        <n v="31.56"/>
        <n v="17.05"/>
        <n v="58.8"/>
        <n v="37.22"/>
        <n v="116.36"/>
        <n v="27.46"/>
        <n v="78.83"/>
        <n v="21.77"/>
        <n v="40.6"/>
        <n v="43.58"/>
        <n v="9.83"/>
        <n v="15.4"/>
        <n v="56.94"/>
        <n v="51.5"/>
        <n v="41.69"/>
        <n v="70.650000000000006"/>
        <n v="17.63"/>
        <n v="2.4900000000000002"/>
        <n v="59.59"/>
        <n v="86.97"/>
        <n v="44.95"/>
        <n v="33.56"/>
        <n v="29.38"/>
        <n v="89.82"/>
        <n v="125.12"/>
        <n v="87.28"/>
        <n v="28.26"/>
        <n v="16.39"/>
        <n v="29.04"/>
        <n v="8.32"/>
        <n v="53.93"/>
        <n v="48.12"/>
        <n v="36.22"/>
        <n v="25.82"/>
        <n v="3.34"/>
        <n v="6.29"/>
        <n v="71.930000000000007"/>
        <n v="12.26"/>
        <n v="-0.23"/>
        <n v="119.76"/>
        <n v="133.80000000000001"/>
        <n v="29.48"/>
        <n v="17.32"/>
        <n v="26.06"/>
        <n v="21.68"/>
        <n v="113.55"/>
        <n v="15.12"/>
        <n v="5.07"/>
        <n v="37.75"/>
        <n v="22.97"/>
        <n v="23.78"/>
        <n v="9.2899999999999991"/>
        <n v="24.7"/>
        <n v="16.3"/>
        <n v="21.93"/>
        <n v="14.9"/>
        <n v="78.56"/>
        <n v="45.76"/>
        <n v="44.04"/>
        <n v="106.68"/>
        <n v="24.88"/>
        <n v="46.96"/>
        <n v="38.97"/>
        <n v="50.35"/>
        <n v="33.03"/>
        <n v="75.64"/>
        <n v="51.39"/>
        <n v="17.52"/>
        <n v="122.72"/>
        <n v="6.1"/>
        <n v="67.790000000000006"/>
        <n v="43.28"/>
        <n v="20.05"/>
        <n v="12.07"/>
        <n v="23.81"/>
        <n v="51.74"/>
        <n v="42.58"/>
        <n v="62.61"/>
        <n v="37.08"/>
        <n v="20.2"/>
        <n v="45.63"/>
        <n v="49"/>
        <n v="21.56"/>
        <n v="51.01"/>
        <n v="56.54"/>
        <n v="44.47"/>
        <n v="19.13"/>
        <n v="84.03"/>
        <n v="6.9"/>
        <n v="15.02"/>
        <n v="133.74"/>
        <n v="16.22"/>
        <n v="55.53"/>
        <n v="107.68"/>
        <n v="57.76"/>
        <n v="15.22"/>
        <n v="41.04"/>
        <n v="64.349999999999994"/>
        <n v="32.479999999999997"/>
        <n v="43.38"/>
        <n v="73.67"/>
        <n v="19.190000000000001"/>
        <n v="15.15"/>
        <n v="18.12"/>
        <n v="45.91"/>
        <n v="33.619999999999997"/>
        <n v="4.87"/>
        <n v="74.989999999999995"/>
        <n v="2.78"/>
        <n v="15.63"/>
        <n v="103.3"/>
        <n v="39.880000000000003"/>
        <n v="97"/>
        <n v="37.119999999999997"/>
        <n v="10.49"/>
        <n v="17.86"/>
        <n v="26.47"/>
        <n v="26.12"/>
        <n v="65.02"/>
        <n v="131.08000000000001"/>
        <n v="48.25"/>
        <n v="42.55"/>
        <n v="83.97"/>
        <n v="130.36000000000001"/>
        <n v="132.69999999999999"/>
        <n v="61.39"/>
        <n v="32.380000000000003"/>
        <n v="55.59"/>
        <n v="62.58"/>
        <n v="72.45"/>
        <n v="2.69"/>
        <n v="22.95"/>
        <n v="60.09"/>
        <n v="67.08"/>
        <n v="50.95"/>
        <n v="5.05"/>
        <n v="74.11"/>
        <n v="18.489999999999998"/>
        <n v="54.8"/>
        <n v="5.43"/>
        <n v="16.07"/>
        <n v="23.4"/>
        <n v="45.39"/>
        <n v="107.24"/>
        <n v="5.82"/>
        <n v="106.31"/>
        <n v="3"/>
        <n v="40.49"/>
        <n v="76.5"/>
        <n v="59.49"/>
        <n v="8.06"/>
        <n v="18.71"/>
        <n v="19.61"/>
        <n v="43.3"/>
        <n v="28.81"/>
        <n v="16.670000000000002"/>
        <n v="34.92"/>
        <n v="43.75"/>
        <n v="53.87"/>
        <n v="95.14"/>
        <n v="104.7"/>
        <n v="40.39"/>
        <n v="112.64"/>
        <n v="39.119999999999997"/>
        <n v="15.35"/>
        <n v="59.81"/>
        <n v="4.42"/>
        <n v="40.26"/>
        <n v="13.25"/>
        <n v="7.3"/>
        <n v="125.5"/>
        <n v="60.05"/>
        <n v="5.66"/>
        <n v="29.56"/>
        <n v="9.0500000000000007"/>
        <n v="40.42"/>
        <n v="8.0299999999999994"/>
        <n v="86.28"/>
        <n v="11.87"/>
        <n v="45"/>
        <n v="5.92"/>
        <n v="45.11"/>
        <n v="82.66"/>
        <n v="63.52"/>
        <n v="42.4"/>
      </sharedItems>
    </cacheField>
    <cacheField name="Loyalty Points" numFmtId="2">
      <sharedItems containsSemiMixedTypes="0" containsString="0" containsNumber="1" containsInteger="1" minValue="0" maxValue="500"/>
    </cacheField>
    <cacheField name="Months (Transaction Date)" numFmtId="0" databaseField="0">
      <fieldGroup base="2">
        <rangePr groupBy="months" startDate="2023-08-07T00:00:00" endDate="2025-08-06T00:00:00"/>
        <groupItems count="14">
          <s v="&lt;07-08-2023"/>
          <s v="Jan"/>
          <s v="Feb"/>
          <s v="Mar"/>
          <s v="Apr"/>
          <s v="May"/>
          <s v="Jun"/>
          <s v="Jul"/>
          <s v="Aug"/>
          <s v="Sep"/>
          <s v="Oct"/>
          <s v="Nov"/>
          <s v="Dec"/>
          <s v="&gt;06-08-2025"/>
        </groupItems>
      </fieldGroup>
    </cacheField>
    <cacheField name="Quarters (Transaction Date)" numFmtId="0" databaseField="0">
      <fieldGroup base="2">
        <rangePr groupBy="quarters" startDate="2023-08-07T00:00:00" endDate="2025-08-06T00:00:00"/>
        <groupItems count="6">
          <s v="&lt;07-08-2023"/>
          <s v="Qtr1"/>
          <s v="Qtr2"/>
          <s v="Qtr3"/>
          <s v="Qtr4"/>
          <s v="&gt;06-08-2025"/>
        </groupItems>
      </fieldGroup>
    </cacheField>
    <cacheField name="Years (Transaction Date)" numFmtId="0" databaseField="0">
      <fieldGroup base="2">
        <rangePr groupBy="years" startDate="2023-08-07T00:00:00" endDate="2025-08-06T00:00:00"/>
        <groupItems count="5">
          <s v="&lt;07-08-2023"/>
          <s v="2023"/>
          <s v="2024"/>
          <s v="2025"/>
          <s v="&gt;06-08-2025"/>
        </groupItems>
      </fieldGroup>
    </cacheField>
  </cacheFields>
  <extLst>
    <ext xmlns:x14="http://schemas.microsoft.com/office/spreadsheetml/2009/9/main" uri="{725AE2AE-9491-48be-B2B4-4EB974FC3084}">
      <x14:pivotCacheDefinition pivotCacheId="19043805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80">
  <r>
    <n v="2824"/>
    <x v="0"/>
    <x v="0"/>
    <x v="0"/>
    <x v="0"/>
    <n v="2"/>
    <n v="7.46"/>
    <n v="14.92"/>
    <n v="0"/>
    <x v="0"/>
    <n v="377"/>
  </r>
  <r>
    <n v="5506"/>
    <x v="1"/>
    <x v="1"/>
    <x v="1"/>
    <x v="1"/>
    <n v="1"/>
    <n v="1.85"/>
    <n v="1.85"/>
    <n v="3.41"/>
    <x v="1"/>
    <n v="111"/>
  </r>
  <r>
    <n v="4657"/>
    <x v="1"/>
    <x v="2"/>
    <x v="2"/>
    <x v="2"/>
    <n v="4"/>
    <n v="7.38"/>
    <n v="29.52"/>
    <n v="4.04"/>
    <x v="2"/>
    <n v="301"/>
  </r>
  <r>
    <n v="2679"/>
    <x v="2"/>
    <x v="3"/>
    <x v="3"/>
    <x v="3"/>
    <n v="3"/>
    <n v="5.5"/>
    <n v="16.5"/>
    <n v="1.37"/>
    <x v="3"/>
    <n v="490"/>
  </r>
  <r>
    <n v="9935"/>
    <x v="0"/>
    <x v="4"/>
    <x v="4"/>
    <x v="4"/>
    <n v="5"/>
    <n v="8.66"/>
    <n v="43.3"/>
    <n v="1.5"/>
    <x v="4"/>
    <n v="22"/>
  </r>
  <r>
    <n v="7912"/>
    <x v="3"/>
    <x v="5"/>
    <x v="1"/>
    <x v="2"/>
    <n v="3"/>
    <n v="25.04"/>
    <n v="75.12"/>
    <n v="1.77"/>
    <x v="5"/>
    <n v="316"/>
  </r>
  <r>
    <n v="1488"/>
    <x v="0"/>
    <x v="6"/>
    <x v="0"/>
    <x v="5"/>
    <n v="3"/>
    <n v="29.56"/>
    <n v="88.68"/>
    <n v="2.52"/>
    <x v="6"/>
    <n v="437"/>
  </r>
  <r>
    <n v="4582"/>
    <x v="4"/>
    <x v="7"/>
    <x v="5"/>
    <x v="4"/>
    <n v="2"/>
    <n v="11.73"/>
    <n v="23.46"/>
    <n v="0"/>
    <x v="7"/>
    <n v="107"/>
  </r>
  <r>
    <n v="9279"/>
    <x v="0"/>
    <x v="8"/>
    <x v="6"/>
    <x v="6"/>
    <n v="5"/>
    <n v="22.13"/>
    <n v="110.65"/>
    <n v="11.07"/>
    <x v="8"/>
    <n v="83"/>
  </r>
  <r>
    <n v="1434"/>
    <x v="5"/>
    <x v="9"/>
    <x v="5"/>
    <x v="2"/>
    <n v="2"/>
    <n v="20.84"/>
    <n v="41.68"/>
    <n v="8.34"/>
    <x v="9"/>
    <n v="431"/>
  </r>
  <r>
    <n v="4257"/>
    <x v="6"/>
    <x v="10"/>
    <x v="4"/>
    <x v="7"/>
    <n v="3"/>
    <n v="2.91"/>
    <n v="8.73"/>
    <n v="1.75"/>
    <x v="10"/>
    <n v="467"/>
  </r>
  <r>
    <n v="9928"/>
    <x v="4"/>
    <x v="11"/>
    <x v="3"/>
    <x v="8"/>
    <n v="2"/>
    <n v="8.67"/>
    <n v="17.34"/>
    <n v="0"/>
    <x v="11"/>
    <n v="126"/>
  </r>
  <r>
    <n v="4611"/>
    <x v="3"/>
    <x v="12"/>
    <x v="6"/>
    <x v="7"/>
    <n v="3"/>
    <n v="7.35"/>
    <n v="22.05"/>
    <n v="4.0199999999999996"/>
    <x v="12"/>
    <n v="70"/>
  </r>
  <r>
    <n v="5557"/>
    <x v="0"/>
    <x v="13"/>
    <x v="7"/>
    <x v="6"/>
    <n v="4"/>
    <n v="18.29"/>
    <n v="73.16"/>
    <n v="4.9800000000000004"/>
    <x v="13"/>
    <n v="197"/>
  </r>
  <r>
    <n v="1106"/>
    <x v="1"/>
    <x v="14"/>
    <x v="8"/>
    <x v="2"/>
    <n v="1"/>
    <n v="20.72"/>
    <n v="20.72"/>
    <n v="0"/>
    <x v="14"/>
    <n v="58"/>
  </r>
  <r>
    <n v="3615"/>
    <x v="7"/>
    <x v="15"/>
    <x v="1"/>
    <x v="9"/>
    <n v="4"/>
    <n v="5.58"/>
    <n v="22.32"/>
    <n v="4.05"/>
    <x v="15"/>
    <n v="1"/>
  </r>
  <r>
    <n v="7924"/>
    <x v="1"/>
    <x v="16"/>
    <x v="1"/>
    <x v="9"/>
    <n v="5"/>
    <n v="18.649999999999999"/>
    <n v="93.25"/>
    <n v="18.649999999999999"/>
    <x v="16"/>
    <n v="78"/>
  </r>
  <r>
    <n v="5552"/>
    <x v="1"/>
    <x v="17"/>
    <x v="9"/>
    <x v="10"/>
    <n v="5"/>
    <n v="10.39"/>
    <n v="51.95"/>
    <n v="7.79"/>
    <x v="17"/>
    <n v="9"/>
  </r>
  <r>
    <n v="4527"/>
    <x v="5"/>
    <x v="18"/>
    <x v="2"/>
    <x v="11"/>
    <n v="2"/>
    <n v="26.45"/>
    <n v="52.9"/>
    <n v="3.93"/>
    <x v="18"/>
    <n v="484"/>
  </r>
  <r>
    <n v="6514"/>
    <x v="0"/>
    <x v="19"/>
    <x v="9"/>
    <x v="12"/>
    <n v="2"/>
    <n v="20.12"/>
    <n v="40.24"/>
    <n v="6.04"/>
    <x v="19"/>
    <n v="484"/>
  </r>
  <r>
    <n v="2519"/>
    <x v="1"/>
    <x v="20"/>
    <x v="6"/>
    <x v="1"/>
    <n v="2"/>
    <n v="27.93"/>
    <n v="55.86"/>
    <n v="0"/>
    <x v="20"/>
    <n v="386"/>
  </r>
  <r>
    <n v="2584"/>
    <x v="5"/>
    <x v="21"/>
    <x v="3"/>
    <x v="4"/>
    <n v="4"/>
    <n v="27.08"/>
    <n v="108.32"/>
    <n v="21.66"/>
    <x v="21"/>
    <n v="231"/>
  </r>
  <r>
    <n v="6635"/>
    <x v="8"/>
    <x v="22"/>
    <x v="1"/>
    <x v="3"/>
    <n v="1"/>
    <n v="18.05"/>
    <n v="18.05"/>
    <n v="1.28"/>
    <x v="22"/>
    <n v="117"/>
  </r>
  <r>
    <n v="5333"/>
    <x v="6"/>
    <x v="23"/>
    <x v="2"/>
    <x v="13"/>
    <n v="1"/>
    <n v="25.92"/>
    <n v="25.92"/>
    <n v="3.89"/>
    <x v="23"/>
    <n v="36"/>
  </r>
  <r>
    <n v="1711"/>
    <x v="4"/>
    <x v="24"/>
    <x v="2"/>
    <x v="2"/>
    <n v="2"/>
    <n v="21.97"/>
    <n v="43.94"/>
    <n v="8.7899999999999991"/>
    <x v="24"/>
    <n v="451"/>
  </r>
  <r>
    <n v="8527"/>
    <x v="4"/>
    <x v="25"/>
    <x v="3"/>
    <x v="14"/>
    <n v="1"/>
    <n v="3.8"/>
    <n v="3.8"/>
    <n v="0.38"/>
    <x v="25"/>
    <n v="220"/>
  </r>
  <r>
    <n v="3045"/>
    <x v="3"/>
    <x v="26"/>
    <x v="10"/>
    <x v="11"/>
    <n v="1"/>
    <n v="2.75"/>
    <n v="2.75"/>
    <n v="1.99"/>
    <x v="26"/>
    <n v="372"/>
  </r>
  <r>
    <n v="7201"/>
    <x v="8"/>
    <x v="27"/>
    <x v="9"/>
    <x v="8"/>
    <n v="2"/>
    <n v="13.22"/>
    <n v="26.44"/>
    <n v="5.29"/>
    <x v="27"/>
    <n v="142"/>
  </r>
  <r>
    <n v="5803"/>
    <x v="0"/>
    <x v="28"/>
    <x v="10"/>
    <x v="2"/>
    <n v="1"/>
    <n v="2.46"/>
    <n v="2.46"/>
    <n v="4.71"/>
    <x v="28"/>
    <n v="276"/>
  </r>
  <r>
    <n v="6925"/>
    <x v="8"/>
    <x v="29"/>
    <x v="7"/>
    <x v="1"/>
    <n v="4"/>
    <n v="14.95"/>
    <n v="59.8"/>
    <n v="1.66"/>
    <x v="29"/>
    <n v="442"/>
  </r>
  <r>
    <n v="4150"/>
    <x v="6"/>
    <x v="30"/>
    <x v="3"/>
    <x v="0"/>
    <n v="4"/>
    <n v="9.26"/>
    <n v="37.04"/>
    <n v="7.41"/>
    <x v="30"/>
    <n v="356"/>
  </r>
  <r>
    <n v="2139"/>
    <x v="8"/>
    <x v="31"/>
    <x v="8"/>
    <x v="14"/>
    <n v="1"/>
    <n v="17.79"/>
    <n v="17.79"/>
    <n v="0"/>
    <x v="31"/>
    <n v="277"/>
  </r>
  <r>
    <n v="4733"/>
    <x v="7"/>
    <x v="32"/>
    <x v="0"/>
    <x v="11"/>
    <n v="5"/>
    <n v="14.82"/>
    <n v="74.099999999999994"/>
    <n v="4.84"/>
    <x v="32"/>
    <n v="470"/>
  </r>
  <r>
    <n v="5741"/>
    <x v="0"/>
    <x v="27"/>
    <x v="7"/>
    <x v="13"/>
    <n v="5"/>
    <n v="2.96"/>
    <n v="14.8"/>
    <n v="1.48"/>
    <x v="33"/>
    <n v="441"/>
  </r>
  <r>
    <n v="4814"/>
    <x v="0"/>
    <x v="33"/>
    <x v="6"/>
    <x v="5"/>
    <n v="5"/>
    <n v="18.23"/>
    <n v="91.15"/>
    <n v="9.1199999999999992"/>
    <x v="34"/>
    <n v="317"/>
  </r>
  <r>
    <n v="2654"/>
    <x v="1"/>
    <x v="20"/>
    <x v="4"/>
    <x v="0"/>
    <n v="2"/>
    <n v="20.41"/>
    <n v="40.82"/>
    <n v="6.12"/>
    <x v="35"/>
    <n v="160"/>
  </r>
  <r>
    <n v="5554"/>
    <x v="3"/>
    <x v="34"/>
    <x v="7"/>
    <x v="9"/>
    <n v="4"/>
    <n v="10.16"/>
    <n v="40.64"/>
    <n v="2.83"/>
    <x v="36"/>
    <n v="384"/>
  </r>
  <r>
    <n v="6977"/>
    <x v="0"/>
    <x v="35"/>
    <x v="1"/>
    <x v="2"/>
    <n v="2"/>
    <n v="15.66"/>
    <n v="31.32"/>
    <n v="4.5199999999999996"/>
    <x v="37"/>
    <n v="67"/>
  </r>
  <r>
    <n v="7065"/>
    <x v="7"/>
    <x v="36"/>
    <x v="8"/>
    <x v="6"/>
    <n v="4"/>
    <n v="25.17"/>
    <n v="100.68"/>
    <n v="4.9400000000000004"/>
    <x v="38"/>
    <n v="360"/>
  </r>
  <r>
    <n v="4432"/>
    <x v="1"/>
    <x v="37"/>
    <x v="0"/>
    <x v="2"/>
    <n v="3"/>
    <n v="28.01"/>
    <n v="84.03"/>
    <n v="12.6"/>
    <x v="39"/>
    <n v="53"/>
  </r>
  <r>
    <n v="5374"/>
    <x v="0"/>
    <x v="38"/>
    <x v="1"/>
    <x v="2"/>
    <n v="2"/>
    <n v="8.89"/>
    <n v="17.78"/>
    <n v="0"/>
    <x v="40"/>
    <n v="309"/>
  </r>
  <r>
    <n v="2169"/>
    <x v="7"/>
    <x v="39"/>
    <x v="2"/>
    <x v="0"/>
    <n v="5"/>
    <n v="15.16"/>
    <n v="75.8"/>
    <n v="3.54"/>
    <x v="41"/>
    <n v="463"/>
  </r>
  <r>
    <n v="3803"/>
    <x v="5"/>
    <x v="40"/>
    <x v="0"/>
    <x v="10"/>
    <n v="3"/>
    <n v="23.35"/>
    <n v="70.05"/>
    <n v="14.01"/>
    <x v="42"/>
    <n v="326"/>
  </r>
  <r>
    <n v="5010"/>
    <x v="4"/>
    <x v="35"/>
    <x v="9"/>
    <x v="1"/>
    <n v="5"/>
    <n v="1.27"/>
    <n v="6.35"/>
    <n v="1.1399999999999999"/>
    <x v="43"/>
    <n v="38"/>
  </r>
  <r>
    <n v="8573"/>
    <x v="7"/>
    <x v="41"/>
    <x v="6"/>
    <x v="2"/>
    <n v="2"/>
    <n v="13.45"/>
    <n v="26.9"/>
    <n v="4.03"/>
    <x v="44"/>
    <n v="21"/>
  </r>
  <r>
    <n v="5422"/>
    <x v="6"/>
    <x v="42"/>
    <x v="4"/>
    <x v="14"/>
    <n v="2"/>
    <n v="20.329999999999998"/>
    <n v="40.659999999999997"/>
    <n v="4"/>
    <x v="45"/>
    <n v="181"/>
  </r>
  <r>
    <n v="4598"/>
    <x v="8"/>
    <x v="43"/>
    <x v="7"/>
    <x v="6"/>
    <n v="4"/>
    <n v="1.71"/>
    <n v="6.84"/>
    <n v="0.68"/>
    <x v="46"/>
    <n v="377"/>
  </r>
  <r>
    <n v="6313"/>
    <x v="8"/>
    <x v="44"/>
    <x v="8"/>
    <x v="6"/>
    <n v="1"/>
    <n v="12.08"/>
    <n v="12.08"/>
    <n v="2.42"/>
    <x v="47"/>
    <n v="19"/>
  </r>
  <r>
    <n v="1916"/>
    <x v="8"/>
    <x v="45"/>
    <x v="10"/>
    <x v="4"/>
    <n v="3"/>
    <n v="24.79"/>
    <n v="74.37"/>
    <n v="14.87"/>
    <x v="48"/>
    <n v="446"/>
  </r>
  <r>
    <n v="1525"/>
    <x v="6"/>
    <x v="46"/>
    <x v="5"/>
    <x v="14"/>
    <n v="4"/>
    <n v="10.51"/>
    <n v="42.04"/>
    <n v="6.31"/>
    <x v="49"/>
    <n v="442"/>
  </r>
  <r>
    <n v="6168"/>
    <x v="7"/>
    <x v="47"/>
    <x v="5"/>
    <x v="15"/>
    <n v="4"/>
    <n v="20.7"/>
    <n v="82.8"/>
    <n v="1.46"/>
    <x v="50"/>
    <n v="431"/>
  </r>
  <r>
    <n v="5386"/>
    <x v="5"/>
    <x v="48"/>
    <x v="7"/>
    <x v="0"/>
    <n v="1"/>
    <n v="4.13"/>
    <n v="4.13"/>
    <n v="0"/>
    <x v="51"/>
    <n v="222"/>
  </r>
  <r>
    <n v="4456"/>
    <x v="7"/>
    <x v="49"/>
    <x v="3"/>
    <x v="15"/>
    <n v="1"/>
    <n v="12.16"/>
    <n v="12.16"/>
    <n v="1.82"/>
    <x v="52"/>
    <n v="295"/>
  </r>
  <r>
    <n v="6155"/>
    <x v="6"/>
    <x v="50"/>
    <x v="3"/>
    <x v="10"/>
    <n v="5"/>
    <n v="27.83"/>
    <n v="139.15"/>
    <n v="20.87"/>
    <x v="53"/>
    <n v="275"/>
  </r>
  <r>
    <n v="9179"/>
    <x v="3"/>
    <x v="51"/>
    <x v="1"/>
    <x v="3"/>
    <n v="5"/>
    <n v="10.09"/>
    <n v="50.45"/>
    <n v="0"/>
    <x v="54"/>
    <n v="434"/>
  </r>
  <r>
    <n v="8517"/>
    <x v="5"/>
    <x v="52"/>
    <x v="9"/>
    <x v="9"/>
    <n v="4"/>
    <n v="10.45"/>
    <n v="41.8"/>
    <n v="1.51"/>
    <x v="55"/>
    <n v="356"/>
  </r>
  <r>
    <n v="5339"/>
    <x v="3"/>
    <x v="2"/>
    <x v="5"/>
    <x v="7"/>
    <n v="2"/>
    <n v="18.84"/>
    <n v="37.68"/>
    <n v="4.33"/>
    <x v="56"/>
    <n v="154"/>
  </r>
  <r>
    <n v="5040"/>
    <x v="5"/>
    <x v="53"/>
    <x v="8"/>
    <x v="14"/>
    <n v="4"/>
    <n v="23.78"/>
    <n v="95.12"/>
    <n v="9.51"/>
    <x v="57"/>
    <n v="310"/>
  </r>
  <r>
    <n v="9830"/>
    <x v="4"/>
    <x v="54"/>
    <x v="10"/>
    <x v="14"/>
    <n v="5"/>
    <n v="14.71"/>
    <n v="73.55"/>
    <n v="0"/>
    <x v="58"/>
    <n v="461"/>
  </r>
  <r>
    <n v="8019"/>
    <x v="0"/>
    <x v="55"/>
    <x v="8"/>
    <x v="15"/>
    <n v="5"/>
    <n v="10.71"/>
    <n v="53.55"/>
    <n v="0"/>
    <x v="59"/>
    <n v="419"/>
  </r>
  <r>
    <n v="7543"/>
    <x v="5"/>
    <x v="56"/>
    <x v="2"/>
    <x v="14"/>
    <n v="2"/>
    <n v="1.7"/>
    <n v="3.4"/>
    <n v="4.4000000000000004"/>
    <x v="60"/>
    <n v="125"/>
  </r>
  <r>
    <n v="4593"/>
    <x v="0"/>
    <x v="57"/>
    <x v="10"/>
    <x v="1"/>
    <n v="5"/>
    <n v="6.63"/>
    <n v="33.15"/>
    <n v="3.31"/>
    <x v="61"/>
    <n v="356"/>
  </r>
  <r>
    <n v="9348"/>
    <x v="3"/>
    <x v="58"/>
    <x v="2"/>
    <x v="12"/>
    <n v="1"/>
    <n v="26.88"/>
    <n v="26.88"/>
    <n v="2.69"/>
    <x v="62"/>
    <n v="440"/>
  </r>
  <r>
    <n v="2489"/>
    <x v="8"/>
    <x v="59"/>
    <x v="7"/>
    <x v="15"/>
    <n v="4"/>
    <n v="2.4500000000000002"/>
    <n v="9.8000000000000007"/>
    <n v="0.98"/>
    <x v="63"/>
    <n v="127"/>
  </r>
  <r>
    <n v="1771"/>
    <x v="2"/>
    <x v="60"/>
    <x v="10"/>
    <x v="15"/>
    <n v="5"/>
    <n v="18.260000000000002"/>
    <n v="91.3"/>
    <n v="4.26"/>
    <x v="64"/>
    <n v="486"/>
  </r>
  <r>
    <n v="2796"/>
    <x v="1"/>
    <x v="61"/>
    <x v="3"/>
    <x v="2"/>
    <n v="4"/>
    <n v="27.01"/>
    <n v="108.04"/>
    <n v="10.8"/>
    <x v="65"/>
    <n v="380"/>
  </r>
  <r>
    <n v="3621"/>
    <x v="5"/>
    <x v="62"/>
    <x v="2"/>
    <x v="0"/>
    <n v="5"/>
    <n v="15.04"/>
    <n v="75.2"/>
    <n v="7.52"/>
    <x v="66"/>
    <n v="122"/>
  </r>
  <r>
    <n v="7916"/>
    <x v="0"/>
    <x v="63"/>
    <x v="8"/>
    <x v="5"/>
    <n v="3"/>
    <n v="10.73"/>
    <n v="32.19"/>
    <n v="6.44"/>
    <x v="67"/>
    <n v="457"/>
  </r>
  <r>
    <n v="2040"/>
    <x v="2"/>
    <x v="64"/>
    <x v="2"/>
    <x v="7"/>
    <n v="2"/>
    <n v="21.48"/>
    <n v="42.96"/>
    <n v="4.3"/>
    <x v="68"/>
    <n v="32"/>
  </r>
  <r>
    <n v="7252"/>
    <x v="7"/>
    <x v="65"/>
    <x v="9"/>
    <x v="8"/>
    <n v="4"/>
    <n v="2.8"/>
    <n v="11.2"/>
    <n v="1.1200000000000001"/>
    <x v="69"/>
    <n v="426"/>
  </r>
  <r>
    <n v="8668"/>
    <x v="6"/>
    <x v="66"/>
    <x v="6"/>
    <x v="7"/>
    <n v="4"/>
    <n v="1.1599999999999999"/>
    <n v="4.6399999999999997"/>
    <n v="0.46"/>
    <x v="70"/>
    <n v="180"/>
  </r>
  <r>
    <n v="5119"/>
    <x v="3"/>
    <x v="67"/>
    <x v="9"/>
    <x v="2"/>
    <n v="5"/>
    <n v="27.03"/>
    <n v="135.15"/>
    <n v="20.27"/>
    <x v="71"/>
    <n v="249"/>
  </r>
  <r>
    <n v="1188"/>
    <x v="3"/>
    <x v="68"/>
    <x v="10"/>
    <x v="10"/>
    <n v="4"/>
    <n v="10.74"/>
    <n v="42.96"/>
    <n v="0"/>
    <x v="72"/>
    <n v="347"/>
  </r>
  <r>
    <n v="2876"/>
    <x v="2"/>
    <x v="69"/>
    <x v="10"/>
    <x v="12"/>
    <n v="5"/>
    <n v="16.48"/>
    <n v="82.4"/>
    <n v="3.26"/>
    <x v="73"/>
    <n v="464"/>
  </r>
  <r>
    <n v="9797"/>
    <x v="6"/>
    <x v="70"/>
    <x v="1"/>
    <x v="1"/>
    <n v="2"/>
    <n v="26.13"/>
    <n v="52.26"/>
    <n v="7.84"/>
    <x v="74"/>
    <n v="93"/>
  </r>
  <r>
    <n v="5371"/>
    <x v="3"/>
    <x v="71"/>
    <x v="4"/>
    <x v="14"/>
    <n v="4"/>
    <n v="10.47"/>
    <n v="41.88"/>
    <n v="6.28"/>
    <x v="75"/>
    <n v="389"/>
  </r>
  <r>
    <n v="6573"/>
    <x v="3"/>
    <x v="72"/>
    <x v="8"/>
    <x v="13"/>
    <n v="4"/>
    <n v="1.55"/>
    <n v="6.2"/>
    <n v="0.93"/>
    <x v="76"/>
    <n v="276"/>
  </r>
  <r>
    <n v="5808"/>
    <x v="8"/>
    <x v="73"/>
    <x v="5"/>
    <x v="13"/>
    <n v="1"/>
    <n v="22.86"/>
    <n v="22.86"/>
    <n v="4.57"/>
    <x v="77"/>
    <n v="486"/>
  </r>
  <r>
    <n v="3591"/>
    <x v="6"/>
    <x v="34"/>
    <x v="6"/>
    <x v="12"/>
    <n v="2"/>
    <n v="4.6500000000000004"/>
    <n v="9.3000000000000007"/>
    <n v="4.79"/>
    <x v="78"/>
    <n v="342"/>
  </r>
  <r>
    <n v="1053"/>
    <x v="4"/>
    <x v="74"/>
    <x v="8"/>
    <x v="4"/>
    <n v="2"/>
    <n v="18.559999999999999"/>
    <n v="37.119999999999997"/>
    <n v="7.42"/>
    <x v="79"/>
    <n v="493"/>
  </r>
  <r>
    <n v="5315"/>
    <x v="5"/>
    <x v="75"/>
    <x v="1"/>
    <x v="10"/>
    <n v="3"/>
    <n v="17.690000000000001"/>
    <n v="53.07"/>
    <n v="5.31"/>
    <x v="80"/>
    <n v="464"/>
  </r>
  <r>
    <n v="3927"/>
    <x v="8"/>
    <x v="76"/>
    <x v="1"/>
    <x v="5"/>
    <n v="1"/>
    <n v="21.21"/>
    <n v="21.21"/>
    <n v="4.13"/>
    <x v="81"/>
    <n v="154"/>
  </r>
  <r>
    <n v="2743"/>
    <x v="7"/>
    <x v="77"/>
    <x v="9"/>
    <x v="1"/>
    <n v="3"/>
    <n v="2.99"/>
    <n v="8.9700000000000006"/>
    <n v="4.4000000000000004"/>
    <x v="82"/>
    <n v="331"/>
  </r>
  <r>
    <n v="5889"/>
    <x v="4"/>
    <x v="78"/>
    <x v="1"/>
    <x v="1"/>
    <n v="3"/>
    <n v="19.420000000000002"/>
    <n v="58.26"/>
    <n v="0"/>
    <x v="83"/>
    <n v="424"/>
  </r>
  <r>
    <n v="9317"/>
    <x v="2"/>
    <x v="39"/>
    <x v="3"/>
    <x v="6"/>
    <n v="5"/>
    <n v="28.99"/>
    <n v="144.94999999999999"/>
    <n v="14.49"/>
    <x v="84"/>
    <n v="138"/>
  </r>
  <r>
    <n v="4258"/>
    <x v="3"/>
    <x v="61"/>
    <x v="6"/>
    <x v="0"/>
    <n v="3"/>
    <n v="25.69"/>
    <n v="77.069999999999993"/>
    <n v="11.56"/>
    <x v="85"/>
    <n v="425"/>
  </r>
  <r>
    <n v="7126"/>
    <x v="4"/>
    <x v="79"/>
    <x v="2"/>
    <x v="8"/>
    <n v="5"/>
    <n v="18.690000000000001"/>
    <n v="93.45"/>
    <n v="2.98"/>
    <x v="86"/>
    <n v="194"/>
  </r>
  <r>
    <n v="3646"/>
    <x v="7"/>
    <x v="80"/>
    <x v="7"/>
    <x v="16"/>
    <n v="2"/>
    <n v="11.28"/>
    <n v="22.56"/>
    <n v="3.38"/>
    <x v="87"/>
    <n v="132"/>
  </r>
  <r>
    <n v="9689"/>
    <x v="5"/>
    <x v="81"/>
    <x v="9"/>
    <x v="10"/>
    <n v="5"/>
    <n v="28.48"/>
    <n v="142.4"/>
    <n v="0"/>
    <x v="88"/>
    <n v="43"/>
  </r>
  <r>
    <n v="1009"/>
    <x v="3"/>
    <x v="82"/>
    <x v="10"/>
    <x v="2"/>
    <n v="2"/>
    <n v="21.02"/>
    <n v="42.04"/>
    <n v="4.2"/>
    <x v="89"/>
    <n v="330"/>
  </r>
  <r>
    <n v="6310"/>
    <x v="6"/>
    <x v="83"/>
    <x v="1"/>
    <x v="9"/>
    <n v="2"/>
    <n v="12.72"/>
    <n v="25.44"/>
    <n v="0"/>
    <x v="90"/>
    <n v="124"/>
  </r>
  <r>
    <n v="1319"/>
    <x v="7"/>
    <x v="72"/>
    <x v="10"/>
    <x v="2"/>
    <n v="5"/>
    <n v="10.96"/>
    <n v="54.8"/>
    <n v="8.2200000000000006"/>
    <x v="91"/>
    <n v="381"/>
  </r>
  <r>
    <n v="6947"/>
    <x v="4"/>
    <x v="84"/>
    <x v="8"/>
    <x v="9"/>
    <n v="3"/>
    <n v="7.68"/>
    <n v="23.04"/>
    <n v="3.46"/>
    <x v="92"/>
    <n v="369"/>
  </r>
  <r>
    <n v="6038"/>
    <x v="0"/>
    <x v="85"/>
    <x v="9"/>
    <x v="6"/>
    <n v="2"/>
    <n v="7.27"/>
    <n v="14.54"/>
    <n v="0"/>
    <x v="93"/>
    <n v="247"/>
  </r>
  <r>
    <n v="1949"/>
    <x v="1"/>
    <x v="86"/>
    <x v="6"/>
    <x v="9"/>
    <n v="1"/>
    <n v="25.14"/>
    <n v="25.14"/>
    <n v="3.77"/>
    <x v="94"/>
    <n v="151"/>
  </r>
  <r>
    <n v="2290"/>
    <x v="2"/>
    <x v="87"/>
    <x v="8"/>
    <x v="10"/>
    <n v="5"/>
    <n v="4.66"/>
    <n v="23.3"/>
    <n v="2.17"/>
    <x v="95"/>
    <n v="23"/>
  </r>
  <r>
    <n v="8962"/>
    <x v="2"/>
    <x v="88"/>
    <x v="5"/>
    <x v="16"/>
    <n v="1"/>
    <n v="26.3"/>
    <n v="26.3"/>
    <n v="2.63"/>
    <x v="96"/>
    <n v="293"/>
  </r>
  <r>
    <n v="2133"/>
    <x v="4"/>
    <x v="89"/>
    <x v="10"/>
    <x v="3"/>
    <n v="2"/>
    <n v="28.99"/>
    <n v="57.98"/>
    <n v="4.29"/>
    <x v="97"/>
    <n v="129"/>
  </r>
  <r>
    <n v="9727"/>
    <x v="3"/>
    <x v="90"/>
    <x v="10"/>
    <x v="13"/>
    <n v="5"/>
    <n v="19.239999999999998"/>
    <n v="96.2"/>
    <n v="19.239999999999998"/>
    <x v="98"/>
    <n v="27"/>
  </r>
  <r>
    <n v="3060"/>
    <x v="5"/>
    <x v="91"/>
    <x v="1"/>
    <x v="5"/>
    <n v="1"/>
    <n v="17.170000000000002"/>
    <n v="17.170000000000002"/>
    <n v="2.52"/>
    <x v="99"/>
    <n v="213"/>
  </r>
  <r>
    <n v="8787"/>
    <x v="4"/>
    <x v="92"/>
    <x v="8"/>
    <x v="1"/>
    <n v="3"/>
    <n v="17.48"/>
    <n v="52.44"/>
    <n v="10.49"/>
    <x v="100"/>
    <n v="30"/>
  </r>
  <r>
    <n v="3705"/>
    <x v="8"/>
    <x v="93"/>
    <x v="8"/>
    <x v="13"/>
    <n v="2"/>
    <n v="7.95"/>
    <n v="15.9"/>
    <n v="3.18"/>
    <x v="101"/>
    <n v="282"/>
  </r>
  <r>
    <n v="9645"/>
    <x v="6"/>
    <x v="94"/>
    <x v="3"/>
    <x v="8"/>
    <n v="5"/>
    <n v="14.62"/>
    <n v="73.099999999999994"/>
    <n v="10.96"/>
    <x v="102"/>
    <n v="16"/>
  </r>
  <r>
    <n v="7932"/>
    <x v="5"/>
    <x v="95"/>
    <x v="10"/>
    <x v="13"/>
    <n v="2"/>
    <n v="27.78"/>
    <n v="55.56"/>
    <n v="5.56"/>
    <x v="103"/>
    <n v="403"/>
  </r>
  <r>
    <n v="9835"/>
    <x v="0"/>
    <x v="96"/>
    <x v="9"/>
    <x v="5"/>
    <n v="2"/>
    <n v="27.33"/>
    <n v="54.66"/>
    <n v="1.24"/>
    <x v="104"/>
    <n v="423"/>
  </r>
  <r>
    <n v="4295"/>
    <x v="5"/>
    <x v="97"/>
    <x v="6"/>
    <x v="9"/>
    <n v="4"/>
    <n v="4.5999999999999996"/>
    <n v="18.399999999999999"/>
    <n v="0"/>
    <x v="105"/>
    <n v="352"/>
  </r>
  <r>
    <n v="6107"/>
    <x v="3"/>
    <x v="98"/>
    <x v="8"/>
    <x v="15"/>
    <n v="5"/>
    <n v="15.31"/>
    <n v="76.55"/>
    <n v="7.66"/>
    <x v="106"/>
    <n v="41"/>
  </r>
  <r>
    <n v="7118"/>
    <x v="7"/>
    <x v="99"/>
    <x v="6"/>
    <x v="0"/>
    <n v="1"/>
    <n v="3.64"/>
    <n v="3.64"/>
    <n v="0"/>
    <x v="107"/>
    <n v="492"/>
  </r>
  <r>
    <n v="9479"/>
    <x v="5"/>
    <x v="100"/>
    <x v="6"/>
    <x v="11"/>
    <n v="2"/>
    <n v="14.63"/>
    <n v="29.26"/>
    <n v="4.3899999999999997"/>
    <x v="108"/>
    <n v="333"/>
  </r>
  <r>
    <n v="2982"/>
    <x v="2"/>
    <x v="101"/>
    <x v="6"/>
    <x v="1"/>
    <n v="4"/>
    <n v="29.09"/>
    <n v="116.36"/>
    <n v="11.64"/>
    <x v="109"/>
    <n v="240"/>
  </r>
  <r>
    <n v="4681"/>
    <x v="7"/>
    <x v="102"/>
    <x v="4"/>
    <x v="17"/>
    <n v="2"/>
    <n v="10.55"/>
    <n v="21.1"/>
    <n v="3.17"/>
    <x v="110"/>
    <n v="355"/>
  </r>
  <r>
    <n v="6539"/>
    <x v="3"/>
    <x v="103"/>
    <x v="9"/>
    <x v="11"/>
    <n v="4"/>
    <n v="3.54"/>
    <n v="14.16"/>
    <n v="4.88"/>
    <x v="111"/>
    <n v="129"/>
  </r>
  <r>
    <n v="4770"/>
    <x v="3"/>
    <x v="104"/>
    <x v="9"/>
    <x v="10"/>
    <n v="5"/>
    <n v="14.39"/>
    <n v="71.95"/>
    <n v="2.4500000000000002"/>
    <x v="112"/>
    <n v="27"/>
  </r>
  <r>
    <n v="4608"/>
    <x v="4"/>
    <x v="105"/>
    <x v="5"/>
    <x v="8"/>
    <n v="1"/>
    <n v="6.89"/>
    <n v="6.89"/>
    <n v="1.03"/>
    <x v="113"/>
    <n v="281"/>
  </r>
  <r>
    <n v="2163"/>
    <x v="4"/>
    <x v="106"/>
    <x v="10"/>
    <x v="17"/>
    <n v="1"/>
    <n v="29.21"/>
    <n v="29.21"/>
    <n v="0"/>
    <x v="114"/>
    <n v="311"/>
  </r>
  <r>
    <n v="1964"/>
    <x v="2"/>
    <x v="45"/>
    <x v="8"/>
    <x v="2"/>
    <n v="1"/>
    <n v="17.010000000000002"/>
    <n v="17.010000000000002"/>
    <n v="2.85"/>
    <x v="115"/>
    <n v="47"/>
  </r>
  <r>
    <n v="2104"/>
    <x v="0"/>
    <x v="107"/>
    <x v="5"/>
    <x v="12"/>
    <n v="4"/>
    <n v="28.04"/>
    <n v="112.16"/>
    <n v="11.22"/>
    <x v="116"/>
    <n v="149"/>
  </r>
  <r>
    <n v="1514"/>
    <x v="4"/>
    <x v="108"/>
    <x v="10"/>
    <x v="5"/>
    <n v="4"/>
    <n v="16.98"/>
    <n v="67.92"/>
    <n v="3.03"/>
    <x v="117"/>
    <n v="196"/>
  </r>
  <r>
    <n v="6413"/>
    <x v="2"/>
    <x v="109"/>
    <x v="1"/>
    <x v="0"/>
    <n v="4"/>
    <n v="10.85"/>
    <n v="43.4"/>
    <n v="2.13"/>
    <x v="118"/>
    <n v="403"/>
  </r>
  <r>
    <n v="9423"/>
    <x v="5"/>
    <x v="110"/>
    <x v="6"/>
    <x v="16"/>
    <n v="2"/>
    <n v="13.94"/>
    <n v="27.88"/>
    <n v="4.18"/>
    <x v="119"/>
    <n v="247"/>
  </r>
  <r>
    <n v="5562"/>
    <x v="1"/>
    <x v="111"/>
    <x v="9"/>
    <x v="7"/>
    <n v="4"/>
    <n v="28.04"/>
    <n v="112.16"/>
    <n v="0"/>
    <x v="120"/>
    <n v="445"/>
  </r>
  <r>
    <n v="8953"/>
    <x v="8"/>
    <x v="112"/>
    <x v="6"/>
    <x v="7"/>
    <n v="2"/>
    <n v="25.81"/>
    <n v="51.62"/>
    <n v="7.74"/>
    <x v="121"/>
    <n v="210"/>
  </r>
  <r>
    <n v="9834"/>
    <x v="4"/>
    <x v="113"/>
    <x v="3"/>
    <x v="7"/>
    <n v="2"/>
    <n v="15.35"/>
    <n v="30.7"/>
    <n v="4.8600000000000003"/>
    <x v="122"/>
    <n v="18"/>
  </r>
  <r>
    <n v="8744"/>
    <x v="7"/>
    <x v="114"/>
    <x v="1"/>
    <x v="8"/>
    <n v="1"/>
    <n v="16.239999999999998"/>
    <n v="16.239999999999998"/>
    <n v="0"/>
    <x v="123"/>
    <n v="233"/>
  </r>
  <r>
    <n v="8749"/>
    <x v="2"/>
    <x v="115"/>
    <x v="3"/>
    <x v="12"/>
    <n v="1"/>
    <n v="14.61"/>
    <n v="14.61"/>
    <n v="2.19"/>
    <x v="124"/>
    <n v="496"/>
  </r>
  <r>
    <n v="7669"/>
    <x v="3"/>
    <x v="116"/>
    <x v="5"/>
    <x v="13"/>
    <n v="3"/>
    <n v="25.71"/>
    <n v="77.13"/>
    <n v="11.57"/>
    <x v="125"/>
    <n v="439"/>
  </r>
  <r>
    <n v="2545"/>
    <x v="4"/>
    <x v="117"/>
    <x v="9"/>
    <x v="11"/>
    <n v="5"/>
    <n v="2.97"/>
    <n v="14.85"/>
    <n v="2.97"/>
    <x v="126"/>
    <n v="323"/>
  </r>
  <r>
    <n v="8062"/>
    <x v="0"/>
    <x v="36"/>
    <x v="3"/>
    <x v="17"/>
    <n v="1"/>
    <n v="13.86"/>
    <n v="13.86"/>
    <n v="1.18"/>
    <x v="127"/>
    <n v="355"/>
  </r>
  <r>
    <n v="7939"/>
    <x v="6"/>
    <x v="118"/>
    <x v="8"/>
    <x v="4"/>
    <n v="3"/>
    <n v="13.48"/>
    <n v="40.44"/>
    <n v="3.73"/>
    <x v="128"/>
    <n v="125"/>
  </r>
  <r>
    <n v="8651"/>
    <x v="2"/>
    <x v="119"/>
    <x v="7"/>
    <x v="6"/>
    <n v="1"/>
    <n v="18.670000000000002"/>
    <n v="18.670000000000002"/>
    <n v="1.87"/>
    <x v="129"/>
    <n v="195"/>
  </r>
  <r>
    <n v="1887"/>
    <x v="2"/>
    <x v="120"/>
    <x v="2"/>
    <x v="8"/>
    <n v="3"/>
    <n v="14.32"/>
    <n v="42.96"/>
    <n v="4.3"/>
    <x v="68"/>
    <n v="341"/>
  </r>
  <r>
    <n v="2612"/>
    <x v="5"/>
    <x v="121"/>
    <x v="5"/>
    <x v="2"/>
    <n v="2"/>
    <n v="3.13"/>
    <n v="6.26"/>
    <n v="2.2000000000000002"/>
    <x v="130"/>
    <n v="483"/>
  </r>
  <r>
    <n v="7596"/>
    <x v="3"/>
    <x v="122"/>
    <x v="8"/>
    <x v="8"/>
    <n v="3"/>
    <n v="6.77"/>
    <n v="20.309999999999999"/>
    <n v="1.95"/>
    <x v="131"/>
    <n v="196"/>
  </r>
  <r>
    <n v="6559"/>
    <x v="7"/>
    <x v="123"/>
    <x v="6"/>
    <x v="9"/>
    <n v="3"/>
    <n v="1.63"/>
    <n v="4.8899999999999997"/>
    <n v="0.73"/>
    <x v="132"/>
    <n v="424"/>
  </r>
  <r>
    <n v="2790"/>
    <x v="6"/>
    <x v="124"/>
    <x v="6"/>
    <x v="11"/>
    <n v="5"/>
    <n v="22.6"/>
    <n v="113"/>
    <n v="22.6"/>
    <x v="133"/>
    <n v="426"/>
  </r>
  <r>
    <n v="4139"/>
    <x v="7"/>
    <x v="116"/>
    <x v="2"/>
    <x v="14"/>
    <n v="5"/>
    <n v="8.26"/>
    <n v="41.3"/>
    <n v="0"/>
    <x v="134"/>
    <n v="386"/>
  </r>
  <r>
    <n v="9786"/>
    <x v="0"/>
    <x v="12"/>
    <x v="5"/>
    <x v="11"/>
    <n v="3"/>
    <n v="23.86"/>
    <n v="71.58"/>
    <n v="0"/>
    <x v="135"/>
    <n v="17"/>
  </r>
  <r>
    <n v="3296"/>
    <x v="2"/>
    <x v="125"/>
    <x v="1"/>
    <x v="9"/>
    <n v="3"/>
    <n v="22.67"/>
    <n v="68.010000000000005"/>
    <n v="13.6"/>
    <x v="136"/>
    <n v="89"/>
  </r>
  <r>
    <n v="4006"/>
    <x v="1"/>
    <x v="126"/>
    <x v="4"/>
    <x v="15"/>
    <n v="5"/>
    <n v="27.48"/>
    <n v="137.4"/>
    <n v="20.61"/>
    <x v="137"/>
    <n v="425"/>
  </r>
  <r>
    <n v="8579"/>
    <x v="4"/>
    <x v="127"/>
    <x v="8"/>
    <x v="3"/>
    <n v="1"/>
    <n v="14.57"/>
    <n v="14.57"/>
    <n v="2.91"/>
    <x v="138"/>
    <n v="38"/>
  </r>
  <r>
    <n v="2235"/>
    <x v="3"/>
    <x v="128"/>
    <x v="9"/>
    <x v="4"/>
    <n v="1"/>
    <n v="23.92"/>
    <n v="23.92"/>
    <n v="1.49"/>
    <x v="139"/>
    <n v="7"/>
  </r>
  <r>
    <n v="2604"/>
    <x v="7"/>
    <x v="129"/>
    <x v="5"/>
    <x v="0"/>
    <n v="5"/>
    <n v="12.04"/>
    <n v="60.2"/>
    <n v="3.7"/>
    <x v="140"/>
    <n v="326"/>
  </r>
  <r>
    <n v="9856"/>
    <x v="4"/>
    <x v="130"/>
    <x v="0"/>
    <x v="2"/>
    <n v="3"/>
    <n v="27.53"/>
    <n v="82.59"/>
    <n v="0"/>
    <x v="141"/>
    <n v="113"/>
  </r>
  <r>
    <n v="1241"/>
    <x v="4"/>
    <x v="6"/>
    <x v="8"/>
    <x v="1"/>
    <n v="1"/>
    <n v="5.04"/>
    <n v="5.04"/>
    <n v="0.76"/>
    <x v="142"/>
    <n v="484"/>
  </r>
  <r>
    <n v="4872"/>
    <x v="4"/>
    <x v="131"/>
    <x v="1"/>
    <x v="17"/>
    <n v="2"/>
    <n v="26.72"/>
    <n v="53.44"/>
    <n v="5.34"/>
    <x v="143"/>
    <n v="69"/>
  </r>
  <r>
    <n v="7658"/>
    <x v="7"/>
    <x v="132"/>
    <x v="5"/>
    <x v="2"/>
    <n v="4"/>
    <n v="18.02"/>
    <n v="72.08"/>
    <n v="7.21"/>
    <x v="144"/>
    <n v="372"/>
  </r>
  <r>
    <n v="8886"/>
    <x v="0"/>
    <x v="112"/>
    <x v="10"/>
    <x v="1"/>
    <n v="3"/>
    <n v="1.94"/>
    <n v="5.82"/>
    <n v="0.57999999999999996"/>
    <x v="145"/>
    <n v="189"/>
  </r>
  <r>
    <n v="7570"/>
    <x v="4"/>
    <x v="133"/>
    <x v="2"/>
    <x v="4"/>
    <n v="1"/>
    <n v="29.44"/>
    <n v="29.44"/>
    <n v="2.59"/>
    <x v="146"/>
    <n v="188"/>
  </r>
  <r>
    <n v="1960"/>
    <x v="8"/>
    <x v="134"/>
    <x v="1"/>
    <x v="8"/>
    <n v="1"/>
    <n v="20.21"/>
    <n v="20.21"/>
    <n v="4.1500000000000004"/>
    <x v="147"/>
    <n v="328"/>
  </r>
  <r>
    <n v="7209"/>
    <x v="8"/>
    <x v="135"/>
    <x v="7"/>
    <x v="14"/>
    <n v="1"/>
    <n v="25.05"/>
    <n v="25.05"/>
    <n v="1.86"/>
    <x v="148"/>
    <n v="283"/>
  </r>
  <r>
    <n v="7396"/>
    <x v="8"/>
    <x v="93"/>
    <x v="4"/>
    <x v="12"/>
    <n v="5"/>
    <n v="1.07"/>
    <n v="5.35"/>
    <n v="1.07"/>
    <x v="142"/>
    <n v="439"/>
  </r>
  <r>
    <n v="8454"/>
    <x v="1"/>
    <x v="136"/>
    <x v="8"/>
    <x v="6"/>
    <n v="1"/>
    <n v="20.16"/>
    <n v="20.16"/>
    <n v="2.4300000000000002"/>
    <x v="149"/>
    <n v="13"/>
  </r>
  <r>
    <n v="7930"/>
    <x v="8"/>
    <x v="137"/>
    <x v="6"/>
    <x v="3"/>
    <n v="1"/>
    <n v="6.04"/>
    <n v="6.04"/>
    <n v="0"/>
    <x v="150"/>
    <n v="26"/>
  </r>
  <r>
    <n v="8973"/>
    <x v="3"/>
    <x v="17"/>
    <x v="9"/>
    <x v="17"/>
    <n v="1"/>
    <n v="14.8"/>
    <n v="14.8"/>
    <n v="3.37"/>
    <x v="151"/>
    <n v="398"/>
  </r>
  <r>
    <n v="4111"/>
    <x v="4"/>
    <x v="138"/>
    <x v="9"/>
    <x v="5"/>
    <n v="5"/>
    <n v="2.25"/>
    <n v="11.25"/>
    <n v="1.1200000000000001"/>
    <x v="152"/>
    <n v="401"/>
  </r>
  <r>
    <n v="4566"/>
    <x v="6"/>
    <x v="139"/>
    <x v="0"/>
    <x v="16"/>
    <n v="4"/>
    <n v="13.35"/>
    <n v="53.4"/>
    <n v="0"/>
    <x v="153"/>
    <n v="55"/>
  </r>
  <r>
    <n v="9883"/>
    <x v="4"/>
    <x v="121"/>
    <x v="1"/>
    <x v="13"/>
    <n v="3"/>
    <n v="18.63"/>
    <n v="55.89"/>
    <n v="8.3800000000000008"/>
    <x v="154"/>
    <n v="33"/>
  </r>
  <r>
    <n v="6138"/>
    <x v="1"/>
    <x v="140"/>
    <x v="4"/>
    <x v="7"/>
    <n v="5"/>
    <n v="16.38"/>
    <n v="81.900000000000006"/>
    <n v="4.17"/>
    <x v="155"/>
    <n v="232"/>
  </r>
  <r>
    <n v="1821"/>
    <x v="0"/>
    <x v="141"/>
    <x v="5"/>
    <x v="2"/>
    <n v="2"/>
    <n v="13.46"/>
    <n v="26.92"/>
    <n v="2.69"/>
    <x v="156"/>
    <n v="454"/>
  </r>
  <r>
    <n v="8811"/>
    <x v="7"/>
    <x v="142"/>
    <x v="10"/>
    <x v="7"/>
    <n v="4"/>
    <n v="22.15"/>
    <n v="88.6"/>
    <n v="13.29"/>
    <x v="157"/>
    <n v="160"/>
  </r>
  <r>
    <n v="9701"/>
    <x v="5"/>
    <x v="143"/>
    <x v="4"/>
    <x v="12"/>
    <n v="4"/>
    <n v="2.94"/>
    <n v="11.76"/>
    <n v="2.73"/>
    <x v="158"/>
    <n v="425"/>
  </r>
  <r>
    <n v="1931"/>
    <x v="7"/>
    <x v="76"/>
    <x v="7"/>
    <x v="2"/>
    <n v="1"/>
    <n v="18"/>
    <n v="18"/>
    <n v="0"/>
    <x v="159"/>
    <n v="287"/>
  </r>
  <r>
    <n v="2312"/>
    <x v="0"/>
    <x v="144"/>
    <x v="3"/>
    <x v="4"/>
    <n v="4"/>
    <n v="26.16"/>
    <n v="104.64"/>
    <n v="15.7"/>
    <x v="160"/>
    <n v="369"/>
  </r>
  <r>
    <n v="4044"/>
    <x v="5"/>
    <x v="145"/>
    <x v="4"/>
    <x v="17"/>
    <n v="5"/>
    <n v="15.7"/>
    <n v="78.5"/>
    <n v="15.7"/>
    <x v="161"/>
    <n v="79"/>
  </r>
  <r>
    <n v="2113"/>
    <x v="0"/>
    <x v="146"/>
    <x v="4"/>
    <x v="2"/>
    <n v="3"/>
    <n v="4.32"/>
    <n v="12.96"/>
    <n v="1.3"/>
    <x v="138"/>
    <n v="142"/>
  </r>
  <r>
    <n v="4853"/>
    <x v="1"/>
    <x v="147"/>
    <x v="6"/>
    <x v="2"/>
    <n v="1"/>
    <n v="18.649999999999999"/>
    <n v="18.649999999999999"/>
    <n v="1.72"/>
    <x v="162"/>
    <n v="336"/>
  </r>
  <r>
    <n v="2964"/>
    <x v="5"/>
    <x v="148"/>
    <x v="4"/>
    <x v="4"/>
    <n v="1"/>
    <n v="6.25"/>
    <n v="6.25"/>
    <n v="1.57"/>
    <x v="163"/>
    <n v="73"/>
  </r>
  <r>
    <n v="5033"/>
    <x v="6"/>
    <x v="149"/>
    <x v="1"/>
    <x v="15"/>
    <n v="2"/>
    <n v="11.9"/>
    <n v="23.8"/>
    <n v="4.76"/>
    <x v="164"/>
    <n v="232"/>
  </r>
  <r>
    <n v="1651"/>
    <x v="7"/>
    <x v="150"/>
    <x v="8"/>
    <x v="3"/>
    <n v="5"/>
    <n v="18.28"/>
    <n v="91.4"/>
    <n v="18.28"/>
    <x v="165"/>
    <n v="452"/>
  </r>
  <r>
    <n v="2343"/>
    <x v="2"/>
    <x v="11"/>
    <x v="6"/>
    <x v="11"/>
    <n v="1"/>
    <n v="8.8800000000000008"/>
    <n v="8.8800000000000008"/>
    <n v="0.89"/>
    <x v="166"/>
    <n v="338"/>
  </r>
  <r>
    <n v="9565"/>
    <x v="4"/>
    <x v="151"/>
    <x v="3"/>
    <x v="0"/>
    <n v="2"/>
    <n v="22.88"/>
    <n v="45.76"/>
    <n v="4.58"/>
    <x v="167"/>
    <n v="58"/>
  </r>
  <r>
    <n v="5272"/>
    <x v="0"/>
    <x v="152"/>
    <x v="8"/>
    <x v="16"/>
    <n v="5"/>
    <n v="20.34"/>
    <n v="101.7"/>
    <n v="10.17"/>
    <x v="168"/>
    <n v="23"/>
  </r>
  <r>
    <n v="6147"/>
    <x v="6"/>
    <x v="85"/>
    <x v="0"/>
    <x v="14"/>
    <n v="3"/>
    <n v="28.4"/>
    <n v="85.2"/>
    <n v="12.78"/>
    <x v="169"/>
    <n v="392"/>
  </r>
  <r>
    <n v="5351"/>
    <x v="5"/>
    <x v="51"/>
    <x v="4"/>
    <x v="17"/>
    <n v="1"/>
    <n v="15.41"/>
    <n v="15.41"/>
    <n v="3.08"/>
    <x v="170"/>
    <n v="220"/>
  </r>
  <r>
    <n v="3144"/>
    <x v="3"/>
    <x v="153"/>
    <x v="9"/>
    <x v="5"/>
    <n v="5"/>
    <n v="17.190000000000001"/>
    <n v="85.95"/>
    <n v="2.59"/>
    <x v="171"/>
    <n v="342"/>
  </r>
  <r>
    <n v="5915"/>
    <x v="6"/>
    <x v="154"/>
    <x v="3"/>
    <x v="10"/>
    <n v="4"/>
    <n v="27.7"/>
    <n v="110.8"/>
    <n v="2.72"/>
    <x v="172"/>
    <n v="441"/>
  </r>
  <r>
    <n v="6180"/>
    <x v="3"/>
    <x v="155"/>
    <x v="5"/>
    <x v="1"/>
    <n v="3"/>
    <n v="4.33"/>
    <n v="12.99"/>
    <n v="2.6"/>
    <x v="173"/>
    <n v="10"/>
  </r>
  <r>
    <n v="2188"/>
    <x v="4"/>
    <x v="156"/>
    <x v="4"/>
    <x v="13"/>
    <n v="4"/>
    <n v="25.48"/>
    <n v="101.92"/>
    <n v="2.6"/>
    <x v="174"/>
    <n v="124"/>
  </r>
  <r>
    <n v="8508"/>
    <x v="0"/>
    <x v="157"/>
    <x v="3"/>
    <x v="9"/>
    <n v="3"/>
    <n v="7.42"/>
    <n v="22.26"/>
    <n v="3.04"/>
    <x v="175"/>
    <n v="398"/>
  </r>
  <r>
    <n v="2638"/>
    <x v="0"/>
    <x v="158"/>
    <x v="9"/>
    <x v="15"/>
    <n v="2"/>
    <n v="27.26"/>
    <n v="54.52"/>
    <n v="0"/>
    <x v="176"/>
    <n v="178"/>
  </r>
  <r>
    <n v="9808"/>
    <x v="2"/>
    <x v="50"/>
    <x v="2"/>
    <x v="17"/>
    <n v="2"/>
    <n v="8.41"/>
    <n v="16.82"/>
    <n v="0"/>
    <x v="177"/>
    <n v="88"/>
  </r>
  <r>
    <n v="9288"/>
    <x v="0"/>
    <x v="93"/>
    <x v="7"/>
    <x v="16"/>
    <n v="4"/>
    <n v="22.87"/>
    <n v="91.48"/>
    <n v="0"/>
    <x v="178"/>
    <n v="389"/>
  </r>
  <r>
    <n v="3170"/>
    <x v="7"/>
    <x v="159"/>
    <x v="5"/>
    <x v="3"/>
    <n v="2"/>
    <n v="13.74"/>
    <n v="27.48"/>
    <n v="0"/>
    <x v="179"/>
    <n v="240"/>
  </r>
  <r>
    <n v="6718"/>
    <x v="5"/>
    <x v="160"/>
    <x v="8"/>
    <x v="11"/>
    <n v="3"/>
    <n v="15.7"/>
    <n v="47.1"/>
    <n v="4.71"/>
    <x v="180"/>
    <n v="158"/>
  </r>
  <r>
    <n v="2127"/>
    <x v="6"/>
    <x v="84"/>
    <x v="0"/>
    <x v="4"/>
    <n v="3"/>
    <n v="3.22"/>
    <n v="9.66"/>
    <n v="3.38"/>
    <x v="181"/>
    <n v="442"/>
  </r>
  <r>
    <n v="5002"/>
    <x v="3"/>
    <x v="161"/>
    <x v="10"/>
    <x v="2"/>
    <n v="1"/>
    <n v="14.03"/>
    <n v="14.03"/>
    <n v="2.1"/>
    <x v="182"/>
    <n v="414"/>
  </r>
  <r>
    <n v="5669"/>
    <x v="4"/>
    <x v="143"/>
    <x v="9"/>
    <x v="12"/>
    <n v="1"/>
    <n v="14.06"/>
    <n v="14.06"/>
    <n v="0"/>
    <x v="183"/>
    <n v="415"/>
  </r>
  <r>
    <n v="8179"/>
    <x v="0"/>
    <x v="162"/>
    <x v="9"/>
    <x v="6"/>
    <n v="1"/>
    <n v="8.17"/>
    <n v="8.17"/>
    <n v="3.09"/>
    <x v="184"/>
    <n v="224"/>
  </r>
  <r>
    <n v="9900"/>
    <x v="2"/>
    <x v="163"/>
    <x v="4"/>
    <x v="4"/>
    <n v="3"/>
    <n v="12.23"/>
    <n v="36.69"/>
    <n v="0"/>
    <x v="185"/>
    <n v="396"/>
  </r>
  <r>
    <n v="5956"/>
    <x v="6"/>
    <x v="164"/>
    <x v="5"/>
    <x v="3"/>
    <n v="1"/>
    <n v="10.55"/>
    <n v="10.55"/>
    <n v="1.58"/>
    <x v="186"/>
    <n v="285"/>
  </r>
  <r>
    <n v="9666"/>
    <x v="5"/>
    <x v="165"/>
    <x v="5"/>
    <x v="12"/>
    <n v="3"/>
    <n v="3.35"/>
    <n v="10.050000000000001"/>
    <n v="1.51"/>
    <x v="187"/>
    <n v="339"/>
  </r>
  <r>
    <n v="5905"/>
    <x v="5"/>
    <x v="166"/>
    <x v="5"/>
    <x v="7"/>
    <n v="2"/>
    <n v="18.25"/>
    <n v="36.5"/>
    <n v="5.47"/>
    <x v="188"/>
    <n v="480"/>
  </r>
  <r>
    <n v="2697"/>
    <x v="1"/>
    <x v="167"/>
    <x v="3"/>
    <x v="3"/>
    <n v="2"/>
    <n v="20.420000000000002"/>
    <n v="40.840000000000003"/>
    <n v="0"/>
    <x v="189"/>
    <n v="424"/>
  </r>
  <r>
    <n v="3200"/>
    <x v="3"/>
    <x v="93"/>
    <x v="9"/>
    <x v="4"/>
    <n v="1"/>
    <n v="11.51"/>
    <n v="11.51"/>
    <n v="1.73"/>
    <x v="190"/>
    <n v="92"/>
  </r>
  <r>
    <n v="2891"/>
    <x v="4"/>
    <x v="148"/>
    <x v="2"/>
    <x v="5"/>
    <n v="2"/>
    <n v="5.48"/>
    <n v="10.96"/>
    <n v="4.08"/>
    <x v="191"/>
    <n v="151"/>
  </r>
  <r>
    <n v="2753"/>
    <x v="1"/>
    <x v="168"/>
    <x v="0"/>
    <x v="3"/>
    <n v="5"/>
    <n v="4.79"/>
    <n v="23.95"/>
    <n v="4.79"/>
    <x v="192"/>
    <n v="192"/>
  </r>
  <r>
    <n v="3546"/>
    <x v="2"/>
    <x v="169"/>
    <x v="6"/>
    <x v="6"/>
    <n v="4"/>
    <n v="2.2599999999999998"/>
    <n v="9.0399999999999991"/>
    <n v="0.9"/>
    <x v="193"/>
    <n v="186"/>
  </r>
  <r>
    <n v="5616"/>
    <x v="5"/>
    <x v="170"/>
    <x v="10"/>
    <x v="5"/>
    <n v="5"/>
    <n v="7.93"/>
    <n v="39.65"/>
    <n v="7.93"/>
    <x v="194"/>
    <n v="494"/>
  </r>
  <r>
    <n v="4450"/>
    <x v="7"/>
    <x v="171"/>
    <x v="5"/>
    <x v="8"/>
    <n v="4"/>
    <n v="23.3"/>
    <n v="93.2"/>
    <n v="3.11"/>
    <x v="195"/>
    <n v="398"/>
  </r>
  <r>
    <n v="6617"/>
    <x v="2"/>
    <x v="152"/>
    <x v="2"/>
    <x v="12"/>
    <n v="3"/>
    <n v="2.5"/>
    <n v="7.5"/>
    <n v="4.74"/>
    <x v="196"/>
    <n v="246"/>
  </r>
  <r>
    <n v="5325"/>
    <x v="1"/>
    <x v="172"/>
    <x v="1"/>
    <x v="9"/>
    <n v="1"/>
    <n v="23.12"/>
    <n v="23.12"/>
    <n v="1.59"/>
    <x v="197"/>
    <n v="139"/>
  </r>
  <r>
    <n v="9004"/>
    <x v="3"/>
    <x v="173"/>
    <x v="1"/>
    <x v="5"/>
    <n v="4"/>
    <n v="26.64"/>
    <n v="106.56"/>
    <n v="10.66"/>
    <x v="198"/>
    <n v="476"/>
  </r>
  <r>
    <n v="1832"/>
    <x v="6"/>
    <x v="174"/>
    <x v="3"/>
    <x v="15"/>
    <n v="3"/>
    <n v="7.83"/>
    <n v="23.49"/>
    <n v="4.7"/>
    <x v="199"/>
    <n v="41"/>
  </r>
  <r>
    <n v="7939"/>
    <x v="6"/>
    <x v="28"/>
    <x v="4"/>
    <x v="17"/>
    <n v="3"/>
    <n v="23.94"/>
    <n v="71.819999999999993"/>
    <n v="10.77"/>
    <x v="200"/>
    <n v="70"/>
  </r>
  <r>
    <n v="5533"/>
    <x v="4"/>
    <x v="175"/>
    <x v="7"/>
    <x v="16"/>
    <n v="4"/>
    <n v="18.84"/>
    <n v="75.36"/>
    <n v="2.02"/>
    <x v="201"/>
    <n v="463"/>
  </r>
  <r>
    <n v="1058"/>
    <x v="2"/>
    <x v="176"/>
    <x v="9"/>
    <x v="15"/>
    <n v="4"/>
    <n v="4.21"/>
    <n v="16.84"/>
    <n v="2.5299999999999998"/>
    <x v="202"/>
    <n v="147"/>
  </r>
  <r>
    <n v="3143"/>
    <x v="0"/>
    <x v="177"/>
    <x v="0"/>
    <x v="5"/>
    <n v="4"/>
    <n v="19.52"/>
    <n v="78.08"/>
    <n v="1.44"/>
    <x v="203"/>
    <n v="318"/>
  </r>
  <r>
    <n v="5291"/>
    <x v="4"/>
    <x v="178"/>
    <x v="6"/>
    <x v="2"/>
    <n v="1"/>
    <n v="19.32"/>
    <n v="19.32"/>
    <n v="0"/>
    <x v="204"/>
    <n v="294"/>
  </r>
  <r>
    <n v="8239"/>
    <x v="2"/>
    <x v="179"/>
    <x v="8"/>
    <x v="1"/>
    <n v="1"/>
    <n v="18.82"/>
    <n v="18.82"/>
    <n v="3.76"/>
    <x v="205"/>
    <n v="123"/>
  </r>
  <r>
    <n v="8007"/>
    <x v="0"/>
    <x v="9"/>
    <x v="9"/>
    <x v="4"/>
    <n v="1"/>
    <n v="28.64"/>
    <n v="28.64"/>
    <n v="2.86"/>
    <x v="206"/>
    <n v="278"/>
  </r>
  <r>
    <n v="1158"/>
    <x v="4"/>
    <x v="72"/>
    <x v="0"/>
    <x v="7"/>
    <n v="3"/>
    <n v="8.35"/>
    <n v="25.05"/>
    <n v="2.38"/>
    <x v="207"/>
    <n v="8"/>
  </r>
  <r>
    <n v="2232"/>
    <x v="0"/>
    <x v="180"/>
    <x v="6"/>
    <x v="3"/>
    <n v="2"/>
    <n v="2.2799999999999998"/>
    <n v="4.5599999999999996"/>
    <n v="0"/>
    <x v="208"/>
    <n v="279"/>
  </r>
  <r>
    <n v="3442"/>
    <x v="2"/>
    <x v="181"/>
    <x v="5"/>
    <x v="8"/>
    <n v="4"/>
    <n v="19.309999999999999"/>
    <n v="77.239999999999995"/>
    <n v="3.86"/>
    <x v="209"/>
    <n v="415"/>
  </r>
  <r>
    <n v="1590"/>
    <x v="4"/>
    <x v="182"/>
    <x v="0"/>
    <x v="9"/>
    <n v="2"/>
    <n v="2.2599999999999998"/>
    <n v="4.5199999999999996"/>
    <n v="0.68"/>
    <x v="210"/>
    <n v="102"/>
  </r>
  <r>
    <n v="7049"/>
    <x v="5"/>
    <x v="183"/>
    <x v="9"/>
    <x v="7"/>
    <n v="5"/>
    <n v="14.72"/>
    <n v="73.599999999999994"/>
    <n v="11.04"/>
    <x v="211"/>
    <n v="18"/>
  </r>
  <r>
    <n v="3426"/>
    <x v="7"/>
    <x v="184"/>
    <x v="0"/>
    <x v="3"/>
    <n v="3"/>
    <n v="4.5999999999999996"/>
    <n v="13.8"/>
    <n v="1.38"/>
    <x v="124"/>
    <n v="188"/>
  </r>
  <r>
    <n v="3088"/>
    <x v="4"/>
    <x v="185"/>
    <x v="3"/>
    <x v="3"/>
    <n v="2"/>
    <n v="15.38"/>
    <n v="30.76"/>
    <n v="2.0699999999999998"/>
    <x v="212"/>
    <n v="254"/>
  </r>
  <r>
    <n v="6050"/>
    <x v="0"/>
    <x v="186"/>
    <x v="3"/>
    <x v="13"/>
    <n v="4"/>
    <n v="18.46"/>
    <n v="73.84"/>
    <n v="2.1800000000000002"/>
    <x v="213"/>
    <n v="421"/>
  </r>
  <r>
    <n v="1653"/>
    <x v="0"/>
    <x v="187"/>
    <x v="1"/>
    <x v="3"/>
    <n v="3"/>
    <n v="9.8800000000000008"/>
    <n v="29.64"/>
    <n v="5.93"/>
    <x v="214"/>
    <n v="308"/>
  </r>
  <r>
    <n v="6862"/>
    <x v="4"/>
    <x v="188"/>
    <x v="4"/>
    <x v="8"/>
    <n v="1"/>
    <n v="22.07"/>
    <n v="22.07"/>
    <n v="4.99"/>
    <x v="81"/>
    <n v="466"/>
  </r>
  <r>
    <n v="5088"/>
    <x v="5"/>
    <x v="189"/>
    <x v="5"/>
    <x v="11"/>
    <n v="1"/>
    <n v="20.45"/>
    <n v="20.45"/>
    <n v="4.2"/>
    <x v="215"/>
    <n v="207"/>
  </r>
  <r>
    <n v="2684"/>
    <x v="2"/>
    <x v="190"/>
    <x v="0"/>
    <x v="12"/>
    <n v="5"/>
    <n v="20.65"/>
    <n v="103.25"/>
    <n v="20.65"/>
    <x v="216"/>
    <n v="224"/>
  </r>
  <r>
    <n v="7658"/>
    <x v="0"/>
    <x v="157"/>
    <x v="2"/>
    <x v="4"/>
    <n v="3"/>
    <n v="12.09"/>
    <n v="36.270000000000003"/>
    <n v="1.61"/>
    <x v="217"/>
    <n v="290"/>
  </r>
  <r>
    <n v="3532"/>
    <x v="4"/>
    <x v="191"/>
    <x v="4"/>
    <x v="4"/>
    <n v="4"/>
    <n v="23.12"/>
    <n v="92.48"/>
    <n v="2.4700000000000002"/>
    <x v="218"/>
    <n v="293"/>
  </r>
  <r>
    <n v="4878"/>
    <x v="7"/>
    <x v="192"/>
    <x v="5"/>
    <x v="0"/>
    <n v="2"/>
    <n v="28.85"/>
    <n v="57.7"/>
    <n v="5.77"/>
    <x v="219"/>
    <n v="13"/>
  </r>
  <r>
    <n v="3662"/>
    <x v="1"/>
    <x v="123"/>
    <x v="3"/>
    <x v="2"/>
    <n v="1"/>
    <n v="8.58"/>
    <n v="8.58"/>
    <n v="1.72"/>
    <x v="220"/>
    <n v="133"/>
  </r>
  <r>
    <n v="3900"/>
    <x v="5"/>
    <x v="160"/>
    <x v="10"/>
    <x v="14"/>
    <n v="1"/>
    <n v="4.93"/>
    <n v="4.93"/>
    <n v="0.99"/>
    <x v="221"/>
    <n v="37"/>
  </r>
  <r>
    <n v="7755"/>
    <x v="4"/>
    <x v="0"/>
    <x v="1"/>
    <x v="3"/>
    <n v="3"/>
    <n v="21.57"/>
    <n v="64.709999999999994"/>
    <n v="9.7100000000000009"/>
    <x v="222"/>
    <n v="281"/>
  </r>
  <r>
    <n v="3938"/>
    <x v="2"/>
    <x v="193"/>
    <x v="5"/>
    <x v="6"/>
    <n v="3"/>
    <n v="15.74"/>
    <n v="47.22"/>
    <n v="9.44"/>
    <x v="223"/>
    <n v="62"/>
  </r>
  <r>
    <n v="6442"/>
    <x v="8"/>
    <x v="194"/>
    <x v="10"/>
    <x v="10"/>
    <n v="3"/>
    <n v="17.059999999999999"/>
    <n v="51.18"/>
    <n v="1.52"/>
    <x v="224"/>
    <n v="188"/>
  </r>
  <r>
    <n v="7745"/>
    <x v="0"/>
    <x v="195"/>
    <x v="1"/>
    <x v="9"/>
    <n v="4"/>
    <n v="29.98"/>
    <n v="119.92"/>
    <n v="2.64"/>
    <x v="225"/>
    <n v="368"/>
  </r>
  <r>
    <n v="5065"/>
    <x v="3"/>
    <x v="196"/>
    <x v="6"/>
    <x v="13"/>
    <n v="2"/>
    <n v="29.19"/>
    <n v="58.38"/>
    <n v="5.84"/>
    <x v="226"/>
    <n v="328"/>
  </r>
  <r>
    <n v="3608"/>
    <x v="4"/>
    <x v="197"/>
    <x v="5"/>
    <x v="15"/>
    <n v="3"/>
    <n v="4.71"/>
    <n v="14.13"/>
    <n v="2.83"/>
    <x v="227"/>
    <n v="424"/>
  </r>
  <r>
    <n v="2771"/>
    <x v="3"/>
    <x v="198"/>
    <x v="9"/>
    <x v="11"/>
    <n v="1"/>
    <n v="16.010000000000002"/>
    <n v="16.010000000000002"/>
    <n v="3.2"/>
    <x v="228"/>
    <n v="155"/>
  </r>
  <r>
    <n v="1634"/>
    <x v="7"/>
    <x v="199"/>
    <x v="2"/>
    <x v="4"/>
    <n v="5"/>
    <n v="26.94"/>
    <n v="134.69999999999999"/>
    <n v="20.2"/>
    <x v="229"/>
    <n v="433"/>
  </r>
  <r>
    <n v="8711"/>
    <x v="8"/>
    <x v="200"/>
    <x v="5"/>
    <x v="2"/>
    <n v="3"/>
    <n v="4.62"/>
    <n v="13.86"/>
    <n v="3.56"/>
    <x v="230"/>
    <n v="155"/>
  </r>
  <r>
    <n v="4269"/>
    <x v="2"/>
    <x v="201"/>
    <x v="7"/>
    <x v="3"/>
    <n v="5"/>
    <n v="2.1800000000000002"/>
    <n v="10.9"/>
    <n v="1.18"/>
    <x v="231"/>
    <n v="442"/>
  </r>
  <r>
    <n v="8541"/>
    <x v="5"/>
    <x v="202"/>
    <x v="5"/>
    <x v="14"/>
    <n v="5"/>
    <n v="13.07"/>
    <n v="65.349999999999994"/>
    <n v="6.54"/>
    <x v="232"/>
    <n v="327"/>
  </r>
  <r>
    <n v="6000"/>
    <x v="1"/>
    <x v="203"/>
    <x v="8"/>
    <x v="9"/>
    <n v="4"/>
    <n v="8.09"/>
    <n v="32.36"/>
    <n v="4.8499999999999996"/>
    <x v="233"/>
    <n v="413"/>
  </r>
  <r>
    <n v="4728"/>
    <x v="4"/>
    <x v="204"/>
    <x v="1"/>
    <x v="11"/>
    <n v="2"/>
    <n v="13.74"/>
    <n v="27.48"/>
    <n v="5.5"/>
    <x v="234"/>
    <n v="247"/>
  </r>
  <r>
    <n v="1387"/>
    <x v="7"/>
    <x v="205"/>
    <x v="6"/>
    <x v="12"/>
    <n v="3"/>
    <n v="25.97"/>
    <n v="77.91"/>
    <n v="7.79"/>
    <x v="235"/>
    <n v="163"/>
  </r>
  <r>
    <n v="4164"/>
    <x v="2"/>
    <x v="98"/>
    <x v="4"/>
    <x v="15"/>
    <n v="5"/>
    <n v="4.07"/>
    <n v="20.350000000000001"/>
    <n v="2.0699999999999998"/>
    <x v="236"/>
    <n v="123"/>
  </r>
  <r>
    <n v="6378"/>
    <x v="8"/>
    <x v="126"/>
    <x v="7"/>
    <x v="17"/>
    <n v="1"/>
    <n v="9.41"/>
    <n v="9.41"/>
    <n v="1.88"/>
    <x v="237"/>
    <n v="196"/>
  </r>
  <r>
    <n v="2137"/>
    <x v="2"/>
    <x v="32"/>
    <x v="4"/>
    <x v="3"/>
    <n v="2"/>
    <n v="23.12"/>
    <n v="46.24"/>
    <n v="4.62"/>
    <x v="238"/>
    <n v="255"/>
  </r>
  <r>
    <n v="5573"/>
    <x v="5"/>
    <x v="206"/>
    <x v="10"/>
    <x v="10"/>
    <n v="1"/>
    <n v="28.4"/>
    <n v="28.4"/>
    <n v="5.68"/>
    <x v="239"/>
    <n v="258"/>
  </r>
  <r>
    <n v="9346"/>
    <x v="8"/>
    <x v="207"/>
    <x v="6"/>
    <x v="4"/>
    <n v="1"/>
    <n v="2.46"/>
    <n v="2.46"/>
    <n v="0.37"/>
    <x v="240"/>
    <n v="253"/>
  </r>
  <r>
    <n v="9785"/>
    <x v="1"/>
    <x v="208"/>
    <x v="0"/>
    <x v="17"/>
    <n v="4"/>
    <n v="4.87"/>
    <n v="19.48"/>
    <n v="1.95"/>
    <x v="241"/>
    <n v="135"/>
  </r>
  <r>
    <n v="1452"/>
    <x v="7"/>
    <x v="209"/>
    <x v="0"/>
    <x v="7"/>
    <n v="1"/>
    <n v="17.53"/>
    <n v="17.53"/>
    <n v="2.15"/>
    <x v="242"/>
    <n v="99"/>
  </r>
  <r>
    <n v="5279"/>
    <x v="3"/>
    <x v="210"/>
    <x v="9"/>
    <x v="8"/>
    <n v="5"/>
    <n v="9.1"/>
    <n v="45.5"/>
    <n v="9.1"/>
    <x v="243"/>
    <n v="319"/>
  </r>
  <r>
    <n v="5349"/>
    <x v="0"/>
    <x v="211"/>
    <x v="3"/>
    <x v="4"/>
    <n v="3"/>
    <n v="17.170000000000002"/>
    <n v="51.51"/>
    <n v="10.3"/>
    <x v="244"/>
    <n v="187"/>
  </r>
  <r>
    <n v="2776"/>
    <x v="1"/>
    <x v="63"/>
    <x v="3"/>
    <x v="15"/>
    <n v="1"/>
    <n v="2.2999999999999998"/>
    <n v="2.2999999999999998"/>
    <n v="0.23"/>
    <x v="245"/>
    <n v="70"/>
  </r>
  <r>
    <n v="8119"/>
    <x v="1"/>
    <x v="212"/>
    <x v="10"/>
    <x v="12"/>
    <n v="5"/>
    <n v="26.89"/>
    <n v="134.44999999999999"/>
    <n v="2.27"/>
    <x v="246"/>
    <n v="71"/>
  </r>
  <r>
    <n v="6139"/>
    <x v="3"/>
    <x v="213"/>
    <x v="6"/>
    <x v="9"/>
    <n v="5"/>
    <n v="10.74"/>
    <n v="53.7"/>
    <n v="0"/>
    <x v="247"/>
    <n v="424"/>
  </r>
  <r>
    <n v="9379"/>
    <x v="5"/>
    <x v="209"/>
    <x v="10"/>
    <x v="10"/>
    <n v="3"/>
    <n v="10.6"/>
    <n v="31.8"/>
    <n v="2.23"/>
    <x v="248"/>
    <n v="56"/>
  </r>
  <r>
    <n v="7311"/>
    <x v="6"/>
    <x v="187"/>
    <x v="6"/>
    <x v="16"/>
    <n v="3"/>
    <n v="29.04"/>
    <n v="87.12"/>
    <n v="0"/>
    <x v="249"/>
    <n v="400"/>
  </r>
  <r>
    <n v="4114"/>
    <x v="6"/>
    <x v="214"/>
    <x v="6"/>
    <x v="16"/>
    <n v="2"/>
    <n v="16.190000000000001"/>
    <n v="32.380000000000003"/>
    <n v="6.48"/>
    <x v="250"/>
    <n v="369"/>
  </r>
  <r>
    <n v="1727"/>
    <x v="8"/>
    <x v="215"/>
    <x v="0"/>
    <x v="17"/>
    <n v="2"/>
    <n v="1.54"/>
    <n v="3.08"/>
    <n v="0.62"/>
    <x v="251"/>
    <n v="160"/>
  </r>
  <r>
    <n v="8144"/>
    <x v="3"/>
    <x v="135"/>
    <x v="2"/>
    <x v="1"/>
    <n v="5"/>
    <n v="23.46"/>
    <n v="117.3"/>
    <n v="0"/>
    <x v="252"/>
    <n v="471"/>
  </r>
  <r>
    <n v="9518"/>
    <x v="6"/>
    <x v="42"/>
    <x v="7"/>
    <x v="15"/>
    <n v="2"/>
    <n v="17.260000000000002"/>
    <n v="34.520000000000003"/>
    <n v="2.5099999999999998"/>
    <x v="253"/>
    <n v="339"/>
  </r>
  <r>
    <n v="9821"/>
    <x v="2"/>
    <x v="216"/>
    <x v="10"/>
    <x v="2"/>
    <n v="3"/>
    <n v="16.829999999999998"/>
    <n v="50.49"/>
    <n v="2.94"/>
    <x v="254"/>
    <n v="346"/>
  </r>
  <r>
    <n v="4228"/>
    <x v="8"/>
    <x v="217"/>
    <x v="8"/>
    <x v="2"/>
    <n v="3"/>
    <n v="7.51"/>
    <n v="22.53"/>
    <n v="3.38"/>
    <x v="255"/>
    <n v="498"/>
  </r>
  <r>
    <n v="8066"/>
    <x v="8"/>
    <x v="218"/>
    <x v="10"/>
    <x v="3"/>
    <n v="4"/>
    <n v="11.11"/>
    <n v="44.44"/>
    <n v="6.67"/>
    <x v="256"/>
    <n v="478"/>
  </r>
  <r>
    <n v="6409"/>
    <x v="0"/>
    <x v="219"/>
    <x v="6"/>
    <x v="2"/>
    <n v="4"/>
    <n v="26.97"/>
    <n v="107.88"/>
    <n v="21.58"/>
    <x v="257"/>
    <n v="202"/>
  </r>
  <r>
    <n v="6143"/>
    <x v="5"/>
    <x v="220"/>
    <x v="0"/>
    <x v="9"/>
    <n v="1"/>
    <n v="11.03"/>
    <n v="11.03"/>
    <n v="0"/>
    <x v="258"/>
    <n v="226"/>
  </r>
  <r>
    <n v="3041"/>
    <x v="4"/>
    <x v="221"/>
    <x v="2"/>
    <x v="14"/>
    <n v="5"/>
    <n v="8.85"/>
    <n v="44.25"/>
    <n v="8.85"/>
    <x v="259"/>
    <n v="287"/>
  </r>
  <r>
    <n v="5920"/>
    <x v="0"/>
    <x v="222"/>
    <x v="6"/>
    <x v="5"/>
    <n v="2"/>
    <n v="2.46"/>
    <n v="4.92"/>
    <n v="0"/>
    <x v="260"/>
    <n v="463"/>
  </r>
  <r>
    <n v="6067"/>
    <x v="8"/>
    <x v="223"/>
    <x v="0"/>
    <x v="17"/>
    <n v="4"/>
    <n v="10.57"/>
    <n v="42.28"/>
    <n v="0"/>
    <x v="261"/>
    <n v="241"/>
  </r>
  <r>
    <n v="7691"/>
    <x v="2"/>
    <x v="224"/>
    <x v="0"/>
    <x v="2"/>
    <n v="2"/>
    <n v="12.79"/>
    <n v="25.58"/>
    <n v="2.56"/>
    <x v="262"/>
    <n v="478"/>
  </r>
  <r>
    <n v="7592"/>
    <x v="8"/>
    <x v="137"/>
    <x v="8"/>
    <x v="3"/>
    <n v="3"/>
    <n v="19.72"/>
    <n v="59.16"/>
    <n v="0"/>
    <x v="263"/>
    <n v="464"/>
  </r>
  <r>
    <n v="5844"/>
    <x v="8"/>
    <x v="225"/>
    <x v="9"/>
    <x v="11"/>
    <n v="2"/>
    <n v="13.11"/>
    <n v="26.22"/>
    <n v="4.99"/>
    <x v="264"/>
    <n v="428"/>
  </r>
  <r>
    <n v="3085"/>
    <x v="3"/>
    <x v="226"/>
    <x v="10"/>
    <x v="6"/>
    <n v="3"/>
    <n v="26.42"/>
    <n v="79.260000000000005"/>
    <n v="3.41"/>
    <x v="265"/>
    <n v="4"/>
  </r>
  <r>
    <n v="7888"/>
    <x v="7"/>
    <x v="227"/>
    <x v="8"/>
    <x v="8"/>
    <n v="5"/>
    <n v="16.2"/>
    <n v="81"/>
    <n v="2.87"/>
    <x v="266"/>
    <n v="455"/>
  </r>
  <r>
    <n v="7211"/>
    <x v="8"/>
    <x v="228"/>
    <x v="1"/>
    <x v="3"/>
    <n v="2"/>
    <n v="22.19"/>
    <n v="44.38"/>
    <n v="0"/>
    <x v="267"/>
    <n v="331"/>
  </r>
  <r>
    <n v="3851"/>
    <x v="2"/>
    <x v="229"/>
    <x v="0"/>
    <x v="3"/>
    <n v="3"/>
    <n v="17.46"/>
    <n v="52.38"/>
    <n v="10.48"/>
    <x v="268"/>
    <n v="387"/>
  </r>
  <r>
    <n v="5930"/>
    <x v="3"/>
    <x v="230"/>
    <x v="3"/>
    <x v="15"/>
    <n v="3"/>
    <n v="3.51"/>
    <n v="10.53"/>
    <n v="2.11"/>
    <x v="269"/>
    <n v="342"/>
  </r>
  <r>
    <n v="9977"/>
    <x v="2"/>
    <x v="162"/>
    <x v="10"/>
    <x v="3"/>
    <n v="2"/>
    <n v="1.19"/>
    <n v="2.38"/>
    <n v="0.24"/>
    <x v="270"/>
    <n v="196"/>
  </r>
  <r>
    <n v="1006"/>
    <x v="5"/>
    <x v="231"/>
    <x v="4"/>
    <x v="9"/>
    <n v="5"/>
    <n v="21.95"/>
    <n v="109.75"/>
    <n v="0"/>
    <x v="271"/>
    <n v="5"/>
  </r>
  <r>
    <n v="5700"/>
    <x v="7"/>
    <x v="188"/>
    <x v="2"/>
    <x v="11"/>
    <n v="1"/>
    <n v="14.49"/>
    <n v="14.49"/>
    <n v="0"/>
    <x v="272"/>
    <n v="81"/>
  </r>
  <r>
    <n v="8043"/>
    <x v="1"/>
    <x v="232"/>
    <x v="8"/>
    <x v="17"/>
    <n v="3"/>
    <n v="11.65"/>
    <n v="34.950000000000003"/>
    <n v="6.99"/>
    <x v="273"/>
    <n v="113"/>
  </r>
  <r>
    <n v="6279"/>
    <x v="4"/>
    <x v="233"/>
    <x v="7"/>
    <x v="8"/>
    <n v="5"/>
    <n v="11.83"/>
    <n v="59.15"/>
    <n v="4.21"/>
    <x v="274"/>
    <n v="359"/>
  </r>
  <r>
    <n v="8238"/>
    <x v="8"/>
    <x v="234"/>
    <x v="2"/>
    <x v="13"/>
    <n v="5"/>
    <n v="13.95"/>
    <n v="69.75"/>
    <n v="4.67"/>
    <x v="275"/>
    <n v="360"/>
  </r>
  <r>
    <n v="4501"/>
    <x v="0"/>
    <x v="235"/>
    <x v="0"/>
    <x v="2"/>
    <n v="5"/>
    <n v="6.85"/>
    <n v="34.25"/>
    <n v="6.85"/>
    <x v="276"/>
    <n v="274"/>
  </r>
  <r>
    <n v="8752"/>
    <x v="7"/>
    <x v="236"/>
    <x v="9"/>
    <x v="8"/>
    <n v="1"/>
    <n v="20.72"/>
    <n v="20.72"/>
    <n v="4.5999999999999996"/>
    <x v="277"/>
    <n v="367"/>
  </r>
  <r>
    <n v="3780"/>
    <x v="4"/>
    <x v="237"/>
    <x v="0"/>
    <x v="8"/>
    <n v="2"/>
    <n v="15.87"/>
    <n v="31.74"/>
    <n v="2.85"/>
    <x v="278"/>
    <n v="233"/>
  </r>
  <r>
    <n v="2389"/>
    <x v="5"/>
    <x v="238"/>
    <x v="0"/>
    <x v="7"/>
    <n v="3"/>
    <n v="24.67"/>
    <n v="74.010000000000005"/>
    <n v="1.29"/>
    <x v="279"/>
    <n v="381"/>
  </r>
  <r>
    <n v="9445"/>
    <x v="9"/>
    <x v="220"/>
    <x v="4"/>
    <x v="13"/>
    <n v="5"/>
    <n v="29.82"/>
    <n v="149.1"/>
    <n v="14.91"/>
    <x v="280"/>
    <n v="478"/>
  </r>
  <r>
    <n v="6491"/>
    <x v="6"/>
    <x v="6"/>
    <x v="8"/>
    <x v="1"/>
    <n v="2"/>
    <n v="23.29"/>
    <n v="46.58"/>
    <n v="6.99"/>
    <x v="281"/>
    <n v="392"/>
  </r>
  <r>
    <n v="4848"/>
    <x v="3"/>
    <x v="239"/>
    <x v="10"/>
    <x v="7"/>
    <n v="4"/>
    <n v="3.32"/>
    <n v="13.28"/>
    <n v="0"/>
    <x v="282"/>
    <n v="493"/>
  </r>
  <r>
    <n v="6085"/>
    <x v="7"/>
    <x v="240"/>
    <x v="1"/>
    <x v="6"/>
    <n v="5"/>
    <n v="12.39"/>
    <n v="61.95"/>
    <n v="4.0199999999999996"/>
    <x v="283"/>
    <n v="65"/>
  </r>
  <r>
    <n v="4262"/>
    <x v="5"/>
    <x v="241"/>
    <x v="10"/>
    <x v="2"/>
    <n v="4"/>
    <n v="16.420000000000002"/>
    <n v="65.680000000000007"/>
    <n v="13.14"/>
    <x v="226"/>
    <n v="421"/>
  </r>
  <r>
    <n v="1400"/>
    <x v="4"/>
    <x v="31"/>
    <x v="4"/>
    <x v="12"/>
    <n v="3"/>
    <n v="6.46"/>
    <n v="19.38"/>
    <n v="4.24"/>
    <x v="284"/>
    <n v="448"/>
  </r>
  <r>
    <n v="5011"/>
    <x v="3"/>
    <x v="242"/>
    <x v="6"/>
    <x v="10"/>
    <n v="2"/>
    <n v="6.97"/>
    <n v="13.94"/>
    <n v="1.39"/>
    <x v="285"/>
    <n v="51"/>
  </r>
  <r>
    <n v="2193"/>
    <x v="6"/>
    <x v="243"/>
    <x v="2"/>
    <x v="11"/>
    <n v="4"/>
    <n v="13.72"/>
    <n v="54.88"/>
    <n v="1.56"/>
    <x v="286"/>
    <n v="276"/>
  </r>
  <r>
    <n v="7790"/>
    <x v="5"/>
    <x v="244"/>
    <x v="2"/>
    <x v="3"/>
    <n v="5"/>
    <n v="18.329999999999998"/>
    <n v="91.65"/>
    <n v="18.329999999999998"/>
    <x v="287"/>
    <n v="344"/>
  </r>
  <r>
    <n v="4185"/>
    <x v="5"/>
    <x v="171"/>
    <x v="7"/>
    <x v="15"/>
    <n v="2"/>
    <n v="12.98"/>
    <n v="25.96"/>
    <n v="4.79"/>
    <x v="288"/>
    <n v="140"/>
  </r>
  <r>
    <n v="7291"/>
    <x v="2"/>
    <x v="58"/>
    <x v="5"/>
    <x v="1"/>
    <n v="5"/>
    <n v="15.36"/>
    <n v="76.8"/>
    <n v="0"/>
    <x v="289"/>
    <n v="497"/>
  </r>
  <r>
    <n v="7547"/>
    <x v="3"/>
    <x v="245"/>
    <x v="9"/>
    <x v="3"/>
    <n v="4"/>
    <n v="12.83"/>
    <n v="51.32"/>
    <n v="10.26"/>
    <x v="290"/>
    <n v="153"/>
  </r>
  <r>
    <n v="3417"/>
    <x v="1"/>
    <x v="246"/>
    <x v="10"/>
    <x v="5"/>
    <n v="2"/>
    <n v="9.7100000000000009"/>
    <n v="19.420000000000002"/>
    <n v="1.94"/>
    <x v="291"/>
    <n v="362"/>
  </r>
  <r>
    <n v="1090"/>
    <x v="6"/>
    <x v="247"/>
    <x v="9"/>
    <x v="1"/>
    <n v="4"/>
    <n v="17.149999999999999"/>
    <n v="68.599999999999994"/>
    <n v="13.72"/>
    <x v="292"/>
    <n v="68"/>
  </r>
  <r>
    <n v="2746"/>
    <x v="5"/>
    <x v="248"/>
    <x v="2"/>
    <x v="3"/>
    <n v="1"/>
    <n v="27.73"/>
    <n v="27.73"/>
    <n v="3.14"/>
    <x v="293"/>
    <n v="433"/>
  </r>
  <r>
    <n v="7965"/>
    <x v="8"/>
    <x v="249"/>
    <x v="0"/>
    <x v="0"/>
    <n v="4"/>
    <n v="20.53"/>
    <n v="82.12"/>
    <n v="1.75"/>
    <x v="294"/>
    <n v="308"/>
  </r>
  <r>
    <n v="3881"/>
    <x v="1"/>
    <x v="250"/>
    <x v="2"/>
    <x v="16"/>
    <n v="2"/>
    <n v="26.2"/>
    <n v="52.4"/>
    <n v="1.85"/>
    <x v="295"/>
    <n v="170"/>
  </r>
  <r>
    <n v="9486"/>
    <x v="8"/>
    <x v="251"/>
    <x v="1"/>
    <x v="16"/>
    <n v="2"/>
    <n v="21.16"/>
    <n v="42.32"/>
    <n v="4.2300000000000004"/>
    <x v="296"/>
    <n v="360"/>
  </r>
  <r>
    <n v="1822"/>
    <x v="8"/>
    <x v="252"/>
    <x v="9"/>
    <x v="3"/>
    <n v="3"/>
    <n v="12.03"/>
    <n v="36.090000000000003"/>
    <n v="5.41"/>
    <x v="297"/>
    <n v="273"/>
  </r>
  <r>
    <n v="5082"/>
    <x v="5"/>
    <x v="253"/>
    <x v="4"/>
    <x v="15"/>
    <n v="4"/>
    <n v="14.5"/>
    <n v="58"/>
    <n v="8.6999999999999993"/>
    <x v="298"/>
    <n v="411"/>
  </r>
  <r>
    <n v="2988"/>
    <x v="8"/>
    <x v="254"/>
    <x v="4"/>
    <x v="3"/>
    <n v="4"/>
    <n v="2.3199999999999998"/>
    <n v="9.2799999999999994"/>
    <n v="0"/>
    <x v="111"/>
    <n v="442"/>
  </r>
  <r>
    <n v="3184"/>
    <x v="2"/>
    <x v="255"/>
    <x v="0"/>
    <x v="0"/>
    <n v="5"/>
    <n v="28.1"/>
    <n v="140.5"/>
    <n v="21.07"/>
    <x v="299"/>
    <n v="296"/>
  </r>
  <r>
    <n v="8612"/>
    <x v="2"/>
    <x v="189"/>
    <x v="2"/>
    <x v="3"/>
    <n v="2"/>
    <n v="12.01"/>
    <n v="24.02"/>
    <n v="2.4"/>
    <x v="300"/>
    <n v="426"/>
  </r>
  <r>
    <n v="9702"/>
    <x v="1"/>
    <x v="256"/>
    <x v="5"/>
    <x v="3"/>
    <n v="3"/>
    <n v="23.13"/>
    <n v="69.39"/>
    <n v="6.94"/>
    <x v="301"/>
    <n v="250"/>
  </r>
  <r>
    <n v="6198"/>
    <x v="2"/>
    <x v="96"/>
    <x v="4"/>
    <x v="6"/>
    <n v="2"/>
    <n v="21.88"/>
    <n v="43.76"/>
    <n v="4.96"/>
    <x v="302"/>
    <n v="250"/>
  </r>
  <r>
    <n v="8251"/>
    <x v="6"/>
    <x v="164"/>
    <x v="9"/>
    <x v="11"/>
    <n v="1"/>
    <n v="28.4"/>
    <n v="28.4"/>
    <n v="2.65"/>
    <x v="67"/>
    <n v="342"/>
  </r>
  <r>
    <n v="9270"/>
    <x v="8"/>
    <x v="257"/>
    <x v="1"/>
    <x v="12"/>
    <n v="1"/>
    <n v="7.33"/>
    <n v="7.33"/>
    <n v="3.47"/>
    <x v="303"/>
    <n v="233"/>
  </r>
  <r>
    <n v="9976"/>
    <x v="4"/>
    <x v="258"/>
    <x v="5"/>
    <x v="16"/>
    <n v="1"/>
    <n v="1.18"/>
    <n v="1.18"/>
    <n v="1.07"/>
    <x v="304"/>
    <n v="282"/>
  </r>
  <r>
    <n v="3607"/>
    <x v="5"/>
    <x v="259"/>
    <x v="9"/>
    <x v="9"/>
    <n v="1"/>
    <n v="15.55"/>
    <n v="15.55"/>
    <n v="3.11"/>
    <x v="305"/>
    <n v="357"/>
  </r>
  <r>
    <n v="8777"/>
    <x v="0"/>
    <x v="260"/>
    <x v="1"/>
    <x v="15"/>
    <n v="2"/>
    <n v="7.98"/>
    <n v="15.96"/>
    <n v="2.39"/>
    <x v="306"/>
    <n v="317"/>
  </r>
  <r>
    <n v="5246"/>
    <x v="5"/>
    <x v="70"/>
    <x v="3"/>
    <x v="13"/>
    <n v="3"/>
    <n v="28.81"/>
    <n v="86.43"/>
    <n v="0"/>
    <x v="307"/>
    <n v="235"/>
  </r>
  <r>
    <n v="5050"/>
    <x v="8"/>
    <x v="261"/>
    <x v="8"/>
    <x v="13"/>
    <n v="1"/>
    <n v="3.7"/>
    <n v="3.7"/>
    <n v="2.9"/>
    <x v="308"/>
    <n v="194"/>
  </r>
  <r>
    <n v="5543"/>
    <x v="6"/>
    <x v="90"/>
    <x v="7"/>
    <x v="13"/>
    <n v="4"/>
    <n v="25.5"/>
    <n v="102"/>
    <n v="4.91"/>
    <x v="309"/>
    <n v="330"/>
  </r>
  <r>
    <n v="9540"/>
    <x v="0"/>
    <x v="262"/>
    <x v="9"/>
    <x v="11"/>
    <n v="2"/>
    <n v="7.12"/>
    <n v="14.24"/>
    <n v="2.14"/>
    <x v="310"/>
    <n v="444"/>
  </r>
  <r>
    <n v="4919"/>
    <x v="6"/>
    <x v="263"/>
    <x v="1"/>
    <x v="0"/>
    <n v="5"/>
    <n v="17.329999999999998"/>
    <n v="86.65"/>
    <n v="13"/>
    <x v="311"/>
    <n v="16"/>
  </r>
  <r>
    <n v="8206"/>
    <x v="6"/>
    <x v="264"/>
    <x v="2"/>
    <x v="12"/>
    <n v="4"/>
    <n v="27.93"/>
    <n v="111.72"/>
    <n v="1.96"/>
    <x v="312"/>
    <n v="153"/>
  </r>
  <r>
    <n v="5681"/>
    <x v="3"/>
    <x v="265"/>
    <x v="5"/>
    <x v="2"/>
    <n v="3"/>
    <n v="12.12"/>
    <n v="36.36"/>
    <n v="0"/>
    <x v="313"/>
    <n v="378"/>
  </r>
  <r>
    <n v="5451"/>
    <x v="0"/>
    <x v="266"/>
    <x v="9"/>
    <x v="4"/>
    <n v="1"/>
    <n v="3.82"/>
    <n v="3.82"/>
    <n v="0.56999999999999995"/>
    <x v="314"/>
    <n v="118"/>
  </r>
  <r>
    <n v="6238"/>
    <x v="3"/>
    <x v="247"/>
    <x v="4"/>
    <x v="10"/>
    <n v="3"/>
    <n v="23.71"/>
    <n v="71.13"/>
    <n v="14.23"/>
    <x v="315"/>
    <n v="230"/>
  </r>
  <r>
    <n v="9849"/>
    <x v="7"/>
    <x v="267"/>
    <x v="9"/>
    <x v="7"/>
    <n v="4"/>
    <n v="6.38"/>
    <n v="25.52"/>
    <n v="4.09"/>
    <x v="316"/>
    <n v="299"/>
  </r>
  <r>
    <n v="3267"/>
    <x v="5"/>
    <x v="268"/>
    <x v="2"/>
    <x v="13"/>
    <n v="1"/>
    <n v="8.76"/>
    <n v="8.76"/>
    <n v="0"/>
    <x v="317"/>
    <n v="194"/>
  </r>
  <r>
    <n v="4788"/>
    <x v="3"/>
    <x v="198"/>
    <x v="4"/>
    <x v="4"/>
    <n v="1"/>
    <n v="3.64"/>
    <n v="3.64"/>
    <n v="0.36"/>
    <x v="318"/>
    <n v="482"/>
  </r>
  <r>
    <n v="3503"/>
    <x v="7"/>
    <x v="269"/>
    <x v="8"/>
    <x v="17"/>
    <n v="2"/>
    <n v="3.52"/>
    <n v="7.04"/>
    <n v="3.22"/>
    <x v="319"/>
    <n v="220"/>
  </r>
  <r>
    <n v="4505"/>
    <x v="3"/>
    <x v="102"/>
    <x v="1"/>
    <x v="10"/>
    <n v="1"/>
    <n v="11.25"/>
    <n v="11.25"/>
    <n v="1.1200000000000001"/>
    <x v="152"/>
    <n v="47"/>
  </r>
  <r>
    <n v="7797"/>
    <x v="6"/>
    <x v="270"/>
    <x v="8"/>
    <x v="1"/>
    <n v="4"/>
    <n v="23.59"/>
    <n v="94.36"/>
    <n v="3.08"/>
    <x v="320"/>
    <n v="371"/>
  </r>
  <r>
    <n v="6421"/>
    <x v="3"/>
    <x v="271"/>
    <x v="7"/>
    <x v="12"/>
    <n v="3"/>
    <n v="9.7200000000000006"/>
    <n v="29.16"/>
    <n v="1.67"/>
    <x v="321"/>
    <n v="252"/>
  </r>
  <r>
    <n v="8633"/>
    <x v="5"/>
    <x v="272"/>
    <x v="3"/>
    <x v="9"/>
    <n v="4"/>
    <n v="23.69"/>
    <n v="94.76"/>
    <n v="18.95"/>
    <x v="322"/>
    <n v="184"/>
  </r>
  <r>
    <n v="2020"/>
    <x v="4"/>
    <x v="273"/>
    <x v="6"/>
    <x v="14"/>
    <n v="4"/>
    <n v="4.09"/>
    <n v="16.36"/>
    <n v="1.64"/>
    <x v="323"/>
    <n v="155"/>
  </r>
  <r>
    <n v="7883"/>
    <x v="7"/>
    <x v="274"/>
    <x v="6"/>
    <x v="7"/>
    <n v="3"/>
    <n v="13.76"/>
    <n v="41.28"/>
    <n v="6.19"/>
    <x v="324"/>
    <n v="220"/>
  </r>
  <r>
    <n v="1320"/>
    <x v="7"/>
    <x v="275"/>
    <x v="6"/>
    <x v="14"/>
    <n v="4"/>
    <n v="10.1"/>
    <n v="40.4"/>
    <n v="6.06"/>
    <x v="325"/>
    <n v="493"/>
  </r>
  <r>
    <n v="7232"/>
    <x v="5"/>
    <x v="276"/>
    <x v="5"/>
    <x v="16"/>
    <n v="5"/>
    <n v="23.67"/>
    <n v="118.35"/>
    <n v="17.75"/>
    <x v="326"/>
    <n v="166"/>
  </r>
  <r>
    <n v="1096"/>
    <x v="3"/>
    <x v="277"/>
    <x v="4"/>
    <x v="17"/>
    <n v="5"/>
    <n v="6.78"/>
    <n v="33.9"/>
    <n v="0"/>
    <x v="327"/>
    <n v="279"/>
  </r>
  <r>
    <n v="5892"/>
    <x v="1"/>
    <x v="278"/>
    <x v="0"/>
    <x v="8"/>
    <n v="2"/>
    <n v="13.71"/>
    <n v="27.42"/>
    <n v="2.74"/>
    <x v="328"/>
    <n v="149"/>
  </r>
  <r>
    <n v="7389"/>
    <x v="4"/>
    <x v="279"/>
    <x v="7"/>
    <x v="9"/>
    <n v="2"/>
    <n v="8.32"/>
    <n v="16.64"/>
    <n v="1.66"/>
    <x v="329"/>
    <n v="78"/>
  </r>
  <r>
    <n v="7865"/>
    <x v="0"/>
    <x v="80"/>
    <x v="10"/>
    <x v="16"/>
    <n v="5"/>
    <n v="12.61"/>
    <n v="63.05"/>
    <n v="1.1499999999999999"/>
    <x v="330"/>
    <n v="259"/>
  </r>
  <r>
    <n v="9947"/>
    <x v="7"/>
    <x v="123"/>
    <x v="9"/>
    <x v="13"/>
    <n v="1"/>
    <n v="23.29"/>
    <n v="23.29"/>
    <n v="4.66"/>
    <x v="331"/>
    <n v="336"/>
  </r>
  <r>
    <n v="4613"/>
    <x v="6"/>
    <x v="83"/>
    <x v="6"/>
    <x v="7"/>
    <n v="3"/>
    <n v="29"/>
    <n v="87"/>
    <n v="1.39"/>
    <x v="57"/>
    <n v="220"/>
  </r>
  <r>
    <n v="4595"/>
    <x v="8"/>
    <x v="169"/>
    <x v="9"/>
    <x v="15"/>
    <n v="5"/>
    <n v="17.829999999999998"/>
    <n v="89.15"/>
    <n v="8.92"/>
    <x v="332"/>
    <n v="294"/>
  </r>
  <r>
    <n v="8140"/>
    <x v="7"/>
    <x v="132"/>
    <x v="3"/>
    <x v="8"/>
    <n v="5"/>
    <n v="21.01"/>
    <n v="105.05"/>
    <n v="2.93"/>
    <x v="333"/>
    <n v="77"/>
  </r>
  <r>
    <n v="1475"/>
    <x v="5"/>
    <x v="274"/>
    <x v="3"/>
    <x v="13"/>
    <n v="1"/>
    <n v="25.1"/>
    <n v="25.1"/>
    <n v="3.77"/>
    <x v="334"/>
    <n v="373"/>
  </r>
  <r>
    <n v="6507"/>
    <x v="5"/>
    <x v="111"/>
    <x v="4"/>
    <x v="8"/>
    <n v="2"/>
    <n v="16.100000000000001"/>
    <n v="32.200000000000003"/>
    <n v="2.75"/>
    <x v="335"/>
    <n v="178"/>
  </r>
  <r>
    <n v="7624"/>
    <x v="4"/>
    <x v="280"/>
    <x v="4"/>
    <x v="13"/>
    <n v="3"/>
    <n v="2.29"/>
    <n v="6.87"/>
    <n v="4.4000000000000004"/>
    <x v="336"/>
    <n v="363"/>
  </r>
  <r>
    <n v="3704"/>
    <x v="0"/>
    <x v="261"/>
    <x v="5"/>
    <x v="6"/>
    <n v="2"/>
    <n v="15.95"/>
    <n v="31.9"/>
    <n v="4.78"/>
    <x v="337"/>
    <n v="282"/>
  </r>
  <r>
    <n v="8657"/>
    <x v="1"/>
    <x v="281"/>
    <x v="3"/>
    <x v="8"/>
    <n v="2"/>
    <n v="24.12"/>
    <n v="48.24"/>
    <n v="9.65"/>
    <x v="338"/>
    <n v="322"/>
  </r>
  <r>
    <n v="3091"/>
    <x v="3"/>
    <x v="282"/>
    <x v="3"/>
    <x v="10"/>
    <n v="5"/>
    <n v="26.6"/>
    <n v="133"/>
    <n v="13.3"/>
    <x v="339"/>
    <n v="230"/>
  </r>
  <r>
    <n v="9751"/>
    <x v="6"/>
    <x v="283"/>
    <x v="2"/>
    <x v="14"/>
    <n v="3"/>
    <n v="22.81"/>
    <n v="68.430000000000007"/>
    <n v="1.41"/>
    <x v="340"/>
    <n v="414"/>
  </r>
  <r>
    <n v="7455"/>
    <x v="1"/>
    <x v="284"/>
    <x v="7"/>
    <x v="4"/>
    <n v="3"/>
    <n v="6.71"/>
    <n v="20.13"/>
    <n v="0"/>
    <x v="341"/>
    <n v="58"/>
  </r>
  <r>
    <n v="1444"/>
    <x v="4"/>
    <x v="285"/>
    <x v="9"/>
    <x v="3"/>
    <n v="5"/>
    <n v="12.26"/>
    <n v="61.3"/>
    <n v="9.19"/>
    <x v="342"/>
    <n v="200"/>
  </r>
  <r>
    <n v="8022"/>
    <x v="7"/>
    <x v="286"/>
    <x v="10"/>
    <x v="6"/>
    <n v="3"/>
    <n v="27.63"/>
    <n v="82.89"/>
    <n v="0"/>
    <x v="343"/>
    <n v="302"/>
  </r>
  <r>
    <n v="8564"/>
    <x v="2"/>
    <x v="287"/>
    <x v="4"/>
    <x v="17"/>
    <n v="2"/>
    <n v="9.85"/>
    <n v="19.7"/>
    <n v="0"/>
    <x v="344"/>
    <n v="93"/>
  </r>
  <r>
    <n v="1823"/>
    <x v="2"/>
    <x v="288"/>
    <x v="9"/>
    <x v="7"/>
    <n v="4"/>
    <n v="18.29"/>
    <n v="73.16"/>
    <n v="7.32"/>
    <x v="345"/>
    <n v="294"/>
  </r>
  <r>
    <n v="7211"/>
    <x v="2"/>
    <x v="289"/>
    <x v="10"/>
    <x v="2"/>
    <n v="2"/>
    <n v="17.079999999999998"/>
    <n v="34.159999999999997"/>
    <n v="6.83"/>
    <x v="346"/>
    <n v="250"/>
  </r>
  <r>
    <n v="4467"/>
    <x v="2"/>
    <x v="243"/>
    <x v="4"/>
    <x v="8"/>
    <n v="5"/>
    <n v="2.54"/>
    <n v="12.7"/>
    <n v="1.27"/>
    <x v="151"/>
    <n v="183"/>
  </r>
  <r>
    <n v="6355"/>
    <x v="2"/>
    <x v="290"/>
    <x v="2"/>
    <x v="7"/>
    <n v="5"/>
    <n v="15.65"/>
    <n v="78.25"/>
    <n v="0"/>
    <x v="347"/>
    <n v="253"/>
  </r>
  <r>
    <n v="7211"/>
    <x v="4"/>
    <x v="126"/>
    <x v="3"/>
    <x v="8"/>
    <n v="4"/>
    <n v="5.84"/>
    <n v="23.36"/>
    <n v="4.67"/>
    <x v="348"/>
    <n v="289"/>
  </r>
  <r>
    <n v="7906"/>
    <x v="5"/>
    <x v="173"/>
    <x v="0"/>
    <x v="0"/>
    <n v="2"/>
    <n v="16.579999999999998"/>
    <n v="33.159999999999997"/>
    <n v="3.97"/>
    <x v="349"/>
    <n v="86"/>
  </r>
  <r>
    <n v="2341"/>
    <x v="4"/>
    <x v="291"/>
    <x v="9"/>
    <x v="15"/>
    <n v="1"/>
    <n v="17.600000000000001"/>
    <n v="17.600000000000001"/>
    <n v="4.29"/>
    <x v="350"/>
    <n v="137"/>
  </r>
  <r>
    <n v="1317"/>
    <x v="6"/>
    <x v="292"/>
    <x v="10"/>
    <x v="2"/>
    <n v="2"/>
    <n v="29.69"/>
    <n v="59.38"/>
    <n v="8.91"/>
    <x v="351"/>
    <n v="52"/>
  </r>
  <r>
    <n v="9837"/>
    <x v="6"/>
    <x v="293"/>
    <x v="10"/>
    <x v="0"/>
    <n v="3"/>
    <n v="25.99"/>
    <n v="77.97"/>
    <n v="4.0999999999999996"/>
    <x v="352"/>
    <n v="44"/>
  </r>
  <r>
    <n v="6733"/>
    <x v="8"/>
    <x v="240"/>
    <x v="2"/>
    <x v="4"/>
    <n v="5"/>
    <n v="19.34"/>
    <n v="96.7"/>
    <n v="19.34"/>
    <x v="353"/>
    <n v="84"/>
  </r>
  <r>
    <n v="2124"/>
    <x v="8"/>
    <x v="294"/>
    <x v="0"/>
    <x v="4"/>
    <n v="5"/>
    <n v="9.14"/>
    <n v="45.7"/>
    <n v="6.86"/>
    <x v="354"/>
    <n v="275"/>
  </r>
  <r>
    <n v="1659"/>
    <x v="5"/>
    <x v="278"/>
    <x v="8"/>
    <x v="0"/>
    <n v="5"/>
    <n v="29.57"/>
    <n v="147.85"/>
    <n v="29.57"/>
    <x v="53"/>
    <n v="347"/>
  </r>
  <r>
    <n v="1508"/>
    <x v="3"/>
    <x v="101"/>
    <x v="0"/>
    <x v="0"/>
    <n v="2"/>
    <n v="21.33"/>
    <n v="42.66"/>
    <n v="8.5299999999999994"/>
    <x v="355"/>
    <n v="67"/>
  </r>
  <r>
    <n v="4266"/>
    <x v="7"/>
    <x v="295"/>
    <x v="2"/>
    <x v="7"/>
    <n v="4"/>
    <n v="5.1100000000000003"/>
    <n v="20.440000000000001"/>
    <n v="0"/>
    <x v="356"/>
    <n v="323"/>
  </r>
  <r>
    <n v="1333"/>
    <x v="3"/>
    <x v="157"/>
    <x v="3"/>
    <x v="8"/>
    <n v="1"/>
    <n v="19.37"/>
    <n v="19.37"/>
    <n v="1.94"/>
    <x v="357"/>
    <n v="450"/>
  </r>
  <r>
    <n v="3496"/>
    <x v="1"/>
    <x v="85"/>
    <x v="8"/>
    <x v="4"/>
    <n v="4"/>
    <n v="28.55"/>
    <n v="114.2"/>
    <n v="0"/>
    <x v="358"/>
    <n v="167"/>
  </r>
  <r>
    <n v="3068"/>
    <x v="0"/>
    <x v="296"/>
    <x v="10"/>
    <x v="4"/>
    <n v="1"/>
    <n v="24.06"/>
    <n v="24.06"/>
    <n v="2.41"/>
    <x v="359"/>
    <n v="203"/>
  </r>
  <r>
    <n v="2874"/>
    <x v="8"/>
    <x v="297"/>
    <x v="10"/>
    <x v="0"/>
    <n v="3"/>
    <n v="25.01"/>
    <n v="75.03"/>
    <n v="4.41"/>
    <x v="360"/>
    <n v="172"/>
  </r>
  <r>
    <n v="4571"/>
    <x v="7"/>
    <x v="233"/>
    <x v="5"/>
    <x v="11"/>
    <n v="1"/>
    <n v="3.88"/>
    <n v="3.88"/>
    <n v="1.5"/>
    <x v="361"/>
    <n v="401"/>
  </r>
  <r>
    <n v="5198"/>
    <x v="2"/>
    <x v="298"/>
    <x v="10"/>
    <x v="8"/>
    <n v="1"/>
    <n v="29.75"/>
    <n v="29.75"/>
    <n v="0"/>
    <x v="362"/>
    <n v="219"/>
  </r>
  <r>
    <n v="7043"/>
    <x v="2"/>
    <x v="299"/>
    <x v="5"/>
    <x v="9"/>
    <n v="2"/>
    <n v="26.35"/>
    <n v="52.7"/>
    <n v="3.62"/>
    <x v="363"/>
    <n v="448"/>
  </r>
  <r>
    <n v="2876"/>
    <x v="5"/>
    <x v="248"/>
    <x v="1"/>
    <x v="4"/>
    <n v="2"/>
    <n v="2.4900000000000002"/>
    <n v="4.9800000000000004"/>
    <n v="0"/>
    <x v="364"/>
    <n v="320"/>
  </r>
  <r>
    <n v="3683"/>
    <x v="8"/>
    <x v="300"/>
    <x v="3"/>
    <x v="13"/>
    <n v="1"/>
    <n v="1.02"/>
    <n v="1.02"/>
    <n v="0.2"/>
    <x v="365"/>
    <n v="244"/>
  </r>
  <r>
    <n v="2771"/>
    <x v="8"/>
    <x v="149"/>
    <x v="9"/>
    <x v="8"/>
    <n v="1"/>
    <n v="1.22"/>
    <n v="1.22"/>
    <n v="0.12"/>
    <x v="366"/>
    <n v="175"/>
  </r>
  <r>
    <n v="1420"/>
    <x v="2"/>
    <x v="155"/>
    <x v="10"/>
    <x v="13"/>
    <n v="2"/>
    <n v="12.1"/>
    <n v="24.2"/>
    <n v="2.25"/>
    <x v="367"/>
    <n v="374"/>
  </r>
  <r>
    <n v="6111"/>
    <x v="5"/>
    <x v="301"/>
    <x v="7"/>
    <x v="7"/>
    <n v="2"/>
    <n v="19.600000000000001"/>
    <n v="39.200000000000003"/>
    <n v="3.12"/>
    <x v="368"/>
    <n v="346"/>
  </r>
  <r>
    <n v="7149"/>
    <x v="6"/>
    <x v="302"/>
    <x v="6"/>
    <x v="6"/>
    <n v="4"/>
    <n v="11.17"/>
    <n v="44.68"/>
    <n v="4.47"/>
    <x v="369"/>
    <n v="109"/>
  </r>
  <r>
    <n v="4249"/>
    <x v="4"/>
    <x v="303"/>
    <x v="2"/>
    <x v="13"/>
    <n v="1"/>
    <n v="5.05"/>
    <n v="5.05"/>
    <n v="0.76"/>
    <x v="370"/>
    <n v="63"/>
  </r>
  <r>
    <n v="4978"/>
    <x v="3"/>
    <x v="19"/>
    <x v="4"/>
    <x v="12"/>
    <n v="2"/>
    <n v="9.02"/>
    <n v="18.04"/>
    <n v="3.4"/>
    <x v="371"/>
    <n v="43"/>
  </r>
  <r>
    <n v="5941"/>
    <x v="5"/>
    <x v="304"/>
    <x v="0"/>
    <x v="9"/>
    <n v="2"/>
    <n v="16"/>
    <n v="32"/>
    <n v="0"/>
    <x v="372"/>
    <n v="260"/>
  </r>
  <r>
    <n v="2983"/>
    <x v="9"/>
    <x v="305"/>
    <x v="8"/>
    <x v="11"/>
    <n v="2"/>
    <n v="15.34"/>
    <n v="30.68"/>
    <n v="3.07"/>
    <x v="373"/>
    <n v="57"/>
  </r>
  <r>
    <n v="1672"/>
    <x v="0"/>
    <x v="306"/>
    <x v="9"/>
    <x v="10"/>
    <n v="3"/>
    <n v="28.07"/>
    <n v="84.21"/>
    <n v="2.68"/>
    <x v="374"/>
    <n v="67"/>
  </r>
  <r>
    <n v="9728"/>
    <x v="1"/>
    <x v="307"/>
    <x v="5"/>
    <x v="6"/>
    <n v="4"/>
    <n v="28.67"/>
    <n v="114.68"/>
    <n v="3.35"/>
    <x v="375"/>
    <n v="394"/>
  </r>
  <r>
    <n v="7071"/>
    <x v="6"/>
    <x v="145"/>
    <x v="8"/>
    <x v="14"/>
    <n v="1"/>
    <n v="27.74"/>
    <n v="27.74"/>
    <n v="2.15"/>
    <x v="376"/>
    <n v="485"/>
  </r>
  <r>
    <n v="9289"/>
    <x v="9"/>
    <x v="308"/>
    <x v="3"/>
    <x v="1"/>
    <n v="4"/>
    <n v="3.38"/>
    <n v="13.52"/>
    <n v="2.0299999999999998"/>
    <x v="377"/>
    <n v="274"/>
  </r>
  <r>
    <n v="6590"/>
    <x v="0"/>
    <x v="309"/>
    <x v="8"/>
    <x v="13"/>
    <n v="5"/>
    <n v="27.7"/>
    <n v="138.5"/>
    <n v="2.31"/>
    <x v="378"/>
    <n v="498"/>
  </r>
  <r>
    <n v="7882"/>
    <x v="0"/>
    <x v="310"/>
    <x v="8"/>
    <x v="1"/>
    <n v="2"/>
    <n v="2.67"/>
    <n v="5.34"/>
    <n v="2.81"/>
    <x v="379"/>
    <n v="44"/>
  </r>
  <r>
    <n v="9031"/>
    <x v="6"/>
    <x v="311"/>
    <x v="8"/>
    <x v="6"/>
    <n v="1"/>
    <n v="1.36"/>
    <n v="1.36"/>
    <n v="0.27"/>
    <x v="380"/>
    <n v="70"/>
  </r>
  <r>
    <n v="8102"/>
    <x v="4"/>
    <x v="56"/>
    <x v="4"/>
    <x v="15"/>
    <n v="5"/>
    <n v="23.7"/>
    <n v="118.5"/>
    <n v="23.7"/>
    <x v="381"/>
    <n v="369"/>
  </r>
  <r>
    <n v="8532"/>
    <x v="7"/>
    <x v="106"/>
    <x v="7"/>
    <x v="0"/>
    <n v="1"/>
    <n v="23.36"/>
    <n v="23.36"/>
    <n v="2.34"/>
    <x v="382"/>
    <n v="15"/>
  </r>
  <r>
    <n v="3506"/>
    <x v="5"/>
    <x v="213"/>
    <x v="9"/>
    <x v="13"/>
    <n v="3"/>
    <n v="21.65"/>
    <n v="64.95"/>
    <n v="6.5"/>
    <x v="383"/>
    <n v="295"/>
  </r>
  <r>
    <n v="3885"/>
    <x v="4"/>
    <x v="312"/>
    <x v="9"/>
    <x v="4"/>
    <n v="1"/>
    <n v="15.48"/>
    <n v="15.48"/>
    <n v="2.3199999999999998"/>
    <x v="384"/>
    <n v="290"/>
  </r>
  <r>
    <n v="9548"/>
    <x v="2"/>
    <x v="313"/>
    <x v="8"/>
    <x v="17"/>
    <n v="5"/>
    <n v="20.54"/>
    <n v="102.7"/>
    <n v="0"/>
    <x v="385"/>
    <n v="59"/>
  </r>
  <r>
    <n v="5425"/>
    <x v="1"/>
    <x v="229"/>
    <x v="0"/>
    <x v="11"/>
    <n v="1"/>
    <n v="8.08"/>
    <n v="8.08"/>
    <n v="0.81"/>
    <x v="386"/>
    <n v="241"/>
  </r>
  <r>
    <n v="9817"/>
    <x v="2"/>
    <x v="314"/>
    <x v="7"/>
    <x v="11"/>
    <n v="5"/>
    <n v="24.28"/>
    <n v="121.4"/>
    <n v="24.28"/>
    <x v="387"/>
    <n v="365"/>
  </r>
  <r>
    <n v="8921"/>
    <x v="7"/>
    <x v="233"/>
    <x v="2"/>
    <x v="1"/>
    <n v="3"/>
    <n v="8.86"/>
    <n v="26.58"/>
    <n v="3.01"/>
    <x v="388"/>
    <n v="39"/>
  </r>
  <r>
    <n v="8136"/>
    <x v="6"/>
    <x v="315"/>
    <x v="7"/>
    <x v="5"/>
    <n v="5"/>
    <n v="29.45"/>
    <n v="147.25"/>
    <n v="4.51"/>
    <x v="389"/>
    <n v="488"/>
  </r>
  <r>
    <n v="5397"/>
    <x v="5"/>
    <x v="316"/>
    <x v="8"/>
    <x v="3"/>
    <n v="1"/>
    <n v="17.03"/>
    <n v="17.03"/>
    <n v="3.41"/>
    <x v="390"/>
    <n v="4"/>
  </r>
  <r>
    <n v="5022"/>
    <x v="5"/>
    <x v="317"/>
    <x v="6"/>
    <x v="9"/>
    <n v="5"/>
    <n v="8.02"/>
    <n v="40.1"/>
    <n v="8.02"/>
    <x v="391"/>
    <n v="188"/>
  </r>
  <r>
    <n v="2419"/>
    <x v="1"/>
    <x v="126"/>
    <x v="2"/>
    <x v="12"/>
    <n v="1"/>
    <n v="28.03"/>
    <n v="28.03"/>
    <n v="2.39"/>
    <x v="392"/>
    <n v="12"/>
  </r>
  <r>
    <n v="8385"/>
    <x v="6"/>
    <x v="245"/>
    <x v="4"/>
    <x v="10"/>
    <n v="4"/>
    <n v="25.61"/>
    <n v="102.44"/>
    <n v="1.82"/>
    <x v="393"/>
    <n v="372"/>
  </r>
  <r>
    <n v="8613"/>
    <x v="8"/>
    <x v="318"/>
    <x v="3"/>
    <x v="16"/>
    <n v="1"/>
    <n v="29.19"/>
    <n v="29.19"/>
    <n v="1.18"/>
    <x v="394"/>
    <n v="72"/>
  </r>
  <r>
    <n v="7209"/>
    <x v="8"/>
    <x v="319"/>
    <x v="9"/>
    <x v="1"/>
    <n v="3"/>
    <n v="14.29"/>
    <n v="42.87"/>
    <n v="1.38"/>
    <x v="395"/>
    <n v="382"/>
  </r>
  <r>
    <n v="1470"/>
    <x v="2"/>
    <x v="58"/>
    <x v="5"/>
    <x v="7"/>
    <n v="1"/>
    <n v="18.149999999999999"/>
    <n v="18.149999999999999"/>
    <n v="0"/>
    <x v="396"/>
    <n v="31"/>
  </r>
  <r>
    <n v="6325"/>
    <x v="2"/>
    <x v="287"/>
    <x v="2"/>
    <x v="9"/>
    <n v="3"/>
    <n v="25.67"/>
    <n v="77.010000000000005"/>
    <n v="0"/>
    <x v="397"/>
    <n v="474"/>
  </r>
  <r>
    <n v="8988"/>
    <x v="7"/>
    <x v="95"/>
    <x v="4"/>
    <x v="8"/>
    <n v="3"/>
    <n v="7.76"/>
    <n v="23.28"/>
    <n v="4.66"/>
    <x v="398"/>
    <n v="483"/>
  </r>
  <r>
    <n v="6813"/>
    <x v="0"/>
    <x v="320"/>
    <x v="7"/>
    <x v="17"/>
    <n v="2"/>
    <n v="14.03"/>
    <n v="28.06"/>
    <n v="3.14"/>
    <x v="399"/>
    <n v="160"/>
  </r>
  <r>
    <n v="5232"/>
    <x v="8"/>
    <x v="16"/>
    <x v="10"/>
    <x v="9"/>
    <n v="4"/>
    <n v="8.68"/>
    <n v="34.72"/>
    <n v="6.94"/>
    <x v="400"/>
    <n v="61"/>
  </r>
  <r>
    <n v="5581"/>
    <x v="5"/>
    <x v="321"/>
    <x v="6"/>
    <x v="11"/>
    <n v="2"/>
    <n v="25.23"/>
    <n v="50.46"/>
    <n v="3.84"/>
    <x v="401"/>
    <n v="167"/>
  </r>
  <r>
    <n v="5526"/>
    <x v="7"/>
    <x v="322"/>
    <x v="3"/>
    <x v="15"/>
    <n v="1"/>
    <n v="20.63"/>
    <n v="20.63"/>
    <n v="4.8099999999999996"/>
    <x v="402"/>
    <n v="133"/>
  </r>
  <r>
    <n v="1166"/>
    <x v="4"/>
    <x v="323"/>
    <x v="9"/>
    <x v="2"/>
    <n v="2"/>
    <n v="3.74"/>
    <n v="7.48"/>
    <n v="1.05"/>
    <x v="403"/>
    <n v="52"/>
  </r>
  <r>
    <n v="4130"/>
    <x v="8"/>
    <x v="87"/>
    <x v="7"/>
    <x v="14"/>
    <n v="4"/>
    <n v="11.78"/>
    <n v="47.12"/>
    <n v="3.34"/>
    <x v="404"/>
    <n v="322"/>
  </r>
  <r>
    <n v="4954"/>
    <x v="0"/>
    <x v="221"/>
    <x v="0"/>
    <x v="13"/>
    <n v="2"/>
    <n v="27.16"/>
    <n v="54.32"/>
    <n v="4.62"/>
    <x v="405"/>
    <n v="227"/>
  </r>
  <r>
    <n v="7658"/>
    <x v="9"/>
    <x v="83"/>
    <x v="1"/>
    <x v="11"/>
    <n v="4"/>
    <n v="2.46"/>
    <n v="9.84"/>
    <n v="0"/>
    <x v="406"/>
    <n v="473"/>
  </r>
  <r>
    <n v="4937"/>
    <x v="3"/>
    <x v="324"/>
    <x v="10"/>
    <x v="10"/>
    <n v="4"/>
    <n v="20.8"/>
    <n v="83.2"/>
    <n v="16.64"/>
    <x v="407"/>
    <n v="88"/>
  </r>
  <r>
    <n v="8800"/>
    <x v="2"/>
    <x v="325"/>
    <x v="8"/>
    <x v="0"/>
    <n v="4"/>
    <n v="26.61"/>
    <n v="106.44"/>
    <n v="0"/>
    <x v="408"/>
    <n v="17"/>
  </r>
  <r>
    <n v="9041"/>
    <x v="5"/>
    <x v="12"/>
    <x v="10"/>
    <x v="1"/>
    <n v="5"/>
    <n v="14.88"/>
    <n v="74.400000000000006"/>
    <n v="7.44"/>
    <x v="409"/>
    <n v="44"/>
  </r>
  <r>
    <n v="1282"/>
    <x v="2"/>
    <x v="6"/>
    <x v="3"/>
    <x v="14"/>
    <n v="5"/>
    <n v="8.2200000000000006"/>
    <n v="41.1"/>
    <n v="4.1100000000000003"/>
    <x v="410"/>
    <n v="410"/>
  </r>
  <r>
    <n v="5820"/>
    <x v="7"/>
    <x v="200"/>
    <x v="10"/>
    <x v="2"/>
    <n v="4"/>
    <n v="10.97"/>
    <n v="43.88"/>
    <n v="4.3899999999999997"/>
    <x v="411"/>
    <n v="289"/>
  </r>
  <r>
    <n v="7625"/>
    <x v="5"/>
    <x v="326"/>
    <x v="7"/>
    <x v="10"/>
    <n v="3"/>
    <n v="18.309999999999999"/>
    <n v="54.93"/>
    <n v="4.2300000000000004"/>
    <x v="412"/>
    <n v="15"/>
  </r>
  <r>
    <n v="4986"/>
    <x v="4"/>
    <x v="327"/>
    <x v="9"/>
    <x v="4"/>
    <n v="5"/>
    <n v="29.98"/>
    <n v="149.9"/>
    <n v="1.99"/>
    <x v="413"/>
    <n v="498"/>
  </r>
  <r>
    <n v="7046"/>
    <x v="8"/>
    <x v="296"/>
    <x v="8"/>
    <x v="2"/>
    <n v="1"/>
    <n v="23.15"/>
    <n v="23.15"/>
    <n v="4.3899999999999997"/>
    <x v="414"/>
    <n v="485"/>
  </r>
  <r>
    <n v="9698"/>
    <x v="3"/>
    <x v="328"/>
    <x v="4"/>
    <x v="6"/>
    <n v="2"/>
    <n v="7.85"/>
    <n v="15.7"/>
    <n v="1.1100000000000001"/>
    <x v="415"/>
    <n v="162"/>
  </r>
  <r>
    <n v="7971"/>
    <x v="7"/>
    <x v="329"/>
    <x v="6"/>
    <x v="12"/>
    <n v="5"/>
    <n v="28.49"/>
    <n v="142.44999999999999"/>
    <n v="2.2400000000000002"/>
    <x v="416"/>
    <n v="428"/>
  </r>
  <r>
    <n v="6419"/>
    <x v="4"/>
    <x v="277"/>
    <x v="0"/>
    <x v="13"/>
    <n v="1"/>
    <n v="7.74"/>
    <n v="7.74"/>
    <n v="2.91"/>
    <x v="417"/>
    <n v="112"/>
  </r>
  <r>
    <n v="8434"/>
    <x v="7"/>
    <x v="330"/>
    <x v="6"/>
    <x v="14"/>
    <n v="2"/>
    <n v="10.87"/>
    <n v="21.74"/>
    <n v="1.0900000000000001"/>
    <x v="418"/>
    <n v="90"/>
  </r>
  <r>
    <n v="6023"/>
    <x v="2"/>
    <x v="173"/>
    <x v="1"/>
    <x v="15"/>
    <n v="3"/>
    <n v="28.85"/>
    <n v="86.55"/>
    <n v="1.4"/>
    <x v="419"/>
    <n v="191"/>
  </r>
  <r>
    <n v="4777"/>
    <x v="5"/>
    <x v="331"/>
    <x v="4"/>
    <x v="12"/>
    <n v="2"/>
    <n v="22.23"/>
    <n v="44.46"/>
    <n v="0"/>
    <x v="420"/>
    <n v="223"/>
  </r>
  <r>
    <n v="4155"/>
    <x v="7"/>
    <x v="151"/>
    <x v="7"/>
    <x v="2"/>
    <n v="5"/>
    <n v="23.81"/>
    <n v="119.05"/>
    <n v="11.91"/>
    <x v="421"/>
    <n v="114"/>
  </r>
  <r>
    <n v="2958"/>
    <x v="5"/>
    <x v="259"/>
    <x v="8"/>
    <x v="12"/>
    <n v="2"/>
    <n v="22.13"/>
    <n v="44.26"/>
    <n v="1.1299999999999999"/>
    <x v="422"/>
    <n v="485"/>
  </r>
  <r>
    <n v="9779"/>
    <x v="7"/>
    <x v="79"/>
    <x v="6"/>
    <x v="5"/>
    <n v="5"/>
    <n v="4.01"/>
    <n v="20.05"/>
    <n v="3.01"/>
    <x v="423"/>
    <n v="254"/>
  </r>
  <r>
    <n v="4033"/>
    <x v="0"/>
    <x v="332"/>
    <x v="2"/>
    <x v="4"/>
    <n v="3"/>
    <n v="5.86"/>
    <n v="17.579999999999998"/>
    <n v="0"/>
    <x v="424"/>
    <n v="453"/>
  </r>
  <r>
    <n v="4545"/>
    <x v="7"/>
    <x v="333"/>
    <x v="10"/>
    <x v="10"/>
    <n v="3"/>
    <n v="7.07"/>
    <n v="21.21"/>
    <n v="3.18"/>
    <x v="12"/>
    <n v="354"/>
  </r>
  <r>
    <n v="8933"/>
    <x v="5"/>
    <x v="334"/>
    <x v="1"/>
    <x v="10"/>
    <n v="1"/>
    <n v="12.18"/>
    <n v="12.18"/>
    <n v="2.44"/>
    <x v="425"/>
    <n v="375"/>
  </r>
  <r>
    <n v="9595"/>
    <x v="3"/>
    <x v="63"/>
    <x v="10"/>
    <x v="7"/>
    <n v="3"/>
    <n v="16.82"/>
    <n v="50.46"/>
    <n v="3.6"/>
    <x v="426"/>
    <n v="51"/>
  </r>
  <r>
    <n v="5636"/>
    <x v="8"/>
    <x v="335"/>
    <x v="7"/>
    <x v="8"/>
    <n v="1"/>
    <n v="24.17"/>
    <n v="24.17"/>
    <n v="2.27"/>
    <x v="427"/>
    <n v="17"/>
  </r>
  <r>
    <n v="4180"/>
    <x v="0"/>
    <x v="138"/>
    <x v="1"/>
    <x v="3"/>
    <n v="2"/>
    <n v="26.74"/>
    <n v="53.48"/>
    <n v="4.7699999999999996"/>
    <x v="428"/>
    <n v="82"/>
  </r>
  <r>
    <n v="4727"/>
    <x v="0"/>
    <x v="336"/>
    <x v="4"/>
    <x v="16"/>
    <n v="1"/>
    <n v="13.5"/>
    <n v="13.5"/>
    <n v="4.5599999999999996"/>
    <x v="429"/>
    <n v="334"/>
  </r>
  <r>
    <n v="3939"/>
    <x v="2"/>
    <x v="337"/>
    <x v="0"/>
    <x v="17"/>
    <n v="3"/>
    <n v="6.95"/>
    <n v="20.85"/>
    <n v="0"/>
    <x v="430"/>
    <n v="97"/>
  </r>
  <r>
    <n v="1231"/>
    <x v="1"/>
    <x v="106"/>
    <x v="9"/>
    <x v="0"/>
    <n v="3"/>
    <n v="9.61"/>
    <n v="28.83"/>
    <n v="2.88"/>
    <x v="431"/>
    <n v="49"/>
  </r>
  <r>
    <n v="9751"/>
    <x v="1"/>
    <x v="338"/>
    <x v="10"/>
    <x v="12"/>
    <n v="1"/>
    <n v="11.45"/>
    <n v="11.45"/>
    <n v="1.72"/>
    <x v="432"/>
    <n v="218"/>
  </r>
  <r>
    <n v="5494"/>
    <x v="4"/>
    <x v="31"/>
    <x v="2"/>
    <x v="17"/>
    <n v="1"/>
    <n v="6.99"/>
    <n v="6.99"/>
    <n v="2.89"/>
    <x v="433"/>
    <n v="326"/>
  </r>
  <r>
    <n v="1893"/>
    <x v="0"/>
    <x v="67"/>
    <x v="8"/>
    <x v="7"/>
    <n v="4"/>
    <n v="15.17"/>
    <n v="60.68"/>
    <n v="3.57"/>
    <x v="434"/>
    <n v="338"/>
  </r>
  <r>
    <n v="5786"/>
    <x v="3"/>
    <x v="137"/>
    <x v="7"/>
    <x v="4"/>
    <n v="4"/>
    <n v="11.7"/>
    <n v="46.8"/>
    <n v="7.02"/>
    <x v="435"/>
    <n v="228"/>
  </r>
  <r>
    <n v="3068"/>
    <x v="4"/>
    <x v="339"/>
    <x v="10"/>
    <x v="0"/>
    <n v="2"/>
    <n v="25.27"/>
    <n v="50.54"/>
    <n v="10.11"/>
    <x v="436"/>
    <n v="288"/>
  </r>
  <r>
    <n v="9042"/>
    <x v="0"/>
    <x v="19"/>
    <x v="1"/>
    <x v="4"/>
    <n v="5"/>
    <n v="13"/>
    <n v="65"/>
    <n v="1.24"/>
    <x v="437"/>
    <n v="387"/>
  </r>
  <r>
    <n v="1200"/>
    <x v="3"/>
    <x v="340"/>
    <x v="9"/>
    <x v="1"/>
    <n v="5"/>
    <n v="20.91"/>
    <n v="104.55"/>
    <n v="4.53"/>
    <x v="438"/>
    <n v="479"/>
  </r>
  <r>
    <n v="5658"/>
    <x v="4"/>
    <x v="341"/>
    <x v="8"/>
    <x v="13"/>
    <n v="4"/>
    <n v="27.17"/>
    <n v="108.68"/>
    <n v="3.28"/>
    <x v="439"/>
    <n v="365"/>
  </r>
  <r>
    <n v="8843"/>
    <x v="1"/>
    <x v="342"/>
    <x v="6"/>
    <x v="12"/>
    <n v="1"/>
    <n v="28.52"/>
    <n v="28.52"/>
    <n v="5.7"/>
    <x v="440"/>
    <n v="229"/>
  </r>
  <r>
    <n v="6582"/>
    <x v="8"/>
    <x v="343"/>
    <x v="2"/>
    <x v="12"/>
    <n v="1"/>
    <n v="13.27"/>
    <n v="13.27"/>
    <n v="2.65"/>
    <x v="441"/>
    <n v="349"/>
  </r>
  <r>
    <n v="1841"/>
    <x v="2"/>
    <x v="344"/>
    <x v="6"/>
    <x v="0"/>
    <n v="3"/>
    <n v="27.4"/>
    <n v="82.2"/>
    <n v="2.5499999999999998"/>
    <x v="442"/>
    <n v="468"/>
  </r>
  <r>
    <n v="8827"/>
    <x v="3"/>
    <x v="345"/>
    <x v="9"/>
    <x v="3"/>
    <n v="3"/>
    <n v="16.059999999999999"/>
    <n v="48.18"/>
    <n v="0"/>
    <x v="443"/>
    <n v="469"/>
  </r>
  <r>
    <n v="2070"/>
    <x v="1"/>
    <x v="47"/>
    <x v="3"/>
    <x v="17"/>
    <n v="4"/>
    <n v="5.33"/>
    <n v="21.32"/>
    <n v="3.25"/>
    <x v="444"/>
    <n v="290"/>
  </r>
  <r>
    <n v="9056"/>
    <x v="0"/>
    <x v="346"/>
    <x v="8"/>
    <x v="2"/>
    <n v="3"/>
    <n v="26.45"/>
    <n v="79.349999999999994"/>
    <n v="0"/>
    <x v="445"/>
    <n v="135"/>
  </r>
  <r>
    <n v="1878"/>
    <x v="4"/>
    <x v="268"/>
    <x v="6"/>
    <x v="16"/>
    <n v="1"/>
    <n v="5.98"/>
    <n v="5.98"/>
    <n v="3.43"/>
    <x v="446"/>
    <n v="206"/>
  </r>
  <r>
    <n v="3444"/>
    <x v="3"/>
    <x v="347"/>
    <x v="0"/>
    <x v="7"/>
    <n v="3"/>
    <n v="21.01"/>
    <n v="63.03"/>
    <n v="9.4499999999999993"/>
    <x v="447"/>
    <n v="25"/>
  </r>
  <r>
    <n v="5978"/>
    <x v="7"/>
    <x v="87"/>
    <x v="0"/>
    <x v="3"/>
    <n v="3"/>
    <n v="10.01"/>
    <n v="30.03"/>
    <n v="0"/>
    <x v="448"/>
    <n v="431"/>
  </r>
  <r>
    <n v="5066"/>
    <x v="0"/>
    <x v="348"/>
    <x v="2"/>
    <x v="12"/>
    <n v="3"/>
    <n v="29.24"/>
    <n v="87.72"/>
    <n v="13.16"/>
    <x v="449"/>
    <n v="226"/>
  </r>
  <r>
    <n v="7818"/>
    <x v="3"/>
    <x v="349"/>
    <x v="6"/>
    <x v="13"/>
    <n v="2"/>
    <n v="13.8"/>
    <n v="27.6"/>
    <n v="0"/>
    <x v="450"/>
    <n v="467"/>
  </r>
  <r>
    <n v="4697"/>
    <x v="4"/>
    <x v="350"/>
    <x v="9"/>
    <x v="4"/>
    <n v="1"/>
    <n v="15.93"/>
    <n v="15.93"/>
    <n v="2.39"/>
    <x v="451"/>
    <n v="81"/>
  </r>
  <r>
    <n v="9561"/>
    <x v="1"/>
    <x v="20"/>
    <x v="3"/>
    <x v="12"/>
    <n v="5"/>
    <n v="26.49"/>
    <n v="132.44999999999999"/>
    <n v="26.49"/>
    <x v="452"/>
    <n v="14"/>
  </r>
  <r>
    <n v="8381"/>
    <x v="8"/>
    <x v="351"/>
    <x v="0"/>
    <x v="5"/>
    <n v="1"/>
    <n v="14.23"/>
    <n v="14.23"/>
    <n v="0"/>
    <x v="453"/>
    <n v="470"/>
  </r>
  <r>
    <n v="8253"/>
    <x v="8"/>
    <x v="138"/>
    <x v="8"/>
    <x v="4"/>
    <n v="4"/>
    <n v="15.64"/>
    <n v="62.56"/>
    <n v="0"/>
    <x v="211"/>
    <n v="325"/>
  </r>
  <r>
    <n v="8025"/>
    <x v="6"/>
    <x v="327"/>
    <x v="2"/>
    <x v="4"/>
    <n v="4"/>
    <n v="18.22"/>
    <n v="72.88"/>
    <n v="3.21"/>
    <x v="454"/>
    <n v="90"/>
  </r>
  <r>
    <n v="1986"/>
    <x v="7"/>
    <x v="39"/>
    <x v="7"/>
    <x v="0"/>
    <n v="1"/>
    <n v="9.26"/>
    <n v="9.26"/>
    <n v="1.85"/>
    <x v="455"/>
    <n v="197"/>
  </r>
  <r>
    <n v="2625"/>
    <x v="8"/>
    <x v="79"/>
    <x v="2"/>
    <x v="5"/>
    <n v="2"/>
    <n v="8.7899999999999991"/>
    <n v="17.579999999999998"/>
    <n v="0"/>
    <x v="424"/>
    <n v="209"/>
  </r>
  <r>
    <n v="4404"/>
    <x v="6"/>
    <x v="352"/>
    <x v="10"/>
    <x v="12"/>
    <n v="2"/>
    <n v="18.420000000000002"/>
    <n v="36.840000000000003"/>
    <n v="5.53"/>
    <x v="456"/>
    <n v="4"/>
  </r>
  <r>
    <n v="4457"/>
    <x v="5"/>
    <x v="93"/>
    <x v="5"/>
    <x v="0"/>
    <n v="4"/>
    <n v="26.96"/>
    <n v="107.84"/>
    <n v="10.78"/>
    <x v="457"/>
    <n v="436"/>
  </r>
  <r>
    <n v="2330"/>
    <x v="5"/>
    <x v="353"/>
    <x v="2"/>
    <x v="8"/>
    <n v="3"/>
    <n v="20.63"/>
    <n v="61.89"/>
    <n v="1.41"/>
    <x v="458"/>
    <n v="422"/>
  </r>
  <r>
    <n v="4929"/>
    <x v="1"/>
    <x v="354"/>
    <x v="5"/>
    <x v="4"/>
    <n v="5"/>
    <n v="19.760000000000002"/>
    <n v="98.8"/>
    <n v="14.82"/>
    <x v="459"/>
    <n v="311"/>
  </r>
  <r>
    <n v="2229"/>
    <x v="0"/>
    <x v="353"/>
    <x v="10"/>
    <x v="13"/>
    <n v="3"/>
    <n v="29.65"/>
    <n v="88.95"/>
    <n v="13.34"/>
    <x v="460"/>
    <n v="327"/>
  </r>
  <r>
    <n v="1043"/>
    <x v="5"/>
    <x v="355"/>
    <x v="5"/>
    <x v="9"/>
    <n v="2"/>
    <n v="5.34"/>
    <n v="10.68"/>
    <n v="4.22"/>
    <x v="461"/>
    <n v="391"/>
  </r>
  <r>
    <n v="8381"/>
    <x v="3"/>
    <x v="356"/>
    <x v="5"/>
    <x v="3"/>
    <n v="2"/>
    <n v="21.91"/>
    <n v="43.82"/>
    <n v="6.57"/>
    <x v="462"/>
    <n v="335"/>
  </r>
  <r>
    <n v="8699"/>
    <x v="5"/>
    <x v="357"/>
    <x v="3"/>
    <x v="7"/>
    <n v="4"/>
    <n v="22.36"/>
    <n v="89.44"/>
    <n v="13.42"/>
    <x v="463"/>
    <n v="298"/>
  </r>
  <r>
    <n v="1534"/>
    <x v="8"/>
    <x v="358"/>
    <x v="5"/>
    <x v="2"/>
    <n v="4"/>
    <n v="27.28"/>
    <n v="109.12"/>
    <n v="2.2000000000000002"/>
    <x v="464"/>
    <n v="343"/>
  </r>
  <r>
    <n v="5720"/>
    <x v="2"/>
    <x v="106"/>
    <x v="5"/>
    <x v="2"/>
    <n v="2"/>
    <n v="9.51"/>
    <n v="19.02"/>
    <n v="0"/>
    <x v="465"/>
    <n v="241"/>
  </r>
  <r>
    <n v="5632"/>
    <x v="5"/>
    <x v="163"/>
    <x v="9"/>
    <x v="6"/>
    <n v="3"/>
    <n v="19.97"/>
    <n v="59.91"/>
    <n v="11.98"/>
    <x v="466"/>
    <n v="113"/>
  </r>
  <r>
    <n v="8438"/>
    <x v="5"/>
    <x v="109"/>
    <x v="3"/>
    <x v="3"/>
    <n v="3"/>
    <n v="8.5500000000000007"/>
    <n v="25.65"/>
    <n v="2.88"/>
    <x v="467"/>
    <n v="150"/>
  </r>
  <r>
    <n v="4824"/>
    <x v="0"/>
    <x v="359"/>
    <x v="10"/>
    <x v="14"/>
    <n v="5"/>
    <n v="4.46"/>
    <n v="22.3"/>
    <n v="2.19"/>
    <x v="468"/>
    <n v="348"/>
  </r>
  <r>
    <n v="5334"/>
    <x v="6"/>
    <x v="197"/>
    <x v="7"/>
    <x v="12"/>
    <n v="2"/>
    <n v="10.93"/>
    <n v="21.86"/>
    <n v="4.37"/>
    <x v="469"/>
    <n v="291"/>
  </r>
  <r>
    <n v="4241"/>
    <x v="7"/>
    <x v="360"/>
    <x v="7"/>
    <x v="13"/>
    <n v="4"/>
    <n v="10.64"/>
    <n v="42.56"/>
    <n v="0"/>
    <x v="470"/>
    <n v="90"/>
  </r>
  <r>
    <n v="2880"/>
    <x v="6"/>
    <x v="361"/>
    <x v="0"/>
    <x v="8"/>
    <n v="3"/>
    <n v="7.06"/>
    <n v="21.18"/>
    <n v="4.0599999999999996"/>
    <x v="471"/>
    <n v="396"/>
  </r>
  <r>
    <n v="4683"/>
    <x v="4"/>
    <x v="362"/>
    <x v="1"/>
    <x v="12"/>
    <n v="5"/>
    <n v="13.57"/>
    <n v="67.849999999999994"/>
    <n v="6.79"/>
    <x v="472"/>
    <n v="219"/>
  </r>
  <r>
    <n v="3441"/>
    <x v="4"/>
    <x v="351"/>
    <x v="3"/>
    <x v="10"/>
    <n v="1"/>
    <n v="16.47"/>
    <n v="16.47"/>
    <n v="4.57"/>
    <x v="473"/>
    <n v="374"/>
  </r>
  <r>
    <n v="5352"/>
    <x v="1"/>
    <x v="363"/>
    <x v="2"/>
    <x v="10"/>
    <n v="1"/>
    <n v="19.16"/>
    <n v="19.16"/>
    <n v="0"/>
    <x v="192"/>
    <n v="127"/>
  </r>
  <r>
    <n v="3330"/>
    <x v="7"/>
    <x v="109"/>
    <x v="8"/>
    <x v="12"/>
    <n v="1"/>
    <n v="12.11"/>
    <n v="12.11"/>
    <n v="2.42"/>
    <x v="474"/>
    <n v="301"/>
  </r>
  <r>
    <n v="1977"/>
    <x v="0"/>
    <x v="364"/>
    <x v="0"/>
    <x v="9"/>
    <n v="3"/>
    <n v="14.21"/>
    <n v="42.63"/>
    <n v="4.26"/>
    <x v="475"/>
    <n v="266"/>
  </r>
  <r>
    <n v="6039"/>
    <x v="2"/>
    <x v="65"/>
    <x v="4"/>
    <x v="16"/>
    <n v="3"/>
    <n v="22.74"/>
    <n v="68.22"/>
    <n v="1.91"/>
    <x v="476"/>
    <n v="84"/>
  </r>
  <r>
    <n v="5728"/>
    <x v="2"/>
    <x v="365"/>
    <x v="2"/>
    <x v="10"/>
    <n v="5"/>
    <n v="15.62"/>
    <n v="78.099999999999994"/>
    <n v="0"/>
    <x v="477"/>
    <n v="63"/>
  </r>
  <r>
    <n v="3037"/>
    <x v="6"/>
    <x v="341"/>
    <x v="3"/>
    <x v="0"/>
    <n v="5"/>
    <n v="19.059999999999999"/>
    <n v="95.3"/>
    <n v="0"/>
    <x v="478"/>
    <n v="304"/>
  </r>
  <r>
    <n v="5982"/>
    <x v="0"/>
    <x v="366"/>
    <x v="5"/>
    <x v="10"/>
    <n v="1"/>
    <n v="20.99"/>
    <n v="20.99"/>
    <n v="2.1"/>
    <x v="479"/>
    <n v="213"/>
  </r>
  <r>
    <n v="7594"/>
    <x v="0"/>
    <x v="169"/>
    <x v="9"/>
    <x v="0"/>
    <n v="4"/>
    <n v="21.34"/>
    <n v="85.36"/>
    <n v="12.8"/>
    <x v="480"/>
    <n v="105"/>
  </r>
  <r>
    <n v="9199"/>
    <x v="3"/>
    <x v="367"/>
    <x v="5"/>
    <x v="17"/>
    <n v="5"/>
    <n v="8.82"/>
    <n v="44.1"/>
    <n v="4.41"/>
    <x v="481"/>
    <n v="310"/>
  </r>
  <r>
    <n v="9090"/>
    <x v="0"/>
    <x v="99"/>
    <x v="9"/>
    <x v="17"/>
    <n v="3"/>
    <n v="4.3"/>
    <n v="12.9"/>
    <n v="2.58"/>
    <x v="482"/>
    <n v="54"/>
  </r>
  <r>
    <n v="2317"/>
    <x v="8"/>
    <x v="368"/>
    <x v="8"/>
    <x v="15"/>
    <n v="2"/>
    <n v="11.37"/>
    <n v="22.74"/>
    <n v="4.55"/>
    <x v="483"/>
    <n v="209"/>
  </r>
  <r>
    <n v="1653"/>
    <x v="6"/>
    <x v="369"/>
    <x v="9"/>
    <x v="16"/>
    <n v="2"/>
    <n v="20.95"/>
    <n v="41.9"/>
    <n v="8.3800000000000008"/>
    <x v="484"/>
    <n v="246"/>
  </r>
  <r>
    <n v="8078"/>
    <x v="6"/>
    <x v="370"/>
    <x v="0"/>
    <x v="13"/>
    <n v="1"/>
    <n v="25.21"/>
    <n v="25.21"/>
    <n v="5.04"/>
    <x v="485"/>
    <n v="342"/>
  </r>
  <r>
    <n v="6280"/>
    <x v="0"/>
    <x v="22"/>
    <x v="9"/>
    <x v="13"/>
    <n v="1"/>
    <n v="27.23"/>
    <n v="27.23"/>
    <n v="2.72"/>
    <x v="486"/>
    <n v="329"/>
  </r>
  <r>
    <n v="5102"/>
    <x v="5"/>
    <x v="283"/>
    <x v="8"/>
    <x v="8"/>
    <n v="1"/>
    <n v="3.88"/>
    <n v="3.88"/>
    <n v="0.57999999999999996"/>
    <x v="487"/>
    <n v="89"/>
  </r>
  <r>
    <n v="2496"/>
    <x v="7"/>
    <x v="45"/>
    <x v="5"/>
    <x v="3"/>
    <n v="4"/>
    <n v="22.41"/>
    <n v="89.64"/>
    <n v="4.41"/>
    <x v="488"/>
    <n v="48"/>
  </r>
  <r>
    <n v="1339"/>
    <x v="2"/>
    <x v="90"/>
    <x v="4"/>
    <x v="4"/>
    <n v="4"/>
    <n v="28.69"/>
    <n v="114.76"/>
    <n v="17.21"/>
    <x v="489"/>
    <n v="137"/>
  </r>
  <r>
    <n v="5415"/>
    <x v="7"/>
    <x v="301"/>
    <x v="7"/>
    <x v="17"/>
    <n v="4"/>
    <n v="12.6"/>
    <n v="50.4"/>
    <n v="5.04"/>
    <x v="490"/>
    <n v="233"/>
  </r>
  <r>
    <n v="1659"/>
    <x v="4"/>
    <x v="79"/>
    <x v="3"/>
    <x v="6"/>
    <n v="1"/>
    <n v="4.83"/>
    <n v="4.83"/>
    <n v="0.97"/>
    <x v="303"/>
    <n v="371"/>
  </r>
  <r>
    <n v="3870"/>
    <x v="0"/>
    <x v="291"/>
    <x v="3"/>
    <x v="16"/>
    <n v="5"/>
    <n v="20.66"/>
    <n v="103.3"/>
    <n v="15.49"/>
    <x v="491"/>
    <n v="92"/>
  </r>
  <r>
    <n v="9502"/>
    <x v="6"/>
    <x v="371"/>
    <x v="5"/>
    <x v="12"/>
    <n v="4"/>
    <n v="27.68"/>
    <n v="110.72"/>
    <n v="11.07"/>
    <x v="492"/>
    <n v="57"/>
  </r>
  <r>
    <n v="8245"/>
    <x v="6"/>
    <x v="372"/>
    <x v="1"/>
    <x v="0"/>
    <n v="3"/>
    <n v="1.35"/>
    <n v="4.05"/>
    <n v="0"/>
    <x v="493"/>
    <n v="444"/>
  </r>
  <r>
    <n v="5557"/>
    <x v="7"/>
    <x v="373"/>
    <x v="9"/>
    <x v="15"/>
    <n v="5"/>
    <n v="3.75"/>
    <n v="18.75"/>
    <n v="1.88"/>
    <x v="494"/>
    <n v="338"/>
  </r>
  <r>
    <n v="8141"/>
    <x v="7"/>
    <x v="374"/>
    <x v="5"/>
    <x v="7"/>
    <n v="2"/>
    <n v="25.32"/>
    <n v="50.64"/>
    <n v="3.57"/>
    <x v="495"/>
    <n v="285"/>
  </r>
  <r>
    <n v="9056"/>
    <x v="2"/>
    <x v="375"/>
    <x v="9"/>
    <x v="16"/>
    <n v="4"/>
    <n v="26.2"/>
    <n v="104.8"/>
    <n v="15.72"/>
    <x v="496"/>
    <n v="38"/>
  </r>
  <r>
    <n v="8700"/>
    <x v="8"/>
    <x v="376"/>
    <x v="4"/>
    <x v="0"/>
    <n v="1"/>
    <n v="15.69"/>
    <n v="15.69"/>
    <n v="1.57"/>
    <x v="497"/>
    <n v="281"/>
  </r>
  <r>
    <n v="7690"/>
    <x v="8"/>
    <x v="377"/>
    <x v="1"/>
    <x v="8"/>
    <n v="4"/>
    <n v="24.23"/>
    <n v="96.92"/>
    <n v="9.69"/>
    <x v="498"/>
    <n v="229"/>
  </r>
  <r>
    <n v="6260"/>
    <x v="4"/>
    <x v="37"/>
    <x v="4"/>
    <x v="17"/>
    <n v="4"/>
    <n v="22.6"/>
    <n v="90.4"/>
    <n v="9.0399999999999991"/>
    <x v="499"/>
    <n v="9"/>
  </r>
  <r>
    <n v="2713"/>
    <x v="3"/>
    <x v="199"/>
    <x v="0"/>
    <x v="2"/>
    <n v="5"/>
    <n v="0.99"/>
    <n v="4.95"/>
    <n v="3.25"/>
    <x v="500"/>
    <n v="46"/>
  </r>
  <r>
    <n v="3634"/>
    <x v="4"/>
    <x v="378"/>
    <x v="4"/>
    <x v="4"/>
    <n v="1"/>
    <n v="24.67"/>
    <n v="24.67"/>
    <n v="3.7"/>
    <x v="501"/>
    <n v="432"/>
  </r>
  <r>
    <n v="7744"/>
    <x v="1"/>
    <x v="379"/>
    <x v="6"/>
    <x v="16"/>
    <n v="3"/>
    <n v="21.75"/>
    <n v="65.25"/>
    <n v="0"/>
    <x v="502"/>
    <n v="58"/>
  </r>
  <r>
    <n v="9117"/>
    <x v="8"/>
    <x v="380"/>
    <x v="0"/>
    <x v="3"/>
    <n v="3"/>
    <n v="25.06"/>
    <n v="75.180000000000007"/>
    <n v="3.09"/>
    <x v="503"/>
    <n v="493"/>
  </r>
  <r>
    <n v="7561"/>
    <x v="0"/>
    <x v="381"/>
    <x v="0"/>
    <x v="6"/>
    <n v="4"/>
    <n v="5.0599999999999996"/>
    <n v="20.239999999999998"/>
    <n v="2.02"/>
    <x v="504"/>
    <n v="367"/>
  </r>
  <r>
    <n v="1601"/>
    <x v="8"/>
    <x v="243"/>
    <x v="2"/>
    <x v="17"/>
    <n v="4"/>
    <n v="7.24"/>
    <n v="28.96"/>
    <n v="0"/>
    <x v="505"/>
    <n v="422"/>
  </r>
  <r>
    <n v="2442"/>
    <x v="7"/>
    <x v="382"/>
    <x v="1"/>
    <x v="1"/>
    <n v="1"/>
    <n v="27.86"/>
    <n v="27.86"/>
    <n v="2.79"/>
    <x v="506"/>
    <n v="428"/>
  </r>
  <r>
    <n v="5135"/>
    <x v="4"/>
    <x v="383"/>
    <x v="5"/>
    <x v="15"/>
    <n v="2"/>
    <n v="28.94"/>
    <n v="57.88"/>
    <n v="4.74"/>
    <x v="507"/>
    <n v="2"/>
  </r>
  <r>
    <n v="2899"/>
    <x v="4"/>
    <x v="32"/>
    <x v="9"/>
    <x v="6"/>
    <n v="5"/>
    <n v="6.03"/>
    <n v="30.15"/>
    <n v="2.5499999999999998"/>
    <x v="450"/>
    <n v="417"/>
  </r>
  <r>
    <n v="7622"/>
    <x v="7"/>
    <x v="192"/>
    <x v="9"/>
    <x v="7"/>
    <n v="4"/>
    <n v="29.4"/>
    <n v="117.6"/>
    <n v="17.64"/>
    <x v="508"/>
    <n v="468"/>
  </r>
  <r>
    <n v="9431"/>
    <x v="3"/>
    <x v="384"/>
    <x v="4"/>
    <x v="9"/>
    <n v="4"/>
    <n v="24.33"/>
    <n v="97.32"/>
    <n v="3.8"/>
    <x v="509"/>
    <n v="70"/>
  </r>
  <r>
    <n v="1018"/>
    <x v="1"/>
    <x v="385"/>
    <x v="8"/>
    <x v="2"/>
    <n v="3"/>
    <n v="21.63"/>
    <n v="64.89"/>
    <n v="12.98"/>
    <x v="510"/>
    <n v="478"/>
  </r>
  <r>
    <n v="9889"/>
    <x v="8"/>
    <x v="386"/>
    <x v="6"/>
    <x v="9"/>
    <n v="3"/>
    <n v="27.7"/>
    <n v="83.1"/>
    <n v="3.17"/>
    <x v="511"/>
    <n v="67"/>
  </r>
  <r>
    <n v="7770"/>
    <x v="7"/>
    <x v="387"/>
    <x v="1"/>
    <x v="4"/>
    <n v="5"/>
    <n v="14.92"/>
    <n v="74.599999999999994"/>
    <n v="0"/>
    <x v="16"/>
    <n v="292"/>
  </r>
  <r>
    <n v="4073"/>
    <x v="1"/>
    <x v="388"/>
    <x v="8"/>
    <x v="1"/>
    <n v="1"/>
    <n v="16.149999999999999"/>
    <n v="16.149999999999999"/>
    <n v="3.23"/>
    <x v="512"/>
    <n v="12"/>
  </r>
  <r>
    <n v="6927"/>
    <x v="6"/>
    <x v="282"/>
    <x v="5"/>
    <x v="11"/>
    <n v="2"/>
    <n v="8.73"/>
    <n v="17.46"/>
    <n v="2.62"/>
    <x v="513"/>
    <n v="402"/>
  </r>
  <r>
    <n v="9167"/>
    <x v="5"/>
    <x v="352"/>
    <x v="7"/>
    <x v="11"/>
    <n v="3"/>
    <n v="6.91"/>
    <n v="20.73"/>
    <n v="3.11"/>
    <x v="514"/>
    <n v="277"/>
  </r>
  <r>
    <n v="8242"/>
    <x v="4"/>
    <x v="89"/>
    <x v="1"/>
    <x v="2"/>
    <n v="2"/>
    <n v="22.52"/>
    <n v="45.04"/>
    <n v="9.01"/>
    <x v="515"/>
    <n v="287"/>
  </r>
  <r>
    <n v="1845"/>
    <x v="1"/>
    <x v="152"/>
    <x v="8"/>
    <x v="11"/>
    <n v="4"/>
    <n v="12.23"/>
    <n v="48.92"/>
    <n v="1.22"/>
    <x v="516"/>
    <n v="489"/>
  </r>
  <r>
    <n v="5375"/>
    <x v="5"/>
    <x v="389"/>
    <x v="2"/>
    <x v="8"/>
    <n v="2"/>
    <n v="27.42"/>
    <n v="54.84"/>
    <n v="3.19"/>
    <x v="517"/>
    <n v="360"/>
  </r>
  <r>
    <n v="3146"/>
    <x v="8"/>
    <x v="390"/>
    <x v="2"/>
    <x v="9"/>
    <n v="4"/>
    <n v="6.14"/>
    <n v="24.56"/>
    <n v="4.91"/>
    <x v="518"/>
    <n v="349"/>
  </r>
  <r>
    <n v="5719"/>
    <x v="2"/>
    <x v="99"/>
    <x v="9"/>
    <x v="17"/>
    <n v="4"/>
    <n v="2.17"/>
    <n v="8.68"/>
    <n v="1.74"/>
    <x v="519"/>
    <n v="142"/>
  </r>
  <r>
    <n v="8941"/>
    <x v="2"/>
    <x v="391"/>
    <x v="6"/>
    <x v="0"/>
    <n v="1"/>
    <n v="10.58"/>
    <n v="10.58"/>
    <n v="1.61"/>
    <x v="186"/>
    <n v="363"/>
  </r>
  <r>
    <n v="1472"/>
    <x v="9"/>
    <x v="392"/>
    <x v="6"/>
    <x v="11"/>
    <n v="5"/>
    <n v="25.44"/>
    <n v="127.2"/>
    <n v="3.2"/>
    <x v="520"/>
    <n v="154"/>
  </r>
  <r>
    <n v="4920"/>
    <x v="0"/>
    <x v="393"/>
    <x v="4"/>
    <x v="15"/>
    <n v="2"/>
    <n v="28.74"/>
    <n v="57.48"/>
    <n v="1.64"/>
    <x v="521"/>
    <n v="266"/>
  </r>
  <r>
    <n v="3594"/>
    <x v="1"/>
    <x v="300"/>
    <x v="9"/>
    <x v="7"/>
    <n v="1"/>
    <n v="11.12"/>
    <n v="11.12"/>
    <n v="0"/>
    <x v="522"/>
    <n v="452"/>
  </r>
  <r>
    <n v="1224"/>
    <x v="7"/>
    <x v="179"/>
    <x v="4"/>
    <x v="4"/>
    <n v="3"/>
    <n v="7.32"/>
    <n v="21.96"/>
    <n v="4.29"/>
    <x v="523"/>
    <n v="385"/>
  </r>
  <r>
    <n v="7684"/>
    <x v="6"/>
    <x v="6"/>
    <x v="1"/>
    <x v="4"/>
    <n v="4"/>
    <n v="7.96"/>
    <n v="31.84"/>
    <n v="3.73"/>
    <x v="524"/>
    <n v="328"/>
  </r>
  <r>
    <n v="4681"/>
    <x v="7"/>
    <x v="78"/>
    <x v="3"/>
    <x v="17"/>
    <n v="4"/>
    <n v="8.43"/>
    <n v="33.72"/>
    <n v="4.6500000000000004"/>
    <x v="525"/>
    <n v="370"/>
  </r>
  <r>
    <n v="2858"/>
    <x v="7"/>
    <x v="386"/>
    <x v="9"/>
    <x v="15"/>
    <n v="4"/>
    <n v="15.11"/>
    <n v="60.44"/>
    <n v="9.07"/>
    <x v="526"/>
    <n v="151"/>
  </r>
  <r>
    <n v="2924"/>
    <x v="1"/>
    <x v="362"/>
    <x v="1"/>
    <x v="17"/>
    <n v="2"/>
    <n v="29.17"/>
    <n v="58.34"/>
    <n v="0"/>
    <x v="527"/>
    <n v="395"/>
  </r>
  <r>
    <n v="3522"/>
    <x v="0"/>
    <x v="394"/>
    <x v="2"/>
    <x v="14"/>
    <n v="4"/>
    <n v="25.22"/>
    <n v="100.88"/>
    <n v="0"/>
    <x v="528"/>
    <n v="105"/>
  </r>
  <r>
    <n v="5781"/>
    <x v="0"/>
    <x v="395"/>
    <x v="5"/>
    <x v="12"/>
    <n v="1"/>
    <n v="14.31"/>
    <n v="14.31"/>
    <n v="1.29"/>
    <x v="529"/>
    <n v="169"/>
  </r>
  <r>
    <n v="5479"/>
    <x v="2"/>
    <x v="272"/>
    <x v="8"/>
    <x v="2"/>
    <n v="1"/>
    <n v="17.66"/>
    <n v="17.66"/>
    <n v="1.77"/>
    <x v="530"/>
    <n v="116"/>
  </r>
  <r>
    <n v="8905"/>
    <x v="3"/>
    <x v="396"/>
    <x v="10"/>
    <x v="7"/>
    <n v="4"/>
    <n v="10.17"/>
    <n v="40.68"/>
    <n v="1.02"/>
    <x v="531"/>
    <n v="199"/>
  </r>
  <r>
    <n v="4993"/>
    <x v="0"/>
    <x v="254"/>
    <x v="6"/>
    <x v="11"/>
    <n v="1"/>
    <n v="11.36"/>
    <n v="11.36"/>
    <n v="1.7"/>
    <x v="47"/>
    <n v="257"/>
  </r>
  <r>
    <n v="3369"/>
    <x v="5"/>
    <x v="198"/>
    <x v="6"/>
    <x v="13"/>
    <n v="3"/>
    <n v="23.18"/>
    <n v="69.540000000000006"/>
    <n v="6.95"/>
    <x v="532"/>
    <n v="224"/>
  </r>
  <r>
    <n v="4122"/>
    <x v="6"/>
    <x v="26"/>
    <x v="10"/>
    <x v="6"/>
    <n v="5"/>
    <n v="7.37"/>
    <n v="36.85"/>
    <n v="2.1800000000000002"/>
    <x v="533"/>
    <n v="382"/>
  </r>
  <r>
    <n v="9327"/>
    <x v="2"/>
    <x v="329"/>
    <x v="8"/>
    <x v="4"/>
    <n v="1"/>
    <n v="17.04"/>
    <n v="17.04"/>
    <n v="1.17"/>
    <x v="534"/>
    <n v="284"/>
  </r>
  <r>
    <n v="3236"/>
    <x v="3"/>
    <x v="192"/>
    <x v="9"/>
    <x v="2"/>
    <n v="1"/>
    <n v="9.83"/>
    <n v="9.83"/>
    <n v="1.97"/>
    <x v="535"/>
    <n v="383"/>
  </r>
  <r>
    <n v="2143"/>
    <x v="3"/>
    <x v="334"/>
    <x v="5"/>
    <x v="15"/>
    <n v="2"/>
    <n v="5.66"/>
    <n v="11.32"/>
    <n v="2.2599999999999998"/>
    <x v="536"/>
    <n v="113"/>
  </r>
  <r>
    <n v="7798"/>
    <x v="0"/>
    <x v="397"/>
    <x v="7"/>
    <x v="11"/>
    <n v="5"/>
    <n v="14.37"/>
    <n v="71.849999999999994"/>
    <n v="10.78"/>
    <x v="537"/>
    <n v="281"/>
  </r>
  <r>
    <n v="9318"/>
    <x v="0"/>
    <x v="196"/>
    <x v="8"/>
    <x v="17"/>
    <n v="2"/>
    <n v="22.03"/>
    <n v="44.06"/>
    <n v="6.61"/>
    <x v="538"/>
    <n v="249"/>
  </r>
  <r>
    <n v="1042"/>
    <x v="2"/>
    <x v="398"/>
    <x v="5"/>
    <x v="5"/>
    <n v="1"/>
    <n v="9.26"/>
    <n v="9.26"/>
    <n v="1.39"/>
    <x v="539"/>
    <n v="35"/>
  </r>
  <r>
    <n v="5891"/>
    <x v="4"/>
    <x v="399"/>
    <x v="10"/>
    <x v="3"/>
    <n v="5"/>
    <n v="20.11"/>
    <n v="100.55"/>
    <n v="3.27"/>
    <x v="540"/>
    <n v="355"/>
  </r>
  <r>
    <n v="9022"/>
    <x v="7"/>
    <x v="400"/>
    <x v="3"/>
    <x v="6"/>
    <n v="1"/>
    <n v="10.07"/>
    <n v="10.07"/>
    <n v="0"/>
    <x v="541"/>
    <n v="402"/>
  </r>
  <r>
    <n v="3434"/>
    <x v="3"/>
    <x v="258"/>
    <x v="8"/>
    <x v="4"/>
    <n v="2"/>
    <n v="20.7"/>
    <n v="41.4"/>
    <n v="4.1399999999999997"/>
    <x v="542"/>
    <n v="169"/>
  </r>
  <r>
    <n v="9824"/>
    <x v="4"/>
    <x v="262"/>
    <x v="4"/>
    <x v="9"/>
    <n v="4"/>
    <n v="16.989999999999998"/>
    <n v="67.959999999999994"/>
    <n v="10.19"/>
    <x v="543"/>
    <n v="89"/>
  </r>
  <r>
    <n v="6654"/>
    <x v="2"/>
    <x v="377"/>
    <x v="9"/>
    <x v="14"/>
    <n v="3"/>
    <n v="22.26"/>
    <n v="66.78"/>
    <n v="0"/>
    <x v="544"/>
    <n v="320"/>
  </r>
  <r>
    <n v="9903"/>
    <x v="0"/>
    <x v="401"/>
    <x v="0"/>
    <x v="15"/>
    <n v="1"/>
    <n v="24.56"/>
    <n v="24.56"/>
    <n v="1.85"/>
    <x v="545"/>
    <n v="296"/>
  </r>
  <r>
    <n v="8460"/>
    <x v="6"/>
    <x v="159"/>
    <x v="9"/>
    <x v="0"/>
    <n v="5"/>
    <n v="26.92"/>
    <n v="134.6"/>
    <n v="0"/>
    <x v="546"/>
    <n v="276"/>
  </r>
  <r>
    <n v="6272"/>
    <x v="2"/>
    <x v="402"/>
    <x v="4"/>
    <x v="7"/>
    <n v="2"/>
    <n v="26.84"/>
    <n v="53.68"/>
    <n v="10.74"/>
    <x v="547"/>
    <n v="301"/>
  </r>
  <r>
    <n v="4090"/>
    <x v="4"/>
    <x v="137"/>
    <x v="9"/>
    <x v="15"/>
    <n v="1"/>
    <n v="12.5"/>
    <n v="12.5"/>
    <n v="0"/>
    <x v="548"/>
    <n v="257"/>
  </r>
  <r>
    <n v="4912"/>
    <x v="8"/>
    <x v="403"/>
    <x v="6"/>
    <x v="6"/>
    <n v="5"/>
    <n v="5.0599999999999996"/>
    <n v="25.3"/>
    <n v="4.79"/>
    <x v="549"/>
    <n v="81"/>
  </r>
  <r>
    <n v="7274"/>
    <x v="2"/>
    <x v="404"/>
    <x v="10"/>
    <x v="4"/>
    <n v="1"/>
    <n v="7.34"/>
    <n v="7.34"/>
    <n v="2.06"/>
    <x v="550"/>
    <n v="249"/>
  </r>
  <r>
    <n v="7730"/>
    <x v="8"/>
    <x v="405"/>
    <x v="0"/>
    <x v="14"/>
    <n v="5"/>
    <n v="27.31"/>
    <n v="136.55000000000001"/>
    <n v="13.66"/>
    <x v="551"/>
    <n v="184"/>
  </r>
  <r>
    <n v="6213"/>
    <x v="4"/>
    <x v="53"/>
    <x v="0"/>
    <x v="11"/>
    <n v="3"/>
    <n v="3.98"/>
    <n v="11.94"/>
    <n v="0"/>
    <x v="552"/>
    <n v="495"/>
  </r>
  <r>
    <n v="8749"/>
    <x v="5"/>
    <x v="30"/>
    <x v="6"/>
    <x v="2"/>
    <n v="5"/>
    <n v="6.03"/>
    <n v="30.15"/>
    <n v="4.5199999999999996"/>
    <x v="553"/>
    <n v="334"/>
  </r>
  <r>
    <n v="7246"/>
    <x v="0"/>
    <x v="406"/>
    <x v="9"/>
    <x v="0"/>
    <n v="4"/>
    <n v="29.2"/>
    <n v="116.8"/>
    <n v="17.52"/>
    <x v="554"/>
    <n v="114"/>
  </r>
  <r>
    <n v="3492"/>
    <x v="7"/>
    <x v="407"/>
    <x v="10"/>
    <x v="16"/>
    <n v="5"/>
    <n v="1.18"/>
    <n v="5.9"/>
    <n v="0.59"/>
    <x v="555"/>
    <n v="451"/>
  </r>
  <r>
    <n v="1606"/>
    <x v="2"/>
    <x v="338"/>
    <x v="2"/>
    <x v="13"/>
    <n v="5"/>
    <n v="19.649999999999999"/>
    <n v="98.25"/>
    <n v="19.649999999999999"/>
    <x v="556"/>
    <n v="108"/>
  </r>
  <r>
    <n v="9229"/>
    <x v="2"/>
    <x v="408"/>
    <x v="4"/>
    <x v="17"/>
    <n v="2"/>
    <n v="13.01"/>
    <n v="26.02"/>
    <n v="2.6"/>
    <x v="557"/>
    <n v="169"/>
  </r>
  <r>
    <n v="6439"/>
    <x v="4"/>
    <x v="402"/>
    <x v="10"/>
    <x v="14"/>
    <n v="5"/>
    <n v="5.67"/>
    <n v="28.35"/>
    <n v="1.97"/>
    <x v="558"/>
    <n v="426"/>
  </r>
  <r>
    <n v="2644"/>
    <x v="2"/>
    <x v="409"/>
    <x v="6"/>
    <x v="6"/>
    <n v="2"/>
    <n v="19.25"/>
    <n v="38.5"/>
    <n v="1.67"/>
    <x v="559"/>
    <n v="20"/>
  </r>
  <r>
    <n v="8213"/>
    <x v="2"/>
    <x v="410"/>
    <x v="9"/>
    <x v="7"/>
    <n v="5"/>
    <n v="29.1"/>
    <n v="145.5"/>
    <n v="0"/>
    <x v="560"/>
    <n v="326"/>
  </r>
  <r>
    <n v="9617"/>
    <x v="5"/>
    <x v="411"/>
    <x v="1"/>
    <x v="14"/>
    <n v="4"/>
    <n v="18.579999999999998"/>
    <n v="74.319999999999993"/>
    <n v="14.86"/>
    <x v="561"/>
    <n v="241"/>
  </r>
  <r>
    <n v="8486"/>
    <x v="8"/>
    <x v="412"/>
    <x v="3"/>
    <x v="12"/>
    <n v="5"/>
    <n v="24.78"/>
    <n v="123.9"/>
    <n v="24.78"/>
    <x v="562"/>
    <n v="93"/>
  </r>
  <r>
    <n v="3361"/>
    <x v="7"/>
    <x v="413"/>
    <x v="10"/>
    <x v="13"/>
    <n v="2"/>
    <n v="11.96"/>
    <n v="23.92"/>
    <n v="1.81"/>
    <x v="563"/>
    <n v="67"/>
  </r>
  <r>
    <n v="3529"/>
    <x v="1"/>
    <x v="414"/>
    <x v="5"/>
    <x v="1"/>
    <n v="2"/>
    <n v="18.55"/>
    <n v="37.1"/>
    <n v="3.4"/>
    <x v="564"/>
    <n v="90"/>
  </r>
  <r>
    <n v="8692"/>
    <x v="1"/>
    <x v="194"/>
    <x v="9"/>
    <x v="17"/>
    <n v="1"/>
    <n v="14.97"/>
    <n v="14.97"/>
    <n v="0"/>
    <x v="565"/>
    <n v="66"/>
  </r>
  <r>
    <n v="5342"/>
    <x v="3"/>
    <x v="290"/>
    <x v="9"/>
    <x v="1"/>
    <n v="3"/>
    <n v="26.36"/>
    <n v="79.08"/>
    <n v="15.82"/>
    <x v="566"/>
    <n v="357"/>
  </r>
  <r>
    <n v="7512"/>
    <x v="4"/>
    <x v="415"/>
    <x v="3"/>
    <x v="4"/>
    <n v="5"/>
    <n v="24.32"/>
    <n v="121.6"/>
    <n v="12.16"/>
    <x v="567"/>
    <n v="464"/>
  </r>
  <r>
    <n v="2315"/>
    <x v="2"/>
    <x v="144"/>
    <x v="8"/>
    <x v="16"/>
    <n v="2"/>
    <n v="27.38"/>
    <n v="54.76"/>
    <n v="4.51"/>
    <x v="568"/>
    <n v="42"/>
  </r>
  <r>
    <n v="6383"/>
    <x v="3"/>
    <x v="279"/>
    <x v="8"/>
    <x v="14"/>
    <n v="1"/>
    <n v="21.56"/>
    <n v="21.56"/>
    <n v="3.09"/>
    <x v="569"/>
    <n v="404"/>
  </r>
  <r>
    <n v="9742"/>
    <x v="1"/>
    <x v="20"/>
    <x v="0"/>
    <x v="7"/>
    <n v="2"/>
    <n v="20.94"/>
    <n v="41.88"/>
    <n v="6.28"/>
    <x v="75"/>
    <n v="161"/>
  </r>
  <r>
    <n v="6188"/>
    <x v="0"/>
    <x v="416"/>
    <x v="7"/>
    <x v="1"/>
    <n v="5"/>
    <n v="8.35"/>
    <n v="41.75"/>
    <n v="2.46"/>
    <x v="570"/>
    <n v="437"/>
  </r>
  <r>
    <n v="8994"/>
    <x v="5"/>
    <x v="94"/>
    <x v="5"/>
    <x v="7"/>
    <n v="2"/>
    <n v="12.97"/>
    <n v="25.94"/>
    <n v="5.19"/>
    <x v="571"/>
    <n v="401"/>
  </r>
  <r>
    <n v="9864"/>
    <x v="7"/>
    <x v="417"/>
    <x v="9"/>
    <x v="2"/>
    <n v="4"/>
    <n v="8.35"/>
    <n v="33.4"/>
    <n v="0"/>
    <x v="572"/>
    <n v="157"/>
  </r>
  <r>
    <n v="2121"/>
    <x v="3"/>
    <x v="265"/>
    <x v="7"/>
    <x v="17"/>
    <n v="2"/>
    <n v="13.94"/>
    <n v="27.88"/>
    <n v="1.86"/>
    <x v="573"/>
    <n v="358"/>
  </r>
  <r>
    <n v="5708"/>
    <x v="3"/>
    <x v="418"/>
    <x v="4"/>
    <x v="2"/>
    <n v="5"/>
    <n v="21.2"/>
    <n v="106"/>
    <n v="21.2"/>
    <x v="574"/>
    <n v="361"/>
  </r>
  <r>
    <n v="2480"/>
    <x v="3"/>
    <x v="73"/>
    <x v="5"/>
    <x v="10"/>
    <n v="1"/>
    <n v="24.86"/>
    <n v="24.86"/>
    <n v="1.26"/>
    <x v="575"/>
    <n v="241"/>
  </r>
  <r>
    <n v="2612"/>
    <x v="8"/>
    <x v="89"/>
    <x v="4"/>
    <x v="13"/>
    <n v="5"/>
    <n v="2.08"/>
    <n v="10.4"/>
    <n v="3.62"/>
    <x v="576"/>
    <n v="196"/>
  </r>
  <r>
    <n v="2646"/>
    <x v="5"/>
    <x v="128"/>
    <x v="6"/>
    <x v="11"/>
    <n v="2"/>
    <n v="19.559999999999999"/>
    <n v="39.119999999999997"/>
    <n v="7.82"/>
    <x v="577"/>
    <n v="224"/>
  </r>
  <r>
    <n v="3725"/>
    <x v="1"/>
    <x v="419"/>
    <x v="8"/>
    <x v="14"/>
    <n v="1"/>
    <n v="23.72"/>
    <n v="23.72"/>
    <n v="1.68"/>
    <x v="578"/>
    <n v="261"/>
  </r>
  <r>
    <n v="5906"/>
    <x v="6"/>
    <x v="420"/>
    <x v="4"/>
    <x v="5"/>
    <n v="1"/>
    <n v="29.28"/>
    <n v="29.28"/>
    <n v="2.93"/>
    <x v="579"/>
    <n v="44"/>
  </r>
  <r>
    <n v="1474"/>
    <x v="7"/>
    <x v="31"/>
    <x v="5"/>
    <x v="7"/>
    <n v="4"/>
    <n v="17.989999999999998"/>
    <n v="71.959999999999994"/>
    <n v="0"/>
    <x v="580"/>
    <n v="265"/>
  </r>
  <r>
    <n v="6314"/>
    <x v="0"/>
    <x v="305"/>
    <x v="1"/>
    <x v="2"/>
    <n v="3"/>
    <n v="22.05"/>
    <n v="66.150000000000006"/>
    <n v="9.92"/>
    <x v="581"/>
    <n v="286"/>
  </r>
  <r>
    <n v="1919"/>
    <x v="9"/>
    <x v="421"/>
    <x v="2"/>
    <x v="14"/>
    <n v="4"/>
    <n v="27.95"/>
    <n v="111.8"/>
    <n v="16.77"/>
    <x v="582"/>
    <n v="294"/>
  </r>
  <r>
    <n v="6873"/>
    <x v="2"/>
    <x v="422"/>
    <x v="3"/>
    <x v="15"/>
    <n v="1"/>
    <n v="17.190000000000001"/>
    <n v="17.190000000000001"/>
    <n v="2.58"/>
    <x v="583"/>
    <n v="257"/>
  </r>
  <r>
    <n v="8056"/>
    <x v="0"/>
    <x v="423"/>
    <x v="9"/>
    <x v="0"/>
    <n v="5"/>
    <n v="24.57"/>
    <n v="122.85"/>
    <n v="0"/>
    <x v="584"/>
    <n v="294"/>
  </r>
  <r>
    <n v="5000"/>
    <x v="4"/>
    <x v="424"/>
    <x v="3"/>
    <x v="16"/>
    <n v="2"/>
    <n v="22.96"/>
    <n v="45.92"/>
    <n v="0"/>
    <x v="585"/>
    <n v="492"/>
  </r>
  <r>
    <n v="7751"/>
    <x v="4"/>
    <x v="425"/>
    <x v="6"/>
    <x v="10"/>
    <n v="4"/>
    <n v="4.3600000000000003"/>
    <n v="17.440000000000001"/>
    <n v="0"/>
    <x v="586"/>
    <n v="34"/>
  </r>
  <r>
    <n v="3950"/>
    <x v="8"/>
    <x v="426"/>
    <x v="5"/>
    <x v="5"/>
    <n v="3"/>
    <n v="12.95"/>
    <n v="38.85"/>
    <n v="0"/>
    <x v="587"/>
    <n v="180"/>
  </r>
  <r>
    <n v="3868"/>
    <x v="5"/>
    <x v="27"/>
    <x v="2"/>
    <x v="9"/>
    <n v="1"/>
    <n v="12.56"/>
    <n v="12.56"/>
    <n v="3.22"/>
    <x v="588"/>
    <n v="383"/>
  </r>
  <r>
    <n v="7267"/>
    <x v="2"/>
    <x v="150"/>
    <x v="10"/>
    <x v="3"/>
    <n v="3"/>
    <n v="7.33"/>
    <n v="21.99"/>
    <n v="4.4000000000000004"/>
    <x v="589"/>
    <n v="293"/>
  </r>
  <r>
    <n v="4945"/>
    <x v="8"/>
    <x v="427"/>
    <x v="10"/>
    <x v="14"/>
    <n v="2"/>
    <n v="22.32"/>
    <n v="44.64"/>
    <n v="8.93"/>
    <x v="590"/>
    <n v="446"/>
  </r>
  <r>
    <n v="3344"/>
    <x v="8"/>
    <x v="7"/>
    <x v="2"/>
    <x v="5"/>
    <n v="5"/>
    <n v="11.31"/>
    <n v="56.55"/>
    <n v="4.68"/>
    <x v="591"/>
    <n v="398"/>
  </r>
  <r>
    <n v="8555"/>
    <x v="4"/>
    <x v="339"/>
    <x v="6"/>
    <x v="10"/>
    <n v="5"/>
    <n v="28.77"/>
    <n v="143.85"/>
    <n v="21.58"/>
    <x v="592"/>
    <n v="434"/>
  </r>
  <r>
    <n v="5161"/>
    <x v="7"/>
    <x v="428"/>
    <x v="10"/>
    <x v="0"/>
    <n v="4"/>
    <n v="6.29"/>
    <n v="25.16"/>
    <n v="2.52"/>
    <x v="593"/>
    <n v="391"/>
  </r>
  <r>
    <n v="5183"/>
    <x v="8"/>
    <x v="223"/>
    <x v="6"/>
    <x v="12"/>
    <n v="1"/>
    <n v="16.239999999999998"/>
    <n v="16.239999999999998"/>
    <n v="1.1299999999999999"/>
    <x v="594"/>
    <n v="216"/>
  </r>
  <r>
    <n v="1153"/>
    <x v="7"/>
    <x v="187"/>
    <x v="3"/>
    <x v="6"/>
    <n v="4"/>
    <n v="29.31"/>
    <n v="117.24"/>
    <n v="17.59"/>
    <x v="492"/>
    <n v="357"/>
  </r>
  <r>
    <n v="8622"/>
    <x v="6"/>
    <x v="429"/>
    <x v="0"/>
    <x v="14"/>
    <n v="4"/>
    <n v="17.84"/>
    <n v="71.36"/>
    <n v="4.45"/>
    <x v="595"/>
    <n v="166"/>
  </r>
  <r>
    <n v="5712"/>
    <x v="2"/>
    <x v="228"/>
    <x v="9"/>
    <x v="0"/>
    <n v="2"/>
    <n v="8.8000000000000007"/>
    <n v="17.600000000000001"/>
    <n v="2.64"/>
    <x v="596"/>
    <n v="490"/>
  </r>
  <r>
    <n v="9955"/>
    <x v="2"/>
    <x v="143"/>
    <x v="10"/>
    <x v="1"/>
    <n v="2"/>
    <n v="13.14"/>
    <n v="26.28"/>
    <n v="3.94"/>
    <x v="597"/>
    <n v="385"/>
  </r>
  <r>
    <n v="2210"/>
    <x v="3"/>
    <x v="234"/>
    <x v="8"/>
    <x v="8"/>
    <n v="2"/>
    <n v="17.559999999999999"/>
    <n v="35.119999999999997"/>
    <n v="3.88"/>
    <x v="598"/>
    <n v="294"/>
  </r>
  <r>
    <n v="6661"/>
    <x v="8"/>
    <x v="430"/>
    <x v="9"/>
    <x v="1"/>
    <n v="4"/>
    <n v="6.68"/>
    <n v="26.72"/>
    <n v="2.67"/>
    <x v="599"/>
    <n v="409"/>
  </r>
  <r>
    <n v="5901"/>
    <x v="6"/>
    <x v="431"/>
    <x v="7"/>
    <x v="1"/>
    <n v="4"/>
    <n v="4.8899999999999997"/>
    <n v="19.559999999999999"/>
    <n v="1.96"/>
    <x v="600"/>
    <n v="457"/>
  </r>
  <r>
    <n v="7951"/>
    <x v="5"/>
    <x v="324"/>
    <x v="8"/>
    <x v="2"/>
    <n v="5"/>
    <n v="2.37"/>
    <n v="11.85"/>
    <n v="1.86"/>
    <x v="601"/>
    <n v="50"/>
  </r>
  <r>
    <n v="5097"/>
    <x v="5"/>
    <x v="254"/>
    <x v="10"/>
    <x v="17"/>
    <n v="4"/>
    <n v="22.58"/>
    <n v="90.32"/>
    <n v="13.55"/>
    <x v="602"/>
    <n v="133"/>
  </r>
  <r>
    <n v="5949"/>
    <x v="1"/>
    <x v="432"/>
    <x v="9"/>
    <x v="0"/>
    <n v="3"/>
    <n v="1.57"/>
    <n v="4.71"/>
    <n v="0"/>
    <x v="603"/>
    <n v="62"/>
  </r>
  <r>
    <n v="7302"/>
    <x v="8"/>
    <x v="279"/>
    <x v="6"/>
    <x v="2"/>
    <n v="2"/>
    <n v="29.39"/>
    <n v="58.78"/>
    <n v="8.82"/>
    <x v="604"/>
    <n v="145"/>
  </r>
  <r>
    <n v="8916"/>
    <x v="1"/>
    <x v="433"/>
    <x v="10"/>
    <x v="8"/>
    <n v="1"/>
    <n v="12.04"/>
    <n v="12.04"/>
    <n v="0"/>
    <x v="605"/>
    <n v="146"/>
  </r>
  <r>
    <n v="4886"/>
    <x v="2"/>
    <x v="434"/>
    <x v="7"/>
    <x v="3"/>
    <n v="4"/>
    <n v="19.3"/>
    <n v="77.2"/>
    <n v="1.32"/>
    <x v="606"/>
    <n v="292"/>
  </r>
  <r>
    <n v="6881"/>
    <x v="7"/>
    <x v="435"/>
    <x v="2"/>
    <x v="3"/>
    <n v="3"/>
    <n v="19.93"/>
    <n v="59.79"/>
    <n v="3.58"/>
    <x v="607"/>
    <n v="363"/>
  </r>
  <r>
    <n v="5847"/>
    <x v="5"/>
    <x v="366"/>
    <x v="10"/>
    <x v="4"/>
    <n v="5"/>
    <n v="16.100000000000001"/>
    <n v="80.5"/>
    <n v="16.100000000000001"/>
    <x v="608"/>
    <n v="230"/>
  </r>
  <r>
    <n v="5837"/>
    <x v="2"/>
    <x v="436"/>
    <x v="0"/>
    <x v="12"/>
    <n v="2"/>
    <n v="20.190000000000001"/>
    <n v="40.380000000000003"/>
    <n v="8.08"/>
    <x v="609"/>
    <n v="481"/>
  </r>
  <r>
    <n v="7484"/>
    <x v="2"/>
    <x v="263"/>
    <x v="3"/>
    <x v="17"/>
    <n v="1"/>
    <n v="2.84"/>
    <n v="2.84"/>
    <n v="1.22"/>
    <x v="610"/>
    <n v="449"/>
  </r>
  <r>
    <n v="1132"/>
    <x v="3"/>
    <x v="425"/>
    <x v="9"/>
    <x v="13"/>
    <n v="1"/>
    <n v="8.6"/>
    <n v="8.6"/>
    <n v="0"/>
    <x v="611"/>
    <n v="79"/>
  </r>
  <r>
    <n v="1803"/>
    <x v="3"/>
    <x v="411"/>
    <x v="8"/>
    <x v="5"/>
    <n v="2"/>
    <n v="22.38"/>
    <n v="44.76"/>
    <n v="8.9499999999999993"/>
    <x v="612"/>
    <n v="226"/>
  </r>
  <r>
    <n v="9138"/>
    <x v="1"/>
    <x v="437"/>
    <x v="7"/>
    <x v="10"/>
    <n v="1"/>
    <n v="20.23"/>
    <n v="20.23"/>
    <n v="2.02"/>
    <x v="613"/>
    <n v="440"/>
  </r>
  <r>
    <n v="5689"/>
    <x v="4"/>
    <x v="350"/>
    <x v="9"/>
    <x v="0"/>
    <n v="5"/>
    <n v="13.89"/>
    <n v="69.45"/>
    <n v="3.39"/>
    <x v="614"/>
    <n v="496"/>
  </r>
  <r>
    <n v="4770"/>
    <x v="3"/>
    <x v="438"/>
    <x v="9"/>
    <x v="2"/>
    <n v="3"/>
    <n v="27.35"/>
    <n v="82.05"/>
    <n v="2.77"/>
    <x v="615"/>
    <n v="246"/>
  </r>
  <r>
    <n v="6772"/>
    <x v="7"/>
    <x v="439"/>
    <x v="3"/>
    <x v="0"/>
    <n v="2"/>
    <n v="9.7899999999999991"/>
    <n v="19.579999999999998"/>
    <n v="2.94"/>
    <x v="616"/>
    <n v="0"/>
  </r>
  <r>
    <n v="4115"/>
    <x v="5"/>
    <x v="157"/>
    <x v="10"/>
    <x v="2"/>
    <n v="1"/>
    <n v="20.94"/>
    <n v="20.94"/>
    <n v="3.14"/>
    <x v="617"/>
    <n v="251"/>
  </r>
  <r>
    <n v="5106"/>
    <x v="6"/>
    <x v="228"/>
    <x v="3"/>
    <x v="9"/>
    <n v="5"/>
    <n v="7.7"/>
    <n v="38.5"/>
    <n v="7.7"/>
    <x v="618"/>
    <n v="3"/>
  </r>
  <r>
    <n v="3240"/>
    <x v="3"/>
    <x v="440"/>
    <x v="9"/>
    <x v="1"/>
    <n v="4"/>
    <n v="8.24"/>
    <n v="32.96"/>
    <n v="3.3"/>
    <x v="619"/>
    <n v="366"/>
  </r>
  <r>
    <n v="2591"/>
    <x v="8"/>
    <x v="420"/>
    <x v="8"/>
    <x v="13"/>
    <n v="4"/>
    <n v="19.12"/>
    <n v="76.48"/>
    <n v="11.47"/>
    <x v="620"/>
    <n v="264"/>
  </r>
  <r>
    <n v="1645"/>
    <x v="1"/>
    <x v="441"/>
    <x v="8"/>
    <x v="1"/>
    <n v="2"/>
    <n v="25.74"/>
    <n v="51.48"/>
    <n v="7.72"/>
    <x v="621"/>
    <n v="93"/>
  </r>
  <r>
    <n v="8222"/>
    <x v="0"/>
    <x v="442"/>
    <x v="5"/>
    <x v="8"/>
    <n v="5"/>
    <n v="14.12"/>
    <n v="70.599999999999994"/>
    <n v="14.12"/>
    <x v="622"/>
    <n v="358"/>
  </r>
  <r>
    <n v="6977"/>
    <x v="7"/>
    <x v="443"/>
    <x v="0"/>
    <x v="12"/>
    <n v="1"/>
    <n v="29.11"/>
    <n v="29.11"/>
    <n v="2.13"/>
    <x v="623"/>
    <n v="11"/>
  </r>
  <r>
    <n v="3153"/>
    <x v="2"/>
    <x v="375"/>
    <x v="10"/>
    <x v="10"/>
    <n v="2"/>
    <n v="3.61"/>
    <n v="7.22"/>
    <n v="1.44"/>
    <x v="624"/>
    <n v="7"/>
  </r>
  <r>
    <n v="5835"/>
    <x v="7"/>
    <x v="224"/>
    <x v="3"/>
    <x v="9"/>
    <n v="4"/>
    <n v="29.93"/>
    <n v="119.72"/>
    <n v="17.96"/>
    <x v="625"/>
    <n v="237"/>
  </r>
  <r>
    <n v="7807"/>
    <x v="0"/>
    <x v="444"/>
    <x v="7"/>
    <x v="11"/>
    <n v="3"/>
    <n v="23.48"/>
    <n v="70.44"/>
    <n v="14.09"/>
    <x v="626"/>
    <n v="36"/>
  </r>
  <r>
    <n v="4289"/>
    <x v="8"/>
    <x v="113"/>
    <x v="8"/>
    <x v="7"/>
    <n v="1"/>
    <n v="4.53"/>
    <n v="4.53"/>
    <n v="0.45"/>
    <x v="627"/>
    <n v="393"/>
  </r>
  <r>
    <n v="9837"/>
    <x v="4"/>
    <x v="445"/>
    <x v="2"/>
    <x v="11"/>
    <n v="2"/>
    <n v="14.35"/>
    <n v="28.7"/>
    <n v="3.66"/>
    <x v="628"/>
    <n v="394"/>
  </r>
  <r>
    <n v="6994"/>
    <x v="8"/>
    <x v="424"/>
    <x v="10"/>
    <x v="7"/>
    <n v="3"/>
    <n v="28.14"/>
    <n v="84.42"/>
    <n v="0"/>
    <x v="629"/>
    <n v="81"/>
  </r>
  <r>
    <n v="9221"/>
    <x v="1"/>
    <x v="49"/>
    <x v="9"/>
    <x v="17"/>
    <n v="3"/>
    <n v="14.95"/>
    <n v="44.85"/>
    <n v="6.73"/>
    <x v="630"/>
    <n v="152"/>
  </r>
  <r>
    <n v="5465"/>
    <x v="6"/>
    <x v="317"/>
    <x v="5"/>
    <x v="14"/>
    <n v="1"/>
    <n v="7.83"/>
    <n v="7.83"/>
    <n v="1.67"/>
    <x v="46"/>
    <n v="222"/>
  </r>
  <r>
    <n v="3695"/>
    <x v="5"/>
    <x v="446"/>
    <x v="6"/>
    <x v="17"/>
    <n v="4"/>
    <n v="23.88"/>
    <n v="95.52"/>
    <n v="4.13"/>
    <x v="631"/>
    <n v="4"/>
  </r>
  <r>
    <n v="8894"/>
    <x v="4"/>
    <x v="23"/>
    <x v="6"/>
    <x v="12"/>
    <n v="3"/>
    <n v="23.34"/>
    <n v="70.02"/>
    <n v="7"/>
    <x v="632"/>
    <n v="127"/>
  </r>
  <r>
    <n v="5835"/>
    <x v="9"/>
    <x v="329"/>
    <x v="5"/>
    <x v="3"/>
    <n v="1"/>
    <n v="2.72"/>
    <n v="2.72"/>
    <n v="0"/>
    <x v="633"/>
    <n v="330"/>
  </r>
  <r>
    <n v="6549"/>
    <x v="1"/>
    <x v="250"/>
    <x v="1"/>
    <x v="12"/>
    <n v="4"/>
    <n v="7.74"/>
    <n v="30.96"/>
    <n v="3.1"/>
    <x v="634"/>
    <n v="285"/>
  </r>
  <r>
    <n v="2886"/>
    <x v="8"/>
    <x v="447"/>
    <x v="0"/>
    <x v="7"/>
    <n v="3"/>
    <n v="22"/>
    <n v="66"/>
    <n v="6.6"/>
    <x v="635"/>
    <n v="128"/>
  </r>
  <r>
    <n v="2233"/>
    <x v="4"/>
    <x v="448"/>
    <x v="9"/>
    <x v="9"/>
    <n v="5"/>
    <n v="21.2"/>
    <n v="106"/>
    <n v="2.39"/>
    <x v="636"/>
    <n v="97"/>
  </r>
  <r>
    <n v="4696"/>
    <x v="4"/>
    <x v="60"/>
    <x v="8"/>
    <x v="2"/>
    <n v="2"/>
    <n v="2.99"/>
    <n v="5.98"/>
    <n v="0.9"/>
    <x v="184"/>
    <n v="79"/>
  </r>
  <r>
    <n v="7511"/>
    <x v="5"/>
    <x v="449"/>
    <x v="9"/>
    <x v="4"/>
    <n v="4"/>
    <n v="1.01"/>
    <n v="4.04"/>
    <n v="0"/>
    <x v="637"/>
    <n v="326"/>
  </r>
  <r>
    <n v="6992"/>
    <x v="2"/>
    <x v="375"/>
    <x v="0"/>
    <x v="4"/>
    <n v="5"/>
    <n v="7.91"/>
    <n v="39.549999999999997"/>
    <n v="0"/>
    <x v="638"/>
    <n v="369"/>
  </r>
  <r>
    <n v="7464"/>
    <x v="1"/>
    <x v="450"/>
    <x v="3"/>
    <x v="14"/>
    <n v="5"/>
    <n v="20.8"/>
    <n v="104"/>
    <n v="2.13"/>
    <x v="639"/>
    <n v="392"/>
  </r>
  <r>
    <n v="5332"/>
    <x v="3"/>
    <x v="25"/>
    <x v="5"/>
    <x v="3"/>
    <n v="1"/>
    <n v="3.78"/>
    <n v="3.78"/>
    <n v="4.34"/>
    <x v="640"/>
    <n v="337"/>
  </r>
  <r>
    <n v="3024"/>
    <x v="2"/>
    <x v="243"/>
    <x v="7"/>
    <x v="11"/>
    <n v="2"/>
    <n v="4.09"/>
    <n v="8.18"/>
    <n v="3.28"/>
    <x v="641"/>
    <n v="98"/>
  </r>
  <r>
    <n v="7038"/>
    <x v="3"/>
    <x v="239"/>
    <x v="5"/>
    <x v="16"/>
    <n v="5"/>
    <n v="19.09"/>
    <n v="95.45"/>
    <n v="2.4700000000000002"/>
    <x v="642"/>
    <n v="302"/>
  </r>
  <r>
    <n v="5295"/>
    <x v="0"/>
    <x v="451"/>
    <x v="0"/>
    <x v="14"/>
    <n v="4"/>
    <n v="27.91"/>
    <n v="111.64"/>
    <n v="11.16"/>
    <x v="643"/>
    <n v="426"/>
  </r>
  <r>
    <n v="7242"/>
    <x v="6"/>
    <x v="310"/>
    <x v="4"/>
    <x v="2"/>
    <n v="4"/>
    <n v="24.83"/>
    <n v="99.32"/>
    <n v="2.06"/>
    <x v="644"/>
    <n v="406"/>
  </r>
  <r>
    <n v="7086"/>
    <x v="6"/>
    <x v="452"/>
    <x v="1"/>
    <x v="9"/>
    <n v="1"/>
    <n v="28.38"/>
    <n v="28.38"/>
    <n v="3.9"/>
    <x v="645"/>
    <n v="491"/>
  </r>
  <r>
    <n v="4830"/>
    <x v="1"/>
    <x v="396"/>
    <x v="3"/>
    <x v="14"/>
    <n v="2"/>
    <n v="16.25"/>
    <n v="32.5"/>
    <n v="4"/>
    <x v="646"/>
    <n v="127"/>
  </r>
  <r>
    <n v="1410"/>
    <x v="3"/>
    <x v="150"/>
    <x v="1"/>
    <x v="4"/>
    <n v="4"/>
    <n v="21.36"/>
    <n v="85.44"/>
    <n v="17.09"/>
    <x v="647"/>
    <n v="218"/>
  </r>
  <r>
    <n v="6374"/>
    <x v="2"/>
    <x v="453"/>
    <x v="9"/>
    <x v="7"/>
    <n v="5"/>
    <n v="10.78"/>
    <n v="53.9"/>
    <n v="8.08"/>
    <x v="648"/>
    <n v="80"/>
  </r>
  <r>
    <n v="4626"/>
    <x v="7"/>
    <x v="362"/>
    <x v="9"/>
    <x v="3"/>
    <n v="3"/>
    <n v="12.95"/>
    <n v="38.85"/>
    <n v="0"/>
    <x v="587"/>
    <n v="324"/>
  </r>
  <r>
    <n v="2035"/>
    <x v="7"/>
    <x v="374"/>
    <x v="6"/>
    <x v="5"/>
    <n v="5"/>
    <n v="16.809999999999999"/>
    <n v="84.05"/>
    <n v="12.61"/>
    <x v="649"/>
    <n v="192"/>
  </r>
  <r>
    <n v="8606"/>
    <x v="4"/>
    <x v="454"/>
    <x v="10"/>
    <x v="7"/>
    <n v="1"/>
    <n v="22.05"/>
    <n v="22.05"/>
    <n v="1.54"/>
    <x v="549"/>
    <n v="145"/>
  </r>
  <r>
    <n v="5951"/>
    <x v="5"/>
    <x v="415"/>
    <x v="0"/>
    <x v="9"/>
    <n v="2"/>
    <n v="7.22"/>
    <n v="14.44"/>
    <n v="0"/>
    <x v="650"/>
    <n v="161"/>
  </r>
  <r>
    <n v="7689"/>
    <x v="5"/>
    <x v="455"/>
    <x v="9"/>
    <x v="15"/>
    <n v="5"/>
    <n v="17.54"/>
    <n v="87.7"/>
    <n v="1.1499999999999999"/>
    <x v="651"/>
    <n v="292"/>
  </r>
  <r>
    <n v="3290"/>
    <x v="7"/>
    <x v="31"/>
    <x v="7"/>
    <x v="12"/>
    <n v="3"/>
    <n v="11.64"/>
    <n v="34.92"/>
    <n v="6.98"/>
    <x v="652"/>
    <n v="298"/>
  </r>
  <r>
    <n v="1609"/>
    <x v="5"/>
    <x v="231"/>
    <x v="8"/>
    <x v="13"/>
    <n v="5"/>
    <n v="12.58"/>
    <n v="62.9"/>
    <n v="0"/>
    <x v="653"/>
    <n v="469"/>
  </r>
  <r>
    <n v="9071"/>
    <x v="0"/>
    <x v="455"/>
    <x v="4"/>
    <x v="16"/>
    <n v="2"/>
    <n v="15.15"/>
    <n v="30.3"/>
    <n v="3.57"/>
    <x v="654"/>
    <n v="460"/>
  </r>
  <r>
    <n v="2592"/>
    <x v="6"/>
    <x v="265"/>
    <x v="6"/>
    <x v="7"/>
    <n v="1"/>
    <n v="23.61"/>
    <n v="23.61"/>
    <n v="3.54"/>
    <x v="655"/>
    <n v="471"/>
  </r>
  <r>
    <n v="9807"/>
    <x v="3"/>
    <x v="286"/>
    <x v="3"/>
    <x v="17"/>
    <n v="2"/>
    <n v="22.67"/>
    <n v="45.34"/>
    <n v="0"/>
    <x v="656"/>
    <n v="434"/>
  </r>
  <r>
    <n v="7367"/>
    <x v="3"/>
    <x v="34"/>
    <x v="0"/>
    <x v="9"/>
    <n v="5"/>
    <n v="2.1800000000000002"/>
    <n v="10.9"/>
    <n v="1.64"/>
    <x v="657"/>
    <n v="276"/>
  </r>
  <r>
    <n v="7078"/>
    <x v="1"/>
    <x v="37"/>
    <x v="2"/>
    <x v="12"/>
    <n v="1"/>
    <n v="20.53"/>
    <n v="20.53"/>
    <n v="3.3"/>
    <x v="658"/>
    <n v="201"/>
  </r>
  <r>
    <n v="9850"/>
    <x v="0"/>
    <x v="11"/>
    <x v="2"/>
    <x v="1"/>
    <n v="3"/>
    <n v="23.79"/>
    <n v="71.37"/>
    <n v="10.71"/>
    <x v="659"/>
    <n v="75"/>
  </r>
  <r>
    <n v="3531"/>
    <x v="0"/>
    <x v="456"/>
    <x v="10"/>
    <x v="11"/>
    <n v="5"/>
    <n v="12.57"/>
    <n v="62.85"/>
    <n v="2.74"/>
    <x v="660"/>
    <n v="43"/>
  </r>
  <r>
    <n v="7797"/>
    <x v="2"/>
    <x v="457"/>
    <x v="7"/>
    <x v="16"/>
    <n v="5"/>
    <n v="6.74"/>
    <n v="33.700000000000003"/>
    <n v="3.46"/>
    <x v="661"/>
    <n v="202"/>
  </r>
  <r>
    <n v="2622"/>
    <x v="1"/>
    <x v="162"/>
    <x v="2"/>
    <x v="5"/>
    <n v="1"/>
    <n v="8.7100000000000009"/>
    <n v="8.7100000000000009"/>
    <n v="0"/>
    <x v="662"/>
    <n v="220"/>
  </r>
  <r>
    <n v="9017"/>
    <x v="0"/>
    <x v="229"/>
    <x v="1"/>
    <x v="1"/>
    <n v="4"/>
    <n v="11.58"/>
    <n v="46.32"/>
    <n v="6.95"/>
    <x v="663"/>
    <n v="97"/>
  </r>
  <r>
    <n v="7686"/>
    <x v="6"/>
    <x v="167"/>
    <x v="8"/>
    <x v="6"/>
    <n v="3"/>
    <n v="18.86"/>
    <n v="56.58"/>
    <n v="1.58"/>
    <x v="222"/>
    <n v="411"/>
  </r>
  <r>
    <n v="5583"/>
    <x v="6"/>
    <x v="442"/>
    <x v="2"/>
    <x v="14"/>
    <n v="3"/>
    <n v="5.51"/>
    <n v="16.53"/>
    <n v="3.96"/>
    <x v="664"/>
    <n v="372"/>
  </r>
  <r>
    <n v="7070"/>
    <x v="8"/>
    <x v="458"/>
    <x v="6"/>
    <x v="12"/>
    <n v="3"/>
    <n v="1.39"/>
    <n v="4.17"/>
    <n v="0.63"/>
    <x v="665"/>
    <n v="355"/>
  </r>
  <r>
    <n v="8264"/>
    <x v="4"/>
    <x v="459"/>
    <x v="10"/>
    <x v="10"/>
    <n v="3"/>
    <n v="7.05"/>
    <n v="21.15"/>
    <n v="4.2300000000000004"/>
    <x v="666"/>
    <n v="275"/>
  </r>
  <r>
    <n v="4868"/>
    <x v="1"/>
    <x v="460"/>
    <x v="9"/>
    <x v="0"/>
    <n v="5"/>
    <n v="15"/>
    <n v="75"/>
    <n v="0"/>
    <x v="667"/>
    <n v="373"/>
  </r>
  <r>
    <n v="6942"/>
    <x v="6"/>
    <x v="410"/>
    <x v="3"/>
    <x v="15"/>
    <n v="1"/>
    <n v="8.4"/>
    <n v="8.4"/>
    <n v="1.68"/>
    <x v="668"/>
    <n v="30"/>
  </r>
  <r>
    <n v="7018"/>
    <x v="5"/>
    <x v="361"/>
    <x v="0"/>
    <x v="8"/>
    <n v="1"/>
    <n v="2.92"/>
    <n v="2.92"/>
    <n v="0"/>
    <x v="669"/>
    <n v="338"/>
  </r>
  <r>
    <n v="6876"/>
    <x v="7"/>
    <x v="121"/>
    <x v="1"/>
    <x v="10"/>
    <n v="3"/>
    <n v="26.14"/>
    <n v="78.42"/>
    <n v="15.68"/>
    <x v="670"/>
    <n v="332"/>
  </r>
  <r>
    <n v="7523"/>
    <x v="3"/>
    <x v="334"/>
    <x v="9"/>
    <x v="17"/>
    <n v="3"/>
    <n v="15.05"/>
    <n v="45.15"/>
    <n v="9.0299999999999994"/>
    <x v="671"/>
    <n v="305"/>
  </r>
  <r>
    <n v="4109"/>
    <x v="8"/>
    <x v="391"/>
    <x v="9"/>
    <x v="8"/>
    <n v="5"/>
    <n v="27.85"/>
    <n v="139.25"/>
    <n v="27.85"/>
    <x v="672"/>
    <n v="11"/>
  </r>
  <r>
    <n v="8450"/>
    <x v="1"/>
    <x v="174"/>
    <x v="8"/>
    <x v="3"/>
    <n v="4"/>
    <n v="12.4"/>
    <n v="49.6"/>
    <n v="7.44"/>
    <x v="673"/>
    <n v="80"/>
  </r>
  <r>
    <n v="4475"/>
    <x v="7"/>
    <x v="461"/>
    <x v="4"/>
    <x v="9"/>
    <n v="2"/>
    <n v="29.87"/>
    <n v="59.74"/>
    <n v="3.5"/>
    <x v="674"/>
    <n v="256"/>
  </r>
  <r>
    <n v="1349"/>
    <x v="3"/>
    <x v="129"/>
    <x v="0"/>
    <x v="2"/>
    <n v="3"/>
    <n v="7.53"/>
    <n v="22.59"/>
    <n v="0"/>
    <x v="675"/>
    <n v="174"/>
  </r>
  <r>
    <n v="6464"/>
    <x v="2"/>
    <x v="245"/>
    <x v="1"/>
    <x v="7"/>
    <n v="5"/>
    <n v="28.85"/>
    <n v="144.25"/>
    <n v="14.43"/>
    <x v="676"/>
    <n v="313"/>
  </r>
  <r>
    <n v="3063"/>
    <x v="8"/>
    <x v="197"/>
    <x v="6"/>
    <x v="12"/>
    <n v="4"/>
    <n v="29.14"/>
    <n v="116.56"/>
    <n v="11.66"/>
    <x v="677"/>
    <n v="465"/>
  </r>
  <r>
    <n v="4362"/>
    <x v="1"/>
    <x v="145"/>
    <x v="7"/>
    <x v="14"/>
    <n v="2"/>
    <n v="17.84"/>
    <n v="35.68"/>
    <n v="7.14"/>
    <x v="678"/>
    <n v="350"/>
  </r>
  <r>
    <n v="4394"/>
    <x v="5"/>
    <x v="462"/>
    <x v="9"/>
    <x v="12"/>
    <n v="4"/>
    <n v="29.86"/>
    <n v="119.44"/>
    <n v="0"/>
    <x v="679"/>
    <n v="499"/>
  </r>
  <r>
    <n v="4538"/>
    <x v="2"/>
    <x v="381"/>
    <x v="4"/>
    <x v="13"/>
    <n v="5"/>
    <n v="16.45"/>
    <n v="82.25"/>
    <n v="16.45"/>
    <x v="680"/>
    <n v="368"/>
  </r>
  <r>
    <n v="4817"/>
    <x v="7"/>
    <x v="463"/>
    <x v="7"/>
    <x v="10"/>
    <n v="3"/>
    <n v="26.51"/>
    <n v="79.53"/>
    <n v="11.93"/>
    <x v="681"/>
    <n v="211"/>
  </r>
  <r>
    <n v="3417"/>
    <x v="4"/>
    <x v="464"/>
    <x v="5"/>
    <x v="0"/>
    <n v="2"/>
    <n v="23.58"/>
    <n v="47.16"/>
    <n v="9.43"/>
    <x v="682"/>
    <n v="54"/>
  </r>
  <r>
    <n v="1046"/>
    <x v="6"/>
    <x v="465"/>
    <x v="6"/>
    <x v="0"/>
    <n v="5"/>
    <n v="17.43"/>
    <n v="87.15"/>
    <n v="17.43"/>
    <x v="683"/>
    <n v="118"/>
  </r>
  <r>
    <n v="3370"/>
    <x v="6"/>
    <x v="466"/>
    <x v="4"/>
    <x v="13"/>
    <n v="4"/>
    <n v="4.88"/>
    <n v="19.52"/>
    <n v="0"/>
    <x v="684"/>
    <n v="433"/>
  </r>
  <r>
    <n v="9850"/>
    <x v="7"/>
    <x v="127"/>
    <x v="7"/>
    <x v="7"/>
    <n v="4"/>
    <n v="14.73"/>
    <n v="58.92"/>
    <n v="11.78"/>
    <x v="685"/>
    <n v="83"/>
  </r>
  <r>
    <n v="3858"/>
    <x v="6"/>
    <x v="467"/>
    <x v="3"/>
    <x v="10"/>
    <n v="3"/>
    <n v="28.55"/>
    <n v="85.65"/>
    <n v="17.13"/>
    <x v="686"/>
    <n v="113"/>
  </r>
  <r>
    <n v="1422"/>
    <x v="0"/>
    <x v="113"/>
    <x v="7"/>
    <x v="8"/>
    <n v="5"/>
    <n v="15.2"/>
    <n v="76"/>
    <n v="15.2"/>
    <x v="687"/>
    <n v="166"/>
  </r>
  <r>
    <n v="1243"/>
    <x v="3"/>
    <x v="21"/>
    <x v="3"/>
    <x v="11"/>
    <n v="5"/>
    <n v="22.31"/>
    <n v="111.55"/>
    <n v="11.16"/>
    <x v="688"/>
    <n v="194"/>
  </r>
  <r>
    <n v="4898"/>
    <x v="1"/>
    <x v="104"/>
    <x v="9"/>
    <x v="11"/>
    <n v="5"/>
    <n v="4.16"/>
    <n v="20.8"/>
    <n v="4.16"/>
    <x v="616"/>
    <n v="233"/>
  </r>
  <r>
    <n v="6304"/>
    <x v="1"/>
    <x v="468"/>
    <x v="9"/>
    <x v="7"/>
    <n v="1"/>
    <n v="17.16"/>
    <n v="17.16"/>
    <n v="3.43"/>
    <x v="689"/>
    <n v="264"/>
  </r>
  <r>
    <n v="3854"/>
    <x v="5"/>
    <x v="469"/>
    <x v="10"/>
    <x v="7"/>
    <n v="3"/>
    <n v="23.43"/>
    <n v="70.290000000000006"/>
    <n v="14.06"/>
    <x v="581"/>
    <n v="146"/>
  </r>
  <r>
    <n v="1858"/>
    <x v="3"/>
    <x v="338"/>
    <x v="8"/>
    <x v="11"/>
    <n v="5"/>
    <n v="27.2"/>
    <n v="136"/>
    <n v="3.89"/>
    <x v="690"/>
    <n v="237"/>
  </r>
  <r>
    <n v="7897"/>
    <x v="0"/>
    <x v="470"/>
    <x v="7"/>
    <x v="2"/>
    <n v="2"/>
    <n v="12.39"/>
    <n v="24.78"/>
    <n v="1.72"/>
    <x v="691"/>
    <n v="165"/>
  </r>
  <r>
    <n v="2862"/>
    <x v="8"/>
    <x v="329"/>
    <x v="10"/>
    <x v="13"/>
    <n v="3"/>
    <n v="10.39"/>
    <n v="31.17"/>
    <n v="0"/>
    <x v="692"/>
    <n v="332"/>
  </r>
  <r>
    <n v="2041"/>
    <x v="0"/>
    <x v="242"/>
    <x v="1"/>
    <x v="17"/>
    <n v="4"/>
    <n v="19.38"/>
    <n v="77.52"/>
    <n v="0"/>
    <x v="693"/>
    <n v="43"/>
  </r>
  <r>
    <n v="8344"/>
    <x v="1"/>
    <x v="248"/>
    <x v="6"/>
    <x v="6"/>
    <n v="4"/>
    <n v="16.95"/>
    <n v="67.8"/>
    <n v="10.17"/>
    <x v="694"/>
    <n v="22"/>
  </r>
  <r>
    <n v="6931"/>
    <x v="2"/>
    <x v="471"/>
    <x v="7"/>
    <x v="12"/>
    <n v="2"/>
    <n v="23.3"/>
    <n v="46.6"/>
    <n v="6.99"/>
    <x v="695"/>
    <n v="26"/>
  </r>
  <r>
    <n v="2786"/>
    <x v="5"/>
    <x v="472"/>
    <x v="10"/>
    <x v="9"/>
    <n v="2"/>
    <n v="4.4000000000000004"/>
    <n v="8.8000000000000007"/>
    <n v="3.49"/>
    <x v="555"/>
    <n v="67"/>
  </r>
  <r>
    <n v="9254"/>
    <x v="5"/>
    <x v="200"/>
    <x v="0"/>
    <x v="8"/>
    <n v="4"/>
    <n v="25.8"/>
    <n v="103.2"/>
    <n v="4.53"/>
    <x v="696"/>
    <n v="278"/>
  </r>
  <r>
    <n v="1710"/>
    <x v="8"/>
    <x v="473"/>
    <x v="2"/>
    <x v="16"/>
    <n v="4"/>
    <n v="12.88"/>
    <n v="51.52"/>
    <n v="10.3"/>
    <x v="697"/>
    <n v="40"/>
  </r>
  <r>
    <n v="9543"/>
    <x v="1"/>
    <x v="337"/>
    <x v="8"/>
    <x v="2"/>
    <n v="2"/>
    <n v="2.41"/>
    <n v="4.82"/>
    <n v="0"/>
    <x v="698"/>
    <n v="75"/>
  </r>
  <r>
    <n v="8504"/>
    <x v="7"/>
    <x v="474"/>
    <x v="0"/>
    <x v="12"/>
    <n v="1"/>
    <n v="20.329999999999998"/>
    <n v="20.329999999999998"/>
    <n v="3.05"/>
    <x v="699"/>
    <n v="429"/>
  </r>
  <r>
    <n v="1510"/>
    <x v="0"/>
    <x v="121"/>
    <x v="0"/>
    <x v="17"/>
    <n v="4"/>
    <n v="29.81"/>
    <n v="119.24"/>
    <n v="3.64"/>
    <x v="700"/>
    <n v="82"/>
  </r>
  <r>
    <n v="8847"/>
    <x v="1"/>
    <x v="475"/>
    <x v="7"/>
    <x v="8"/>
    <n v="5"/>
    <n v="11.44"/>
    <n v="57.2"/>
    <n v="8.58"/>
    <x v="701"/>
    <n v="18"/>
  </r>
  <r>
    <n v="7580"/>
    <x v="7"/>
    <x v="257"/>
    <x v="4"/>
    <x v="7"/>
    <n v="1"/>
    <n v="22.98"/>
    <n v="22.98"/>
    <n v="3.45"/>
    <x v="702"/>
    <n v="431"/>
  </r>
  <r>
    <n v="2768"/>
    <x v="4"/>
    <x v="476"/>
    <x v="7"/>
    <x v="17"/>
    <n v="3"/>
    <n v="10.54"/>
    <n v="31.62"/>
    <n v="0"/>
    <x v="703"/>
    <n v="211"/>
  </r>
  <r>
    <n v="8267"/>
    <x v="8"/>
    <x v="346"/>
    <x v="6"/>
    <x v="11"/>
    <n v="1"/>
    <n v="17.559999999999999"/>
    <n v="17.559999999999999"/>
    <n v="1.76"/>
    <x v="704"/>
    <n v="322"/>
  </r>
  <r>
    <n v="2323"/>
    <x v="5"/>
    <x v="316"/>
    <x v="3"/>
    <x v="3"/>
    <n v="3"/>
    <n v="16.23"/>
    <n v="48.69"/>
    <n v="9.74"/>
    <x v="705"/>
    <n v="319"/>
  </r>
  <r>
    <n v="3430"/>
    <x v="4"/>
    <x v="48"/>
    <x v="9"/>
    <x v="16"/>
    <n v="4"/>
    <n v="24.42"/>
    <n v="97.68"/>
    <n v="0"/>
    <x v="706"/>
    <n v="452"/>
  </r>
  <r>
    <n v="3067"/>
    <x v="5"/>
    <x v="263"/>
    <x v="2"/>
    <x v="10"/>
    <n v="1"/>
    <n v="1.69"/>
    <n v="1.69"/>
    <n v="0"/>
    <x v="707"/>
    <n v="320"/>
  </r>
  <r>
    <n v="9984"/>
    <x v="8"/>
    <x v="97"/>
    <x v="6"/>
    <x v="1"/>
    <n v="4"/>
    <n v="2.31"/>
    <n v="9.24"/>
    <n v="3.56"/>
    <x v="708"/>
    <n v="179"/>
  </r>
  <r>
    <n v="6327"/>
    <x v="9"/>
    <x v="20"/>
    <x v="8"/>
    <x v="13"/>
    <n v="3"/>
    <n v="9.6999999999999993"/>
    <n v="29.1"/>
    <n v="1.46"/>
    <x v="709"/>
    <n v="281"/>
  </r>
  <r>
    <n v="9692"/>
    <x v="7"/>
    <x v="477"/>
    <x v="4"/>
    <x v="7"/>
    <n v="5"/>
    <n v="18.850000000000001"/>
    <n v="94.25"/>
    <n v="18.850000000000001"/>
    <x v="710"/>
    <n v="14"/>
  </r>
  <r>
    <n v="8433"/>
    <x v="7"/>
    <x v="172"/>
    <x v="4"/>
    <x v="16"/>
    <n v="4"/>
    <n v="24.11"/>
    <n v="96.44"/>
    <n v="9.64"/>
    <x v="711"/>
    <n v="330"/>
  </r>
  <r>
    <n v="8048"/>
    <x v="2"/>
    <x v="410"/>
    <x v="5"/>
    <x v="8"/>
    <n v="5"/>
    <n v="26.97"/>
    <n v="134.85"/>
    <n v="0"/>
    <x v="712"/>
    <n v="236"/>
  </r>
  <r>
    <n v="2874"/>
    <x v="6"/>
    <x v="279"/>
    <x v="9"/>
    <x v="9"/>
    <n v="5"/>
    <n v="22.01"/>
    <n v="110.05"/>
    <n v="22.01"/>
    <x v="713"/>
    <n v="161"/>
  </r>
  <r>
    <n v="4522"/>
    <x v="7"/>
    <x v="478"/>
    <x v="4"/>
    <x v="13"/>
    <n v="2"/>
    <n v="9.1199999999999992"/>
    <n v="18.239999999999998"/>
    <n v="1.82"/>
    <x v="714"/>
    <n v="15"/>
  </r>
  <r>
    <n v="8398"/>
    <x v="1"/>
    <x v="479"/>
    <x v="7"/>
    <x v="7"/>
    <n v="2"/>
    <n v="18.25"/>
    <n v="36.5"/>
    <n v="0"/>
    <x v="715"/>
    <n v="442"/>
  </r>
  <r>
    <n v="4743"/>
    <x v="7"/>
    <x v="480"/>
    <x v="0"/>
    <x v="0"/>
    <n v="4"/>
    <n v="3.51"/>
    <n v="14.04"/>
    <n v="2.11"/>
    <x v="182"/>
    <n v="449"/>
  </r>
  <r>
    <n v="6553"/>
    <x v="4"/>
    <x v="363"/>
    <x v="8"/>
    <x v="14"/>
    <n v="5"/>
    <n v="9.76"/>
    <n v="48.8"/>
    <n v="4.1100000000000003"/>
    <x v="716"/>
    <n v="57"/>
  </r>
  <r>
    <n v="8430"/>
    <x v="0"/>
    <x v="98"/>
    <x v="10"/>
    <x v="15"/>
    <n v="1"/>
    <n v="24.16"/>
    <n v="24.16"/>
    <n v="4.83"/>
    <x v="717"/>
    <n v="463"/>
  </r>
  <r>
    <n v="7815"/>
    <x v="7"/>
    <x v="24"/>
    <x v="10"/>
    <x v="15"/>
    <n v="3"/>
    <n v="23.48"/>
    <n v="70.44"/>
    <n v="3.71"/>
    <x v="718"/>
    <n v="73"/>
  </r>
  <r>
    <n v="2557"/>
    <x v="2"/>
    <x v="481"/>
    <x v="2"/>
    <x v="11"/>
    <n v="4"/>
    <n v="12.23"/>
    <n v="48.92"/>
    <n v="2.2400000000000002"/>
    <x v="719"/>
    <n v="442"/>
  </r>
  <r>
    <n v="7992"/>
    <x v="6"/>
    <x v="481"/>
    <x v="5"/>
    <x v="13"/>
    <n v="3"/>
    <n v="14.53"/>
    <n v="43.59"/>
    <n v="4.0599999999999996"/>
    <x v="720"/>
    <n v="23"/>
  </r>
  <r>
    <n v="5176"/>
    <x v="5"/>
    <x v="482"/>
    <x v="0"/>
    <x v="9"/>
    <n v="2"/>
    <n v="10.3"/>
    <n v="20.6"/>
    <n v="3.09"/>
    <x v="721"/>
    <n v="98"/>
  </r>
  <r>
    <n v="3500"/>
    <x v="1"/>
    <x v="216"/>
    <x v="4"/>
    <x v="8"/>
    <n v="1"/>
    <n v="8.9"/>
    <n v="8.9"/>
    <n v="1.06"/>
    <x v="722"/>
    <n v="80"/>
  </r>
  <r>
    <n v="8770"/>
    <x v="1"/>
    <x v="483"/>
    <x v="9"/>
    <x v="17"/>
    <n v="2"/>
    <n v="16.72"/>
    <n v="33.44"/>
    <n v="5.0199999999999996"/>
    <x v="723"/>
    <n v="281"/>
  </r>
  <r>
    <n v="2494"/>
    <x v="2"/>
    <x v="437"/>
    <x v="8"/>
    <x v="5"/>
    <n v="2"/>
    <n v="3.06"/>
    <n v="6.12"/>
    <n v="2.77"/>
    <x v="724"/>
    <n v="313"/>
  </r>
  <r>
    <n v="2398"/>
    <x v="2"/>
    <x v="6"/>
    <x v="0"/>
    <x v="16"/>
    <n v="1"/>
    <n v="4.0599999999999996"/>
    <n v="4.0599999999999996"/>
    <n v="0.41"/>
    <x v="725"/>
    <n v="27"/>
  </r>
  <r>
    <n v="8075"/>
    <x v="3"/>
    <x v="117"/>
    <x v="7"/>
    <x v="8"/>
    <n v="5"/>
    <n v="11.3"/>
    <n v="56.5"/>
    <n v="0"/>
    <x v="140"/>
    <n v="170"/>
  </r>
  <r>
    <n v="7105"/>
    <x v="1"/>
    <x v="347"/>
    <x v="1"/>
    <x v="8"/>
    <n v="5"/>
    <n v="4.8099999999999996"/>
    <n v="24.05"/>
    <n v="2.82"/>
    <x v="264"/>
    <n v="416"/>
  </r>
  <r>
    <n v="3131"/>
    <x v="4"/>
    <x v="252"/>
    <x v="10"/>
    <x v="5"/>
    <n v="2"/>
    <n v="5.16"/>
    <n v="10.32"/>
    <n v="1.55"/>
    <x v="726"/>
    <n v="458"/>
  </r>
  <r>
    <n v="1982"/>
    <x v="3"/>
    <x v="462"/>
    <x v="7"/>
    <x v="3"/>
    <n v="3"/>
    <n v="14.14"/>
    <n v="42.42"/>
    <n v="4.24"/>
    <x v="727"/>
    <n v="15"/>
  </r>
  <r>
    <n v="6400"/>
    <x v="0"/>
    <x v="37"/>
    <x v="4"/>
    <x v="16"/>
    <n v="4"/>
    <n v="25.52"/>
    <n v="102.08"/>
    <n v="3.3"/>
    <x v="728"/>
    <n v="144"/>
  </r>
  <r>
    <n v="3002"/>
    <x v="1"/>
    <x v="118"/>
    <x v="1"/>
    <x v="7"/>
    <n v="1"/>
    <n v="10.44"/>
    <n v="10.44"/>
    <n v="1.57"/>
    <x v="729"/>
    <n v="332"/>
  </r>
  <r>
    <n v="6793"/>
    <x v="1"/>
    <x v="484"/>
    <x v="10"/>
    <x v="7"/>
    <n v="5"/>
    <n v="12.98"/>
    <n v="64.900000000000006"/>
    <n v="1.64"/>
    <x v="566"/>
    <n v="317"/>
  </r>
  <r>
    <n v="7929"/>
    <x v="4"/>
    <x v="485"/>
    <x v="3"/>
    <x v="13"/>
    <n v="3"/>
    <n v="7.03"/>
    <n v="21.09"/>
    <n v="2.11"/>
    <x v="730"/>
    <n v="355"/>
  </r>
  <r>
    <n v="1842"/>
    <x v="7"/>
    <x v="380"/>
    <x v="9"/>
    <x v="5"/>
    <n v="2"/>
    <n v="20.21"/>
    <n v="40.42"/>
    <n v="3.37"/>
    <x v="731"/>
    <n v="39"/>
  </r>
  <r>
    <n v="6119"/>
    <x v="4"/>
    <x v="277"/>
    <x v="4"/>
    <x v="2"/>
    <n v="1"/>
    <n v="24.83"/>
    <n v="24.83"/>
    <n v="2.48"/>
    <x v="732"/>
    <n v="90"/>
  </r>
  <r>
    <n v="2697"/>
    <x v="0"/>
    <x v="29"/>
    <x v="6"/>
    <x v="17"/>
    <n v="5"/>
    <n v="23.36"/>
    <n v="116.8"/>
    <n v="11.68"/>
    <x v="733"/>
    <n v="194"/>
  </r>
  <r>
    <n v="9313"/>
    <x v="6"/>
    <x v="50"/>
    <x v="1"/>
    <x v="14"/>
    <n v="2"/>
    <n v="26.72"/>
    <n v="53.44"/>
    <n v="10.69"/>
    <x v="734"/>
    <n v="462"/>
  </r>
  <r>
    <n v="3535"/>
    <x v="2"/>
    <x v="385"/>
    <x v="10"/>
    <x v="2"/>
    <n v="3"/>
    <n v="12.3"/>
    <n v="36.9"/>
    <n v="7.38"/>
    <x v="735"/>
    <n v="295"/>
  </r>
  <r>
    <n v="8900"/>
    <x v="8"/>
    <x v="240"/>
    <x v="5"/>
    <x v="3"/>
    <n v="3"/>
    <n v="17.53"/>
    <n v="52.59"/>
    <n v="5.26"/>
    <x v="736"/>
    <n v="467"/>
  </r>
  <r>
    <n v="2773"/>
    <x v="7"/>
    <x v="202"/>
    <x v="1"/>
    <x v="10"/>
    <n v="5"/>
    <n v="29.6"/>
    <n v="148"/>
    <n v="22.2"/>
    <x v="737"/>
    <n v="206"/>
  </r>
  <r>
    <n v="7022"/>
    <x v="6"/>
    <x v="209"/>
    <x v="4"/>
    <x v="2"/>
    <n v="1"/>
    <n v="1.01"/>
    <n v="1.01"/>
    <n v="4.4400000000000004"/>
    <x v="738"/>
    <n v="286"/>
  </r>
  <r>
    <n v="5564"/>
    <x v="6"/>
    <x v="340"/>
    <x v="2"/>
    <x v="1"/>
    <n v="5"/>
    <n v="12.42"/>
    <n v="62.1"/>
    <n v="6.21"/>
    <x v="739"/>
    <n v="162"/>
  </r>
  <r>
    <n v="4705"/>
    <x v="3"/>
    <x v="23"/>
    <x v="3"/>
    <x v="2"/>
    <n v="2"/>
    <n v="20.2"/>
    <n v="40.4"/>
    <n v="8.08"/>
    <x v="740"/>
    <n v="243"/>
  </r>
  <r>
    <n v="8030"/>
    <x v="1"/>
    <x v="449"/>
    <x v="3"/>
    <x v="4"/>
    <n v="4"/>
    <n v="5.46"/>
    <n v="21.84"/>
    <n v="4.37"/>
    <x v="741"/>
    <n v="446"/>
  </r>
  <r>
    <n v="1430"/>
    <x v="6"/>
    <x v="39"/>
    <x v="1"/>
    <x v="10"/>
    <n v="2"/>
    <n v="21.91"/>
    <n v="43.82"/>
    <n v="8.76"/>
    <x v="742"/>
    <n v="249"/>
  </r>
  <r>
    <n v="5381"/>
    <x v="0"/>
    <x v="486"/>
    <x v="7"/>
    <x v="1"/>
    <n v="4"/>
    <n v="26.9"/>
    <n v="107.6"/>
    <n v="1.72"/>
    <x v="743"/>
    <n v="356"/>
  </r>
  <r>
    <n v="3955"/>
    <x v="1"/>
    <x v="487"/>
    <x v="3"/>
    <x v="2"/>
    <n v="4"/>
    <n v="12.15"/>
    <n v="48.6"/>
    <n v="4.8600000000000003"/>
    <x v="744"/>
    <n v="115"/>
  </r>
  <r>
    <n v="6062"/>
    <x v="6"/>
    <x v="488"/>
    <x v="6"/>
    <x v="16"/>
    <n v="2"/>
    <n v="21.64"/>
    <n v="43.28"/>
    <n v="3.31"/>
    <x v="745"/>
    <n v="137"/>
  </r>
  <r>
    <n v="6567"/>
    <x v="6"/>
    <x v="206"/>
    <x v="0"/>
    <x v="16"/>
    <n v="3"/>
    <n v="4.2699999999999996"/>
    <n v="12.81"/>
    <n v="2.56"/>
    <x v="746"/>
    <n v="246"/>
  </r>
  <r>
    <n v="1100"/>
    <x v="1"/>
    <x v="373"/>
    <x v="8"/>
    <x v="8"/>
    <n v="5"/>
    <n v="3.26"/>
    <n v="16.3"/>
    <n v="3.26"/>
    <x v="747"/>
    <n v="455"/>
  </r>
  <r>
    <n v="3347"/>
    <x v="4"/>
    <x v="425"/>
    <x v="5"/>
    <x v="13"/>
    <n v="5"/>
    <n v="24.13"/>
    <n v="120.65"/>
    <n v="18.100000000000001"/>
    <x v="748"/>
    <n v="159"/>
  </r>
  <r>
    <n v="7566"/>
    <x v="1"/>
    <x v="218"/>
    <x v="0"/>
    <x v="16"/>
    <n v="4"/>
    <n v="15.86"/>
    <n v="63.44"/>
    <n v="6.34"/>
    <x v="749"/>
    <n v="240"/>
  </r>
  <r>
    <n v="3324"/>
    <x v="7"/>
    <x v="489"/>
    <x v="8"/>
    <x v="9"/>
    <n v="2"/>
    <n v="2.0099999999999998"/>
    <n v="4.0199999999999996"/>
    <n v="0"/>
    <x v="750"/>
    <n v="472"/>
  </r>
  <r>
    <n v="1502"/>
    <x v="5"/>
    <x v="174"/>
    <x v="0"/>
    <x v="16"/>
    <n v="5"/>
    <n v="5.89"/>
    <n v="29.45"/>
    <n v="0"/>
    <x v="335"/>
    <n v="26"/>
  </r>
  <r>
    <n v="9691"/>
    <x v="6"/>
    <x v="490"/>
    <x v="8"/>
    <x v="16"/>
    <n v="1"/>
    <n v="4.67"/>
    <n v="4.67"/>
    <n v="0.7"/>
    <x v="751"/>
    <n v="39"/>
  </r>
  <r>
    <n v="7163"/>
    <x v="2"/>
    <x v="491"/>
    <x v="6"/>
    <x v="0"/>
    <n v="3"/>
    <n v="25.87"/>
    <n v="77.61"/>
    <n v="1.7"/>
    <x v="752"/>
    <n v="7"/>
  </r>
  <r>
    <n v="8432"/>
    <x v="2"/>
    <x v="16"/>
    <x v="5"/>
    <x v="8"/>
    <n v="3"/>
    <n v="24.42"/>
    <n v="73.260000000000005"/>
    <n v="7.33"/>
    <x v="753"/>
    <n v="133"/>
  </r>
  <r>
    <n v="3578"/>
    <x v="2"/>
    <x v="161"/>
    <x v="9"/>
    <x v="11"/>
    <n v="3"/>
    <n v="29.53"/>
    <n v="88.59"/>
    <n v="4.74"/>
    <x v="754"/>
    <n v="495"/>
  </r>
  <r>
    <n v="6105"/>
    <x v="2"/>
    <x v="74"/>
    <x v="10"/>
    <x v="1"/>
    <n v="4"/>
    <n v="7.89"/>
    <n v="31.56"/>
    <n v="6.31"/>
    <x v="755"/>
    <n v="225"/>
  </r>
  <r>
    <n v="6314"/>
    <x v="7"/>
    <x v="492"/>
    <x v="0"/>
    <x v="0"/>
    <n v="1"/>
    <n v="2.5099999999999998"/>
    <n v="2.5099999999999998"/>
    <n v="0.25"/>
    <x v="756"/>
    <n v="237"/>
  </r>
  <r>
    <n v="2391"/>
    <x v="5"/>
    <x v="493"/>
    <x v="10"/>
    <x v="2"/>
    <n v="2"/>
    <n v="12"/>
    <n v="24"/>
    <n v="2.4"/>
    <x v="757"/>
    <n v="361"/>
  </r>
  <r>
    <n v="1861"/>
    <x v="5"/>
    <x v="17"/>
    <x v="7"/>
    <x v="15"/>
    <n v="4"/>
    <n v="1.33"/>
    <n v="5.32"/>
    <n v="0.53"/>
    <x v="758"/>
    <n v="474"/>
  </r>
  <r>
    <n v="3579"/>
    <x v="7"/>
    <x v="278"/>
    <x v="9"/>
    <x v="11"/>
    <n v="1"/>
    <n v="27.6"/>
    <n v="27.6"/>
    <n v="2.76"/>
    <x v="759"/>
    <n v="326"/>
  </r>
  <r>
    <n v="1815"/>
    <x v="5"/>
    <x v="120"/>
    <x v="4"/>
    <x v="0"/>
    <n v="3"/>
    <n v="24.26"/>
    <n v="72.78"/>
    <n v="7.28"/>
    <x v="760"/>
    <n v="130"/>
  </r>
  <r>
    <n v="2336"/>
    <x v="8"/>
    <x v="169"/>
    <x v="5"/>
    <x v="14"/>
    <n v="5"/>
    <n v="10.77"/>
    <n v="53.85"/>
    <n v="8.08"/>
    <x v="761"/>
    <n v="353"/>
  </r>
  <r>
    <n v="8259"/>
    <x v="1"/>
    <x v="494"/>
    <x v="0"/>
    <x v="10"/>
    <n v="1"/>
    <n v="1.34"/>
    <n v="1.34"/>
    <n v="0"/>
    <x v="762"/>
    <n v="50"/>
  </r>
  <r>
    <n v="7947"/>
    <x v="4"/>
    <x v="132"/>
    <x v="4"/>
    <x v="5"/>
    <n v="3"/>
    <n v="8.2899999999999991"/>
    <n v="24.87"/>
    <n v="1.37"/>
    <x v="763"/>
    <n v="17"/>
  </r>
  <r>
    <n v="8242"/>
    <x v="8"/>
    <x v="480"/>
    <x v="6"/>
    <x v="17"/>
    <n v="1"/>
    <n v="3.5"/>
    <n v="3.5"/>
    <n v="0.35"/>
    <x v="764"/>
    <n v="309"/>
  </r>
  <r>
    <n v="5475"/>
    <x v="2"/>
    <x v="490"/>
    <x v="1"/>
    <x v="6"/>
    <n v="3"/>
    <n v="9.5299999999999994"/>
    <n v="28.59"/>
    <n v="0"/>
    <x v="765"/>
    <n v="338"/>
  </r>
  <r>
    <n v="9394"/>
    <x v="4"/>
    <x v="345"/>
    <x v="8"/>
    <x v="1"/>
    <n v="3"/>
    <n v="8.4499999999999993"/>
    <n v="25.35"/>
    <n v="3.8"/>
    <x v="766"/>
    <n v="399"/>
  </r>
  <r>
    <n v="6655"/>
    <x v="6"/>
    <x v="184"/>
    <x v="3"/>
    <x v="7"/>
    <n v="3"/>
    <n v="29.87"/>
    <n v="89.61"/>
    <n v="17.920000000000002"/>
    <x v="767"/>
    <n v="132"/>
  </r>
  <r>
    <n v="2816"/>
    <x v="4"/>
    <x v="238"/>
    <x v="1"/>
    <x v="16"/>
    <n v="2"/>
    <n v="18.690000000000001"/>
    <n v="37.380000000000003"/>
    <n v="1.58"/>
    <x v="768"/>
    <n v="91"/>
  </r>
  <r>
    <n v="8972"/>
    <x v="3"/>
    <x v="495"/>
    <x v="2"/>
    <x v="17"/>
    <n v="4"/>
    <n v="21.74"/>
    <n v="86.96"/>
    <n v="1.28"/>
    <x v="769"/>
    <n v="52"/>
  </r>
  <r>
    <n v="6053"/>
    <x v="5"/>
    <x v="31"/>
    <x v="10"/>
    <x v="10"/>
    <n v="4"/>
    <n v="5.31"/>
    <n v="21.24"/>
    <n v="3.66"/>
    <x v="424"/>
    <n v="327"/>
  </r>
  <r>
    <n v="4612"/>
    <x v="5"/>
    <x v="51"/>
    <x v="7"/>
    <x v="3"/>
    <n v="4"/>
    <n v="17.649999999999999"/>
    <n v="70.599999999999994"/>
    <n v="7.06"/>
    <x v="770"/>
    <n v="263"/>
  </r>
  <r>
    <n v="1897"/>
    <x v="3"/>
    <x v="105"/>
    <x v="3"/>
    <x v="13"/>
    <n v="5"/>
    <n v="7.54"/>
    <n v="37.700000000000003"/>
    <n v="3.27"/>
    <x v="771"/>
    <n v="196"/>
  </r>
  <r>
    <n v="4349"/>
    <x v="7"/>
    <x v="337"/>
    <x v="4"/>
    <x v="9"/>
    <n v="4"/>
    <n v="2.59"/>
    <n v="10.36"/>
    <n v="1.55"/>
    <x v="772"/>
    <n v="490"/>
  </r>
  <r>
    <n v="4460"/>
    <x v="1"/>
    <x v="71"/>
    <x v="4"/>
    <x v="13"/>
    <n v="4"/>
    <n v="23.04"/>
    <n v="92.16"/>
    <n v="18.43"/>
    <x v="773"/>
    <n v="148"/>
  </r>
  <r>
    <n v="3248"/>
    <x v="1"/>
    <x v="18"/>
    <x v="0"/>
    <x v="7"/>
    <n v="2"/>
    <n v="9.66"/>
    <n v="19.32"/>
    <n v="0"/>
    <x v="204"/>
    <n v="199"/>
  </r>
  <r>
    <n v="5186"/>
    <x v="7"/>
    <x v="496"/>
    <x v="10"/>
    <x v="13"/>
    <n v="4"/>
    <n v="22.31"/>
    <n v="89.24"/>
    <n v="17.850000000000001"/>
    <x v="774"/>
    <n v="71"/>
  </r>
  <r>
    <n v="6375"/>
    <x v="6"/>
    <x v="331"/>
    <x v="6"/>
    <x v="5"/>
    <n v="4"/>
    <n v="12.26"/>
    <n v="49.04"/>
    <n v="4.9000000000000004"/>
    <x v="775"/>
    <n v="405"/>
  </r>
  <r>
    <n v="1126"/>
    <x v="1"/>
    <x v="427"/>
    <x v="10"/>
    <x v="10"/>
    <n v="1"/>
    <n v="10.83"/>
    <n v="10.83"/>
    <n v="1.08"/>
    <x v="776"/>
    <n v="172"/>
  </r>
  <r>
    <n v="8055"/>
    <x v="0"/>
    <x v="444"/>
    <x v="2"/>
    <x v="15"/>
    <n v="4"/>
    <n v="28.25"/>
    <n v="113"/>
    <n v="0"/>
    <x v="777"/>
    <n v="445"/>
  </r>
  <r>
    <n v="3116"/>
    <x v="8"/>
    <x v="20"/>
    <x v="1"/>
    <x v="11"/>
    <n v="2"/>
    <n v="15.17"/>
    <n v="30.34"/>
    <n v="1.18"/>
    <x v="778"/>
    <n v="9"/>
  </r>
  <r>
    <n v="9725"/>
    <x v="2"/>
    <x v="163"/>
    <x v="0"/>
    <x v="6"/>
    <n v="1"/>
    <n v="27.23"/>
    <n v="27.23"/>
    <n v="2.72"/>
    <x v="486"/>
    <n v="420"/>
  </r>
  <r>
    <n v="4770"/>
    <x v="2"/>
    <x v="75"/>
    <x v="6"/>
    <x v="13"/>
    <n v="1"/>
    <n v="4.3"/>
    <n v="4.3"/>
    <n v="4.22"/>
    <x v="779"/>
    <n v="304"/>
  </r>
  <r>
    <n v="6802"/>
    <x v="3"/>
    <x v="109"/>
    <x v="4"/>
    <x v="7"/>
    <n v="3"/>
    <n v="4.49"/>
    <n v="13.47"/>
    <n v="2.02"/>
    <x v="780"/>
    <n v="350"/>
  </r>
  <r>
    <n v="7505"/>
    <x v="8"/>
    <x v="497"/>
    <x v="0"/>
    <x v="6"/>
    <n v="3"/>
    <n v="2.82"/>
    <n v="8.4600000000000009"/>
    <n v="0.85"/>
    <x v="781"/>
    <n v="140"/>
  </r>
  <r>
    <n v="1693"/>
    <x v="2"/>
    <x v="213"/>
    <x v="4"/>
    <x v="2"/>
    <n v="2"/>
    <n v="13.71"/>
    <n v="27.42"/>
    <n v="5.48"/>
    <x v="782"/>
    <n v="473"/>
  </r>
  <r>
    <n v="1307"/>
    <x v="0"/>
    <x v="498"/>
    <x v="5"/>
    <x v="7"/>
    <n v="2"/>
    <n v="1.44"/>
    <n v="2.88"/>
    <n v="1.03"/>
    <x v="783"/>
    <n v="249"/>
  </r>
  <r>
    <n v="2275"/>
    <x v="0"/>
    <x v="497"/>
    <x v="5"/>
    <x v="9"/>
    <n v="4"/>
    <n v="21.1"/>
    <n v="84.4"/>
    <n v="0"/>
    <x v="784"/>
    <n v="405"/>
  </r>
  <r>
    <n v="6129"/>
    <x v="2"/>
    <x v="301"/>
    <x v="2"/>
    <x v="12"/>
    <n v="3"/>
    <n v="16.16"/>
    <n v="48.48"/>
    <n v="9.6999999999999993"/>
    <x v="785"/>
    <n v="210"/>
  </r>
  <r>
    <n v="8033"/>
    <x v="6"/>
    <x v="340"/>
    <x v="6"/>
    <x v="6"/>
    <n v="4"/>
    <n v="18.739999999999998"/>
    <n v="74.959999999999994"/>
    <n v="11.24"/>
    <x v="786"/>
    <n v="45"/>
  </r>
  <r>
    <n v="7626"/>
    <x v="3"/>
    <x v="393"/>
    <x v="0"/>
    <x v="2"/>
    <n v="2"/>
    <n v="6.56"/>
    <n v="13.12"/>
    <n v="2.4500000000000002"/>
    <x v="787"/>
    <n v="271"/>
  </r>
  <r>
    <n v="7843"/>
    <x v="1"/>
    <x v="496"/>
    <x v="9"/>
    <x v="5"/>
    <n v="4"/>
    <n v="23.33"/>
    <n v="93.32"/>
    <n v="14"/>
    <x v="788"/>
    <n v="337"/>
  </r>
  <r>
    <n v="2887"/>
    <x v="6"/>
    <x v="499"/>
    <x v="2"/>
    <x v="17"/>
    <n v="2"/>
    <n v="20.86"/>
    <n v="41.72"/>
    <n v="4.17"/>
    <x v="789"/>
    <n v="495"/>
  </r>
  <r>
    <n v="1341"/>
    <x v="2"/>
    <x v="500"/>
    <x v="7"/>
    <x v="11"/>
    <n v="1"/>
    <n v="19.690000000000001"/>
    <n v="19.690000000000001"/>
    <n v="1.97"/>
    <x v="790"/>
    <n v="145"/>
  </r>
  <r>
    <n v="3815"/>
    <x v="5"/>
    <x v="255"/>
    <x v="4"/>
    <x v="8"/>
    <n v="1"/>
    <n v="4.0199999999999996"/>
    <n v="4.0199999999999996"/>
    <n v="0.8"/>
    <x v="791"/>
    <n v="26"/>
  </r>
  <r>
    <n v="8538"/>
    <x v="6"/>
    <x v="437"/>
    <x v="10"/>
    <x v="15"/>
    <n v="1"/>
    <n v="3.04"/>
    <n v="3.04"/>
    <n v="3.32"/>
    <x v="792"/>
    <n v="120"/>
  </r>
  <r>
    <n v="6928"/>
    <x v="3"/>
    <x v="501"/>
    <x v="2"/>
    <x v="3"/>
    <n v="2"/>
    <n v="23.58"/>
    <n v="47.16"/>
    <n v="1.95"/>
    <x v="793"/>
    <n v="166"/>
  </r>
  <r>
    <n v="8155"/>
    <x v="3"/>
    <x v="502"/>
    <x v="2"/>
    <x v="7"/>
    <n v="2"/>
    <n v="3.12"/>
    <n v="6.24"/>
    <n v="4.5599999999999996"/>
    <x v="794"/>
    <n v="299"/>
  </r>
  <r>
    <n v="2734"/>
    <x v="2"/>
    <x v="114"/>
    <x v="2"/>
    <x v="8"/>
    <n v="2"/>
    <n v="12.22"/>
    <n v="24.44"/>
    <n v="0"/>
    <x v="795"/>
    <n v="69"/>
  </r>
  <r>
    <n v="8138"/>
    <x v="8"/>
    <x v="104"/>
    <x v="5"/>
    <x v="4"/>
    <n v="3"/>
    <n v="6.85"/>
    <n v="20.55"/>
    <n v="0"/>
    <x v="796"/>
    <n v="65"/>
  </r>
  <r>
    <n v="7560"/>
    <x v="6"/>
    <x v="503"/>
    <x v="8"/>
    <x v="12"/>
    <n v="1"/>
    <n v="25.69"/>
    <n v="25.69"/>
    <n v="5.14"/>
    <x v="796"/>
    <n v="234"/>
  </r>
  <r>
    <n v="2288"/>
    <x v="7"/>
    <x v="51"/>
    <x v="2"/>
    <x v="9"/>
    <n v="5"/>
    <n v="5.54"/>
    <n v="27.7"/>
    <n v="4.88"/>
    <x v="440"/>
    <n v="406"/>
  </r>
  <r>
    <n v="6083"/>
    <x v="8"/>
    <x v="329"/>
    <x v="1"/>
    <x v="1"/>
    <n v="5"/>
    <n v="15.18"/>
    <n v="75.900000000000006"/>
    <n v="7.59"/>
    <x v="797"/>
    <n v="110"/>
  </r>
  <r>
    <n v="6562"/>
    <x v="5"/>
    <x v="200"/>
    <x v="0"/>
    <x v="1"/>
    <n v="2"/>
    <n v="8.18"/>
    <n v="16.36"/>
    <n v="4.79"/>
    <x v="798"/>
    <n v="222"/>
  </r>
  <r>
    <n v="6456"/>
    <x v="6"/>
    <x v="504"/>
    <x v="3"/>
    <x v="11"/>
    <n v="1"/>
    <n v="29.74"/>
    <n v="29.74"/>
    <n v="2.97"/>
    <x v="799"/>
    <n v="375"/>
  </r>
  <r>
    <n v="3754"/>
    <x v="1"/>
    <x v="303"/>
    <x v="3"/>
    <x v="16"/>
    <n v="1"/>
    <n v="14.11"/>
    <n v="14.11"/>
    <n v="4.01"/>
    <x v="800"/>
    <n v="123"/>
  </r>
  <r>
    <n v="9363"/>
    <x v="3"/>
    <x v="505"/>
    <x v="2"/>
    <x v="12"/>
    <n v="3"/>
    <n v="9.57"/>
    <n v="28.71"/>
    <n v="2.92"/>
    <x v="801"/>
    <n v="331"/>
  </r>
  <r>
    <n v="2868"/>
    <x v="5"/>
    <x v="424"/>
    <x v="7"/>
    <x v="8"/>
    <n v="5"/>
    <n v="22.66"/>
    <n v="113.3"/>
    <n v="11.33"/>
    <x v="802"/>
    <n v="12"/>
  </r>
  <r>
    <n v="9355"/>
    <x v="2"/>
    <x v="506"/>
    <x v="3"/>
    <x v="6"/>
    <n v="3"/>
    <n v="19.170000000000002"/>
    <n v="57.51"/>
    <n v="0"/>
    <x v="803"/>
    <n v="360"/>
  </r>
  <r>
    <n v="6724"/>
    <x v="0"/>
    <x v="206"/>
    <x v="3"/>
    <x v="3"/>
    <n v="5"/>
    <n v="1.94"/>
    <n v="9.6999999999999993"/>
    <n v="0"/>
    <x v="804"/>
    <n v="218"/>
  </r>
  <r>
    <n v="3419"/>
    <x v="1"/>
    <x v="507"/>
    <x v="6"/>
    <x v="14"/>
    <n v="1"/>
    <n v="18.98"/>
    <n v="18.98"/>
    <n v="4.78"/>
    <x v="805"/>
    <n v="171"/>
  </r>
  <r>
    <n v="2684"/>
    <x v="7"/>
    <x v="423"/>
    <x v="0"/>
    <x v="17"/>
    <n v="4"/>
    <n v="11.59"/>
    <n v="46.36"/>
    <n v="6.95"/>
    <x v="806"/>
    <n v="316"/>
  </r>
  <r>
    <n v="5193"/>
    <x v="7"/>
    <x v="508"/>
    <x v="7"/>
    <x v="2"/>
    <n v="1"/>
    <n v="17.25"/>
    <n v="17.25"/>
    <n v="3.45"/>
    <x v="807"/>
    <n v="396"/>
  </r>
  <r>
    <n v="3842"/>
    <x v="7"/>
    <x v="8"/>
    <x v="2"/>
    <x v="2"/>
    <n v="1"/>
    <n v="19.809999999999999"/>
    <n v="19.809999999999999"/>
    <n v="0"/>
    <x v="808"/>
    <n v="377"/>
  </r>
  <r>
    <n v="3504"/>
    <x v="8"/>
    <x v="89"/>
    <x v="4"/>
    <x v="4"/>
    <n v="3"/>
    <n v="15.59"/>
    <n v="46.77"/>
    <n v="1.25"/>
    <x v="809"/>
    <n v="216"/>
  </r>
  <r>
    <n v="2234"/>
    <x v="7"/>
    <x v="509"/>
    <x v="10"/>
    <x v="16"/>
    <n v="5"/>
    <n v="16.260000000000002"/>
    <n v="81.3"/>
    <n v="0"/>
    <x v="810"/>
    <n v="62"/>
  </r>
  <r>
    <n v="9095"/>
    <x v="1"/>
    <x v="251"/>
    <x v="5"/>
    <x v="2"/>
    <n v="3"/>
    <n v="14.1"/>
    <n v="42.3"/>
    <n v="8.4600000000000009"/>
    <x v="811"/>
    <n v="188"/>
  </r>
  <r>
    <n v="8354"/>
    <x v="4"/>
    <x v="69"/>
    <x v="1"/>
    <x v="13"/>
    <n v="4"/>
    <n v="27.03"/>
    <n v="108.12"/>
    <n v="1.66"/>
    <x v="812"/>
    <n v="147"/>
  </r>
  <r>
    <n v="6295"/>
    <x v="0"/>
    <x v="192"/>
    <x v="7"/>
    <x v="16"/>
    <n v="2"/>
    <n v="26.36"/>
    <n v="52.72"/>
    <n v="7.91"/>
    <x v="813"/>
    <n v="266"/>
  </r>
  <r>
    <n v="6179"/>
    <x v="3"/>
    <x v="268"/>
    <x v="5"/>
    <x v="2"/>
    <n v="2"/>
    <n v="14.73"/>
    <n v="29.46"/>
    <n v="0"/>
    <x v="814"/>
    <n v="215"/>
  </r>
  <r>
    <n v="8205"/>
    <x v="6"/>
    <x v="145"/>
    <x v="8"/>
    <x v="14"/>
    <n v="1"/>
    <n v="1.63"/>
    <n v="1.63"/>
    <n v="3.58"/>
    <x v="815"/>
    <n v="410"/>
  </r>
  <r>
    <n v="8682"/>
    <x v="3"/>
    <x v="234"/>
    <x v="6"/>
    <x v="3"/>
    <n v="3"/>
    <n v="15.09"/>
    <n v="45.27"/>
    <n v="4.53"/>
    <x v="816"/>
    <n v="340"/>
  </r>
  <r>
    <n v="5961"/>
    <x v="5"/>
    <x v="305"/>
    <x v="6"/>
    <x v="12"/>
    <n v="3"/>
    <n v="5.97"/>
    <n v="17.91"/>
    <n v="1.79"/>
    <x v="277"/>
    <n v="133"/>
  </r>
  <r>
    <n v="5500"/>
    <x v="7"/>
    <x v="284"/>
    <x v="8"/>
    <x v="11"/>
    <n v="2"/>
    <n v="11.23"/>
    <n v="22.46"/>
    <n v="4.7"/>
    <x v="817"/>
    <n v="233"/>
  </r>
  <r>
    <n v="1920"/>
    <x v="1"/>
    <x v="277"/>
    <x v="8"/>
    <x v="6"/>
    <n v="2"/>
    <n v="25.33"/>
    <n v="50.66"/>
    <n v="10.130000000000001"/>
    <x v="818"/>
    <n v="354"/>
  </r>
  <r>
    <n v="9312"/>
    <x v="8"/>
    <x v="346"/>
    <x v="1"/>
    <x v="11"/>
    <n v="3"/>
    <n v="17.649999999999999"/>
    <n v="52.95"/>
    <n v="7.94"/>
    <x v="819"/>
    <n v="225"/>
  </r>
  <r>
    <n v="6085"/>
    <x v="2"/>
    <x v="386"/>
    <x v="2"/>
    <x v="2"/>
    <n v="1"/>
    <n v="20.29"/>
    <n v="20.29"/>
    <n v="4.0599999999999996"/>
    <x v="820"/>
    <n v="500"/>
  </r>
  <r>
    <n v="8404"/>
    <x v="7"/>
    <x v="211"/>
    <x v="10"/>
    <x v="2"/>
    <n v="2"/>
    <n v="16.47"/>
    <n v="32.94"/>
    <n v="3.29"/>
    <x v="821"/>
    <n v="62"/>
  </r>
  <r>
    <n v="1932"/>
    <x v="4"/>
    <x v="510"/>
    <x v="7"/>
    <x v="8"/>
    <n v="3"/>
    <n v="5.52"/>
    <n v="16.559999999999999"/>
    <n v="0"/>
    <x v="822"/>
    <n v="496"/>
  </r>
  <r>
    <n v="5703"/>
    <x v="5"/>
    <x v="303"/>
    <x v="10"/>
    <x v="9"/>
    <n v="5"/>
    <n v="20.329999999999998"/>
    <n v="101.65"/>
    <n v="15.25"/>
    <x v="823"/>
    <n v="409"/>
  </r>
  <r>
    <n v="2479"/>
    <x v="0"/>
    <x v="511"/>
    <x v="10"/>
    <x v="11"/>
    <n v="2"/>
    <n v="20.65"/>
    <n v="41.3"/>
    <n v="2.61"/>
    <x v="824"/>
    <n v="59"/>
  </r>
  <r>
    <n v="9307"/>
    <x v="8"/>
    <x v="64"/>
    <x v="10"/>
    <x v="4"/>
    <n v="1"/>
    <n v="10.45"/>
    <n v="10.45"/>
    <n v="3.11"/>
    <x v="825"/>
    <n v="311"/>
  </r>
  <r>
    <n v="8581"/>
    <x v="9"/>
    <x v="512"/>
    <x v="2"/>
    <x v="10"/>
    <n v="1"/>
    <n v="16.600000000000001"/>
    <n v="16.600000000000001"/>
    <n v="2.58"/>
    <x v="826"/>
    <n v="228"/>
  </r>
  <r>
    <n v="1672"/>
    <x v="4"/>
    <x v="260"/>
    <x v="4"/>
    <x v="15"/>
    <n v="1"/>
    <n v="27.33"/>
    <n v="27.33"/>
    <n v="5.47"/>
    <x v="827"/>
    <n v="184"/>
  </r>
  <r>
    <n v="4084"/>
    <x v="3"/>
    <x v="513"/>
    <x v="4"/>
    <x v="7"/>
    <n v="3"/>
    <n v="1.34"/>
    <n v="4.0199999999999996"/>
    <n v="0.6"/>
    <x v="25"/>
    <n v="176"/>
  </r>
  <r>
    <n v="8792"/>
    <x v="4"/>
    <x v="514"/>
    <x v="9"/>
    <x v="13"/>
    <n v="2"/>
    <n v="22.1"/>
    <n v="44.2"/>
    <n v="4.42"/>
    <x v="435"/>
    <n v="227"/>
  </r>
  <r>
    <n v="3471"/>
    <x v="5"/>
    <x v="515"/>
    <x v="7"/>
    <x v="1"/>
    <n v="4"/>
    <n v="5.04"/>
    <n v="20.16"/>
    <n v="4.03"/>
    <x v="828"/>
    <n v="300"/>
  </r>
  <r>
    <n v="8381"/>
    <x v="8"/>
    <x v="516"/>
    <x v="8"/>
    <x v="16"/>
    <n v="5"/>
    <n v="29.6"/>
    <n v="148"/>
    <n v="1.03"/>
    <x v="829"/>
    <n v="33"/>
  </r>
  <r>
    <n v="6626"/>
    <x v="5"/>
    <x v="517"/>
    <x v="3"/>
    <x v="6"/>
    <n v="5"/>
    <n v="14.39"/>
    <n v="71.95"/>
    <n v="14.39"/>
    <x v="830"/>
    <n v="290"/>
  </r>
  <r>
    <n v="2381"/>
    <x v="2"/>
    <x v="518"/>
    <x v="3"/>
    <x v="9"/>
    <n v="5"/>
    <n v="15.22"/>
    <n v="76.099999999999994"/>
    <n v="2.2200000000000002"/>
    <x v="831"/>
    <n v="421"/>
  </r>
  <r>
    <n v="3827"/>
    <x v="1"/>
    <x v="519"/>
    <x v="10"/>
    <x v="5"/>
    <n v="1"/>
    <n v="23.94"/>
    <n v="23.94"/>
    <n v="3.59"/>
    <x v="832"/>
    <n v="78"/>
  </r>
  <r>
    <n v="5059"/>
    <x v="4"/>
    <x v="106"/>
    <x v="1"/>
    <x v="9"/>
    <n v="4"/>
    <n v="6.19"/>
    <n v="24.76"/>
    <n v="1.48"/>
    <x v="833"/>
    <n v="464"/>
  </r>
  <r>
    <n v="8172"/>
    <x v="5"/>
    <x v="365"/>
    <x v="10"/>
    <x v="13"/>
    <n v="5"/>
    <n v="22.61"/>
    <n v="113.05"/>
    <n v="2.74"/>
    <x v="834"/>
    <n v="297"/>
  </r>
  <r>
    <n v="9586"/>
    <x v="5"/>
    <x v="503"/>
    <x v="5"/>
    <x v="16"/>
    <n v="1"/>
    <n v="11.81"/>
    <n v="11.81"/>
    <n v="1.77"/>
    <x v="835"/>
    <n v="375"/>
  </r>
  <r>
    <n v="3600"/>
    <x v="2"/>
    <x v="217"/>
    <x v="6"/>
    <x v="11"/>
    <n v="2"/>
    <n v="10.26"/>
    <n v="20.52"/>
    <n v="3.08"/>
    <x v="586"/>
    <n v="449"/>
  </r>
  <r>
    <n v="7108"/>
    <x v="2"/>
    <x v="253"/>
    <x v="0"/>
    <x v="0"/>
    <n v="3"/>
    <n v="13.16"/>
    <n v="39.479999999999997"/>
    <n v="2.16"/>
    <x v="836"/>
    <n v="466"/>
  </r>
  <r>
    <n v="5634"/>
    <x v="1"/>
    <x v="520"/>
    <x v="5"/>
    <x v="13"/>
    <n v="5"/>
    <n v="6.61"/>
    <n v="33.049999999999997"/>
    <n v="3.4"/>
    <x v="821"/>
    <n v="321"/>
  </r>
  <r>
    <n v="7697"/>
    <x v="2"/>
    <x v="314"/>
    <x v="9"/>
    <x v="3"/>
    <n v="3"/>
    <n v="24.97"/>
    <n v="74.91"/>
    <n v="11.24"/>
    <x v="837"/>
    <n v="350"/>
  </r>
  <r>
    <n v="6543"/>
    <x v="7"/>
    <x v="521"/>
    <x v="1"/>
    <x v="2"/>
    <n v="5"/>
    <n v="11.19"/>
    <n v="55.95"/>
    <n v="11.19"/>
    <x v="838"/>
    <n v="73"/>
  </r>
  <r>
    <n v="1857"/>
    <x v="1"/>
    <x v="522"/>
    <x v="8"/>
    <x v="4"/>
    <n v="4"/>
    <n v="12.94"/>
    <n v="51.76"/>
    <n v="1.87"/>
    <x v="839"/>
    <n v="471"/>
  </r>
  <r>
    <n v="6482"/>
    <x v="1"/>
    <x v="48"/>
    <x v="2"/>
    <x v="14"/>
    <n v="5"/>
    <n v="18.78"/>
    <n v="93.9"/>
    <n v="9.39"/>
    <x v="840"/>
    <n v="425"/>
  </r>
  <r>
    <n v="6401"/>
    <x v="4"/>
    <x v="523"/>
    <x v="1"/>
    <x v="17"/>
    <n v="2"/>
    <n v="27.77"/>
    <n v="55.54"/>
    <n v="8.33"/>
    <x v="841"/>
    <n v="245"/>
  </r>
  <r>
    <n v="7333"/>
    <x v="7"/>
    <x v="238"/>
    <x v="7"/>
    <x v="8"/>
    <n v="5"/>
    <n v="16.16"/>
    <n v="80.8"/>
    <n v="16.16"/>
    <x v="842"/>
    <n v="496"/>
  </r>
  <r>
    <n v="5128"/>
    <x v="5"/>
    <x v="280"/>
    <x v="0"/>
    <x v="17"/>
    <n v="2"/>
    <n v="4.72"/>
    <n v="9.44"/>
    <n v="0"/>
    <x v="843"/>
    <n v="355"/>
  </r>
  <r>
    <n v="3463"/>
    <x v="8"/>
    <x v="377"/>
    <x v="8"/>
    <x v="12"/>
    <n v="2"/>
    <n v="4.7699999999999996"/>
    <n v="9.5399999999999991"/>
    <n v="0"/>
    <x v="844"/>
    <n v="40"/>
  </r>
  <r>
    <n v="2335"/>
    <x v="0"/>
    <x v="183"/>
    <x v="1"/>
    <x v="10"/>
    <n v="4"/>
    <n v="22.95"/>
    <n v="91.8"/>
    <n v="1.1299999999999999"/>
    <x v="845"/>
    <n v="21"/>
  </r>
  <r>
    <n v="3317"/>
    <x v="1"/>
    <x v="253"/>
    <x v="6"/>
    <x v="11"/>
    <n v="4"/>
    <n v="4.4400000000000004"/>
    <n v="17.760000000000002"/>
    <n v="2.21"/>
    <x v="846"/>
    <n v="129"/>
  </r>
  <r>
    <n v="6731"/>
    <x v="6"/>
    <x v="524"/>
    <x v="1"/>
    <x v="17"/>
    <n v="5"/>
    <n v="6.95"/>
    <n v="34.75"/>
    <n v="6.95"/>
    <x v="847"/>
    <n v="461"/>
  </r>
  <r>
    <n v="7421"/>
    <x v="7"/>
    <x v="466"/>
    <x v="0"/>
    <x v="13"/>
    <n v="2"/>
    <n v="25.52"/>
    <n v="51.04"/>
    <n v="2.39"/>
    <x v="848"/>
    <n v="482"/>
  </r>
  <r>
    <n v="2388"/>
    <x v="2"/>
    <x v="524"/>
    <x v="9"/>
    <x v="5"/>
    <n v="5"/>
    <n v="17.53"/>
    <n v="87.65"/>
    <n v="1.87"/>
    <x v="849"/>
    <n v="50"/>
  </r>
  <r>
    <n v="7171"/>
    <x v="8"/>
    <x v="474"/>
    <x v="8"/>
    <x v="6"/>
    <n v="5"/>
    <n v="1.1200000000000001"/>
    <n v="5.6"/>
    <n v="1.1200000000000001"/>
    <x v="850"/>
    <n v="371"/>
  </r>
  <r>
    <n v="6381"/>
    <x v="1"/>
    <x v="381"/>
    <x v="10"/>
    <x v="4"/>
    <n v="5"/>
    <n v="6.36"/>
    <n v="31.8"/>
    <n v="6.36"/>
    <x v="90"/>
    <n v="344"/>
  </r>
  <r>
    <n v="3093"/>
    <x v="7"/>
    <x v="37"/>
    <x v="3"/>
    <x v="1"/>
    <n v="2"/>
    <n v="15.9"/>
    <n v="31.8"/>
    <n v="4.7699999999999996"/>
    <x v="851"/>
    <n v="208"/>
  </r>
  <r>
    <n v="9624"/>
    <x v="0"/>
    <x v="6"/>
    <x v="10"/>
    <x v="17"/>
    <n v="5"/>
    <n v="4.93"/>
    <n v="24.65"/>
    <n v="0"/>
    <x v="852"/>
    <n v="390"/>
  </r>
  <r>
    <n v="7937"/>
    <x v="5"/>
    <x v="76"/>
    <x v="9"/>
    <x v="11"/>
    <n v="1"/>
    <n v="10.51"/>
    <n v="10.51"/>
    <n v="1.58"/>
    <x v="853"/>
    <n v="59"/>
  </r>
  <r>
    <n v="6928"/>
    <x v="4"/>
    <x v="525"/>
    <x v="6"/>
    <x v="9"/>
    <n v="4"/>
    <n v="7.54"/>
    <n v="30.16"/>
    <n v="3.02"/>
    <x v="854"/>
    <n v="208"/>
  </r>
  <r>
    <n v="6940"/>
    <x v="8"/>
    <x v="441"/>
    <x v="1"/>
    <x v="16"/>
    <n v="3"/>
    <n v="6.19"/>
    <n v="18.57"/>
    <n v="0"/>
    <x v="855"/>
    <n v="345"/>
  </r>
  <r>
    <n v="3953"/>
    <x v="0"/>
    <x v="112"/>
    <x v="3"/>
    <x v="8"/>
    <n v="5"/>
    <n v="20.09"/>
    <n v="100.45"/>
    <n v="20.09"/>
    <x v="856"/>
    <n v="43"/>
  </r>
  <r>
    <n v="6598"/>
    <x v="3"/>
    <x v="298"/>
    <x v="3"/>
    <x v="17"/>
    <n v="2"/>
    <n v="2.87"/>
    <n v="5.74"/>
    <n v="0.86"/>
    <x v="857"/>
    <n v="499"/>
  </r>
  <r>
    <n v="8967"/>
    <x v="8"/>
    <x v="226"/>
    <x v="6"/>
    <x v="7"/>
    <n v="1"/>
    <n v="7.74"/>
    <n v="7.74"/>
    <n v="1.1599999999999999"/>
    <x v="858"/>
    <n v="217"/>
  </r>
  <r>
    <n v="4711"/>
    <x v="5"/>
    <x v="526"/>
    <x v="5"/>
    <x v="7"/>
    <n v="3"/>
    <n v="14.79"/>
    <n v="44.37"/>
    <n v="4.4400000000000004"/>
    <x v="859"/>
    <n v="308"/>
  </r>
  <r>
    <n v="3538"/>
    <x v="1"/>
    <x v="303"/>
    <x v="8"/>
    <x v="12"/>
    <n v="4"/>
    <n v="4.12"/>
    <n v="16.48"/>
    <n v="1.65"/>
    <x v="860"/>
    <n v="128"/>
  </r>
  <r>
    <n v="5846"/>
    <x v="8"/>
    <x v="502"/>
    <x v="5"/>
    <x v="12"/>
    <n v="1"/>
    <n v="3.88"/>
    <n v="3.88"/>
    <n v="0.39"/>
    <x v="861"/>
    <n v="27"/>
  </r>
  <r>
    <n v="2657"/>
    <x v="6"/>
    <x v="76"/>
    <x v="7"/>
    <x v="7"/>
    <n v="5"/>
    <n v="20.69"/>
    <n v="103.45"/>
    <n v="3.49"/>
    <x v="508"/>
    <n v="78"/>
  </r>
  <r>
    <n v="9843"/>
    <x v="0"/>
    <x v="182"/>
    <x v="5"/>
    <x v="15"/>
    <n v="4"/>
    <n v="23.98"/>
    <n v="95.92"/>
    <n v="0"/>
    <x v="862"/>
    <n v="103"/>
  </r>
  <r>
    <n v="9626"/>
    <x v="4"/>
    <x v="211"/>
    <x v="10"/>
    <x v="15"/>
    <n v="3"/>
    <n v="16.72"/>
    <n v="50.16"/>
    <n v="4.96"/>
    <x v="863"/>
    <n v="414"/>
  </r>
  <r>
    <n v="6517"/>
    <x v="0"/>
    <x v="445"/>
    <x v="3"/>
    <x v="8"/>
    <n v="3"/>
    <n v="25.72"/>
    <n v="77.16"/>
    <n v="1.1299999999999999"/>
    <x v="864"/>
    <n v="226"/>
  </r>
  <r>
    <n v="3147"/>
    <x v="1"/>
    <x v="63"/>
    <x v="5"/>
    <x v="9"/>
    <n v="2"/>
    <n v="15.24"/>
    <n v="30.48"/>
    <n v="0"/>
    <x v="865"/>
    <n v="68"/>
  </r>
  <r>
    <n v="7172"/>
    <x v="3"/>
    <x v="527"/>
    <x v="10"/>
    <x v="17"/>
    <n v="5"/>
    <n v="20.57"/>
    <n v="102.85"/>
    <n v="10.29"/>
    <x v="866"/>
    <n v="337"/>
  </r>
  <r>
    <n v="3658"/>
    <x v="1"/>
    <x v="373"/>
    <x v="7"/>
    <x v="15"/>
    <n v="1"/>
    <n v="12.34"/>
    <n v="12.34"/>
    <n v="3.71"/>
    <x v="867"/>
    <n v="253"/>
  </r>
  <r>
    <n v="3712"/>
    <x v="5"/>
    <x v="74"/>
    <x v="4"/>
    <x v="11"/>
    <n v="1"/>
    <n v="18.11"/>
    <n v="18.11"/>
    <n v="2.72"/>
    <x v="868"/>
    <n v="65"/>
  </r>
  <r>
    <n v="8170"/>
    <x v="6"/>
    <x v="405"/>
    <x v="5"/>
    <x v="3"/>
    <n v="4"/>
    <n v="3.81"/>
    <n v="15.24"/>
    <n v="1.52"/>
    <x v="869"/>
    <n v="176"/>
  </r>
  <r>
    <n v="7731"/>
    <x v="7"/>
    <x v="217"/>
    <x v="0"/>
    <x v="5"/>
    <n v="2"/>
    <n v="7.79"/>
    <n v="15.58"/>
    <n v="0"/>
    <x v="870"/>
    <n v="159"/>
  </r>
  <r>
    <n v="4891"/>
    <x v="0"/>
    <x v="459"/>
    <x v="8"/>
    <x v="17"/>
    <n v="3"/>
    <n v="5.91"/>
    <n v="17.73"/>
    <n v="2.84"/>
    <x v="871"/>
    <n v="275"/>
  </r>
  <r>
    <n v="5668"/>
    <x v="3"/>
    <x v="528"/>
    <x v="6"/>
    <x v="15"/>
    <n v="4"/>
    <n v="8.7200000000000006"/>
    <n v="34.880000000000003"/>
    <n v="1.0900000000000001"/>
    <x v="872"/>
    <n v="356"/>
  </r>
  <r>
    <n v="8355"/>
    <x v="7"/>
    <x v="404"/>
    <x v="3"/>
    <x v="7"/>
    <n v="3"/>
    <n v="17.59"/>
    <n v="52.77"/>
    <n v="3.76"/>
    <x v="873"/>
    <n v="413"/>
  </r>
  <r>
    <n v="9749"/>
    <x v="8"/>
    <x v="85"/>
    <x v="4"/>
    <x v="16"/>
    <n v="5"/>
    <n v="24.52"/>
    <n v="122.6"/>
    <n v="24.52"/>
    <x v="874"/>
    <n v="341"/>
  </r>
  <r>
    <n v="6070"/>
    <x v="5"/>
    <x v="13"/>
    <x v="4"/>
    <x v="1"/>
    <n v="2"/>
    <n v="15.4"/>
    <n v="30.8"/>
    <n v="1.86"/>
    <x v="875"/>
    <n v="433"/>
  </r>
  <r>
    <n v="8684"/>
    <x v="5"/>
    <x v="529"/>
    <x v="0"/>
    <x v="9"/>
    <n v="5"/>
    <n v="12.65"/>
    <n v="63.25"/>
    <n v="0"/>
    <x v="876"/>
    <n v="115"/>
  </r>
  <r>
    <n v="4178"/>
    <x v="0"/>
    <x v="530"/>
    <x v="6"/>
    <x v="3"/>
    <n v="3"/>
    <n v="2.94"/>
    <n v="8.82"/>
    <n v="0.88"/>
    <x v="877"/>
    <n v="410"/>
  </r>
  <r>
    <n v="8218"/>
    <x v="8"/>
    <x v="386"/>
    <x v="4"/>
    <x v="13"/>
    <n v="3"/>
    <n v="15.62"/>
    <n v="46.86"/>
    <n v="0"/>
    <x v="426"/>
    <n v="153"/>
  </r>
  <r>
    <n v="5616"/>
    <x v="1"/>
    <x v="248"/>
    <x v="4"/>
    <x v="14"/>
    <n v="4"/>
    <n v="12.66"/>
    <n v="50.64"/>
    <n v="0"/>
    <x v="878"/>
    <n v="319"/>
  </r>
  <r>
    <n v="7256"/>
    <x v="1"/>
    <x v="142"/>
    <x v="7"/>
    <x v="10"/>
    <n v="5"/>
    <n v="26.01"/>
    <n v="130.05000000000001"/>
    <n v="26.01"/>
    <x v="879"/>
    <n v="295"/>
  </r>
  <r>
    <n v="9641"/>
    <x v="4"/>
    <x v="11"/>
    <x v="8"/>
    <x v="2"/>
    <n v="5"/>
    <n v="25.72"/>
    <n v="128.6"/>
    <n v="3.91"/>
    <x v="880"/>
    <n v="464"/>
  </r>
  <r>
    <n v="3655"/>
    <x v="6"/>
    <x v="201"/>
    <x v="9"/>
    <x v="14"/>
    <n v="3"/>
    <n v="14.4"/>
    <n v="43.2"/>
    <n v="0"/>
    <x v="881"/>
    <n v="123"/>
  </r>
  <r>
    <n v="4271"/>
    <x v="5"/>
    <x v="255"/>
    <x v="3"/>
    <x v="1"/>
    <n v="3"/>
    <n v="25.94"/>
    <n v="77.819999999999993"/>
    <n v="0"/>
    <x v="882"/>
    <n v="466"/>
  </r>
  <r>
    <n v="3267"/>
    <x v="8"/>
    <x v="484"/>
    <x v="3"/>
    <x v="0"/>
    <n v="3"/>
    <n v="19.73"/>
    <n v="59.19"/>
    <n v="5.92"/>
    <x v="883"/>
    <n v="131"/>
  </r>
  <r>
    <n v="5096"/>
    <x v="8"/>
    <x v="293"/>
    <x v="1"/>
    <x v="12"/>
    <n v="2"/>
    <n v="1.79"/>
    <n v="3.58"/>
    <n v="0.36"/>
    <x v="791"/>
    <n v="408"/>
  </r>
  <r>
    <n v="8873"/>
    <x v="4"/>
    <x v="484"/>
    <x v="9"/>
    <x v="1"/>
    <n v="4"/>
    <n v="19.75"/>
    <n v="79"/>
    <n v="15.8"/>
    <x v="884"/>
    <n v="18"/>
  </r>
  <r>
    <n v="7081"/>
    <x v="5"/>
    <x v="225"/>
    <x v="7"/>
    <x v="10"/>
    <n v="3"/>
    <n v="23.89"/>
    <n v="71.67"/>
    <n v="0"/>
    <x v="885"/>
    <n v="142"/>
  </r>
  <r>
    <n v="2680"/>
    <x v="6"/>
    <x v="531"/>
    <x v="10"/>
    <x v="10"/>
    <n v="1"/>
    <n v="25.92"/>
    <n v="25.92"/>
    <n v="2.19"/>
    <x v="886"/>
    <n v="42"/>
  </r>
  <r>
    <n v="9452"/>
    <x v="0"/>
    <x v="144"/>
    <x v="3"/>
    <x v="4"/>
    <n v="1"/>
    <n v="12.5"/>
    <n v="12.5"/>
    <n v="2.5"/>
    <x v="887"/>
    <n v="429"/>
  </r>
  <r>
    <n v="3042"/>
    <x v="0"/>
    <x v="136"/>
    <x v="6"/>
    <x v="15"/>
    <n v="1"/>
    <n v="16.13"/>
    <n v="16.13"/>
    <n v="1.61"/>
    <x v="888"/>
    <n v="424"/>
  </r>
  <r>
    <n v="2374"/>
    <x v="0"/>
    <x v="79"/>
    <x v="2"/>
    <x v="17"/>
    <n v="3"/>
    <n v="10.54"/>
    <n v="31.62"/>
    <n v="0"/>
    <x v="703"/>
    <n v="299"/>
  </r>
  <r>
    <n v="3626"/>
    <x v="8"/>
    <x v="169"/>
    <x v="3"/>
    <x v="14"/>
    <n v="2"/>
    <n v="4.09"/>
    <n v="8.18"/>
    <n v="0.82"/>
    <x v="889"/>
    <n v="109"/>
  </r>
  <r>
    <n v="8361"/>
    <x v="3"/>
    <x v="107"/>
    <x v="8"/>
    <x v="11"/>
    <n v="4"/>
    <n v="16.46"/>
    <n v="65.84"/>
    <n v="9.8800000000000008"/>
    <x v="890"/>
    <n v="358"/>
  </r>
  <r>
    <n v="9410"/>
    <x v="1"/>
    <x v="241"/>
    <x v="3"/>
    <x v="16"/>
    <n v="2"/>
    <n v="28.93"/>
    <n v="57.86"/>
    <n v="8.68"/>
    <x v="891"/>
    <n v="450"/>
  </r>
  <r>
    <n v="8167"/>
    <x v="4"/>
    <x v="174"/>
    <x v="4"/>
    <x v="9"/>
    <n v="1"/>
    <n v="19.71"/>
    <n v="19.71"/>
    <n v="0"/>
    <x v="892"/>
    <n v="463"/>
  </r>
  <r>
    <n v="4637"/>
    <x v="6"/>
    <x v="201"/>
    <x v="5"/>
    <x v="5"/>
    <n v="3"/>
    <n v="17.02"/>
    <n v="51.06"/>
    <n v="0"/>
    <x v="893"/>
    <n v="158"/>
  </r>
  <r>
    <n v="8391"/>
    <x v="0"/>
    <x v="456"/>
    <x v="9"/>
    <x v="5"/>
    <n v="4"/>
    <n v="12.26"/>
    <n v="49.04"/>
    <n v="7.36"/>
    <x v="894"/>
    <n v="465"/>
  </r>
  <r>
    <n v="6727"/>
    <x v="5"/>
    <x v="532"/>
    <x v="1"/>
    <x v="5"/>
    <n v="3"/>
    <n v="7.09"/>
    <n v="21.27"/>
    <n v="2.13"/>
    <x v="895"/>
    <n v="455"/>
  </r>
  <r>
    <n v="1436"/>
    <x v="7"/>
    <x v="272"/>
    <x v="5"/>
    <x v="1"/>
    <n v="1"/>
    <n v="8.94"/>
    <n v="8.94"/>
    <n v="0.89"/>
    <x v="896"/>
    <n v="41"/>
  </r>
  <r>
    <n v="1872"/>
    <x v="3"/>
    <x v="51"/>
    <x v="4"/>
    <x v="1"/>
    <n v="1"/>
    <n v="24.9"/>
    <n v="24.9"/>
    <n v="1.27"/>
    <x v="897"/>
    <n v="357"/>
  </r>
  <r>
    <n v="9224"/>
    <x v="3"/>
    <x v="482"/>
    <x v="6"/>
    <x v="2"/>
    <n v="3"/>
    <n v="14.13"/>
    <n v="42.39"/>
    <n v="0"/>
    <x v="180"/>
    <n v="14"/>
  </r>
  <r>
    <n v="4862"/>
    <x v="2"/>
    <x v="406"/>
    <x v="5"/>
    <x v="8"/>
    <n v="2"/>
    <n v="1.08"/>
    <n v="2.16"/>
    <n v="0.32"/>
    <x v="898"/>
    <n v="102"/>
  </r>
  <r>
    <n v="2337"/>
    <x v="0"/>
    <x v="422"/>
    <x v="1"/>
    <x v="6"/>
    <n v="2"/>
    <n v="15.96"/>
    <n v="31.92"/>
    <n v="3.74"/>
    <x v="899"/>
    <n v="496"/>
  </r>
  <r>
    <n v="4678"/>
    <x v="7"/>
    <x v="533"/>
    <x v="10"/>
    <x v="16"/>
    <n v="2"/>
    <n v="8.5500000000000007"/>
    <n v="17.100000000000001"/>
    <n v="2.56"/>
    <x v="93"/>
    <n v="351"/>
  </r>
  <r>
    <n v="6221"/>
    <x v="8"/>
    <x v="532"/>
    <x v="1"/>
    <x v="1"/>
    <n v="3"/>
    <n v="6.26"/>
    <n v="18.78"/>
    <n v="1.9"/>
    <x v="900"/>
    <n v="448"/>
  </r>
  <r>
    <n v="2623"/>
    <x v="6"/>
    <x v="295"/>
    <x v="9"/>
    <x v="5"/>
    <n v="1"/>
    <n v="29.24"/>
    <n v="29.24"/>
    <n v="0"/>
    <x v="901"/>
    <n v="101"/>
  </r>
  <r>
    <n v="6493"/>
    <x v="2"/>
    <x v="534"/>
    <x v="0"/>
    <x v="7"/>
    <n v="5"/>
    <n v="13.43"/>
    <n v="67.150000000000006"/>
    <n v="4.83"/>
    <x v="902"/>
    <n v="133"/>
  </r>
  <r>
    <n v="3392"/>
    <x v="2"/>
    <x v="526"/>
    <x v="6"/>
    <x v="17"/>
    <n v="1"/>
    <n v="21.83"/>
    <n v="21.83"/>
    <n v="0"/>
    <x v="903"/>
    <n v="222"/>
  </r>
  <r>
    <n v="1627"/>
    <x v="4"/>
    <x v="535"/>
    <x v="1"/>
    <x v="5"/>
    <n v="2"/>
    <n v="6.52"/>
    <n v="13.04"/>
    <n v="1.96"/>
    <x v="904"/>
    <n v="441"/>
  </r>
  <r>
    <n v="8740"/>
    <x v="4"/>
    <x v="536"/>
    <x v="3"/>
    <x v="12"/>
    <n v="4"/>
    <n v="25.82"/>
    <n v="103.28"/>
    <n v="15.49"/>
    <x v="905"/>
    <n v="307"/>
  </r>
  <r>
    <n v="3273"/>
    <x v="8"/>
    <x v="14"/>
    <x v="3"/>
    <x v="6"/>
    <n v="4"/>
    <n v="23.97"/>
    <n v="95.88"/>
    <n v="14.38"/>
    <x v="906"/>
    <n v="14"/>
  </r>
  <r>
    <n v="8685"/>
    <x v="8"/>
    <x v="12"/>
    <x v="6"/>
    <x v="8"/>
    <n v="2"/>
    <n v="11.71"/>
    <n v="23.42"/>
    <n v="1.04"/>
    <x v="907"/>
    <n v="350"/>
  </r>
  <r>
    <n v="1086"/>
    <x v="2"/>
    <x v="107"/>
    <x v="4"/>
    <x v="7"/>
    <n v="2"/>
    <n v="21.68"/>
    <n v="43.36"/>
    <n v="0"/>
    <x v="908"/>
    <n v="362"/>
  </r>
  <r>
    <n v="2298"/>
    <x v="5"/>
    <x v="525"/>
    <x v="1"/>
    <x v="17"/>
    <n v="5"/>
    <n v="2.69"/>
    <n v="13.45"/>
    <n v="1.34"/>
    <x v="909"/>
    <n v="170"/>
  </r>
  <r>
    <n v="5193"/>
    <x v="7"/>
    <x v="490"/>
    <x v="6"/>
    <x v="11"/>
    <n v="1"/>
    <n v="8.35"/>
    <n v="8.35"/>
    <n v="1.25"/>
    <x v="910"/>
    <n v="317"/>
  </r>
  <r>
    <n v="3449"/>
    <x v="3"/>
    <x v="389"/>
    <x v="5"/>
    <x v="4"/>
    <n v="2"/>
    <n v="29.06"/>
    <n v="58.12"/>
    <n v="1.72"/>
    <x v="911"/>
    <n v="286"/>
  </r>
  <r>
    <n v="9647"/>
    <x v="2"/>
    <x v="537"/>
    <x v="9"/>
    <x v="16"/>
    <n v="3"/>
    <n v="26.45"/>
    <n v="79.349999999999994"/>
    <n v="11.9"/>
    <x v="912"/>
    <n v="67"/>
  </r>
  <r>
    <n v="2821"/>
    <x v="1"/>
    <x v="350"/>
    <x v="3"/>
    <x v="12"/>
    <n v="3"/>
    <n v="4.38"/>
    <n v="13.14"/>
    <n v="1.31"/>
    <x v="913"/>
    <n v="22"/>
  </r>
  <r>
    <n v="5720"/>
    <x v="5"/>
    <x v="110"/>
    <x v="4"/>
    <x v="1"/>
    <n v="3"/>
    <n v="27.17"/>
    <n v="81.510000000000005"/>
    <n v="2.25"/>
    <x v="914"/>
    <n v="134"/>
  </r>
  <r>
    <n v="5934"/>
    <x v="2"/>
    <x v="391"/>
    <x v="4"/>
    <x v="16"/>
    <n v="2"/>
    <n v="17.100000000000001"/>
    <n v="34.200000000000003"/>
    <n v="1.76"/>
    <x v="915"/>
    <n v="472"/>
  </r>
  <r>
    <n v="1782"/>
    <x v="6"/>
    <x v="85"/>
    <x v="2"/>
    <x v="6"/>
    <n v="1"/>
    <n v="14.63"/>
    <n v="14.63"/>
    <n v="1.46"/>
    <x v="916"/>
    <n v="83"/>
  </r>
  <r>
    <n v="7878"/>
    <x v="0"/>
    <x v="431"/>
    <x v="10"/>
    <x v="11"/>
    <n v="4"/>
    <n v="11.33"/>
    <n v="45.32"/>
    <n v="4.53"/>
    <x v="917"/>
    <n v="363"/>
  </r>
  <r>
    <n v="8489"/>
    <x v="4"/>
    <x v="515"/>
    <x v="1"/>
    <x v="12"/>
    <n v="1"/>
    <n v="11.13"/>
    <n v="11.13"/>
    <n v="2.23"/>
    <x v="918"/>
    <n v="104"/>
  </r>
  <r>
    <n v="2816"/>
    <x v="2"/>
    <x v="130"/>
    <x v="9"/>
    <x v="0"/>
    <n v="5"/>
    <n v="26.83"/>
    <n v="134.15"/>
    <n v="4.99"/>
    <x v="919"/>
    <n v="299"/>
  </r>
  <r>
    <n v="9189"/>
    <x v="6"/>
    <x v="63"/>
    <x v="9"/>
    <x v="6"/>
    <n v="4"/>
    <n v="27.68"/>
    <n v="110.72"/>
    <n v="0"/>
    <x v="920"/>
    <n v="126"/>
  </r>
  <r>
    <n v="9782"/>
    <x v="0"/>
    <x v="468"/>
    <x v="4"/>
    <x v="10"/>
    <n v="3"/>
    <n v="20.75"/>
    <n v="62.25"/>
    <n v="6.23"/>
    <x v="921"/>
    <n v="348"/>
  </r>
  <r>
    <n v="9443"/>
    <x v="7"/>
    <x v="435"/>
    <x v="6"/>
    <x v="17"/>
    <n v="3"/>
    <n v="5.45"/>
    <n v="16.350000000000001"/>
    <n v="0"/>
    <x v="922"/>
    <n v="41"/>
  </r>
  <r>
    <n v="4963"/>
    <x v="4"/>
    <x v="538"/>
    <x v="10"/>
    <x v="0"/>
    <n v="5"/>
    <n v="20.07"/>
    <n v="100.35"/>
    <n v="0"/>
    <x v="923"/>
    <n v="168"/>
  </r>
  <r>
    <n v="3352"/>
    <x v="4"/>
    <x v="357"/>
    <x v="4"/>
    <x v="12"/>
    <n v="2"/>
    <n v="26.03"/>
    <n v="52.06"/>
    <n v="7.81"/>
    <x v="924"/>
    <n v="410"/>
  </r>
  <r>
    <n v="8032"/>
    <x v="6"/>
    <x v="135"/>
    <x v="1"/>
    <x v="2"/>
    <n v="5"/>
    <n v="12.05"/>
    <n v="60.25"/>
    <n v="12.05"/>
    <x v="925"/>
    <n v="204"/>
  </r>
  <r>
    <n v="6780"/>
    <x v="8"/>
    <x v="539"/>
    <x v="3"/>
    <x v="13"/>
    <n v="1"/>
    <n v="25.71"/>
    <n v="25.71"/>
    <n v="2.57"/>
    <x v="926"/>
    <n v="83"/>
  </r>
  <r>
    <n v="7825"/>
    <x v="5"/>
    <x v="540"/>
    <x v="5"/>
    <x v="12"/>
    <n v="1"/>
    <n v="9.65"/>
    <n v="9.65"/>
    <n v="0"/>
    <x v="927"/>
    <n v="410"/>
  </r>
  <r>
    <n v="2402"/>
    <x v="5"/>
    <x v="503"/>
    <x v="5"/>
    <x v="12"/>
    <n v="3"/>
    <n v="20.29"/>
    <n v="60.87"/>
    <n v="1.8"/>
    <x v="928"/>
    <n v="426"/>
  </r>
  <r>
    <n v="6908"/>
    <x v="4"/>
    <x v="483"/>
    <x v="3"/>
    <x v="16"/>
    <n v="3"/>
    <n v="17.32"/>
    <n v="51.96"/>
    <n v="5.2"/>
    <x v="929"/>
    <n v="216"/>
  </r>
  <r>
    <n v="9618"/>
    <x v="7"/>
    <x v="361"/>
    <x v="6"/>
    <x v="6"/>
    <n v="4"/>
    <n v="19.28"/>
    <n v="77.12"/>
    <n v="2.37"/>
    <x v="930"/>
    <n v="47"/>
  </r>
  <r>
    <n v="9312"/>
    <x v="4"/>
    <x v="232"/>
    <x v="5"/>
    <x v="5"/>
    <n v="2"/>
    <n v="27.98"/>
    <n v="55.96"/>
    <n v="8.39"/>
    <x v="931"/>
    <n v="269"/>
  </r>
  <r>
    <n v="9316"/>
    <x v="4"/>
    <x v="225"/>
    <x v="3"/>
    <x v="13"/>
    <n v="4"/>
    <n v="9.6999999999999993"/>
    <n v="38.799999999999997"/>
    <n v="7.76"/>
    <x v="932"/>
    <n v="65"/>
  </r>
  <r>
    <n v="1333"/>
    <x v="1"/>
    <x v="541"/>
    <x v="3"/>
    <x v="9"/>
    <n v="5"/>
    <n v="2.37"/>
    <n v="11.85"/>
    <n v="1.43"/>
    <x v="933"/>
    <n v="39"/>
  </r>
  <r>
    <n v="8702"/>
    <x v="3"/>
    <x v="405"/>
    <x v="3"/>
    <x v="17"/>
    <n v="4"/>
    <n v="20.149999999999999"/>
    <n v="80.599999999999994"/>
    <n v="12.09"/>
    <x v="934"/>
    <n v="291"/>
  </r>
  <r>
    <n v="7338"/>
    <x v="5"/>
    <x v="542"/>
    <x v="6"/>
    <x v="13"/>
    <n v="5"/>
    <n v="1.46"/>
    <n v="7.3"/>
    <n v="1.46"/>
    <x v="935"/>
    <n v="379"/>
  </r>
  <r>
    <n v="5155"/>
    <x v="2"/>
    <x v="543"/>
    <x v="3"/>
    <x v="11"/>
    <n v="1"/>
    <n v="13.06"/>
    <n v="13.06"/>
    <n v="1.96"/>
    <x v="936"/>
    <n v="360"/>
  </r>
  <r>
    <n v="1266"/>
    <x v="4"/>
    <x v="544"/>
    <x v="5"/>
    <x v="8"/>
    <n v="5"/>
    <n v="24.42"/>
    <n v="122.1"/>
    <n v="24.42"/>
    <x v="706"/>
    <n v="174"/>
  </r>
  <r>
    <n v="2106"/>
    <x v="2"/>
    <x v="328"/>
    <x v="1"/>
    <x v="0"/>
    <n v="1"/>
    <n v="13.57"/>
    <n v="13.57"/>
    <n v="1.36"/>
    <x v="937"/>
    <n v="9"/>
  </r>
  <r>
    <n v="4950"/>
    <x v="0"/>
    <x v="312"/>
    <x v="0"/>
    <x v="6"/>
    <n v="4"/>
    <n v="14.33"/>
    <n v="57.32"/>
    <n v="8.6"/>
    <x v="938"/>
    <n v="207"/>
  </r>
  <r>
    <n v="2698"/>
    <x v="7"/>
    <x v="545"/>
    <x v="5"/>
    <x v="7"/>
    <n v="3"/>
    <n v="3.53"/>
    <n v="10.59"/>
    <n v="2.12"/>
    <x v="939"/>
    <n v="69"/>
  </r>
  <r>
    <n v="6447"/>
    <x v="0"/>
    <x v="546"/>
    <x v="0"/>
    <x v="14"/>
    <n v="1"/>
    <n v="7.06"/>
    <n v="7.06"/>
    <n v="0"/>
    <x v="940"/>
    <n v="332"/>
  </r>
  <r>
    <n v="1726"/>
    <x v="8"/>
    <x v="277"/>
    <x v="3"/>
    <x v="2"/>
    <n v="2"/>
    <n v="3.49"/>
    <n v="6.98"/>
    <n v="1.4"/>
    <x v="941"/>
    <n v="394"/>
  </r>
  <r>
    <n v="9945"/>
    <x v="4"/>
    <x v="290"/>
    <x v="3"/>
    <x v="10"/>
    <n v="1"/>
    <n v="5.81"/>
    <n v="5.81"/>
    <n v="0.57999999999999996"/>
    <x v="942"/>
    <n v="78"/>
  </r>
  <r>
    <n v="3868"/>
    <x v="4"/>
    <x v="28"/>
    <x v="0"/>
    <x v="8"/>
    <n v="5"/>
    <n v="8.0299999999999994"/>
    <n v="40.15"/>
    <n v="2.34"/>
    <x v="36"/>
    <n v="150"/>
  </r>
  <r>
    <n v="8612"/>
    <x v="0"/>
    <x v="536"/>
    <x v="5"/>
    <x v="1"/>
    <n v="4"/>
    <n v="25.6"/>
    <n v="102.4"/>
    <n v="2.95"/>
    <x v="943"/>
    <n v="377"/>
  </r>
  <r>
    <n v="8840"/>
    <x v="4"/>
    <x v="547"/>
    <x v="9"/>
    <x v="16"/>
    <n v="2"/>
    <n v="21.7"/>
    <n v="43.4"/>
    <n v="4.34"/>
    <x v="944"/>
    <n v="270"/>
  </r>
  <r>
    <n v="3986"/>
    <x v="7"/>
    <x v="347"/>
    <x v="9"/>
    <x v="13"/>
    <n v="3"/>
    <n v="26.88"/>
    <n v="80.64"/>
    <n v="2.98"/>
    <x v="945"/>
    <n v="213"/>
  </r>
  <r>
    <n v="3209"/>
    <x v="7"/>
    <x v="102"/>
    <x v="10"/>
    <x v="1"/>
    <n v="1"/>
    <n v="5.67"/>
    <n v="5.67"/>
    <n v="0.56999999999999995"/>
    <x v="946"/>
    <n v="371"/>
  </r>
  <r>
    <n v="8498"/>
    <x v="7"/>
    <x v="548"/>
    <x v="10"/>
    <x v="5"/>
    <n v="5"/>
    <n v="7.36"/>
    <n v="36.799999999999997"/>
    <n v="4.41"/>
    <x v="947"/>
    <n v="465"/>
  </r>
  <r>
    <n v="5807"/>
    <x v="4"/>
    <x v="549"/>
    <x v="7"/>
    <x v="9"/>
    <n v="4"/>
    <n v="28.82"/>
    <n v="115.28"/>
    <n v="11.53"/>
    <x v="948"/>
    <n v="426"/>
  </r>
  <r>
    <n v="1717"/>
    <x v="2"/>
    <x v="534"/>
    <x v="6"/>
    <x v="14"/>
    <n v="3"/>
    <n v="21.02"/>
    <n v="63.06"/>
    <n v="12.61"/>
    <x v="54"/>
    <n v="44"/>
  </r>
  <r>
    <n v="4268"/>
    <x v="2"/>
    <x v="244"/>
    <x v="2"/>
    <x v="6"/>
    <n v="5"/>
    <n v="15.26"/>
    <n v="76.3"/>
    <n v="7.63"/>
    <x v="949"/>
    <n v="406"/>
  </r>
  <r>
    <n v="1686"/>
    <x v="5"/>
    <x v="151"/>
    <x v="2"/>
    <x v="14"/>
    <n v="5"/>
    <n v="2.35"/>
    <n v="11.75"/>
    <n v="1.76"/>
    <x v="601"/>
    <n v="9"/>
  </r>
  <r>
    <n v="6080"/>
    <x v="7"/>
    <x v="550"/>
    <x v="5"/>
    <x v="6"/>
    <n v="2"/>
    <n v="25"/>
    <n v="50"/>
    <n v="2.35"/>
    <x v="950"/>
    <n v="457"/>
  </r>
  <r>
    <n v="7524"/>
    <x v="0"/>
    <x v="88"/>
    <x v="6"/>
    <x v="5"/>
    <n v="1"/>
    <n v="17.29"/>
    <n v="17.29"/>
    <n v="2.59"/>
    <x v="951"/>
    <n v="249"/>
  </r>
  <r>
    <n v="9897"/>
    <x v="7"/>
    <x v="296"/>
    <x v="0"/>
    <x v="2"/>
    <n v="3"/>
    <n v="26.98"/>
    <n v="80.94"/>
    <n v="0"/>
    <x v="952"/>
    <n v="436"/>
  </r>
  <r>
    <n v="5150"/>
    <x v="6"/>
    <x v="548"/>
    <x v="10"/>
    <x v="8"/>
    <n v="1"/>
    <n v="29.26"/>
    <n v="29.26"/>
    <n v="1.17"/>
    <x v="953"/>
    <n v="400"/>
  </r>
  <r>
    <n v="4131"/>
    <x v="0"/>
    <x v="535"/>
    <x v="7"/>
    <x v="17"/>
    <n v="2"/>
    <n v="27.41"/>
    <n v="54.82"/>
    <n v="0"/>
    <x v="954"/>
    <n v="80"/>
  </r>
  <r>
    <n v="6848"/>
    <x v="4"/>
    <x v="497"/>
    <x v="9"/>
    <x v="16"/>
    <n v="1"/>
    <n v="5.46"/>
    <n v="5.46"/>
    <n v="1.0900000000000001"/>
    <x v="955"/>
    <n v="186"/>
  </r>
  <r>
    <n v="1783"/>
    <x v="0"/>
    <x v="400"/>
    <x v="2"/>
    <x v="8"/>
    <n v="4"/>
    <n v="23.3"/>
    <n v="93.2"/>
    <n v="9.32"/>
    <x v="956"/>
    <n v="3"/>
  </r>
  <r>
    <n v="6438"/>
    <x v="7"/>
    <x v="487"/>
    <x v="8"/>
    <x v="15"/>
    <n v="2"/>
    <n v="3.46"/>
    <n v="6.92"/>
    <n v="1.04"/>
    <x v="957"/>
    <n v="190"/>
  </r>
  <r>
    <n v="3039"/>
    <x v="8"/>
    <x v="551"/>
    <x v="7"/>
    <x v="15"/>
    <n v="4"/>
    <n v="23.82"/>
    <n v="95.28"/>
    <n v="9.5299999999999994"/>
    <x v="958"/>
    <n v="70"/>
  </r>
  <r>
    <n v="7029"/>
    <x v="3"/>
    <x v="552"/>
    <x v="10"/>
    <x v="15"/>
    <n v="3"/>
    <n v="28.36"/>
    <n v="85.08"/>
    <n v="3.87"/>
    <x v="959"/>
    <n v="226"/>
  </r>
  <r>
    <n v="7553"/>
    <x v="1"/>
    <x v="259"/>
    <x v="1"/>
    <x v="13"/>
    <n v="3"/>
    <n v="10.119999999999999"/>
    <n v="30.36"/>
    <n v="3.04"/>
    <x v="960"/>
    <n v="395"/>
  </r>
  <r>
    <n v="8204"/>
    <x v="6"/>
    <x v="553"/>
    <x v="3"/>
    <x v="11"/>
    <n v="2"/>
    <n v="27.16"/>
    <n v="54.32"/>
    <n v="5.43"/>
    <x v="961"/>
    <n v="29"/>
  </r>
  <r>
    <n v="7334"/>
    <x v="3"/>
    <x v="397"/>
    <x v="5"/>
    <x v="2"/>
    <n v="3"/>
    <n v="21.91"/>
    <n v="65.73"/>
    <n v="4.3099999999999996"/>
    <x v="962"/>
    <n v="160"/>
  </r>
  <r>
    <n v="4060"/>
    <x v="1"/>
    <x v="554"/>
    <x v="6"/>
    <x v="12"/>
    <n v="4"/>
    <n v="13.93"/>
    <n v="55.72"/>
    <n v="0"/>
    <x v="963"/>
    <n v="105"/>
  </r>
  <r>
    <n v="9151"/>
    <x v="7"/>
    <x v="530"/>
    <x v="5"/>
    <x v="7"/>
    <n v="2"/>
    <n v="26.54"/>
    <n v="53.08"/>
    <n v="2.34"/>
    <x v="964"/>
    <n v="43"/>
  </r>
  <r>
    <n v="9507"/>
    <x v="2"/>
    <x v="196"/>
    <x v="9"/>
    <x v="2"/>
    <n v="3"/>
    <n v="7.19"/>
    <n v="21.57"/>
    <n v="2.36"/>
    <x v="965"/>
    <n v="261"/>
  </r>
  <r>
    <n v="2353"/>
    <x v="2"/>
    <x v="473"/>
    <x v="0"/>
    <x v="10"/>
    <n v="5"/>
    <n v="18.170000000000002"/>
    <n v="90.85"/>
    <n v="0"/>
    <x v="966"/>
    <n v="123"/>
  </r>
  <r>
    <n v="7955"/>
    <x v="3"/>
    <x v="27"/>
    <x v="9"/>
    <x v="17"/>
    <n v="1"/>
    <n v="25.4"/>
    <n v="25.4"/>
    <n v="1.19"/>
    <x v="967"/>
    <n v="132"/>
  </r>
  <r>
    <n v="8055"/>
    <x v="0"/>
    <x v="8"/>
    <x v="10"/>
    <x v="9"/>
    <n v="5"/>
    <n v="22.36"/>
    <n v="111.8"/>
    <n v="22.36"/>
    <x v="968"/>
    <n v="232"/>
  </r>
  <r>
    <n v="3956"/>
    <x v="1"/>
    <x v="181"/>
    <x v="6"/>
    <x v="5"/>
    <n v="3"/>
    <n v="9.67"/>
    <n v="29.01"/>
    <n v="0"/>
    <x v="969"/>
    <n v="341"/>
  </r>
  <r>
    <n v="5813"/>
    <x v="3"/>
    <x v="513"/>
    <x v="9"/>
    <x v="5"/>
    <n v="1"/>
    <n v="10.5"/>
    <n v="10.5"/>
    <n v="1.57"/>
    <x v="853"/>
    <n v="298"/>
  </r>
  <r>
    <n v="2680"/>
    <x v="4"/>
    <x v="267"/>
    <x v="1"/>
    <x v="12"/>
    <n v="4"/>
    <n v="25.01"/>
    <n v="100.04"/>
    <n v="2.7"/>
    <x v="970"/>
    <n v="41"/>
  </r>
  <r>
    <n v="6372"/>
    <x v="2"/>
    <x v="555"/>
    <x v="10"/>
    <x v="14"/>
    <n v="4"/>
    <n v="3.25"/>
    <n v="13"/>
    <n v="3.24"/>
    <x v="971"/>
    <n v="346"/>
  </r>
  <r>
    <n v="5843"/>
    <x v="3"/>
    <x v="556"/>
    <x v="8"/>
    <x v="16"/>
    <n v="4"/>
    <n v="29.89"/>
    <n v="119.56"/>
    <n v="0"/>
    <x v="972"/>
    <n v="352"/>
  </r>
  <r>
    <n v="8305"/>
    <x v="3"/>
    <x v="22"/>
    <x v="7"/>
    <x v="12"/>
    <n v="5"/>
    <n v="4.68"/>
    <n v="23.4"/>
    <n v="4.68"/>
    <x v="973"/>
    <n v="364"/>
  </r>
  <r>
    <n v="7981"/>
    <x v="1"/>
    <x v="131"/>
    <x v="9"/>
    <x v="17"/>
    <n v="2"/>
    <n v="14.2"/>
    <n v="28.4"/>
    <n v="2.48"/>
    <x v="974"/>
    <n v="16"/>
  </r>
  <r>
    <n v="8272"/>
    <x v="0"/>
    <x v="277"/>
    <x v="6"/>
    <x v="1"/>
    <n v="1"/>
    <n v="4.5"/>
    <n v="4.5"/>
    <n v="3.09"/>
    <x v="975"/>
    <n v="292"/>
  </r>
  <r>
    <n v="8325"/>
    <x v="0"/>
    <x v="185"/>
    <x v="4"/>
    <x v="9"/>
    <n v="3"/>
    <n v="9.7799999999999994"/>
    <n v="29.34"/>
    <n v="5.87"/>
    <x v="976"/>
    <n v="248"/>
  </r>
  <r>
    <n v="6776"/>
    <x v="2"/>
    <x v="511"/>
    <x v="6"/>
    <x v="1"/>
    <n v="1"/>
    <n v="28.16"/>
    <n v="28.16"/>
    <n v="5.63"/>
    <x v="977"/>
    <n v="156"/>
  </r>
  <r>
    <n v="8126"/>
    <x v="2"/>
    <x v="263"/>
    <x v="10"/>
    <x v="10"/>
    <n v="1"/>
    <n v="16.87"/>
    <n v="16.87"/>
    <n v="1.69"/>
    <x v="978"/>
    <n v="34"/>
  </r>
  <r>
    <n v="1939"/>
    <x v="4"/>
    <x v="414"/>
    <x v="6"/>
    <x v="9"/>
    <n v="5"/>
    <n v="14.11"/>
    <n v="70.55"/>
    <n v="7.05"/>
    <x v="979"/>
    <n v="172"/>
  </r>
  <r>
    <n v="7655"/>
    <x v="2"/>
    <x v="217"/>
    <x v="7"/>
    <x v="15"/>
    <n v="4"/>
    <n v="23.08"/>
    <n v="92.32"/>
    <n v="18.46"/>
    <x v="980"/>
    <n v="341"/>
  </r>
  <r>
    <n v="9406"/>
    <x v="7"/>
    <x v="255"/>
    <x v="1"/>
    <x v="1"/>
    <n v="4"/>
    <n v="7.74"/>
    <n v="30.96"/>
    <n v="1.18"/>
    <x v="981"/>
    <n v="202"/>
  </r>
  <r>
    <n v="3621"/>
    <x v="4"/>
    <x v="5"/>
    <x v="8"/>
    <x v="13"/>
    <n v="2"/>
    <n v="21.5"/>
    <n v="43"/>
    <n v="3.58"/>
    <x v="982"/>
    <n v="292"/>
  </r>
  <r>
    <n v="3339"/>
    <x v="1"/>
    <x v="557"/>
    <x v="1"/>
    <x v="14"/>
    <n v="5"/>
    <n v="16.7"/>
    <n v="83.5"/>
    <n v="3.09"/>
    <x v="983"/>
    <n v="387"/>
  </r>
  <r>
    <n v="8179"/>
    <x v="4"/>
    <x v="417"/>
    <x v="9"/>
    <x v="10"/>
    <n v="1"/>
    <n v="20.079999999999998"/>
    <n v="20.079999999999998"/>
    <n v="2.1"/>
    <x v="984"/>
    <n v="272"/>
  </r>
  <r>
    <n v="3068"/>
    <x v="8"/>
    <x v="483"/>
    <x v="2"/>
    <x v="8"/>
    <n v="1"/>
    <n v="24.39"/>
    <n v="24.39"/>
    <n v="2.44"/>
    <x v="367"/>
    <n v="310"/>
  </r>
  <r>
    <n v="4866"/>
    <x v="6"/>
    <x v="248"/>
    <x v="10"/>
    <x v="10"/>
    <n v="3"/>
    <n v="13.66"/>
    <n v="40.98"/>
    <n v="2.27"/>
    <x v="985"/>
    <n v="212"/>
  </r>
  <r>
    <n v="7001"/>
    <x v="5"/>
    <x v="56"/>
    <x v="1"/>
    <x v="17"/>
    <n v="1"/>
    <n v="16.7"/>
    <n v="16.7"/>
    <n v="3.34"/>
    <x v="986"/>
    <n v="146"/>
  </r>
  <r>
    <n v="7272"/>
    <x v="5"/>
    <x v="558"/>
    <x v="1"/>
    <x v="12"/>
    <n v="3"/>
    <n v="28.6"/>
    <n v="85.8"/>
    <n v="3.46"/>
    <x v="987"/>
    <n v="347"/>
  </r>
  <r>
    <n v="1530"/>
    <x v="7"/>
    <x v="170"/>
    <x v="7"/>
    <x v="10"/>
    <n v="1"/>
    <n v="9.6300000000000008"/>
    <n v="9.6300000000000008"/>
    <n v="1.93"/>
    <x v="988"/>
    <n v="50"/>
  </r>
  <r>
    <n v="3513"/>
    <x v="3"/>
    <x v="521"/>
    <x v="4"/>
    <x v="0"/>
    <n v="4"/>
    <n v="28.3"/>
    <n v="113.2"/>
    <n v="1.81"/>
    <x v="989"/>
    <n v="460"/>
  </r>
  <r>
    <n v="8371"/>
    <x v="8"/>
    <x v="559"/>
    <x v="10"/>
    <x v="15"/>
    <n v="5"/>
    <n v="12.16"/>
    <n v="60.8"/>
    <n v="2.27"/>
    <x v="990"/>
    <n v="58"/>
  </r>
  <r>
    <n v="7095"/>
    <x v="1"/>
    <x v="128"/>
    <x v="3"/>
    <x v="13"/>
    <n v="4"/>
    <n v="1.83"/>
    <n v="7.32"/>
    <n v="2.08"/>
    <x v="145"/>
    <n v="324"/>
  </r>
  <r>
    <n v="2259"/>
    <x v="0"/>
    <x v="340"/>
    <x v="2"/>
    <x v="2"/>
    <n v="2"/>
    <n v="9.82"/>
    <n v="19.64"/>
    <n v="4.3899999999999997"/>
    <x v="991"/>
    <n v="208"/>
  </r>
  <r>
    <n v="3255"/>
    <x v="1"/>
    <x v="560"/>
    <x v="2"/>
    <x v="12"/>
    <n v="3"/>
    <n v="16.66"/>
    <n v="49.98"/>
    <n v="4.8099999999999996"/>
    <x v="992"/>
    <n v="86"/>
  </r>
  <r>
    <n v="7012"/>
    <x v="1"/>
    <x v="98"/>
    <x v="10"/>
    <x v="11"/>
    <n v="1"/>
    <n v="24.56"/>
    <n v="24.56"/>
    <n v="0"/>
    <x v="993"/>
    <n v="492"/>
  </r>
  <r>
    <n v="6150"/>
    <x v="2"/>
    <x v="415"/>
    <x v="0"/>
    <x v="11"/>
    <n v="4"/>
    <n v="8.92"/>
    <n v="35.68"/>
    <n v="5.35"/>
    <x v="994"/>
    <n v="128"/>
  </r>
  <r>
    <n v="5566"/>
    <x v="8"/>
    <x v="124"/>
    <x v="6"/>
    <x v="15"/>
    <n v="3"/>
    <n v="2.31"/>
    <n v="6.93"/>
    <n v="1.04"/>
    <x v="995"/>
    <n v="378"/>
  </r>
  <r>
    <n v="2858"/>
    <x v="0"/>
    <x v="283"/>
    <x v="3"/>
    <x v="17"/>
    <n v="2"/>
    <n v="22.02"/>
    <n v="44.04"/>
    <n v="8.81"/>
    <x v="996"/>
    <n v="143"/>
  </r>
  <r>
    <n v="4048"/>
    <x v="1"/>
    <x v="394"/>
    <x v="4"/>
    <x v="3"/>
    <n v="3"/>
    <n v="29.4"/>
    <n v="88.2"/>
    <n v="13.23"/>
    <x v="997"/>
    <n v="362"/>
  </r>
  <r>
    <n v="9482"/>
    <x v="8"/>
    <x v="520"/>
    <x v="5"/>
    <x v="3"/>
    <n v="3"/>
    <n v="7.1"/>
    <n v="21.3"/>
    <n v="4.66"/>
    <x v="616"/>
    <n v="491"/>
  </r>
  <r>
    <n v="2929"/>
    <x v="2"/>
    <x v="561"/>
    <x v="5"/>
    <x v="10"/>
    <n v="5"/>
    <n v="14.81"/>
    <n v="74.05"/>
    <n v="0"/>
    <x v="998"/>
    <n v="461"/>
  </r>
  <r>
    <n v="5264"/>
    <x v="2"/>
    <x v="163"/>
    <x v="3"/>
    <x v="2"/>
    <n v="4"/>
    <n v="23.1"/>
    <n v="92.4"/>
    <n v="0"/>
    <x v="999"/>
    <n v="275"/>
  </r>
  <r>
    <n v="8311"/>
    <x v="0"/>
    <x v="112"/>
    <x v="9"/>
    <x v="10"/>
    <n v="4"/>
    <n v="20.49"/>
    <n v="81.96"/>
    <n v="2.4300000000000002"/>
    <x v="1000"/>
    <n v="180"/>
  </r>
  <r>
    <n v="5678"/>
    <x v="2"/>
    <x v="419"/>
    <x v="0"/>
    <x v="17"/>
    <n v="4"/>
    <n v="11.73"/>
    <n v="46.92"/>
    <n v="1.89"/>
    <x v="1001"/>
    <n v="98"/>
  </r>
  <r>
    <n v="9047"/>
    <x v="6"/>
    <x v="562"/>
    <x v="8"/>
    <x v="4"/>
    <n v="2"/>
    <n v="3.6"/>
    <n v="7.2"/>
    <n v="0"/>
    <x v="1002"/>
    <n v="314"/>
  </r>
  <r>
    <n v="3009"/>
    <x v="8"/>
    <x v="286"/>
    <x v="2"/>
    <x v="16"/>
    <n v="3"/>
    <n v="2.06"/>
    <n v="6.18"/>
    <n v="1.78"/>
    <x v="1003"/>
    <n v="252"/>
  </r>
  <r>
    <n v="2213"/>
    <x v="3"/>
    <x v="472"/>
    <x v="1"/>
    <x v="0"/>
    <n v="5"/>
    <n v="15.5"/>
    <n v="77.5"/>
    <n v="0"/>
    <x v="1004"/>
    <n v="87"/>
  </r>
  <r>
    <n v="3828"/>
    <x v="2"/>
    <x v="187"/>
    <x v="1"/>
    <x v="12"/>
    <n v="1"/>
    <n v="4.6900000000000004"/>
    <n v="4.6900000000000004"/>
    <n v="3.92"/>
    <x v="1005"/>
    <n v="477"/>
  </r>
  <r>
    <n v="8292"/>
    <x v="5"/>
    <x v="501"/>
    <x v="2"/>
    <x v="10"/>
    <n v="5"/>
    <n v="18.809999999999999"/>
    <n v="94.05"/>
    <n v="4.75"/>
    <x v="1006"/>
    <n v="348"/>
  </r>
  <r>
    <n v="6236"/>
    <x v="6"/>
    <x v="189"/>
    <x v="4"/>
    <x v="1"/>
    <n v="4"/>
    <n v="8.94"/>
    <n v="35.76"/>
    <n v="3.58"/>
    <x v="1007"/>
    <n v="348"/>
  </r>
  <r>
    <n v="6692"/>
    <x v="7"/>
    <x v="393"/>
    <x v="9"/>
    <x v="11"/>
    <n v="2"/>
    <n v="2.35"/>
    <n v="4.7"/>
    <n v="2.8"/>
    <x v="1008"/>
    <n v="470"/>
  </r>
  <r>
    <n v="2063"/>
    <x v="6"/>
    <x v="92"/>
    <x v="3"/>
    <x v="14"/>
    <n v="3"/>
    <n v="3.36"/>
    <n v="10.08"/>
    <n v="0"/>
    <x v="69"/>
    <n v="292"/>
  </r>
  <r>
    <n v="9882"/>
    <x v="8"/>
    <x v="563"/>
    <x v="3"/>
    <x v="13"/>
    <n v="2"/>
    <n v="6.7"/>
    <n v="13.4"/>
    <n v="3.5"/>
    <x v="1009"/>
    <n v="168"/>
  </r>
  <r>
    <n v="5914"/>
    <x v="0"/>
    <x v="144"/>
    <x v="0"/>
    <x v="16"/>
    <n v="4"/>
    <n v="24.42"/>
    <n v="97.68"/>
    <n v="14.65"/>
    <x v="1010"/>
    <n v="303"/>
  </r>
  <r>
    <n v="3580"/>
    <x v="8"/>
    <x v="531"/>
    <x v="1"/>
    <x v="16"/>
    <n v="2"/>
    <n v="28.8"/>
    <n v="57.6"/>
    <n v="8.64"/>
    <x v="1011"/>
    <n v="426"/>
  </r>
  <r>
    <n v="3852"/>
    <x v="1"/>
    <x v="236"/>
    <x v="2"/>
    <x v="13"/>
    <n v="5"/>
    <n v="18.96"/>
    <n v="94.8"/>
    <n v="0"/>
    <x v="381"/>
    <n v="391"/>
  </r>
  <r>
    <n v="6922"/>
    <x v="4"/>
    <x v="395"/>
    <x v="6"/>
    <x v="17"/>
    <n v="1"/>
    <n v="29.25"/>
    <n v="29.25"/>
    <n v="2.93"/>
    <x v="1012"/>
    <n v="469"/>
  </r>
  <r>
    <n v="4673"/>
    <x v="7"/>
    <x v="391"/>
    <x v="1"/>
    <x v="12"/>
    <n v="1"/>
    <n v="27.64"/>
    <n v="27.64"/>
    <n v="4.1500000000000004"/>
    <x v="1013"/>
    <n v="226"/>
  </r>
  <r>
    <n v="4292"/>
    <x v="3"/>
    <x v="62"/>
    <x v="1"/>
    <x v="17"/>
    <n v="1"/>
    <n v="17.21"/>
    <n v="17.21"/>
    <n v="1.72"/>
    <x v="1014"/>
    <n v="150"/>
  </r>
  <r>
    <n v="3275"/>
    <x v="0"/>
    <x v="507"/>
    <x v="6"/>
    <x v="1"/>
    <n v="2"/>
    <n v="26.06"/>
    <n v="52.12"/>
    <n v="5.21"/>
    <x v="1015"/>
    <n v="403"/>
  </r>
  <r>
    <n v="9094"/>
    <x v="3"/>
    <x v="283"/>
    <x v="10"/>
    <x v="1"/>
    <n v="5"/>
    <n v="18.95"/>
    <n v="94.75"/>
    <n v="9.4700000000000006"/>
    <x v="1016"/>
    <n v="173"/>
  </r>
  <r>
    <n v="6912"/>
    <x v="1"/>
    <x v="225"/>
    <x v="4"/>
    <x v="14"/>
    <n v="1"/>
    <n v="3.97"/>
    <n v="3.97"/>
    <n v="4.16"/>
    <x v="1017"/>
    <n v="304"/>
  </r>
  <r>
    <n v="7044"/>
    <x v="8"/>
    <x v="447"/>
    <x v="6"/>
    <x v="12"/>
    <n v="5"/>
    <n v="8.42"/>
    <n v="42.1"/>
    <n v="0"/>
    <x v="1018"/>
    <n v="215"/>
  </r>
  <r>
    <n v="3126"/>
    <x v="4"/>
    <x v="164"/>
    <x v="7"/>
    <x v="5"/>
    <n v="2"/>
    <n v="24.1"/>
    <n v="48.2"/>
    <n v="7.23"/>
    <x v="1019"/>
    <n v="30"/>
  </r>
  <r>
    <n v="2412"/>
    <x v="3"/>
    <x v="48"/>
    <x v="9"/>
    <x v="4"/>
    <n v="3"/>
    <n v="17.920000000000002"/>
    <n v="53.76"/>
    <n v="10.75"/>
    <x v="1020"/>
    <n v="277"/>
  </r>
  <r>
    <n v="6067"/>
    <x v="4"/>
    <x v="98"/>
    <x v="8"/>
    <x v="3"/>
    <n v="3"/>
    <n v="11.69"/>
    <n v="35.07"/>
    <n v="1.95"/>
    <x v="1021"/>
    <n v="4"/>
  </r>
  <r>
    <n v="8842"/>
    <x v="1"/>
    <x v="470"/>
    <x v="0"/>
    <x v="1"/>
    <n v="3"/>
    <n v="6.66"/>
    <n v="19.98"/>
    <n v="2.37"/>
    <x v="1022"/>
    <n v="102"/>
  </r>
  <r>
    <n v="7730"/>
    <x v="4"/>
    <x v="564"/>
    <x v="10"/>
    <x v="3"/>
    <n v="5"/>
    <n v="17.41"/>
    <n v="87.05"/>
    <n v="8.7100000000000009"/>
    <x v="1023"/>
    <n v="171"/>
  </r>
  <r>
    <n v="7708"/>
    <x v="7"/>
    <x v="565"/>
    <x v="7"/>
    <x v="17"/>
    <n v="4"/>
    <n v="26.4"/>
    <n v="105.6"/>
    <n v="10.56"/>
    <x v="1024"/>
    <n v="466"/>
  </r>
  <r>
    <n v="2208"/>
    <x v="8"/>
    <x v="566"/>
    <x v="0"/>
    <x v="5"/>
    <n v="2"/>
    <n v="14.52"/>
    <n v="29.04"/>
    <n v="2.9"/>
    <x v="1025"/>
    <n v="109"/>
  </r>
  <r>
    <n v="6194"/>
    <x v="7"/>
    <x v="461"/>
    <x v="3"/>
    <x v="14"/>
    <n v="4"/>
    <n v="6.33"/>
    <n v="25.32"/>
    <n v="1.29"/>
    <x v="1026"/>
    <n v="3"/>
  </r>
  <r>
    <n v="2215"/>
    <x v="6"/>
    <x v="260"/>
    <x v="9"/>
    <x v="17"/>
    <n v="2"/>
    <n v="9.42"/>
    <n v="18.84"/>
    <n v="4.9000000000000004"/>
    <x v="1027"/>
    <n v="99"/>
  </r>
  <r>
    <n v="8632"/>
    <x v="8"/>
    <x v="68"/>
    <x v="2"/>
    <x v="9"/>
    <n v="2"/>
    <n v="7.34"/>
    <n v="14.68"/>
    <n v="2.2000000000000002"/>
    <x v="1028"/>
    <n v="134"/>
  </r>
  <r>
    <n v="9476"/>
    <x v="1"/>
    <x v="328"/>
    <x v="2"/>
    <x v="6"/>
    <n v="2"/>
    <n v="1.61"/>
    <n v="3.22"/>
    <n v="1.08"/>
    <x v="270"/>
    <n v="431"/>
  </r>
  <r>
    <n v="3102"/>
    <x v="2"/>
    <x v="567"/>
    <x v="3"/>
    <x v="17"/>
    <n v="3"/>
    <n v="28.14"/>
    <n v="84.42"/>
    <n v="16.88"/>
    <x v="1029"/>
    <n v="156"/>
  </r>
  <r>
    <n v="3981"/>
    <x v="7"/>
    <x v="71"/>
    <x v="4"/>
    <x v="6"/>
    <n v="5"/>
    <n v="29.33"/>
    <n v="146.65"/>
    <n v="0"/>
    <x v="1030"/>
    <n v="319"/>
  </r>
  <r>
    <n v="3114"/>
    <x v="0"/>
    <x v="568"/>
    <x v="1"/>
    <x v="12"/>
    <n v="2"/>
    <n v="24.04"/>
    <n v="48.08"/>
    <n v="0"/>
    <x v="1031"/>
    <n v="98"/>
  </r>
  <r>
    <n v="9238"/>
    <x v="7"/>
    <x v="411"/>
    <x v="4"/>
    <x v="1"/>
    <n v="2"/>
    <n v="27.7"/>
    <n v="55.4"/>
    <n v="2.1800000000000002"/>
    <x v="1032"/>
    <n v="390"/>
  </r>
  <r>
    <n v="1907"/>
    <x v="2"/>
    <x v="317"/>
    <x v="4"/>
    <x v="5"/>
    <n v="1"/>
    <n v="19.239999999999998"/>
    <n v="19.239999999999998"/>
    <n v="4.87"/>
    <x v="1033"/>
    <n v="143"/>
  </r>
  <r>
    <n v="3034"/>
    <x v="4"/>
    <x v="388"/>
    <x v="2"/>
    <x v="13"/>
    <n v="4"/>
    <n v="23.93"/>
    <n v="95.72"/>
    <n v="19.14"/>
    <x v="1034"/>
    <n v="314"/>
  </r>
  <r>
    <n v="3507"/>
    <x v="1"/>
    <x v="231"/>
    <x v="3"/>
    <x v="15"/>
    <n v="3"/>
    <n v="15.45"/>
    <n v="46.35"/>
    <n v="6.95"/>
    <x v="1035"/>
    <n v="237"/>
  </r>
  <r>
    <n v="3697"/>
    <x v="7"/>
    <x v="178"/>
    <x v="9"/>
    <x v="16"/>
    <n v="4"/>
    <n v="14.73"/>
    <n v="58.92"/>
    <n v="0"/>
    <x v="1036"/>
    <n v="297"/>
  </r>
  <r>
    <n v="6286"/>
    <x v="6"/>
    <x v="569"/>
    <x v="2"/>
    <x v="5"/>
    <n v="2"/>
    <n v="14.1"/>
    <n v="28.2"/>
    <n v="5.64"/>
    <x v="1037"/>
    <n v="120"/>
  </r>
  <r>
    <n v="4694"/>
    <x v="5"/>
    <x v="212"/>
    <x v="3"/>
    <x v="7"/>
    <n v="5"/>
    <n v="5.55"/>
    <n v="27.75"/>
    <n v="4.16"/>
    <x v="1038"/>
    <n v="431"/>
  </r>
  <r>
    <n v="9501"/>
    <x v="1"/>
    <x v="570"/>
    <x v="1"/>
    <x v="12"/>
    <n v="1"/>
    <n v="9.5500000000000007"/>
    <n v="9.5500000000000007"/>
    <n v="1.91"/>
    <x v="1039"/>
    <n v="265"/>
  </r>
  <r>
    <n v="5653"/>
    <x v="6"/>
    <x v="571"/>
    <x v="10"/>
    <x v="15"/>
    <n v="5"/>
    <n v="10.74"/>
    <n v="53.7"/>
    <n v="5.37"/>
    <x v="1040"/>
    <n v="230"/>
  </r>
  <r>
    <n v="2292"/>
    <x v="3"/>
    <x v="127"/>
    <x v="4"/>
    <x v="16"/>
    <n v="3"/>
    <n v="8.91"/>
    <n v="26.73"/>
    <n v="2.67"/>
    <x v="1041"/>
    <n v="12"/>
  </r>
  <r>
    <n v="4216"/>
    <x v="8"/>
    <x v="374"/>
    <x v="8"/>
    <x v="13"/>
    <n v="3"/>
    <n v="27.13"/>
    <n v="81.39"/>
    <n v="12.21"/>
    <x v="1042"/>
    <n v="150"/>
  </r>
  <r>
    <n v="5496"/>
    <x v="8"/>
    <x v="566"/>
    <x v="1"/>
    <x v="17"/>
    <n v="1"/>
    <n v="11.44"/>
    <n v="11.44"/>
    <n v="1.72"/>
    <x v="231"/>
    <n v="279"/>
  </r>
  <r>
    <n v="5961"/>
    <x v="8"/>
    <x v="511"/>
    <x v="5"/>
    <x v="3"/>
    <n v="3"/>
    <n v="9.77"/>
    <n v="29.31"/>
    <n v="5.86"/>
    <x v="1043"/>
    <n v="417"/>
  </r>
  <r>
    <n v="9740"/>
    <x v="2"/>
    <x v="6"/>
    <x v="9"/>
    <x v="0"/>
    <n v="1"/>
    <n v="23.32"/>
    <n v="23.32"/>
    <n v="2.33"/>
    <x v="1044"/>
    <n v="144"/>
  </r>
  <r>
    <n v="9234"/>
    <x v="3"/>
    <x v="572"/>
    <x v="6"/>
    <x v="10"/>
    <n v="4"/>
    <n v="19.96"/>
    <n v="79.84"/>
    <n v="7.98"/>
    <x v="1045"/>
    <n v="389"/>
  </r>
  <r>
    <n v="3762"/>
    <x v="9"/>
    <x v="284"/>
    <x v="2"/>
    <x v="14"/>
    <n v="4"/>
    <n v="7.77"/>
    <n v="31.08"/>
    <n v="0"/>
    <x v="1046"/>
    <n v="300"/>
  </r>
  <r>
    <n v="3526"/>
    <x v="4"/>
    <x v="426"/>
    <x v="4"/>
    <x v="13"/>
    <n v="3"/>
    <n v="25.52"/>
    <n v="76.56"/>
    <n v="15.31"/>
    <x v="1047"/>
    <n v="219"/>
  </r>
  <r>
    <n v="6531"/>
    <x v="4"/>
    <x v="44"/>
    <x v="10"/>
    <x v="2"/>
    <n v="1"/>
    <n v="11.86"/>
    <n v="11.86"/>
    <n v="1.78"/>
    <x v="69"/>
    <n v="295"/>
  </r>
  <r>
    <n v="1674"/>
    <x v="6"/>
    <x v="384"/>
    <x v="10"/>
    <x v="4"/>
    <n v="3"/>
    <n v="7.53"/>
    <n v="22.59"/>
    <n v="0"/>
    <x v="675"/>
    <n v="217"/>
  </r>
  <r>
    <n v="1464"/>
    <x v="1"/>
    <x v="573"/>
    <x v="8"/>
    <x v="3"/>
    <n v="5"/>
    <n v="1.66"/>
    <n v="8.3000000000000007"/>
    <n v="1.66"/>
    <x v="1048"/>
    <n v="402"/>
  </r>
  <r>
    <n v="1744"/>
    <x v="2"/>
    <x v="461"/>
    <x v="4"/>
    <x v="7"/>
    <n v="4"/>
    <n v="6.91"/>
    <n v="27.64"/>
    <n v="2.5499999999999998"/>
    <x v="1049"/>
    <n v="200"/>
  </r>
  <r>
    <n v="5336"/>
    <x v="4"/>
    <x v="313"/>
    <x v="1"/>
    <x v="3"/>
    <n v="5"/>
    <n v="28.89"/>
    <n v="144.44999999999999"/>
    <n v="1.69"/>
    <x v="1050"/>
    <n v="327"/>
  </r>
  <r>
    <n v="4453"/>
    <x v="1"/>
    <x v="298"/>
    <x v="7"/>
    <x v="11"/>
    <n v="5"/>
    <n v="15.16"/>
    <n v="75.8"/>
    <n v="4.6500000000000004"/>
    <x v="1051"/>
    <n v="95"/>
  </r>
  <r>
    <n v="7825"/>
    <x v="3"/>
    <x v="574"/>
    <x v="8"/>
    <x v="14"/>
    <n v="2"/>
    <n v="9.43"/>
    <n v="18.86"/>
    <n v="1.89"/>
    <x v="1052"/>
    <n v="268"/>
  </r>
  <r>
    <n v="1496"/>
    <x v="6"/>
    <x v="427"/>
    <x v="4"/>
    <x v="15"/>
    <n v="1"/>
    <n v="5.97"/>
    <n v="5.97"/>
    <n v="0.6"/>
    <x v="1053"/>
    <n v="440"/>
  </r>
  <r>
    <n v="9938"/>
    <x v="2"/>
    <x v="496"/>
    <x v="1"/>
    <x v="12"/>
    <n v="5"/>
    <n v="13.12"/>
    <n v="65.599999999999994"/>
    <n v="6.56"/>
    <x v="1054"/>
    <n v="380"/>
  </r>
  <r>
    <n v="5949"/>
    <x v="8"/>
    <x v="575"/>
    <x v="7"/>
    <x v="14"/>
    <n v="3"/>
    <n v="13.52"/>
    <n v="40.56"/>
    <n v="8.11"/>
    <x v="1055"/>
    <n v="363"/>
  </r>
  <r>
    <n v="5012"/>
    <x v="5"/>
    <x v="46"/>
    <x v="6"/>
    <x v="14"/>
    <n v="5"/>
    <n v="21.78"/>
    <n v="108.9"/>
    <n v="21.78"/>
    <x v="249"/>
    <n v="234"/>
  </r>
  <r>
    <n v="7653"/>
    <x v="6"/>
    <x v="576"/>
    <x v="7"/>
    <x v="8"/>
    <n v="1"/>
    <n v="24.9"/>
    <n v="24.9"/>
    <n v="2.3199999999999998"/>
    <x v="1056"/>
    <n v="309"/>
  </r>
  <r>
    <n v="8430"/>
    <x v="4"/>
    <x v="158"/>
    <x v="10"/>
    <x v="8"/>
    <n v="5"/>
    <n v="2.12"/>
    <n v="10.6"/>
    <n v="0"/>
    <x v="1057"/>
    <n v="46"/>
  </r>
  <r>
    <n v="1981"/>
    <x v="4"/>
    <x v="143"/>
    <x v="4"/>
    <x v="9"/>
    <n v="4"/>
    <n v="18.77"/>
    <n v="75.08"/>
    <n v="7.51"/>
    <x v="1058"/>
    <n v="414"/>
  </r>
  <r>
    <n v="8202"/>
    <x v="8"/>
    <x v="272"/>
    <x v="7"/>
    <x v="1"/>
    <n v="4"/>
    <n v="12.15"/>
    <n v="48.6"/>
    <n v="0"/>
    <x v="1059"/>
    <n v="337"/>
  </r>
  <r>
    <n v="8933"/>
    <x v="0"/>
    <x v="251"/>
    <x v="3"/>
    <x v="11"/>
    <n v="2"/>
    <n v="26.67"/>
    <n v="53.34"/>
    <n v="0"/>
    <x v="1060"/>
    <n v="80"/>
  </r>
  <r>
    <n v="4342"/>
    <x v="1"/>
    <x v="16"/>
    <x v="8"/>
    <x v="13"/>
    <n v="2"/>
    <n v="27.34"/>
    <n v="54.68"/>
    <n v="8.1999999999999993"/>
    <x v="1061"/>
    <n v="210"/>
  </r>
  <r>
    <n v="3353"/>
    <x v="0"/>
    <x v="481"/>
    <x v="1"/>
    <x v="15"/>
    <n v="3"/>
    <n v="12.88"/>
    <n v="38.64"/>
    <n v="7.73"/>
    <x v="1062"/>
    <n v="84"/>
  </r>
  <r>
    <n v="6231"/>
    <x v="1"/>
    <x v="370"/>
    <x v="0"/>
    <x v="8"/>
    <n v="1"/>
    <n v="3.11"/>
    <n v="3.11"/>
    <n v="0.31"/>
    <x v="1063"/>
    <n v="355"/>
  </r>
  <r>
    <n v="6658"/>
    <x v="9"/>
    <x v="98"/>
    <x v="3"/>
    <x v="14"/>
    <n v="4"/>
    <n v="2.09"/>
    <n v="8.36"/>
    <n v="0"/>
    <x v="1064"/>
    <n v="128"/>
  </r>
  <r>
    <n v="3142"/>
    <x v="2"/>
    <x v="89"/>
    <x v="4"/>
    <x v="8"/>
    <n v="4"/>
    <n v="14.37"/>
    <n v="57.48"/>
    <n v="0"/>
    <x v="1065"/>
    <n v="42"/>
  </r>
  <r>
    <n v="7070"/>
    <x v="4"/>
    <x v="577"/>
    <x v="7"/>
    <x v="16"/>
    <n v="3"/>
    <n v="25.4"/>
    <n v="76.2"/>
    <n v="1.4"/>
    <x v="1066"/>
    <n v="87"/>
  </r>
  <r>
    <n v="2739"/>
    <x v="5"/>
    <x v="578"/>
    <x v="1"/>
    <x v="2"/>
    <n v="4"/>
    <n v="5.88"/>
    <n v="23.52"/>
    <n v="0"/>
    <x v="1067"/>
    <n v="343"/>
  </r>
  <r>
    <n v="4960"/>
    <x v="5"/>
    <x v="579"/>
    <x v="7"/>
    <x v="8"/>
    <n v="3"/>
    <n v="6.15"/>
    <n v="18.45"/>
    <n v="0"/>
    <x v="1068"/>
    <n v="365"/>
  </r>
  <r>
    <n v="3007"/>
    <x v="1"/>
    <x v="196"/>
    <x v="2"/>
    <x v="8"/>
    <n v="1"/>
    <n v="25.25"/>
    <n v="25.25"/>
    <n v="2.5299999999999998"/>
    <x v="239"/>
    <n v="415"/>
  </r>
  <r>
    <n v="8366"/>
    <x v="5"/>
    <x v="101"/>
    <x v="10"/>
    <x v="11"/>
    <n v="5"/>
    <n v="1.1299999999999999"/>
    <n v="5.65"/>
    <n v="1.1299999999999999"/>
    <x v="1069"/>
    <n v="395"/>
  </r>
  <r>
    <n v="3308"/>
    <x v="8"/>
    <x v="117"/>
    <x v="4"/>
    <x v="5"/>
    <n v="2"/>
    <n v="3.64"/>
    <n v="7.28"/>
    <n v="2.35"/>
    <x v="1070"/>
    <n v="215"/>
  </r>
  <r>
    <n v="1829"/>
    <x v="8"/>
    <x v="563"/>
    <x v="5"/>
    <x v="13"/>
    <n v="2"/>
    <n v="28.79"/>
    <n v="57.58"/>
    <n v="0"/>
    <x v="1071"/>
    <n v="49"/>
  </r>
  <r>
    <n v="7293"/>
    <x v="2"/>
    <x v="192"/>
    <x v="0"/>
    <x v="1"/>
    <n v="5"/>
    <n v="4.1100000000000003"/>
    <n v="20.55"/>
    <n v="3.51"/>
    <x v="423"/>
    <n v="167"/>
  </r>
  <r>
    <n v="7850"/>
    <x v="8"/>
    <x v="101"/>
    <x v="9"/>
    <x v="7"/>
    <n v="4"/>
    <n v="4.49"/>
    <n v="17.96"/>
    <n v="2.69"/>
    <x v="1072"/>
    <n v="109"/>
  </r>
  <r>
    <n v="3616"/>
    <x v="7"/>
    <x v="381"/>
    <x v="7"/>
    <x v="10"/>
    <n v="4"/>
    <n v="19.96"/>
    <n v="79.84"/>
    <n v="15.97"/>
    <x v="1073"/>
    <n v="6"/>
  </r>
  <r>
    <n v="6364"/>
    <x v="4"/>
    <x v="580"/>
    <x v="2"/>
    <x v="13"/>
    <n v="3"/>
    <n v="19.84"/>
    <n v="59.52"/>
    <n v="4.54"/>
    <x v="1074"/>
    <n v="188"/>
  </r>
  <r>
    <n v="6123"/>
    <x v="3"/>
    <x v="116"/>
    <x v="8"/>
    <x v="16"/>
    <n v="1"/>
    <n v="21.65"/>
    <n v="21.65"/>
    <n v="3.25"/>
    <x v="105"/>
    <n v="405"/>
  </r>
  <r>
    <n v="3610"/>
    <x v="0"/>
    <x v="394"/>
    <x v="6"/>
    <x v="3"/>
    <n v="4"/>
    <n v="20.65"/>
    <n v="82.6"/>
    <n v="12.39"/>
    <x v="1075"/>
    <n v="497"/>
  </r>
  <r>
    <n v="9433"/>
    <x v="2"/>
    <x v="579"/>
    <x v="5"/>
    <x v="3"/>
    <n v="4"/>
    <n v="2.95"/>
    <n v="11.8"/>
    <n v="1.18"/>
    <x v="441"/>
    <n v="9"/>
  </r>
  <r>
    <n v="9171"/>
    <x v="1"/>
    <x v="84"/>
    <x v="5"/>
    <x v="5"/>
    <n v="5"/>
    <n v="18.03"/>
    <n v="90.15"/>
    <n v="3.47"/>
    <x v="1076"/>
    <n v="6"/>
  </r>
  <r>
    <n v="6055"/>
    <x v="0"/>
    <x v="427"/>
    <x v="8"/>
    <x v="5"/>
    <n v="4"/>
    <n v="22.95"/>
    <n v="91.8"/>
    <n v="1.55"/>
    <x v="1077"/>
    <n v="317"/>
  </r>
  <r>
    <n v="1379"/>
    <x v="4"/>
    <x v="581"/>
    <x v="8"/>
    <x v="14"/>
    <n v="2"/>
    <n v="11.89"/>
    <n v="23.78"/>
    <n v="4.76"/>
    <x v="465"/>
    <n v="328"/>
  </r>
  <r>
    <n v="7442"/>
    <x v="4"/>
    <x v="172"/>
    <x v="4"/>
    <x v="12"/>
    <n v="3"/>
    <n v="10.199999999999999"/>
    <n v="30.6"/>
    <n v="4.17"/>
    <x v="1078"/>
    <n v="402"/>
  </r>
  <r>
    <n v="8491"/>
    <x v="3"/>
    <x v="539"/>
    <x v="5"/>
    <x v="9"/>
    <n v="1"/>
    <n v="7.63"/>
    <n v="7.63"/>
    <n v="1.1399999999999999"/>
    <x v="1079"/>
    <n v="375"/>
  </r>
  <r>
    <n v="4524"/>
    <x v="8"/>
    <x v="141"/>
    <x v="2"/>
    <x v="2"/>
    <n v="1"/>
    <n v="27.28"/>
    <n v="27.28"/>
    <n v="0"/>
    <x v="1080"/>
    <n v="340"/>
  </r>
  <r>
    <n v="6781"/>
    <x v="8"/>
    <x v="582"/>
    <x v="6"/>
    <x v="7"/>
    <n v="5"/>
    <n v="10.32"/>
    <n v="51.6"/>
    <n v="4.4800000000000004"/>
    <x v="1081"/>
    <n v="226"/>
  </r>
  <r>
    <n v="1828"/>
    <x v="0"/>
    <x v="583"/>
    <x v="2"/>
    <x v="11"/>
    <n v="2"/>
    <n v="28.2"/>
    <n v="56.4"/>
    <n v="11.28"/>
    <x v="1082"/>
    <n v="64"/>
  </r>
  <r>
    <n v="9108"/>
    <x v="1"/>
    <x v="368"/>
    <x v="2"/>
    <x v="5"/>
    <n v="5"/>
    <n v="3.26"/>
    <n v="16.3"/>
    <n v="2.44"/>
    <x v="1083"/>
    <n v="371"/>
  </r>
  <r>
    <n v="8710"/>
    <x v="2"/>
    <x v="136"/>
    <x v="2"/>
    <x v="5"/>
    <n v="4"/>
    <n v="6.11"/>
    <n v="24.44"/>
    <n v="3.67"/>
    <x v="1084"/>
    <n v="127"/>
  </r>
  <r>
    <n v="9793"/>
    <x v="4"/>
    <x v="165"/>
    <x v="5"/>
    <x v="14"/>
    <n v="3"/>
    <n v="26"/>
    <n v="78"/>
    <n v="11.7"/>
    <x v="1085"/>
    <n v="246"/>
  </r>
  <r>
    <n v="2761"/>
    <x v="3"/>
    <x v="478"/>
    <x v="3"/>
    <x v="6"/>
    <n v="4"/>
    <n v="13.79"/>
    <n v="55.16"/>
    <n v="11.03"/>
    <x v="1086"/>
    <n v="258"/>
  </r>
  <r>
    <n v="3194"/>
    <x v="4"/>
    <x v="180"/>
    <x v="0"/>
    <x v="7"/>
    <n v="4"/>
    <n v="25.76"/>
    <n v="103.04"/>
    <n v="3.15"/>
    <x v="1087"/>
    <n v="388"/>
  </r>
  <r>
    <n v="5333"/>
    <x v="1"/>
    <x v="122"/>
    <x v="7"/>
    <x v="0"/>
    <n v="4"/>
    <n v="14.44"/>
    <n v="57.76"/>
    <n v="5.78"/>
    <x v="1088"/>
    <n v="232"/>
  </r>
  <r>
    <n v="6992"/>
    <x v="1"/>
    <x v="18"/>
    <x v="6"/>
    <x v="16"/>
    <n v="1"/>
    <n v="10.65"/>
    <n v="10.65"/>
    <n v="2.13"/>
    <x v="1089"/>
    <n v="366"/>
  </r>
  <r>
    <n v="7606"/>
    <x v="2"/>
    <x v="584"/>
    <x v="2"/>
    <x v="10"/>
    <n v="1"/>
    <n v="25.98"/>
    <n v="25.98"/>
    <n v="2.6"/>
    <x v="1090"/>
    <n v="373"/>
  </r>
  <r>
    <n v="1741"/>
    <x v="3"/>
    <x v="47"/>
    <x v="3"/>
    <x v="7"/>
    <n v="3"/>
    <n v="12.13"/>
    <n v="36.39"/>
    <n v="3.64"/>
    <x v="1091"/>
    <n v="157"/>
  </r>
  <r>
    <n v="1838"/>
    <x v="6"/>
    <x v="318"/>
    <x v="1"/>
    <x v="7"/>
    <n v="5"/>
    <n v="5.7"/>
    <n v="28.5"/>
    <n v="4.2699999999999996"/>
    <x v="156"/>
    <n v="390"/>
  </r>
  <r>
    <n v="4189"/>
    <x v="7"/>
    <x v="56"/>
    <x v="9"/>
    <x v="16"/>
    <n v="3"/>
    <n v="21.19"/>
    <n v="63.57"/>
    <n v="6.36"/>
    <x v="1092"/>
    <n v="333"/>
  </r>
  <r>
    <n v="5728"/>
    <x v="8"/>
    <x v="346"/>
    <x v="2"/>
    <x v="16"/>
    <n v="1"/>
    <n v="27.71"/>
    <n v="27.71"/>
    <n v="0"/>
    <x v="1093"/>
    <n v="185"/>
  </r>
  <r>
    <n v="7329"/>
    <x v="2"/>
    <x v="518"/>
    <x v="8"/>
    <x v="8"/>
    <n v="2"/>
    <n v="8.36"/>
    <n v="16.72"/>
    <n v="1.47"/>
    <x v="991"/>
    <n v="308"/>
  </r>
  <r>
    <n v="8378"/>
    <x v="0"/>
    <x v="18"/>
    <x v="5"/>
    <x v="7"/>
    <n v="4"/>
    <n v="21.47"/>
    <n v="85.88"/>
    <n v="4.6399999999999997"/>
    <x v="1094"/>
    <n v="498"/>
  </r>
  <r>
    <n v="5582"/>
    <x v="3"/>
    <x v="315"/>
    <x v="7"/>
    <x v="1"/>
    <n v="3"/>
    <n v="21.05"/>
    <n v="63.15"/>
    <n v="2.23"/>
    <x v="1095"/>
    <n v="256"/>
  </r>
  <r>
    <n v="2946"/>
    <x v="3"/>
    <x v="91"/>
    <x v="1"/>
    <x v="17"/>
    <n v="5"/>
    <n v="23.51"/>
    <n v="117.55"/>
    <n v="17.63"/>
    <x v="1096"/>
    <n v="176"/>
  </r>
  <r>
    <n v="2584"/>
    <x v="8"/>
    <x v="585"/>
    <x v="3"/>
    <x v="9"/>
    <n v="1"/>
    <n v="29.61"/>
    <n v="29.61"/>
    <n v="1.39"/>
    <x v="1097"/>
    <n v="417"/>
  </r>
  <r>
    <n v="7114"/>
    <x v="3"/>
    <x v="586"/>
    <x v="9"/>
    <x v="1"/>
    <n v="3"/>
    <n v="22.25"/>
    <n v="66.75"/>
    <n v="10.01"/>
    <x v="1098"/>
    <n v="87"/>
  </r>
  <r>
    <n v="6555"/>
    <x v="2"/>
    <x v="587"/>
    <x v="7"/>
    <x v="14"/>
    <n v="4"/>
    <n v="6.27"/>
    <n v="25.08"/>
    <n v="2.5099999999999998"/>
    <x v="1099"/>
    <n v="485"/>
  </r>
  <r>
    <n v="6990"/>
    <x v="8"/>
    <x v="96"/>
    <x v="7"/>
    <x v="14"/>
    <n v="1"/>
    <n v="22.74"/>
    <n v="22.74"/>
    <n v="3.41"/>
    <x v="717"/>
    <n v="414"/>
  </r>
  <r>
    <n v="3363"/>
    <x v="3"/>
    <x v="432"/>
    <x v="10"/>
    <x v="17"/>
    <n v="2"/>
    <n v="3.3"/>
    <n v="6.6"/>
    <n v="2.11"/>
    <x v="1100"/>
    <n v="43"/>
  </r>
  <r>
    <n v="9341"/>
    <x v="7"/>
    <x v="47"/>
    <x v="0"/>
    <x v="5"/>
    <n v="4"/>
    <n v="15.06"/>
    <n v="60.24"/>
    <n v="1.24"/>
    <x v="1101"/>
    <n v="389"/>
  </r>
  <r>
    <n v="9193"/>
    <x v="6"/>
    <x v="588"/>
    <x v="5"/>
    <x v="11"/>
    <n v="1"/>
    <n v="7.11"/>
    <n v="7.11"/>
    <n v="0.71"/>
    <x v="1102"/>
    <n v="405"/>
  </r>
  <r>
    <n v="1742"/>
    <x v="1"/>
    <x v="519"/>
    <x v="8"/>
    <x v="16"/>
    <n v="4"/>
    <n v="22.94"/>
    <n v="91.76"/>
    <n v="13.76"/>
    <x v="1103"/>
    <n v="309"/>
  </r>
  <r>
    <n v="3245"/>
    <x v="7"/>
    <x v="517"/>
    <x v="5"/>
    <x v="3"/>
    <n v="3"/>
    <n v="24.68"/>
    <n v="74.040000000000006"/>
    <n v="0"/>
    <x v="1104"/>
    <n v="481"/>
  </r>
  <r>
    <n v="6456"/>
    <x v="3"/>
    <x v="250"/>
    <x v="3"/>
    <x v="11"/>
    <n v="3"/>
    <n v="26.31"/>
    <n v="78.930000000000007"/>
    <n v="2.83"/>
    <x v="1105"/>
    <n v="412"/>
  </r>
  <r>
    <n v="8761"/>
    <x v="3"/>
    <x v="589"/>
    <x v="7"/>
    <x v="10"/>
    <n v="5"/>
    <n v="4.55"/>
    <n v="22.75"/>
    <n v="0"/>
    <x v="1106"/>
    <n v="271"/>
  </r>
  <r>
    <n v="8487"/>
    <x v="8"/>
    <x v="590"/>
    <x v="4"/>
    <x v="8"/>
    <n v="5"/>
    <n v="20.89"/>
    <n v="104.45"/>
    <n v="2.65"/>
    <x v="1107"/>
    <n v="445"/>
  </r>
  <r>
    <n v="9446"/>
    <x v="8"/>
    <x v="2"/>
    <x v="0"/>
    <x v="3"/>
    <n v="1"/>
    <n v="19.37"/>
    <n v="19.37"/>
    <n v="0"/>
    <x v="1108"/>
    <n v="447"/>
  </r>
  <r>
    <n v="6373"/>
    <x v="7"/>
    <x v="166"/>
    <x v="5"/>
    <x v="8"/>
    <n v="2"/>
    <n v="18.59"/>
    <n v="37.18"/>
    <n v="5.58"/>
    <x v="1109"/>
    <n v="204"/>
  </r>
  <r>
    <n v="6218"/>
    <x v="3"/>
    <x v="35"/>
    <x v="10"/>
    <x v="17"/>
    <n v="4"/>
    <n v="9.51"/>
    <n v="38.04"/>
    <n v="4.5"/>
    <x v="1110"/>
    <n v="99"/>
  </r>
  <r>
    <n v="7438"/>
    <x v="1"/>
    <x v="229"/>
    <x v="0"/>
    <x v="12"/>
    <n v="4"/>
    <n v="24.1"/>
    <n v="96.4"/>
    <n v="19.28"/>
    <x v="1111"/>
    <n v="154"/>
  </r>
  <r>
    <n v="5902"/>
    <x v="4"/>
    <x v="591"/>
    <x v="1"/>
    <x v="16"/>
    <n v="5"/>
    <n v="7.98"/>
    <n v="39.9"/>
    <n v="0"/>
    <x v="1112"/>
    <n v="108"/>
  </r>
  <r>
    <n v="6511"/>
    <x v="0"/>
    <x v="76"/>
    <x v="1"/>
    <x v="1"/>
    <n v="1"/>
    <n v="5.64"/>
    <n v="5.64"/>
    <n v="0.56000000000000005"/>
    <x v="184"/>
    <n v="475"/>
  </r>
  <r>
    <n v="9351"/>
    <x v="5"/>
    <x v="592"/>
    <x v="2"/>
    <x v="0"/>
    <n v="4"/>
    <n v="28.58"/>
    <n v="114.32"/>
    <n v="0"/>
    <x v="1113"/>
    <n v="343"/>
  </r>
  <r>
    <n v="9025"/>
    <x v="2"/>
    <x v="215"/>
    <x v="9"/>
    <x v="16"/>
    <n v="1"/>
    <n v="24.06"/>
    <n v="24.06"/>
    <n v="4.07"/>
    <x v="1114"/>
    <n v="170"/>
  </r>
  <r>
    <n v="5911"/>
    <x v="0"/>
    <x v="593"/>
    <x v="5"/>
    <x v="3"/>
    <n v="4"/>
    <n v="27.38"/>
    <n v="109.52"/>
    <n v="0"/>
    <x v="1115"/>
    <n v="380"/>
  </r>
  <r>
    <n v="1272"/>
    <x v="1"/>
    <x v="510"/>
    <x v="3"/>
    <x v="5"/>
    <n v="2"/>
    <n v="8.5"/>
    <n v="17"/>
    <n v="1.36"/>
    <x v="1116"/>
    <n v="148"/>
  </r>
  <r>
    <n v="6427"/>
    <x v="8"/>
    <x v="120"/>
    <x v="1"/>
    <x v="4"/>
    <n v="2"/>
    <n v="25.74"/>
    <n v="51.48"/>
    <n v="3.95"/>
    <x v="1117"/>
    <n v="488"/>
  </r>
  <r>
    <n v="2795"/>
    <x v="5"/>
    <x v="594"/>
    <x v="0"/>
    <x v="2"/>
    <n v="2"/>
    <n v="25.56"/>
    <n v="51.12"/>
    <n v="7.67"/>
    <x v="1118"/>
    <n v="216"/>
  </r>
  <r>
    <n v="6040"/>
    <x v="2"/>
    <x v="305"/>
    <x v="9"/>
    <x v="5"/>
    <n v="1"/>
    <n v="12.45"/>
    <n v="12.45"/>
    <n v="1.87"/>
    <x v="1119"/>
    <n v="275"/>
  </r>
  <r>
    <n v="1436"/>
    <x v="2"/>
    <x v="63"/>
    <x v="8"/>
    <x v="5"/>
    <n v="4"/>
    <n v="20.71"/>
    <n v="82.84"/>
    <n v="16.57"/>
    <x v="1120"/>
    <n v="75"/>
  </r>
  <r>
    <n v="8775"/>
    <x v="6"/>
    <x v="469"/>
    <x v="6"/>
    <x v="3"/>
    <n v="3"/>
    <n v="15.56"/>
    <n v="46.68"/>
    <n v="7"/>
    <x v="1121"/>
    <n v="352"/>
  </r>
  <r>
    <n v="4728"/>
    <x v="4"/>
    <x v="74"/>
    <x v="5"/>
    <x v="14"/>
    <n v="4"/>
    <n v="9.44"/>
    <n v="37.76"/>
    <n v="4.92"/>
    <x v="1122"/>
    <n v="494"/>
  </r>
  <r>
    <n v="1841"/>
    <x v="7"/>
    <x v="141"/>
    <x v="7"/>
    <x v="14"/>
    <n v="2"/>
    <n v="21.3"/>
    <n v="42.6"/>
    <n v="4.26"/>
    <x v="1123"/>
    <n v="26"/>
  </r>
  <r>
    <n v="8871"/>
    <x v="3"/>
    <x v="426"/>
    <x v="8"/>
    <x v="6"/>
    <n v="1"/>
    <n v="16.88"/>
    <n v="16.88"/>
    <n v="0"/>
    <x v="900"/>
    <n v="172"/>
  </r>
  <r>
    <n v="9589"/>
    <x v="4"/>
    <x v="595"/>
    <x v="4"/>
    <x v="7"/>
    <n v="4"/>
    <n v="3.07"/>
    <n v="12.28"/>
    <n v="1.84"/>
    <x v="1124"/>
    <n v="372"/>
  </r>
  <r>
    <n v="7229"/>
    <x v="8"/>
    <x v="241"/>
    <x v="9"/>
    <x v="7"/>
    <n v="1"/>
    <n v="4.79"/>
    <n v="4.79"/>
    <n v="0"/>
    <x v="758"/>
    <n v="385"/>
  </r>
  <r>
    <n v="4968"/>
    <x v="5"/>
    <x v="5"/>
    <x v="10"/>
    <x v="6"/>
    <n v="5"/>
    <n v="4.9800000000000004"/>
    <n v="24.9"/>
    <n v="3.73"/>
    <x v="288"/>
    <n v="356"/>
  </r>
  <r>
    <n v="2800"/>
    <x v="2"/>
    <x v="332"/>
    <x v="2"/>
    <x v="14"/>
    <n v="2"/>
    <n v="22.31"/>
    <n v="44.62"/>
    <n v="0"/>
    <x v="1125"/>
    <n v="4"/>
  </r>
  <r>
    <n v="1310"/>
    <x v="0"/>
    <x v="342"/>
    <x v="5"/>
    <x v="12"/>
    <n v="4"/>
    <n v="28.55"/>
    <n v="114.2"/>
    <n v="1.38"/>
    <x v="1126"/>
    <n v="218"/>
  </r>
  <r>
    <n v="6139"/>
    <x v="4"/>
    <x v="11"/>
    <x v="7"/>
    <x v="11"/>
    <n v="1"/>
    <n v="29.42"/>
    <n v="29.42"/>
    <n v="2.74"/>
    <x v="1127"/>
    <n v="332"/>
  </r>
  <r>
    <n v="3481"/>
    <x v="2"/>
    <x v="596"/>
    <x v="5"/>
    <x v="7"/>
    <n v="2"/>
    <n v="1.98"/>
    <n v="3.96"/>
    <n v="0.4"/>
    <x v="1128"/>
    <n v="123"/>
  </r>
  <r>
    <n v="4340"/>
    <x v="5"/>
    <x v="413"/>
    <x v="6"/>
    <x v="6"/>
    <n v="4"/>
    <n v="23.49"/>
    <n v="93.96"/>
    <n v="9.4"/>
    <x v="1129"/>
    <n v="407"/>
  </r>
  <r>
    <n v="9221"/>
    <x v="3"/>
    <x v="314"/>
    <x v="8"/>
    <x v="8"/>
    <n v="3"/>
    <n v="1.33"/>
    <n v="3.99"/>
    <n v="2.96"/>
    <x v="1130"/>
    <n v="59"/>
  </r>
  <r>
    <n v="8726"/>
    <x v="1"/>
    <x v="94"/>
    <x v="2"/>
    <x v="10"/>
    <n v="5"/>
    <n v="17.61"/>
    <n v="88.05"/>
    <n v="13.21"/>
    <x v="1131"/>
    <n v="293"/>
  </r>
  <r>
    <n v="2020"/>
    <x v="0"/>
    <x v="269"/>
    <x v="6"/>
    <x v="6"/>
    <n v="4"/>
    <n v="15.03"/>
    <n v="60.12"/>
    <n v="9.02"/>
    <x v="1132"/>
    <n v="330"/>
  </r>
  <r>
    <n v="3262"/>
    <x v="2"/>
    <x v="388"/>
    <x v="1"/>
    <x v="3"/>
    <n v="1"/>
    <n v="21.69"/>
    <n v="21.69"/>
    <n v="2.17"/>
    <x v="684"/>
    <n v="441"/>
  </r>
  <r>
    <n v="4397"/>
    <x v="6"/>
    <x v="9"/>
    <x v="3"/>
    <x v="2"/>
    <n v="5"/>
    <n v="23.71"/>
    <n v="118.55"/>
    <n v="3.08"/>
    <x v="1133"/>
    <n v="271"/>
  </r>
  <r>
    <n v="6325"/>
    <x v="1"/>
    <x v="494"/>
    <x v="5"/>
    <x v="17"/>
    <n v="2"/>
    <n v="28.99"/>
    <n v="57.98"/>
    <n v="11.6"/>
    <x v="1134"/>
    <n v="459"/>
  </r>
  <r>
    <n v="8837"/>
    <x v="2"/>
    <x v="470"/>
    <x v="0"/>
    <x v="2"/>
    <n v="4"/>
    <n v="24.2"/>
    <n v="96.8"/>
    <n v="19.36"/>
    <x v="1135"/>
    <n v="62"/>
  </r>
  <r>
    <n v="7173"/>
    <x v="8"/>
    <x v="597"/>
    <x v="5"/>
    <x v="6"/>
    <n v="1"/>
    <n v="17.3"/>
    <n v="17.3"/>
    <n v="4.92"/>
    <x v="1136"/>
    <n v="435"/>
  </r>
  <r>
    <n v="3837"/>
    <x v="1"/>
    <x v="498"/>
    <x v="8"/>
    <x v="4"/>
    <n v="5"/>
    <n v="5.97"/>
    <n v="29.85"/>
    <n v="5.97"/>
    <x v="1137"/>
    <n v="500"/>
  </r>
  <r>
    <n v="9734"/>
    <x v="5"/>
    <x v="598"/>
    <x v="0"/>
    <x v="15"/>
    <n v="3"/>
    <n v="20.11"/>
    <n v="60.33"/>
    <n v="2.96"/>
    <x v="1138"/>
    <n v="227"/>
  </r>
  <r>
    <n v="9950"/>
    <x v="7"/>
    <x v="36"/>
    <x v="9"/>
    <x v="4"/>
    <n v="5"/>
    <n v="16.600000000000001"/>
    <n v="83"/>
    <n v="0"/>
    <x v="1139"/>
    <n v="107"/>
  </r>
  <r>
    <n v="5331"/>
    <x v="6"/>
    <x v="39"/>
    <x v="2"/>
    <x v="11"/>
    <n v="2"/>
    <n v="5.0999999999999996"/>
    <n v="10.199999999999999"/>
    <n v="2.04"/>
    <x v="1140"/>
    <n v="438"/>
  </r>
  <r>
    <n v="8932"/>
    <x v="1"/>
    <x v="226"/>
    <x v="2"/>
    <x v="4"/>
    <n v="3"/>
    <n v="4.72"/>
    <n v="14.16"/>
    <n v="3.2"/>
    <x v="1141"/>
    <n v="318"/>
  </r>
  <r>
    <n v="5038"/>
    <x v="5"/>
    <x v="126"/>
    <x v="3"/>
    <x v="6"/>
    <n v="4"/>
    <n v="14.22"/>
    <n v="56.88"/>
    <n v="0"/>
    <x v="1142"/>
    <n v="483"/>
  </r>
  <r>
    <n v="5890"/>
    <x v="9"/>
    <x v="240"/>
    <x v="7"/>
    <x v="2"/>
    <n v="2"/>
    <n v="3.04"/>
    <n v="6.08"/>
    <n v="0"/>
    <x v="1143"/>
    <n v="375"/>
  </r>
  <r>
    <n v="5876"/>
    <x v="8"/>
    <x v="599"/>
    <x v="4"/>
    <x v="15"/>
    <n v="5"/>
    <n v="5.75"/>
    <n v="28.75"/>
    <n v="4.3099999999999996"/>
    <x v="795"/>
    <n v="420"/>
  </r>
  <r>
    <n v="5735"/>
    <x v="3"/>
    <x v="30"/>
    <x v="3"/>
    <x v="10"/>
    <n v="5"/>
    <n v="8.17"/>
    <n v="40.85"/>
    <n v="1.44"/>
    <x v="806"/>
    <n v="138"/>
  </r>
  <r>
    <n v="4396"/>
    <x v="1"/>
    <x v="324"/>
    <x v="3"/>
    <x v="13"/>
    <n v="3"/>
    <n v="19.559999999999999"/>
    <n v="58.68"/>
    <n v="8.8000000000000007"/>
    <x v="1144"/>
    <n v="185"/>
  </r>
  <r>
    <n v="9011"/>
    <x v="2"/>
    <x v="600"/>
    <x v="2"/>
    <x v="0"/>
    <n v="1"/>
    <n v="3.83"/>
    <n v="3.83"/>
    <n v="0.38"/>
    <x v="1145"/>
    <n v="496"/>
  </r>
  <r>
    <n v="8861"/>
    <x v="0"/>
    <x v="376"/>
    <x v="1"/>
    <x v="6"/>
    <n v="5"/>
    <n v="22.11"/>
    <n v="110.55"/>
    <n v="3.12"/>
    <x v="1146"/>
    <n v="156"/>
  </r>
  <r>
    <n v="5480"/>
    <x v="5"/>
    <x v="380"/>
    <x v="9"/>
    <x v="0"/>
    <n v="5"/>
    <n v="3.86"/>
    <n v="19.3"/>
    <n v="2.9"/>
    <x v="1147"/>
    <n v="24"/>
  </r>
  <r>
    <n v="2996"/>
    <x v="3"/>
    <x v="340"/>
    <x v="7"/>
    <x v="4"/>
    <n v="5"/>
    <n v="16.989999999999998"/>
    <n v="84.95"/>
    <n v="8.5"/>
    <x v="1148"/>
    <n v="451"/>
  </r>
  <r>
    <n v="9899"/>
    <x v="2"/>
    <x v="41"/>
    <x v="8"/>
    <x v="10"/>
    <n v="5"/>
    <n v="21.67"/>
    <n v="108.35"/>
    <n v="21.67"/>
    <x v="1076"/>
    <n v="336"/>
  </r>
  <r>
    <n v="7464"/>
    <x v="3"/>
    <x v="601"/>
    <x v="6"/>
    <x v="0"/>
    <n v="1"/>
    <n v="27.62"/>
    <n v="27.62"/>
    <n v="0"/>
    <x v="1149"/>
    <n v="327"/>
  </r>
  <r>
    <n v="6654"/>
    <x v="8"/>
    <x v="32"/>
    <x v="5"/>
    <x v="1"/>
    <n v="4"/>
    <n v="6.3"/>
    <n v="25.2"/>
    <n v="2.15"/>
    <x v="1150"/>
    <n v="181"/>
  </r>
  <r>
    <n v="3399"/>
    <x v="3"/>
    <x v="563"/>
    <x v="9"/>
    <x v="5"/>
    <n v="3"/>
    <n v="19.420000000000002"/>
    <n v="58.26"/>
    <n v="5.83"/>
    <x v="1151"/>
    <n v="44"/>
  </r>
  <r>
    <n v="1689"/>
    <x v="7"/>
    <x v="380"/>
    <x v="1"/>
    <x v="13"/>
    <n v="1"/>
    <n v="22.16"/>
    <n v="22.16"/>
    <n v="4.43"/>
    <x v="149"/>
    <n v="483"/>
  </r>
  <r>
    <n v="2294"/>
    <x v="6"/>
    <x v="306"/>
    <x v="1"/>
    <x v="9"/>
    <n v="5"/>
    <n v="27.95"/>
    <n v="139.75"/>
    <n v="13.98"/>
    <x v="1152"/>
    <n v="413"/>
  </r>
  <r>
    <n v="8247"/>
    <x v="1"/>
    <x v="246"/>
    <x v="7"/>
    <x v="16"/>
    <n v="4"/>
    <n v="15.93"/>
    <n v="63.72"/>
    <n v="6.37"/>
    <x v="1153"/>
    <n v="346"/>
  </r>
  <r>
    <n v="5201"/>
    <x v="6"/>
    <x v="543"/>
    <x v="6"/>
    <x v="14"/>
    <n v="1"/>
    <n v="21.7"/>
    <n v="21.7"/>
    <n v="4.34"/>
    <x v="1154"/>
    <n v="359"/>
  </r>
  <r>
    <n v="8849"/>
    <x v="1"/>
    <x v="112"/>
    <x v="5"/>
    <x v="11"/>
    <n v="5"/>
    <n v="14"/>
    <n v="70"/>
    <n v="14"/>
    <x v="1155"/>
    <n v="86"/>
  </r>
  <r>
    <n v="4310"/>
    <x v="0"/>
    <x v="602"/>
    <x v="4"/>
    <x v="12"/>
    <n v="5"/>
    <n v="11.24"/>
    <n v="56.2"/>
    <n v="5.62"/>
    <x v="1156"/>
    <n v="26"/>
  </r>
  <r>
    <n v="9824"/>
    <x v="3"/>
    <x v="330"/>
    <x v="7"/>
    <x v="4"/>
    <n v="1"/>
    <n v="10.79"/>
    <n v="10.79"/>
    <n v="4.4000000000000004"/>
    <x v="1157"/>
    <n v="347"/>
  </r>
  <r>
    <n v="5450"/>
    <x v="0"/>
    <x v="526"/>
    <x v="8"/>
    <x v="9"/>
    <n v="4"/>
    <n v="9.5"/>
    <n v="38"/>
    <n v="0"/>
    <x v="1158"/>
    <n v="109"/>
  </r>
  <r>
    <n v="2789"/>
    <x v="3"/>
    <x v="229"/>
    <x v="2"/>
    <x v="9"/>
    <n v="5"/>
    <n v="24.94"/>
    <n v="124.7"/>
    <n v="4.3899999999999997"/>
    <x v="1159"/>
    <n v="18"/>
  </r>
  <r>
    <n v="4920"/>
    <x v="6"/>
    <x v="114"/>
    <x v="4"/>
    <x v="10"/>
    <n v="5"/>
    <n v="14.34"/>
    <n v="71.7"/>
    <n v="1.02"/>
    <x v="1160"/>
    <n v="152"/>
  </r>
  <r>
    <n v="1831"/>
    <x v="2"/>
    <x v="37"/>
    <x v="3"/>
    <x v="4"/>
    <n v="1"/>
    <n v="3.93"/>
    <n v="3.93"/>
    <n v="3.12"/>
    <x v="1161"/>
    <n v="251"/>
  </r>
  <r>
    <n v="9700"/>
    <x v="2"/>
    <x v="603"/>
    <x v="3"/>
    <x v="17"/>
    <n v="4"/>
    <n v="1.19"/>
    <n v="4.76"/>
    <n v="0.95"/>
    <x v="1162"/>
    <n v="393"/>
  </r>
  <r>
    <n v="4814"/>
    <x v="4"/>
    <x v="293"/>
    <x v="3"/>
    <x v="4"/>
    <n v="3"/>
    <n v="11.56"/>
    <n v="34.68"/>
    <n v="4.25"/>
    <x v="1163"/>
    <n v="456"/>
  </r>
  <r>
    <n v="2641"/>
    <x v="0"/>
    <x v="480"/>
    <x v="10"/>
    <x v="8"/>
    <n v="2"/>
    <n v="5.05"/>
    <n v="10.1"/>
    <n v="2.44"/>
    <x v="1164"/>
    <n v="382"/>
  </r>
  <r>
    <n v="6411"/>
    <x v="8"/>
    <x v="171"/>
    <x v="1"/>
    <x v="14"/>
    <n v="3"/>
    <n v="2.16"/>
    <n v="6.48"/>
    <n v="0"/>
    <x v="1165"/>
    <n v="202"/>
  </r>
  <r>
    <n v="8739"/>
    <x v="7"/>
    <x v="335"/>
    <x v="0"/>
    <x v="6"/>
    <n v="2"/>
    <n v="28.49"/>
    <n v="56.98"/>
    <n v="2.68"/>
    <x v="1166"/>
    <n v="491"/>
  </r>
  <r>
    <n v="3252"/>
    <x v="1"/>
    <x v="604"/>
    <x v="10"/>
    <x v="12"/>
    <n v="3"/>
    <n v="22.77"/>
    <n v="68.31"/>
    <n v="3.9"/>
    <x v="1167"/>
    <n v="399"/>
  </r>
  <r>
    <n v="3587"/>
    <x v="3"/>
    <x v="270"/>
    <x v="7"/>
    <x v="17"/>
    <n v="1"/>
    <n v="23.98"/>
    <n v="23.98"/>
    <n v="3.6"/>
    <x v="1168"/>
    <n v="64"/>
  </r>
  <r>
    <n v="8793"/>
    <x v="1"/>
    <x v="276"/>
    <x v="0"/>
    <x v="5"/>
    <n v="1"/>
    <n v="20.66"/>
    <n v="20.66"/>
    <n v="3.95"/>
    <x v="1169"/>
    <n v="175"/>
  </r>
  <r>
    <n v="4267"/>
    <x v="9"/>
    <x v="59"/>
    <x v="10"/>
    <x v="9"/>
    <n v="3"/>
    <n v="15.08"/>
    <n v="45.24"/>
    <n v="9.0500000000000007"/>
    <x v="1170"/>
    <n v="389"/>
  </r>
  <r>
    <n v="5706"/>
    <x v="2"/>
    <x v="513"/>
    <x v="9"/>
    <x v="6"/>
    <n v="2"/>
    <n v="9.14"/>
    <n v="18.28"/>
    <n v="0"/>
    <x v="236"/>
    <n v="58"/>
  </r>
  <r>
    <n v="5676"/>
    <x v="8"/>
    <x v="325"/>
    <x v="5"/>
    <x v="1"/>
    <n v="2"/>
    <n v="14.73"/>
    <n v="29.46"/>
    <n v="0"/>
    <x v="814"/>
    <n v="400"/>
  </r>
  <r>
    <n v="1969"/>
    <x v="1"/>
    <x v="351"/>
    <x v="6"/>
    <x v="6"/>
    <n v="2"/>
    <n v="29.77"/>
    <n v="59.54"/>
    <n v="11.91"/>
    <x v="1171"/>
    <n v="302"/>
  </r>
  <r>
    <n v="2465"/>
    <x v="0"/>
    <x v="371"/>
    <x v="7"/>
    <x v="7"/>
    <n v="1"/>
    <n v="8.93"/>
    <n v="8.93"/>
    <n v="0.89"/>
    <x v="1172"/>
    <n v="98"/>
  </r>
  <r>
    <n v="4804"/>
    <x v="6"/>
    <x v="605"/>
    <x v="6"/>
    <x v="14"/>
    <n v="1"/>
    <n v="26.06"/>
    <n v="26.06"/>
    <n v="2.23"/>
    <x v="1173"/>
    <n v="194"/>
  </r>
  <r>
    <n v="1611"/>
    <x v="8"/>
    <x v="49"/>
    <x v="2"/>
    <x v="3"/>
    <n v="4"/>
    <n v="14.89"/>
    <n v="59.56"/>
    <n v="0"/>
    <x v="1174"/>
    <n v="261"/>
  </r>
  <r>
    <n v="3868"/>
    <x v="6"/>
    <x v="606"/>
    <x v="8"/>
    <x v="17"/>
    <n v="3"/>
    <n v="11.53"/>
    <n v="34.590000000000003"/>
    <n v="0"/>
    <x v="1175"/>
    <n v="482"/>
  </r>
  <r>
    <n v="3880"/>
    <x v="3"/>
    <x v="580"/>
    <x v="2"/>
    <x v="3"/>
    <n v="1"/>
    <n v="6.26"/>
    <n v="6.26"/>
    <n v="0"/>
    <x v="1176"/>
    <n v="0"/>
  </r>
  <r>
    <n v="1595"/>
    <x v="7"/>
    <x v="130"/>
    <x v="2"/>
    <x v="9"/>
    <n v="4"/>
    <n v="9.11"/>
    <n v="36.44"/>
    <n v="3.64"/>
    <x v="1177"/>
    <n v="310"/>
  </r>
  <r>
    <n v="7504"/>
    <x v="2"/>
    <x v="464"/>
    <x v="8"/>
    <x v="16"/>
    <n v="3"/>
    <n v="10.68"/>
    <n v="32.04"/>
    <n v="0"/>
    <x v="1178"/>
    <n v="57"/>
  </r>
  <r>
    <n v="9116"/>
    <x v="6"/>
    <x v="607"/>
    <x v="5"/>
    <x v="2"/>
    <n v="2"/>
    <n v="10.6"/>
    <n v="21.2"/>
    <n v="0"/>
    <x v="1179"/>
    <n v="379"/>
  </r>
  <r>
    <n v="5742"/>
    <x v="1"/>
    <x v="445"/>
    <x v="6"/>
    <x v="4"/>
    <n v="2"/>
    <n v="19.850000000000001"/>
    <n v="39.700000000000003"/>
    <n v="4.55"/>
    <x v="24"/>
    <n v="107"/>
  </r>
  <r>
    <n v="1613"/>
    <x v="2"/>
    <x v="156"/>
    <x v="5"/>
    <x v="17"/>
    <n v="1"/>
    <n v="18"/>
    <n v="18"/>
    <n v="3.6"/>
    <x v="1180"/>
    <n v="467"/>
  </r>
  <r>
    <n v="5888"/>
    <x v="4"/>
    <x v="608"/>
    <x v="1"/>
    <x v="13"/>
    <n v="5"/>
    <n v="18.940000000000001"/>
    <n v="94.7"/>
    <n v="18.940000000000001"/>
    <x v="1181"/>
    <n v="154"/>
  </r>
  <r>
    <n v="2758"/>
    <x v="1"/>
    <x v="155"/>
    <x v="7"/>
    <x v="11"/>
    <n v="2"/>
    <n v="6.55"/>
    <n v="13.1"/>
    <n v="4.9000000000000004"/>
    <x v="1182"/>
    <n v="281"/>
  </r>
  <r>
    <n v="6489"/>
    <x v="7"/>
    <x v="136"/>
    <x v="10"/>
    <x v="17"/>
    <n v="4"/>
    <n v="2.95"/>
    <n v="11.8"/>
    <n v="2.36"/>
    <x v="843"/>
    <n v="214"/>
  </r>
  <r>
    <n v="8444"/>
    <x v="5"/>
    <x v="461"/>
    <x v="7"/>
    <x v="9"/>
    <n v="1"/>
    <n v="28.71"/>
    <n v="28.71"/>
    <n v="0"/>
    <x v="1183"/>
    <n v="31"/>
  </r>
  <r>
    <n v="9901"/>
    <x v="3"/>
    <x v="609"/>
    <x v="10"/>
    <x v="2"/>
    <n v="5"/>
    <n v="29.16"/>
    <n v="145.80000000000001"/>
    <n v="2.54"/>
    <x v="1184"/>
    <n v="84"/>
  </r>
  <r>
    <n v="9092"/>
    <x v="3"/>
    <x v="369"/>
    <x v="3"/>
    <x v="0"/>
    <n v="2"/>
    <n v="6.33"/>
    <n v="12.66"/>
    <n v="3.79"/>
    <x v="729"/>
    <n v="81"/>
  </r>
  <r>
    <n v="3198"/>
    <x v="1"/>
    <x v="144"/>
    <x v="10"/>
    <x v="15"/>
    <n v="5"/>
    <n v="8.5"/>
    <n v="42.5"/>
    <n v="6.38"/>
    <x v="671"/>
    <n v="436"/>
  </r>
  <r>
    <n v="9261"/>
    <x v="5"/>
    <x v="447"/>
    <x v="9"/>
    <x v="17"/>
    <n v="2"/>
    <n v="7.48"/>
    <n v="14.96"/>
    <n v="2.2400000000000002"/>
    <x v="101"/>
    <n v="273"/>
  </r>
  <r>
    <n v="5470"/>
    <x v="6"/>
    <x v="226"/>
    <x v="5"/>
    <x v="12"/>
    <n v="3"/>
    <n v="27.88"/>
    <n v="83.64"/>
    <n v="0"/>
    <x v="1185"/>
    <n v="138"/>
  </r>
  <r>
    <n v="2845"/>
    <x v="8"/>
    <x v="378"/>
    <x v="2"/>
    <x v="2"/>
    <n v="1"/>
    <n v="1.03"/>
    <n v="1.03"/>
    <n v="0.15"/>
    <x v="1186"/>
    <n v="177"/>
  </r>
  <r>
    <n v="3662"/>
    <x v="0"/>
    <x v="610"/>
    <x v="9"/>
    <x v="0"/>
    <n v="2"/>
    <n v="12.83"/>
    <n v="25.66"/>
    <n v="3.85"/>
    <x v="1187"/>
    <n v="313"/>
  </r>
  <r>
    <n v="8518"/>
    <x v="6"/>
    <x v="362"/>
    <x v="5"/>
    <x v="10"/>
    <n v="3"/>
    <n v="7.35"/>
    <n v="22.05"/>
    <n v="4.41"/>
    <x v="1188"/>
    <n v="494"/>
  </r>
  <r>
    <n v="5215"/>
    <x v="5"/>
    <x v="538"/>
    <x v="0"/>
    <x v="2"/>
    <n v="5"/>
    <n v="4.08"/>
    <n v="20.399999999999999"/>
    <n v="0"/>
    <x v="1189"/>
    <n v="381"/>
  </r>
  <r>
    <n v="4050"/>
    <x v="5"/>
    <x v="450"/>
    <x v="5"/>
    <x v="2"/>
    <n v="2"/>
    <n v="24.68"/>
    <n v="49.36"/>
    <n v="7.4"/>
    <x v="1190"/>
    <n v="112"/>
  </r>
  <r>
    <n v="6523"/>
    <x v="8"/>
    <x v="534"/>
    <x v="6"/>
    <x v="7"/>
    <n v="2"/>
    <n v="13.93"/>
    <n v="27.86"/>
    <n v="4.18"/>
    <x v="1191"/>
    <n v="373"/>
  </r>
  <r>
    <n v="5833"/>
    <x v="2"/>
    <x v="608"/>
    <x v="10"/>
    <x v="13"/>
    <n v="4"/>
    <n v="6.25"/>
    <n v="25"/>
    <n v="5"/>
    <x v="1192"/>
    <n v="94"/>
  </r>
  <r>
    <n v="4164"/>
    <x v="4"/>
    <x v="444"/>
    <x v="7"/>
    <x v="9"/>
    <n v="1"/>
    <n v="9.98"/>
    <n v="9.98"/>
    <n v="1"/>
    <x v="1193"/>
    <n v="453"/>
  </r>
  <r>
    <n v="7643"/>
    <x v="8"/>
    <x v="363"/>
    <x v="1"/>
    <x v="12"/>
    <n v="1"/>
    <n v="13.36"/>
    <n v="13.36"/>
    <n v="3.9"/>
    <x v="1194"/>
    <n v="232"/>
  </r>
  <r>
    <n v="8007"/>
    <x v="2"/>
    <x v="550"/>
    <x v="0"/>
    <x v="17"/>
    <n v="4"/>
    <n v="12.13"/>
    <n v="48.52"/>
    <n v="0"/>
    <x v="1195"/>
    <n v="56"/>
  </r>
  <r>
    <n v="6372"/>
    <x v="6"/>
    <x v="4"/>
    <x v="7"/>
    <x v="5"/>
    <n v="1"/>
    <n v="8.75"/>
    <n v="8.75"/>
    <n v="4.83"/>
    <x v="1196"/>
    <n v="480"/>
  </r>
  <r>
    <n v="7567"/>
    <x v="0"/>
    <x v="111"/>
    <x v="9"/>
    <x v="3"/>
    <n v="1"/>
    <n v="6.86"/>
    <n v="6.86"/>
    <n v="1.37"/>
    <x v="1197"/>
    <n v="245"/>
  </r>
  <r>
    <n v="2562"/>
    <x v="5"/>
    <x v="343"/>
    <x v="4"/>
    <x v="16"/>
    <n v="2"/>
    <n v="8.06"/>
    <n v="16.12"/>
    <n v="0"/>
    <x v="277"/>
    <n v="278"/>
  </r>
  <r>
    <n v="3303"/>
    <x v="1"/>
    <x v="276"/>
    <x v="1"/>
    <x v="10"/>
    <n v="1"/>
    <n v="3.97"/>
    <n v="3.97"/>
    <n v="4.55"/>
    <x v="1198"/>
    <n v="151"/>
  </r>
  <r>
    <n v="6301"/>
    <x v="3"/>
    <x v="569"/>
    <x v="7"/>
    <x v="10"/>
    <n v="2"/>
    <n v="1.69"/>
    <n v="3.38"/>
    <n v="0.68"/>
    <x v="1199"/>
    <n v="218"/>
  </r>
  <r>
    <n v="5064"/>
    <x v="7"/>
    <x v="105"/>
    <x v="5"/>
    <x v="9"/>
    <n v="2"/>
    <n v="27.72"/>
    <n v="55.44"/>
    <n v="0"/>
    <x v="1200"/>
    <n v="350"/>
  </r>
  <r>
    <n v="5272"/>
    <x v="0"/>
    <x v="198"/>
    <x v="10"/>
    <x v="6"/>
    <n v="1"/>
    <n v="7.5"/>
    <n v="7.5"/>
    <n v="1.1200000000000001"/>
    <x v="1201"/>
    <n v="489"/>
  </r>
  <r>
    <n v="4858"/>
    <x v="0"/>
    <x v="258"/>
    <x v="6"/>
    <x v="3"/>
    <n v="1"/>
    <n v="11.44"/>
    <n v="11.44"/>
    <n v="3.42"/>
    <x v="1202"/>
    <n v="473"/>
  </r>
  <r>
    <n v="5374"/>
    <x v="2"/>
    <x v="378"/>
    <x v="3"/>
    <x v="15"/>
    <n v="3"/>
    <n v="18.38"/>
    <n v="55.14"/>
    <n v="11.03"/>
    <x v="1203"/>
    <n v="347"/>
  </r>
  <r>
    <n v="5947"/>
    <x v="5"/>
    <x v="183"/>
    <x v="6"/>
    <x v="9"/>
    <n v="3"/>
    <n v="26.38"/>
    <n v="79.14"/>
    <n v="0"/>
    <x v="73"/>
    <n v="138"/>
  </r>
  <r>
    <n v="1187"/>
    <x v="7"/>
    <x v="561"/>
    <x v="8"/>
    <x v="13"/>
    <n v="1"/>
    <n v="25.98"/>
    <n v="25.98"/>
    <n v="0"/>
    <x v="1204"/>
    <n v="500"/>
  </r>
  <r>
    <n v="6890"/>
    <x v="2"/>
    <x v="379"/>
    <x v="4"/>
    <x v="12"/>
    <n v="4"/>
    <n v="13.94"/>
    <n v="55.76"/>
    <n v="1.45"/>
    <x v="1205"/>
    <n v="407"/>
  </r>
  <r>
    <n v="4871"/>
    <x v="3"/>
    <x v="515"/>
    <x v="8"/>
    <x v="12"/>
    <n v="1"/>
    <n v="10.36"/>
    <n v="10.36"/>
    <n v="1.04"/>
    <x v="1206"/>
    <n v="65"/>
  </r>
  <r>
    <n v="2936"/>
    <x v="7"/>
    <x v="233"/>
    <x v="4"/>
    <x v="16"/>
    <n v="4"/>
    <n v="14.95"/>
    <n v="59.8"/>
    <n v="4.17"/>
    <x v="1207"/>
    <n v="498"/>
  </r>
  <r>
    <n v="6026"/>
    <x v="7"/>
    <x v="611"/>
    <x v="7"/>
    <x v="5"/>
    <n v="4"/>
    <n v="13.13"/>
    <n v="52.52"/>
    <n v="3.14"/>
    <x v="1208"/>
    <n v="254"/>
  </r>
  <r>
    <n v="7642"/>
    <x v="8"/>
    <x v="612"/>
    <x v="3"/>
    <x v="13"/>
    <n v="5"/>
    <n v="21.72"/>
    <n v="108.6"/>
    <n v="0"/>
    <x v="1209"/>
    <n v="269"/>
  </r>
  <r>
    <n v="9233"/>
    <x v="0"/>
    <x v="26"/>
    <x v="2"/>
    <x v="4"/>
    <n v="1"/>
    <n v="6.89"/>
    <n v="6.89"/>
    <n v="1.03"/>
    <x v="113"/>
    <n v="435"/>
  </r>
  <r>
    <n v="6095"/>
    <x v="1"/>
    <x v="324"/>
    <x v="10"/>
    <x v="12"/>
    <n v="1"/>
    <n v="2.72"/>
    <n v="2.72"/>
    <n v="0.54"/>
    <x v="1210"/>
    <n v="178"/>
  </r>
  <r>
    <n v="2923"/>
    <x v="5"/>
    <x v="431"/>
    <x v="10"/>
    <x v="12"/>
    <n v="5"/>
    <n v="29.17"/>
    <n v="145.85"/>
    <n v="29.17"/>
    <x v="1211"/>
    <n v="467"/>
  </r>
  <r>
    <n v="5833"/>
    <x v="8"/>
    <x v="530"/>
    <x v="2"/>
    <x v="11"/>
    <n v="2"/>
    <n v="4.3899999999999997"/>
    <n v="8.7799999999999994"/>
    <n v="0.88"/>
    <x v="1212"/>
    <n v="356"/>
  </r>
  <r>
    <n v="4618"/>
    <x v="6"/>
    <x v="439"/>
    <x v="3"/>
    <x v="4"/>
    <n v="1"/>
    <n v="21.33"/>
    <n v="21.33"/>
    <n v="2.13"/>
    <x v="1213"/>
    <n v="339"/>
  </r>
  <r>
    <n v="3188"/>
    <x v="2"/>
    <x v="613"/>
    <x v="0"/>
    <x v="12"/>
    <n v="3"/>
    <n v="5.09"/>
    <n v="15.27"/>
    <n v="3.28"/>
    <x v="1214"/>
    <n v="125"/>
  </r>
  <r>
    <n v="3509"/>
    <x v="3"/>
    <x v="243"/>
    <x v="7"/>
    <x v="6"/>
    <n v="4"/>
    <n v="22.55"/>
    <n v="90.2"/>
    <n v="9.02"/>
    <x v="1215"/>
    <n v="383"/>
  </r>
  <r>
    <n v="7121"/>
    <x v="3"/>
    <x v="272"/>
    <x v="4"/>
    <x v="8"/>
    <n v="1"/>
    <n v="9.31"/>
    <n v="9.31"/>
    <n v="0"/>
    <x v="1216"/>
    <n v="79"/>
  </r>
  <r>
    <n v="9998"/>
    <x v="6"/>
    <x v="614"/>
    <x v="6"/>
    <x v="6"/>
    <n v="5"/>
    <n v="5.64"/>
    <n v="28.2"/>
    <n v="0"/>
    <x v="1217"/>
    <n v="202"/>
  </r>
  <r>
    <n v="8714"/>
    <x v="4"/>
    <x v="615"/>
    <x v="9"/>
    <x v="0"/>
    <n v="5"/>
    <n v="15.54"/>
    <n v="77.7"/>
    <n v="7.77"/>
    <x v="1218"/>
    <n v="363"/>
  </r>
  <r>
    <n v="9806"/>
    <x v="2"/>
    <x v="255"/>
    <x v="8"/>
    <x v="13"/>
    <n v="5"/>
    <n v="11.94"/>
    <n v="59.7"/>
    <n v="0"/>
    <x v="1219"/>
    <n v="486"/>
  </r>
  <r>
    <n v="4578"/>
    <x v="8"/>
    <x v="616"/>
    <x v="3"/>
    <x v="11"/>
    <n v="2"/>
    <n v="12.37"/>
    <n v="24.74"/>
    <n v="0"/>
    <x v="1220"/>
    <n v="421"/>
  </r>
  <r>
    <n v="5054"/>
    <x v="4"/>
    <x v="68"/>
    <x v="10"/>
    <x v="3"/>
    <n v="4"/>
    <n v="24.98"/>
    <n v="99.92"/>
    <n v="14.99"/>
    <x v="1221"/>
    <n v="84"/>
  </r>
  <r>
    <n v="2341"/>
    <x v="3"/>
    <x v="470"/>
    <x v="2"/>
    <x v="0"/>
    <n v="1"/>
    <n v="4.0199999999999996"/>
    <n v="4.0199999999999996"/>
    <n v="1.96"/>
    <x v="1222"/>
    <n v="185"/>
  </r>
  <r>
    <n v="8319"/>
    <x v="2"/>
    <x v="66"/>
    <x v="9"/>
    <x v="17"/>
    <n v="1"/>
    <n v="7.14"/>
    <n v="7.14"/>
    <n v="1.43"/>
    <x v="1223"/>
    <n v="5"/>
  </r>
  <r>
    <n v="6927"/>
    <x v="1"/>
    <x v="264"/>
    <x v="2"/>
    <x v="11"/>
    <n v="2"/>
    <n v="8.8000000000000007"/>
    <n v="17.600000000000001"/>
    <n v="4.95"/>
    <x v="1224"/>
    <n v="500"/>
  </r>
  <r>
    <n v="2838"/>
    <x v="4"/>
    <x v="121"/>
    <x v="0"/>
    <x v="11"/>
    <n v="3"/>
    <n v="3.69"/>
    <n v="11.07"/>
    <n v="1.66"/>
    <x v="1225"/>
    <n v="158"/>
  </r>
  <r>
    <n v="9972"/>
    <x v="5"/>
    <x v="420"/>
    <x v="3"/>
    <x v="15"/>
    <n v="2"/>
    <n v="10.11"/>
    <n v="20.22"/>
    <n v="4.04"/>
    <x v="1226"/>
    <n v="200"/>
  </r>
  <r>
    <n v="9281"/>
    <x v="0"/>
    <x v="617"/>
    <x v="4"/>
    <x v="1"/>
    <n v="5"/>
    <n v="3.92"/>
    <n v="19.600000000000001"/>
    <n v="3.35"/>
    <x v="215"/>
    <n v="413"/>
  </r>
  <r>
    <n v="9792"/>
    <x v="3"/>
    <x v="618"/>
    <x v="10"/>
    <x v="11"/>
    <n v="3"/>
    <n v="5.67"/>
    <n v="17.010000000000002"/>
    <n v="4.54"/>
    <x v="1227"/>
    <n v="349"/>
  </r>
  <r>
    <n v="3695"/>
    <x v="0"/>
    <x v="289"/>
    <x v="2"/>
    <x v="14"/>
    <n v="2"/>
    <n v="23.29"/>
    <n v="46.58"/>
    <n v="4.66"/>
    <x v="1228"/>
    <n v="82"/>
  </r>
  <r>
    <n v="9525"/>
    <x v="2"/>
    <x v="234"/>
    <x v="4"/>
    <x v="9"/>
    <n v="3"/>
    <n v="19.07"/>
    <n v="57.21"/>
    <n v="4.5599999999999996"/>
    <x v="1229"/>
    <n v="481"/>
  </r>
  <r>
    <n v="2904"/>
    <x v="3"/>
    <x v="68"/>
    <x v="2"/>
    <x v="14"/>
    <n v="5"/>
    <n v="18.59"/>
    <n v="92.95"/>
    <n v="3.51"/>
    <x v="968"/>
    <n v="490"/>
  </r>
  <r>
    <n v="4365"/>
    <x v="4"/>
    <x v="10"/>
    <x v="1"/>
    <x v="10"/>
    <n v="2"/>
    <n v="23.21"/>
    <n v="46.42"/>
    <n v="4.6399999999999997"/>
    <x v="1230"/>
    <n v="158"/>
  </r>
  <r>
    <n v="9008"/>
    <x v="0"/>
    <x v="375"/>
    <x v="10"/>
    <x v="3"/>
    <n v="2"/>
    <n v="28.08"/>
    <n v="56.16"/>
    <n v="8.42"/>
    <x v="1231"/>
    <n v="82"/>
  </r>
  <r>
    <n v="9361"/>
    <x v="7"/>
    <x v="258"/>
    <x v="4"/>
    <x v="13"/>
    <n v="1"/>
    <n v="6.19"/>
    <n v="6.19"/>
    <n v="0.93"/>
    <x v="1232"/>
    <n v="395"/>
  </r>
  <r>
    <n v="1911"/>
    <x v="4"/>
    <x v="34"/>
    <x v="8"/>
    <x v="8"/>
    <n v="2"/>
    <n v="28.25"/>
    <n v="56.5"/>
    <n v="2.4500000000000002"/>
    <x v="1233"/>
    <n v="497"/>
  </r>
  <r>
    <n v="3161"/>
    <x v="5"/>
    <x v="471"/>
    <x v="3"/>
    <x v="1"/>
    <n v="5"/>
    <n v="27.59"/>
    <n v="137.94999999999999"/>
    <n v="20.69"/>
    <x v="1234"/>
    <n v="66"/>
  </r>
  <r>
    <n v="7806"/>
    <x v="1"/>
    <x v="254"/>
    <x v="6"/>
    <x v="3"/>
    <n v="3"/>
    <n v="3.41"/>
    <n v="10.23"/>
    <n v="1.53"/>
    <x v="1235"/>
    <n v="211"/>
  </r>
  <r>
    <n v="1945"/>
    <x v="6"/>
    <x v="256"/>
    <x v="6"/>
    <x v="11"/>
    <n v="2"/>
    <n v="21.28"/>
    <n v="42.56"/>
    <n v="8.51"/>
    <x v="1236"/>
    <n v="287"/>
  </r>
  <r>
    <n v="8575"/>
    <x v="0"/>
    <x v="239"/>
    <x v="8"/>
    <x v="7"/>
    <n v="2"/>
    <n v="17.52"/>
    <n v="35.04"/>
    <n v="7.01"/>
    <x v="1237"/>
    <n v="437"/>
  </r>
  <r>
    <n v="6049"/>
    <x v="3"/>
    <x v="619"/>
    <x v="10"/>
    <x v="13"/>
    <n v="3"/>
    <n v="14.5"/>
    <n v="43.5"/>
    <n v="1.34"/>
    <x v="673"/>
    <n v="328"/>
  </r>
  <r>
    <n v="1356"/>
    <x v="0"/>
    <x v="51"/>
    <x v="3"/>
    <x v="1"/>
    <n v="2"/>
    <n v="12.63"/>
    <n v="25.26"/>
    <n v="3.79"/>
    <x v="1238"/>
    <n v="33"/>
  </r>
  <r>
    <n v="5169"/>
    <x v="4"/>
    <x v="201"/>
    <x v="2"/>
    <x v="16"/>
    <n v="1"/>
    <n v="9.06"/>
    <n v="9.06"/>
    <n v="0.91"/>
    <x v="1239"/>
    <n v="19"/>
  </r>
  <r>
    <n v="1049"/>
    <x v="2"/>
    <x v="329"/>
    <x v="5"/>
    <x v="14"/>
    <n v="3"/>
    <n v="17.47"/>
    <n v="52.41"/>
    <n v="4.75"/>
    <x v="1240"/>
    <n v="307"/>
  </r>
  <r>
    <n v="4570"/>
    <x v="7"/>
    <x v="149"/>
    <x v="3"/>
    <x v="16"/>
    <n v="2"/>
    <n v="2.56"/>
    <n v="5.12"/>
    <n v="0"/>
    <x v="1241"/>
    <n v="444"/>
  </r>
  <r>
    <n v="2196"/>
    <x v="3"/>
    <x v="31"/>
    <x v="8"/>
    <x v="0"/>
    <n v="2"/>
    <n v="3.41"/>
    <n v="6.82"/>
    <n v="0.68"/>
    <x v="1242"/>
    <n v="35"/>
  </r>
  <r>
    <n v="7941"/>
    <x v="0"/>
    <x v="328"/>
    <x v="8"/>
    <x v="8"/>
    <n v="4"/>
    <n v="16.21"/>
    <n v="64.84"/>
    <n v="12.97"/>
    <x v="591"/>
    <n v="342"/>
  </r>
  <r>
    <n v="2044"/>
    <x v="6"/>
    <x v="620"/>
    <x v="1"/>
    <x v="1"/>
    <n v="3"/>
    <n v="28.93"/>
    <n v="86.79"/>
    <n v="17.36"/>
    <x v="1243"/>
    <n v="152"/>
  </r>
  <r>
    <n v="1987"/>
    <x v="7"/>
    <x v="580"/>
    <x v="3"/>
    <x v="16"/>
    <n v="4"/>
    <n v="16.52"/>
    <n v="66.08"/>
    <n v="0"/>
    <x v="1244"/>
    <n v="401"/>
  </r>
  <r>
    <n v="2130"/>
    <x v="3"/>
    <x v="580"/>
    <x v="4"/>
    <x v="7"/>
    <n v="1"/>
    <n v="17.260000000000002"/>
    <n v="17.260000000000002"/>
    <n v="3.89"/>
    <x v="1245"/>
    <n v="457"/>
  </r>
  <r>
    <n v="8734"/>
    <x v="2"/>
    <x v="5"/>
    <x v="4"/>
    <x v="3"/>
    <n v="1"/>
    <n v="5.35"/>
    <n v="5.35"/>
    <n v="0.54"/>
    <x v="1246"/>
    <n v="234"/>
  </r>
  <r>
    <n v="5703"/>
    <x v="7"/>
    <x v="355"/>
    <x v="1"/>
    <x v="1"/>
    <n v="3"/>
    <n v="16.09"/>
    <n v="48.27"/>
    <n v="9.65"/>
    <x v="1247"/>
    <n v="1"/>
  </r>
  <r>
    <n v="3948"/>
    <x v="4"/>
    <x v="564"/>
    <x v="5"/>
    <x v="17"/>
    <n v="1"/>
    <n v="7.33"/>
    <n v="7.33"/>
    <n v="0"/>
    <x v="1248"/>
    <n v="96"/>
  </r>
  <r>
    <n v="3218"/>
    <x v="1"/>
    <x v="90"/>
    <x v="7"/>
    <x v="7"/>
    <n v="2"/>
    <n v="11.08"/>
    <n v="22.16"/>
    <n v="0"/>
    <x v="1249"/>
    <n v="487"/>
  </r>
  <r>
    <n v="7887"/>
    <x v="9"/>
    <x v="482"/>
    <x v="4"/>
    <x v="4"/>
    <n v="1"/>
    <n v="9.75"/>
    <n v="9.75"/>
    <n v="0"/>
    <x v="776"/>
    <n v="157"/>
  </r>
  <r>
    <n v="7266"/>
    <x v="4"/>
    <x v="12"/>
    <x v="5"/>
    <x v="8"/>
    <n v="4"/>
    <n v="12.89"/>
    <n v="51.56"/>
    <n v="4.9000000000000004"/>
    <x v="1250"/>
    <n v="180"/>
  </r>
  <r>
    <n v="7184"/>
    <x v="7"/>
    <x v="422"/>
    <x v="1"/>
    <x v="6"/>
    <n v="4"/>
    <n v="13.41"/>
    <n v="53.64"/>
    <n v="2.74"/>
    <x v="1251"/>
    <n v="90"/>
  </r>
  <r>
    <n v="2314"/>
    <x v="5"/>
    <x v="621"/>
    <x v="5"/>
    <x v="1"/>
    <n v="3"/>
    <n v="21.35"/>
    <n v="64.05"/>
    <n v="4.22"/>
    <x v="1252"/>
    <n v="480"/>
  </r>
  <r>
    <n v="9835"/>
    <x v="0"/>
    <x v="546"/>
    <x v="1"/>
    <x v="10"/>
    <n v="5"/>
    <n v="28.03"/>
    <n v="140.15"/>
    <n v="0"/>
    <x v="1253"/>
    <n v="53"/>
  </r>
  <r>
    <n v="6697"/>
    <x v="1"/>
    <x v="348"/>
    <x v="1"/>
    <x v="8"/>
    <n v="5"/>
    <n v="17.850000000000001"/>
    <n v="89.25"/>
    <n v="8.93"/>
    <x v="1254"/>
    <n v="16"/>
  </r>
  <r>
    <n v="3924"/>
    <x v="8"/>
    <x v="622"/>
    <x v="2"/>
    <x v="8"/>
    <n v="5"/>
    <n v="12.04"/>
    <n v="60.2"/>
    <n v="2.4"/>
    <x v="1255"/>
    <n v="100"/>
  </r>
  <r>
    <n v="7439"/>
    <x v="4"/>
    <x v="66"/>
    <x v="3"/>
    <x v="7"/>
    <n v="1"/>
    <n v="28.24"/>
    <n v="28.24"/>
    <n v="2.13"/>
    <x v="1256"/>
    <n v="400"/>
  </r>
  <r>
    <n v="3086"/>
    <x v="5"/>
    <x v="122"/>
    <x v="8"/>
    <x v="1"/>
    <n v="2"/>
    <n v="1.1100000000000001"/>
    <n v="2.2200000000000002"/>
    <n v="1.06"/>
    <x v="1257"/>
    <n v="465"/>
  </r>
  <r>
    <n v="4648"/>
    <x v="2"/>
    <x v="182"/>
    <x v="4"/>
    <x v="15"/>
    <n v="5"/>
    <n v="10.199999999999999"/>
    <n v="51"/>
    <n v="10.199999999999999"/>
    <x v="1258"/>
    <n v="87"/>
  </r>
  <r>
    <n v="1056"/>
    <x v="1"/>
    <x v="59"/>
    <x v="3"/>
    <x v="14"/>
    <n v="5"/>
    <n v="19.68"/>
    <n v="98.4"/>
    <n v="2.72"/>
    <x v="1259"/>
    <n v="424"/>
  </r>
  <r>
    <n v="1372"/>
    <x v="3"/>
    <x v="576"/>
    <x v="7"/>
    <x v="7"/>
    <n v="3"/>
    <n v="15.99"/>
    <n v="47.97"/>
    <n v="3.84"/>
    <x v="1086"/>
    <n v="223"/>
  </r>
  <r>
    <n v="8585"/>
    <x v="2"/>
    <x v="120"/>
    <x v="9"/>
    <x v="17"/>
    <n v="5"/>
    <n v="23.73"/>
    <n v="118.65"/>
    <n v="1.64"/>
    <x v="1260"/>
    <n v="431"/>
  </r>
  <r>
    <n v="9920"/>
    <x v="7"/>
    <x v="623"/>
    <x v="2"/>
    <x v="13"/>
    <n v="1"/>
    <n v="1.73"/>
    <n v="1.73"/>
    <n v="3.47"/>
    <x v="1261"/>
    <n v="5"/>
  </r>
  <r>
    <n v="9715"/>
    <x v="1"/>
    <x v="41"/>
    <x v="1"/>
    <x v="7"/>
    <n v="1"/>
    <n v="22.52"/>
    <n v="22.52"/>
    <n v="0"/>
    <x v="1262"/>
    <n v="66"/>
  </r>
  <r>
    <n v="4762"/>
    <x v="7"/>
    <x v="101"/>
    <x v="7"/>
    <x v="5"/>
    <n v="2"/>
    <n v="9.6"/>
    <n v="19.2"/>
    <n v="0"/>
    <x v="1213"/>
    <n v="274"/>
  </r>
  <r>
    <n v="8546"/>
    <x v="3"/>
    <x v="212"/>
    <x v="8"/>
    <x v="11"/>
    <n v="3"/>
    <n v="3.4"/>
    <n v="10.199999999999999"/>
    <n v="0"/>
    <x v="1263"/>
    <n v="73"/>
  </r>
  <r>
    <n v="3541"/>
    <x v="0"/>
    <x v="334"/>
    <x v="1"/>
    <x v="8"/>
    <n v="5"/>
    <n v="4.55"/>
    <n v="22.75"/>
    <n v="3.41"/>
    <x v="1264"/>
    <n v="72"/>
  </r>
  <r>
    <n v="4088"/>
    <x v="2"/>
    <x v="624"/>
    <x v="1"/>
    <x v="13"/>
    <n v="4"/>
    <n v="25.48"/>
    <n v="101.92"/>
    <n v="10.19"/>
    <x v="1265"/>
    <n v="467"/>
  </r>
  <r>
    <n v="2848"/>
    <x v="0"/>
    <x v="442"/>
    <x v="10"/>
    <x v="10"/>
    <n v="4"/>
    <n v="3.12"/>
    <n v="12.48"/>
    <n v="2.5"/>
    <x v="1266"/>
    <n v="491"/>
  </r>
  <r>
    <n v="7868"/>
    <x v="3"/>
    <x v="511"/>
    <x v="3"/>
    <x v="3"/>
    <n v="4"/>
    <n v="24.44"/>
    <n v="97.76"/>
    <n v="4.6100000000000003"/>
    <x v="1267"/>
    <n v="92"/>
  </r>
  <r>
    <n v="1256"/>
    <x v="6"/>
    <x v="539"/>
    <x v="1"/>
    <x v="3"/>
    <n v="3"/>
    <n v="15.02"/>
    <n v="45.06"/>
    <n v="9.01"/>
    <x v="1268"/>
    <n v="314"/>
  </r>
  <r>
    <n v="4376"/>
    <x v="9"/>
    <x v="483"/>
    <x v="8"/>
    <x v="17"/>
    <n v="2"/>
    <n v="18.57"/>
    <n v="37.14"/>
    <n v="3.05"/>
    <x v="1269"/>
    <n v="274"/>
  </r>
  <r>
    <n v="2653"/>
    <x v="2"/>
    <x v="591"/>
    <x v="2"/>
    <x v="4"/>
    <n v="1"/>
    <n v="27.05"/>
    <n v="27.05"/>
    <n v="5.41"/>
    <x v="1270"/>
    <n v="15"/>
  </r>
  <r>
    <n v="1550"/>
    <x v="8"/>
    <x v="258"/>
    <x v="1"/>
    <x v="12"/>
    <n v="3"/>
    <n v="8.93"/>
    <n v="26.79"/>
    <n v="4.0199999999999996"/>
    <x v="467"/>
    <n v="102"/>
  </r>
  <r>
    <n v="1797"/>
    <x v="1"/>
    <x v="1"/>
    <x v="5"/>
    <x v="9"/>
    <n v="4"/>
    <n v="22.6"/>
    <n v="90.4"/>
    <n v="4.79"/>
    <x v="57"/>
    <n v="253"/>
  </r>
  <r>
    <n v="1724"/>
    <x v="8"/>
    <x v="625"/>
    <x v="8"/>
    <x v="6"/>
    <n v="2"/>
    <n v="20.91"/>
    <n v="41.82"/>
    <n v="4.18"/>
    <x v="1271"/>
    <n v="454"/>
  </r>
  <r>
    <n v="8191"/>
    <x v="0"/>
    <x v="265"/>
    <x v="6"/>
    <x v="9"/>
    <n v="2"/>
    <n v="24.02"/>
    <n v="48.04"/>
    <n v="4.8"/>
    <x v="1272"/>
    <n v="488"/>
  </r>
  <r>
    <n v="9843"/>
    <x v="4"/>
    <x v="458"/>
    <x v="3"/>
    <x v="0"/>
    <n v="3"/>
    <n v="19.05"/>
    <n v="57.15"/>
    <n v="5.71"/>
    <x v="1273"/>
    <n v="310"/>
  </r>
  <r>
    <n v="1924"/>
    <x v="8"/>
    <x v="2"/>
    <x v="6"/>
    <x v="4"/>
    <n v="3"/>
    <n v="27.03"/>
    <n v="81.09"/>
    <n v="8.11"/>
    <x v="1274"/>
    <n v="419"/>
  </r>
  <r>
    <n v="9255"/>
    <x v="2"/>
    <x v="496"/>
    <x v="0"/>
    <x v="15"/>
    <n v="3"/>
    <n v="18.010000000000002"/>
    <n v="54.03"/>
    <n v="5.4"/>
    <x v="1275"/>
    <n v="150"/>
  </r>
  <r>
    <n v="4836"/>
    <x v="6"/>
    <x v="88"/>
    <x v="1"/>
    <x v="6"/>
    <n v="3"/>
    <n v="13.44"/>
    <n v="40.32"/>
    <n v="8.06"/>
    <x v="1276"/>
    <n v="95"/>
  </r>
  <r>
    <n v="6224"/>
    <x v="0"/>
    <x v="29"/>
    <x v="2"/>
    <x v="4"/>
    <n v="3"/>
    <n v="5.2"/>
    <n v="15.6"/>
    <n v="2.27"/>
    <x v="1277"/>
    <n v="160"/>
  </r>
  <r>
    <n v="6253"/>
    <x v="6"/>
    <x v="110"/>
    <x v="4"/>
    <x v="14"/>
    <n v="4"/>
    <n v="17.45"/>
    <n v="69.8"/>
    <n v="1.26"/>
    <x v="1278"/>
    <n v="164"/>
  </r>
  <r>
    <n v="5944"/>
    <x v="5"/>
    <x v="445"/>
    <x v="6"/>
    <x v="14"/>
    <n v="5"/>
    <n v="7.3"/>
    <n v="36.5"/>
    <n v="0"/>
    <x v="715"/>
    <n v="287"/>
  </r>
  <r>
    <n v="3347"/>
    <x v="0"/>
    <x v="205"/>
    <x v="6"/>
    <x v="1"/>
    <n v="4"/>
    <n v="10.210000000000001"/>
    <n v="40.840000000000003"/>
    <n v="8.17"/>
    <x v="1279"/>
    <n v="163"/>
  </r>
  <r>
    <n v="9540"/>
    <x v="6"/>
    <x v="626"/>
    <x v="10"/>
    <x v="16"/>
    <n v="1"/>
    <n v="29.71"/>
    <n v="29.71"/>
    <n v="2.81"/>
    <x v="1280"/>
    <n v="215"/>
  </r>
  <r>
    <n v="7775"/>
    <x v="7"/>
    <x v="627"/>
    <x v="6"/>
    <x v="7"/>
    <n v="2"/>
    <n v="17.71"/>
    <n v="35.42"/>
    <n v="0"/>
    <x v="1281"/>
    <n v="145"/>
  </r>
  <r>
    <n v="5508"/>
    <x v="6"/>
    <x v="121"/>
    <x v="10"/>
    <x v="9"/>
    <n v="2"/>
    <n v="25.4"/>
    <n v="50.8"/>
    <n v="4.67"/>
    <x v="1282"/>
    <n v="206"/>
  </r>
  <r>
    <n v="3869"/>
    <x v="6"/>
    <x v="416"/>
    <x v="4"/>
    <x v="10"/>
    <n v="1"/>
    <n v="14.62"/>
    <n v="14.62"/>
    <n v="0"/>
    <x v="1283"/>
    <n v="424"/>
  </r>
  <r>
    <n v="7999"/>
    <x v="5"/>
    <x v="322"/>
    <x v="8"/>
    <x v="3"/>
    <n v="3"/>
    <n v="12.6"/>
    <n v="37.799999999999997"/>
    <n v="3.78"/>
    <x v="1284"/>
    <n v="284"/>
  </r>
  <r>
    <n v="9120"/>
    <x v="6"/>
    <x v="628"/>
    <x v="3"/>
    <x v="9"/>
    <n v="4"/>
    <n v="15.3"/>
    <n v="61.2"/>
    <n v="9.18"/>
    <x v="1285"/>
    <n v="328"/>
  </r>
  <r>
    <n v="6642"/>
    <x v="0"/>
    <x v="474"/>
    <x v="0"/>
    <x v="5"/>
    <n v="1"/>
    <n v="24.93"/>
    <n v="24.93"/>
    <n v="3.74"/>
    <x v="1286"/>
    <n v="71"/>
  </r>
  <r>
    <n v="7244"/>
    <x v="3"/>
    <x v="232"/>
    <x v="2"/>
    <x v="6"/>
    <n v="1"/>
    <n v="6.53"/>
    <n v="6.53"/>
    <n v="4.96"/>
    <x v="1287"/>
    <n v="461"/>
  </r>
  <r>
    <n v="9592"/>
    <x v="6"/>
    <x v="578"/>
    <x v="8"/>
    <x v="11"/>
    <n v="1"/>
    <n v="2.38"/>
    <n v="2.38"/>
    <n v="0.36"/>
    <x v="1288"/>
    <n v="155"/>
  </r>
  <r>
    <n v="7821"/>
    <x v="7"/>
    <x v="355"/>
    <x v="6"/>
    <x v="7"/>
    <n v="3"/>
    <n v="21.25"/>
    <n v="63.75"/>
    <n v="2.84"/>
    <x v="1289"/>
    <n v="473"/>
  </r>
  <r>
    <n v="3444"/>
    <x v="2"/>
    <x v="629"/>
    <x v="4"/>
    <x v="12"/>
    <n v="5"/>
    <n v="26.74"/>
    <n v="133.69999999999999"/>
    <n v="0"/>
    <x v="1290"/>
    <n v="494"/>
  </r>
  <r>
    <n v="7167"/>
    <x v="4"/>
    <x v="630"/>
    <x v="5"/>
    <x v="17"/>
    <n v="5"/>
    <n v="16.29"/>
    <n v="81.45"/>
    <n v="0"/>
    <x v="1291"/>
    <n v="295"/>
  </r>
  <r>
    <n v="9813"/>
    <x v="4"/>
    <x v="296"/>
    <x v="8"/>
    <x v="3"/>
    <n v="4"/>
    <n v="7.54"/>
    <n v="30.16"/>
    <n v="0"/>
    <x v="1292"/>
    <n v="135"/>
  </r>
  <r>
    <n v="4948"/>
    <x v="0"/>
    <x v="557"/>
    <x v="4"/>
    <x v="2"/>
    <n v="2"/>
    <n v="20.11"/>
    <n v="40.22"/>
    <n v="0"/>
    <x v="1293"/>
    <n v="376"/>
  </r>
  <r>
    <n v="4692"/>
    <x v="0"/>
    <x v="627"/>
    <x v="1"/>
    <x v="16"/>
    <n v="1"/>
    <n v="7.15"/>
    <n v="7.15"/>
    <n v="0.72"/>
    <x v="403"/>
    <n v="343"/>
  </r>
  <r>
    <n v="3365"/>
    <x v="3"/>
    <x v="46"/>
    <x v="2"/>
    <x v="16"/>
    <n v="1"/>
    <n v="10.86"/>
    <n v="10.86"/>
    <n v="1.63"/>
    <x v="1294"/>
    <n v="416"/>
  </r>
  <r>
    <n v="8586"/>
    <x v="4"/>
    <x v="453"/>
    <x v="5"/>
    <x v="12"/>
    <n v="5"/>
    <n v="4.05"/>
    <n v="20.25"/>
    <n v="3.04"/>
    <x v="1295"/>
    <n v="66"/>
  </r>
  <r>
    <n v="1944"/>
    <x v="3"/>
    <x v="631"/>
    <x v="10"/>
    <x v="15"/>
    <n v="2"/>
    <n v="23.61"/>
    <n v="47.22"/>
    <n v="7.08"/>
    <x v="1296"/>
    <n v="96"/>
  </r>
  <r>
    <n v="7761"/>
    <x v="3"/>
    <x v="594"/>
    <x v="7"/>
    <x v="9"/>
    <n v="5"/>
    <n v="19.79"/>
    <n v="98.95"/>
    <n v="3.98"/>
    <x v="1297"/>
    <n v="75"/>
  </r>
  <r>
    <n v="9683"/>
    <x v="9"/>
    <x v="632"/>
    <x v="0"/>
    <x v="8"/>
    <n v="2"/>
    <n v="8.73"/>
    <n v="17.46"/>
    <n v="2.62"/>
    <x v="513"/>
    <n v="243"/>
  </r>
  <r>
    <n v="7363"/>
    <x v="5"/>
    <x v="114"/>
    <x v="1"/>
    <x v="2"/>
    <n v="1"/>
    <n v="11.27"/>
    <n v="11.27"/>
    <n v="1.1299999999999999"/>
    <x v="1298"/>
    <n v="108"/>
  </r>
  <r>
    <n v="5177"/>
    <x v="1"/>
    <x v="617"/>
    <x v="3"/>
    <x v="15"/>
    <n v="3"/>
    <n v="2.5299999999999998"/>
    <n v="7.59"/>
    <n v="1.2"/>
    <x v="1157"/>
    <n v="139"/>
  </r>
  <r>
    <n v="6411"/>
    <x v="9"/>
    <x v="308"/>
    <x v="3"/>
    <x v="14"/>
    <n v="3"/>
    <n v="6.48"/>
    <n v="19.440000000000001"/>
    <n v="3.43"/>
    <x v="1299"/>
    <n v="90"/>
  </r>
  <r>
    <n v="2295"/>
    <x v="1"/>
    <x v="26"/>
    <x v="3"/>
    <x v="17"/>
    <n v="1"/>
    <n v="19.73"/>
    <n v="19.73"/>
    <n v="3.95"/>
    <x v="1300"/>
    <n v="490"/>
  </r>
  <r>
    <n v="8369"/>
    <x v="9"/>
    <x v="571"/>
    <x v="0"/>
    <x v="11"/>
    <n v="5"/>
    <n v="8.7100000000000009"/>
    <n v="43.55"/>
    <n v="6.53"/>
    <x v="1301"/>
    <n v="33"/>
  </r>
  <r>
    <n v="7079"/>
    <x v="8"/>
    <x v="174"/>
    <x v="6"/>
    <x v="7"/>
    <n v="4"/>
    <n v="12.38"/>
    <n v="49.52"/>
    <n v="4.95"/>
    <x v="1302"/>
    <n v="112"/>
  </r>
  <r>
    <n v="9775"/>
    <x v="8"/>
    <x v="280"/>
    <x v="7"/>
    <x v="14"/>
    <n v="3"/>
    <n v="19.46"/>
    <n v="58.38"/>
    <n v="0"/>
    <x v="1303"/>
    <n v="361"/>
  </r>
  <r>
    <n v="4120"/>
    <x v="6"/>
    <x v="293"/>
    <x v="1"/>
    <x v="6"/>
    <n v="5"/>
    <n v="27.32"/>
    <n v="136.6"/>
    <n v="0"/>
    <x v="1304"/>
    <n v="318"/>
  </r>
  <r>
    <n v="5398"/>
    <x v="5"/>
    <x v="401"/>
    <x v="2"/>
    <x v="6"/>
    <n v="3"/>
    <n v="20.75"/>
    <n v="62.25"/>
    <n v="9.34"/>
    <x v="1305"/>
    <n v="85"/>
  </r>
  <r>
    <n v="1647"/>
    <x v="4"/>
    <x v="484"/>
    <x v="7"/>
    <x v="10"/>
    <n v="4"/>
    <n v="13.4"/>
    <n v="53.6"/>
    <n v="8.0399999999999991"/>
    <x v="1306"/>
    <n v="10"/>
  </r>
  <r>
    <n v="2192"/>
    <x v="0"/>
    <x v="633"/>
    <x v="7"/>
    <x v="10"/>
    <n v="5"/>
    <n v="11.2"/>
    <n v="56"/>
    <n v="5.6"/>
    <x v="1307"/>
    <n v="242"/>
  </r>
  <r>
    <n v="4555"/>
    <x v="8"/>
    <x v="634"/>
    <x v="10"/>
    <x v="17"/>
    <n v="1"/>
    <n v="24.74"/>
    <n v="24.74"/>
    <n v="4.95"/>
    <x v="1308"/>
    <n v="290"/>
  </r>
  <r>
    <n v="4422"/>
    <x v="1"/>
    <x v="402"/>
    <x v="9"/>
    <x v="6"/>
    <n v="2"/>
    <n v="23.47"/>
    <n v="46.94"/>
    <n v="0"/>
    <x v="1309"/>
    <n v="51"/>
  </r>
  <r>
    <n v="6455"/>
    <x v="7"/>
    <x v="635"/>
    <x v="10"/>
    <x v="16"/>
    <n v="3"/>
    <n v="29.69"/>
    <n v="89.07"/>
    <n v="13.36"/>
    <x v="1310"/>
    <n v="131"/>
  </r>
  <r>
    <n v="1251"/>
    <x v="7"/>
    <x v="95"/>
    <x v="10"/>
    <x v="10"/>
    <n v="3"/>
    <n v="9.7200000000000006"/>
    <n v="29.16"/>
    <n v="2.08"/>
    <x v="1311"/>
    <n v="170"/>
  </r>
  <r>
    <n v="4113"/>
    <x v="1"/>
    <x v="489"/>
    <x v="5"/>
    <x v="10"/>
    <n v="2"/>
    <n v="29.37"/>
    <n v="58.74"/>
    <n v="0"/>
    <x v="1312"/>
    <n v="438"/>
  </r>
  <r>
    <n v="2922"/>
    <x v="2"/>
    <x v="543"/>
    <x v="4"/>
    <x v="16"/>
    <n v="1"/>
    <n v="8.08"/>
    <n v="8.08"/>
    <n v="1.21"/>
    <x v="1313"/>
    <n v="379"/>
  </r>
  <r>
    <n v="8846"/>
    <x v="8"/>
    <x v="453"/>
    <x v="1"/>
    <x v="14"/>
    <n v="4"/>
    <n v="19.510000000000002"/>
    <n v="78.040000000000006"/>
    <n v="0"/>
    <x v="1314"/>
    <n v="494"/>
  </r>
  <r>
    <n v="4974"/>
    <x v="1"/>
    <x v="536"/>
    <x v="10"/>
    <x v="15"/>
    <n v="2"/>
    <n v="8.68"/>
    <n v="17.36"/>
    <n v="2.6"/>
    <x v="1315"/>
    <n v="347"/>
  </r>
  <r>
    <n v="4350"/>
    <x v="3"/>
    <x v="302"/>
    <x v="6"/>
    <x v="1"/>
    <n v="3"/>
    <n v="9.9600000000000009"/>
    <n v="29.88"/>
    <n v="1.49"/>
    <x v="1316"/>
    <n v="21"/>
  </r>
  <r>
    <n v="4921"/>
    <x v="4"/>
    <x v="179"/>
    <x v="6"/>
    <x v="4"/>
    <n v="3"/>
    <n v="4.1900000000000004"/>
    <n v="12.57"/>
    <n v="0"/>
    <x v="664"/>
    <n v="4"/>
  </r>
  <r>
    <n v="6269"/>
    <x v="2"/>
    <x v="350"/>
    <x v="10"/>
    <x v="12"/>
    <n v="5"/>
    <n v="29.02"/>
    <n v="145.1"/>
    <n v="21.76"/>
    <x v="1317"/>
    <n v="319"/>
  </r>
  <r>
    <n v="5637"/>
    <x v="4"/>
    <x v="20"/>
    <x v="8"/>
    <x v="13"/>
    <n v="3"/>
    <n v="1.44"/>
    <n v="4.32"/>
    <n v="0.65"/>
    <x v="1318"/>
    <n v="20"/>
  </r>
  <r>
    <n v="8639"/>
    <x v="0"/>
    <x v="40"/>
    <x v="0"/>
    <x v="16"/>
    <n v="3"/>
    <n v="1.1399999999999999"/>
    <n v="3.42"/>
    <n v="2.0099999999999998"/>
    <x v="975"/>
    <n v="180"/>
  </r>
  <r>
    <n v="6886"/>
    <x v="7"/>
    <x v="441"/>
    <x v="8"/>
    <x v="15"/>
    <n v="5"/>
    <n v="5.49"/>
    <n v="27.45"/>
    <n v="5.49"/>
    <x v="1319"/>
    <n v="44"/>
  </r>
  <r>
    <n v="5285"/>
    <x v="8"/>
    <x v="636"/>
    <x v="3"/>
    <x v="13"/>
    <n v="3"/>
    <n v="7.34"/>
    <n v="22.02"/>
    <n v="4.4000000000000004"/>
    <x v="514"/>
    <n v="242"/>
  </r>
  <r>
    <n v="9401"/>
    <x v="3"/>
    <x v="180"/>
    <x v="3"/>
    <x v="7"/>
    <n v="1"/>
    <n v="26.89"/>
    <n v="26.89"/>
    <n v="2.2400000000000002"/>
    <x v="852"/>
    <n v="471"/>
  </r>
  <r>
    <n v="9147"/>
    <x v="3"/>
    <x v="233"/>
    <x v="5"/>
    <x v="3"/>
    <n v="5"/>
    <n v="5.03"/>
    <n v="25.15"/>
    <n v="3.77"/>
    <x v="1320"/>
    <n v="393"/>
  </r>
  <r>
    <n v="2615"/>
    <x v="2"/>
    <x v="195"/>
    <x v="3"/>
    <x v="2"/>
    <n v="2"/>
    <n v="9.7200000000000006"/>
    <n v="19.440000000000001"/>
    <n v="4.71"/>
    <x v="1321"/>
    <n v="43"/>
  </r>
  <r>
    <n v="8692"/>
    <x v="4"/>
    <x v="616"/>
    <x v="9"/>
    <x v="6"/>
    <n v="4"/>
    <n v="23.68"/>
    <n v="94.72"/>
    <n v="1.55"/>
    <x v="1322"/>
    <n v="426"/>
  </r>
  <r>
    <n v="6246"/>
    <x v="4"/>
    <x v="453"/>
    <x v="4"/>
    <x v="15"/>
    <n v="3"/>
    <n v="14.57"/>
    <n v="43.71"/>
    <n v="4.37"/>
    <x v="1323"/>
    <n v="218"/>
  </r>
  <r>
    <n v="4328"/>
    <x v="3"/>
    <x v="161"/>
    <x v="10"/>
    <x v="10"/>
    <n v="5"/>
    <n v="1.76"/>
    <n v="8.8000000000000007"/>
    <n v="4.0199999999999996"/>
    <x v="1324"/>
    <n v="392"/>
  </r>
  <r>
    <n v="6126"/>
    <x v="5"/>
    <x v="480"/>
    <x v="2"/>
    <x v="15"/>
    <n v="3"/>
    <n v="4.68"/>
    <n v="14.04"/>
    <n v="4.0199999999999996"/>
    <x v="1325"/>
    <n v="278"/>
  </r>
  <r>
    <n v="1749"/>
    <x v="3"/>
    <x v="631"/>
    <x v="7"/>
    <x v="7"/>
    <n v="1"/>
    <n v="14.41"/>
    <n v="14.41"/>
    <n v="1.34"/>
    <x v="1326"/>
    <n v="390"/>
  </r>
  <r>
    <n v="4625"/>
    <x v="5"/>
    <x v="489"/>
    <x v="5"/>
    <x v="17"/>
    <n v="3"/>
    <n v="18.23"/>
    <n v="54.69"/>
    <n v="2.93"/>
    <x v="1327"/>
    <n v="420"/>
  </r>
  <r>
    <n v="3390"/>
    <x v="7"/>
    <x v="468"/>
    <x v="0"/>
    <x v="17"/>
    <n v="5"/>
    <n v="20.55"/>
    <n v="102.75"/>
    <n v="0"/>
    <x v="1328"/>
    <n v="378"/>
  </r>
  <r>
    <n v="5272"/>
    <x v="8"/>
    <x v="67"/>
    <x v="9"/>
    <x v="12"/>
    <n v="5"/>
    <n v="22.46"/>
    <n v="112.3"/>
    <n v="22.46"/>
    <x v="1329"/>
    <n v="253"/>
  </r>
  <r>
    <n v="7841"/>
    <x v="2"/>
    <x v="477"/>
    <x v="8"/>
    <x v="9"/>
    <n v="1"/>
    <n v="24.35"/>
    <n v="24.35"/>
    <n v="1.27"/>
    <x v="1330"/>
    <n v="319"/>
  </r>
  <r>
    <n v="3497"/>
    <x v="2"/>
    <x v="637"/>
    <x v="6"/>
    <x v="17"/>
    <n v="5"/>
    <n v="3.8"/>
    <n v="19"/>
    <n v="1.9"/>
    <x v="1331"/>
    <n v="104"/>
  </r>
  <r>
    <n v="6404"/>
    <x v="6"/>
    <x v="638"/>
    <x v="9"/>
    <x v="8"/>
    <n v="4"/>
    <n v="2.6"/>
    <n v="10.4"/>
    <n v="1.04"/>
    <x v="1332"/>
    <n v="62"/>
  </r>
  <r>
    <n v="7223"/>
    <x v="4"/>
    <x v="318"/>
    <x v="7"/>
    <x v="5"/>
    <n v="5"/>
    <n v="8.5399999999999991"/>
    <n v="42.7"/>
    <n v="0"/>
    <x v="1333"/>
    <n v="313"/>
  </r>
  <r>
    <n v="5026"/>
    <x v="0"/>
    <x v="394"/>
    <x v="3"/>
    <x v="12"/>
    <n v="1"/>
    <n v="6.35"/>
    <n v="6.35"/>
    <n v="1.27"/>
    <x v="184"/>
    <n v="419"/>
  </r>
  <r>
    <n v="6530"/>
    <x v="1"/>
    <x v="446"/>
    <x v="9"/>
    <x v="14"/>
    <n v="4"/>
    <n v="14.92"/>
    <n v="59.68"/>
    <n v="2.97"/>
    <x v="1334"/>
    <n v="148"/>
  </r>
  <r>
    <n v="9005"/>
    <x v="5"/>
    <x v="280"/>
    <x v="3"/>
    <x v="7"/>
    <n v="1"/>
    <n v="14.44"/>
    <n v="14.44"/>
    <n v="2.89"/>
    <x v="1335"/>
    <n v="416"/>
  </r>
  <r>
    <n v="9037"/>
    <x v="6"/>
    <x v="498"/>
    <x v="8"/>
    <x v="8"/>
    <n v="1"/>
    <n v="17.350000000000001"/>
    <n v="17.350000000000001"/>
    <n v="3.58"/>
    <x v="1336"/>
    <n v="5"/>
  </r>
  <r>
    <n v="3756"/>
    <x v="4"/>
    <x v="312"/>
    <x v="0"/>
    <x v="4"/>
    <n v="2"/>
    <n v="14.56"/>
    <n v="29.12"/>
    <n v="4.37"/>
    <x v="1337"/>
    <n v="370"/>
  </r>
  <r>
    <n v="6770"/>
    <x v="6"/>
    <x v="639"/>
    <x v="7"/>
    <x v="4"/>
    <n v="5"/>
    <n v="25.81"/>
    <n v="129.05000000000001"/>
    <n v="19.36"/>
    <x v="1338"/>
    <n v="257"/>
  </r>
  <r>
    <n v="3293"/>
    <x v="1"/>
    <x v="221"/>
    <x v="3"/>
    <x v="15"/>
    <n v="1"/>
    <n v="6.05"/>
    <n v="6.05"/>
    <n v="0"/>
    <x v="1339"/>
    <n v="77"/>
  </r>
  <r>
    <n v="9954"/>
    <x v="7"/>
    <x v="83"/>
    <x v="10"/>
    <x v="12"/>
    <n v="3"/>
    <n v="23.75"/>
    <n v="71.25"/>
    <n v="7.12"/>
    <x v="1340"/>
    <n v="337"/>
  </r>
  <r>
    <n v="4015"/>
    <x v="0"/>
    <x v="253"/>
    <x v="5"/>
    <x v="16"/>
    <n v="4"/>
    <n v="28.9"/>
    <n v="115.6"/>
    <n v="3.83"/>
    <x v="1341"/>
    <n v="310"/>
  </r>
  <r>
    <n v="9882"/>
    <x v="1"/>
    <x v="461"/>
    <x v="5"/>
    <x v="15"/>
    <n v="3"/>
    <n v="4.74"/>
    <n v="14.22"/>
    <n v="3.47"/>
    <x v="1342"/>
    <n v="165"/>
  </r>
  <r>
    <n v="1962"/>
    <x v="3"/>
    <x v="503"/>
    <x v="1"/>
    <x v="11"/>
    <n v="1"/>
    <n v="25.7"/>
    <n v="25.7"/>
    <n v="3.66"/>
    <x v="578"/>
    <n v="81"/>
  </r>
  <r>
    <n v="1554"/>
    <x v="4"/>
    <x v="295"/>
    <x v="5"/>
    <x v="16"/>
    <n v="3"/>
    <n v="23.03"/>
    <n v="69.09"/>
    <n v="4.5999999999999996"/>
    <x v="1343"/>
    <n v="395"/>
  </r>
  <r>
    <n v="2217"/>
    <x v="2"/>
    <x v="601"/>
    <x v="3"/>
    <x v="1"/>
    <n v="1"/>
    <n v="2.79"/>
    <n v="2.79"/>
    <n v="4.3899999999999997"/>
    <x v="1344"/>
    <n v="128"/>
  </r>
  <r>
    <n v="1794"/>
    <x v="9"/>
    <x v="18"/>
    <x v="10"/>
    <x v="4"/>
    <n v="5"/>
    <n v="19.3"/>
    <n v="96.5"/>
    <n v="14.47"/>
    <x v="34"/>
    <n v="15"/>
  </r>
  <r>
    <n v="1104"/>
    <x v="0"/>
    <x v="596"/>
    <x v="10"/>
    <x v="7"/>
    <n v="2"/>
    <n v="29.67"/>
    <n v="59.34"/>
    <n v="11.87"/>
    <x v="1345"/>
    <n v="293"/>
  </r>
  <r>
    <n v="3252"/>
    <x v="5"/>
    <x v="44"/>
    <x v="10"/>
    <x v="8"/>
    <n v="3"/>
    <n v="7.53"/>
    <n v="22.59"/>
    <n v="2.2599999999999998"/>
    <x v="1346"/>
    <n v="379"/>
  </r>
  <r>
    <n v="4791"/>
    <x v="1"/>
    <x v="483"/>
    <x v="2"/>
    <x v="13"/>
    <n v="5"/>
    <n v="1.69"/>
    <n v="8.4499999999999993"/>
    <n v="1.69"/>
    <x v="1347"/>
    <n v="491"/>
  </r>
  <r>
    <n v="3474"/>
    <x v="6"/>
    <x v="156"/>
    <x v="7"/>
    <x v="10"/>
    <n v="3"/>
    <n v="23.45"/>
    <n v="70.349999999999994"/>
    <n v="10.55"/>
    <x v="1348"/>
    <n v="290"/>
  </r>
  <r>
    <n v="4583"/>
    <x v="2"/>
    <x v="172"/>
    <x v="5"/>
    <x v="15"/>
    <n v="4"/>
    <n v="6.5"/>
    <n v="26"/>
    <n v="2.41"/>
    <x v="1038"/>
    <n v="106"/>
  </r>
  <r>
    <n v="8471"/>
    <x v="1"/>
    <x v="542"/>
    <x v="7"/>
    <x v="13"/>
    <n v="4"/>
    <n v="13.39"/>
    <n v="53.56"/>
    <n v="1.31"/>
    <x v="1349"/>
    <n v="192"/>
  </r>
  <r>
    <n v="1990"/>
    <x v="1"/>
    <x v="640"/>
    <x v="8"/>
    <x v="17"/>
    <n v="1"/>
    <n v="15.45"/>
    <n v="15.45"/>
    <n v="1.9"/>
    <x v="1350"/>
    <n v="26"/>
  </r>
  <r>
    <n v="8916"/>
    <x v="5"/>
    <x v="205"/>
    <x v="8"/>
    <x v="7"/>
    <n v="3"/>
    <n v="2.96"/>
    <n v="8.8800000000000008"/>
    <n v="1.33"/>
    <x v="1351"/>
    <n v="446"/>
  </r>
  <r>
    <n v="8993"/>
    <x v="0"/>
    <x v="468"/>
    <x v="9"/>
    <x v="5"/>
    <n v="5"/>
    <n v="28.01"/>
    <n v="140.05000000000001"/>
    <n v="14.01"/>
    <x v="1352"/>
    <n v="256"/>
  </r>
  <r>
    <n v="1108"/>
    <x v="6"/>
    <x v="592"/>
    <x v="9"/>
    <x v="17"/>
    <n v="5"/>
    <n v="14.65"/>
    <n v="73.25"/>
    <n v="0"/>
    <x v="1353"/>
    <n v="469"/>
  </r>
  <r>
    <n v="7739"/>
    <x v="6"/>
    <x v="309"/>
    <x v="0"/>
    <x v="3"/>
    <n v="4"/>
    <n v="8.56"/>
    <n v="34.24"/>
    <n v="6.85"/>
    <x v="1354"/>
    <n v="171"/>
  </r>
  <r>
    <n v="1274"/>
    <x v="8"/>
    <x v="560"/>
    <x v="9"/>
    <x v="3"/>
    <n v="1"/>
    <n v="7.82"/>
    <n v="7.82"/>
    <n v="1.17"/>
    <x v="1355"/>
    <n v="37"/>
  </r>
  <r>
    <n v="5501"/>
    <x v="0"/>
    <x v="25"/>
    <x v="3"/>
    <x v="13"/>
    <n v="5"/>
    <n v="14.87"/>
    <n v="74.349999999999994"/>
    <n v="0"/>
    <x v="1356"/>
    <n v="66"/>
  </r>
  <r>
    <n v="5697"/>
    <x v="6"/>
    <x v="641"/>
    <x v="1"/>
    <x v="11"/>
    <n v="4"/>
    <n v="15.71"/>
    <n v="62.84"/>
    <n v="6.28"/>
    <x v="1357"/>
    <n v="332"/>
  </r>
  <r>
    <n v="9228"/>
    <x v="4"/>
    <x v="381"/>
    <x v="8"/>
    <x v="5"/>
    <n v="1"/>
    <n v="28"/>
    <n v="28"/>
    <n v="3.43"/>
    <x v="1358"/>
    <n v="13"/>
  </r>
  <r>
    <n v="8054"/>
    <x v="3"/>
    <x v="23"/>
    <x v="5"/>
    <x v="10"/>
    <n v="5"/>
    <n v="14.97"/>
    <n v="74.849999999999994"/>
    <n v="0"/>
    <x v="1359"/>
    <n v="198"/>
  </r>
  <r>
    <n v="3937"/>
    <x v="2"/>
    <x v="642"/>
    <x v="3"/>
    <x v="1"/>
    <n v="5"/>
    <n v="4.99"/>
    <n v="24.95"/>
    <n v="4.93"/>
    <x v="1360"/>
    <n v="224"/>
  </r>
  <r>
    <n v="2578"/>
    <x v="7"/>
    <x v="609"/>
    <x v="4"/>
    <x v="14"/>
    <n v="3"/>
    <n v="13.65"/>
    <n v="40.950000000000003"/>
    <n v="8.19"/>
    <x v="1361"/>
    <n v="29"/>
  </r>
  <r>
    <n v="3439"/>
    <x v="0"/>
    <x v="86"/>
    <x v="6"/>
    <x v="10"/>
    <n v="2"/>
    <n v="12.97"/>
    <n v="25.94"/>
    <n v="4.49"/>
    <x v="1362"/>
    <n v="385"/>
  </r>
  <r>
    <n v="4144"/>
    <x v="8"/>
    <x v="150"/>
    <x v="0"/>
    <x v="13"/>
    <n v="1"/>
    <n v="4.66"/>
    <n v="4.66"/>
    <n v="2.2599999999999998"/>
    <x v="1363"/>
    <n v="92"/>
  </r>
  <r>
    <n v="9625"/>
    <x v="8"/>
    <x v="344"/>
    <x v="8"/>
    <x v="12"/>
    <n v="5"/>
    <n v="12.53"/>
    <n v="62.65"/>
    <n v="0"/>
    <x v="1364"/>
    <n v="336"/>
  </r>
  <r>
    <n v="6807"/>
    <x v="0"/>
    <x v="196"/>
    <x v="1"/>
    <x v="0"/>
    <n v="5"/>
    <n v="6.96"/>
    <n v="34.799999999999997"/>
    <n v="6.96"/>
    <x v="1365"/>
    <n v="361"/>
  </r>
  <r>
    <n v="7502"/>
    <x v="4"/>
    <x v="27"/>
    <x v="8"/>
    <x v="4"/>
    <n v="5"/>
    <n v="9.48"/>
    <n v="47.4"/>
    <n v="4.57"/>
    <x v="1366"/>
    <n v="334"/>
  </r>
  <r>
    <n v="7112"/>
    <x v="7"/>
    <x v="230"/>
    <x v="9"/>
    <x v="15"/>
    <n v="1"/>
    <n v="2.56"/>
    <n v="2.56"/>
    <n v="0"/>
    <x v="1367"/>
    <n v="461"/>
  </r>
  <r>
    <n v="8520"/>
    <x v="4"/>
    <x v="297"/>
    <x v="8"/>
    <x v="13"/>
    <n v="2"/>
    <n v="27.44"/>
    <n v="54.88"/>
    <n v="8.23"/>
    <x v="1368"/>
    <n v="430"/>
  </r>
  <r>
    <n v="4984"/>
    <x v="1"/>
    <x v="137"/>
    <x v="2"/>
    <x v="17"/>
    <n v="3"/>
    <n v="22.01"/>
    <n v="66.03"/>
    <n v="4.91"/>
    <x v="1369"/>
    <n v="403"/>
  </r>
  <r>
    <n v="4700"/>
    <x v="4"/>
    <x v="629"/>
    <x v="5"/>
    <x v="8"/>
    <n v="1"/>
    <n v="1.61"/>
    <n v="1.61"/>
    <n v="0.24"/>
    <x v="1370"/>
    <n v="428"/>
  </r>
  <r>
    <n v="2320"/>
    <x v="5"/>
    <x v="643"/>
    <x v="6"/>
    <x v="7"/>
    <n v="3"/>
    <n v="24.98"/>
    <n v="74.94"/>
    <n v="11.24"/>
    <x v="1371"/>
    <n v="43"/>
  </r>
  <r>
    <n v="1519"/>
    <x v="3"/>
    <x v="6"/>
    <x v="10"/>
    <x v="10"/>
    <n v="4"/>
    <n v="12.15"/>
    <n v="48.6"/>
    <n v="9.7200000000000006"/>
    <x v="1372"/>
    <n v="22"/>
  </r>
  <r>
    <n v="7640"/>
    <x v="3"/>
    <x v="41"/>
    <x v="7"/>
    <x v="1"/>
    <n v="5"/>
    <n v="2.5099999999999998"/>
    <n v="12.55"/>
    <n v="4.05"/>
    <x v="1373"/>
    <n v="156"/>
  </r>
  <r>
    <n v="7179"/>
    <x v="6"/>
    <x v="67"/>
    <x v="6"/>
    <x v="3"/>
    <n v="3"/>
    <n v="24.49"/>
    <n v="73.47"/>
    <n v="2.36"/>
    <x v="1374"/>
    <n v="302"/>
  </r>
  <r>
    <n v="8798"/>
    <x v="3"/>
    <x v="644"/>
    <x v="3"/>
    <x v="11"/>
    <n v="1"/>
    <n v="17.04"/>
    <n v="17.04"/>
    <n v="2.85"/>
    <x v="1375"/>
    <n v="487"/>
  </r>
  <r>
    <n v="1154"/>
    <x v="1"/>
    <x v="38"/>
    <x v="8"/>
    <x v="6"/>
    <n v="4"/>
    <n v="14.54"/>
    <n v="58.16"/>
    <n v="11.63"/>
    <x v="1376"/>
    <n v="473"/>
  </r>
  <r>
    <n v="3807"/>
    <x v="6"/>
    <x v="645"/>
    <x v="8"/>
    <x v="0"/>
    <n v="1"/>
    <n v="29.96"/>
    <n v="29.96"/>
    <n v="4.49"/>
    <x v="1377"/>
    <n v="394"/>
  </r>
  <r>
    <n v="9189"/>
    <x v="3"/>
    <x v="449"/>
    <x v="0"/>
    <x v="0"/>
    <n v="3"/>
    <n v="8.7799999999999994"/>
    <n v="26.34"/>
    <n v="2.23"/>
    <x v="1378"/>
    <n v="128"/>
  </r>
  <r>
    <n v="8109"/>
    <x v="7"/>
    <x v="646"/>
    <x v="8"/>
    <x v="6"/>
    <n v="4"/>
    <n v="14.41"/>
    <n v="57.64"/>
    <n v="5.76"/>
    <x v="1379"/>
    <n v="225"/>
  </r>
  <r>
    <n v="6427"/>
    <x v="6"/>
    <x v="425"/>
    <x v="4"/>
    <x v="16"/>
    <n v="5"/>
    <n v="7.31"/>
    <n v="36.549999999999997"/>
    <n v="5.48"/>
    <x v="1380"/>
    <n v="29"/>
  </r>
  <r>
    <n v="2562"/>
    <x v="1"/>
    <x v="570"/>
    <x v="4"/>
    <x v="13"/>
    <n v="4"/>
    <n v="6.2"/>
    <n v="24.8"/>
    <n v="3.72"/>
    <x v="1381"/>
    <n v="392"/>
  </r>
  <r>
    <n v="9653"/>
    <x v="4"/>
    <x v="81"/>
    <x v="7"/>
    <x v="5"/>
    <n v="2"/>
    <n v="5.25"/>
    <n v="10.5"/>
    <n v="2.1"/>
    <x v="1382"/>
    <n v="316"/>
  </r>
  <r>
    <n v="1697"/>
    <x v="0"/>
    <x v="638"/>
    <x v="5"/>
    <x v="11"/>
    <n v="2"/>
    <n v="20.84"/>
    <n v="41.68"/>
    <n v="2.27"/>
    <x v="806"/>
    <n v="440"/>
  </r>
  <r>
    <n v="4463"/>
    <x v="1"/>
    <x v="133"/>
    <x v="2"/>
    <x v="11"/>
    <n v="3"/>
    <n v="29.27"/>
    <n v="87.81"/>
    <n v="3.87"/>
    <x v="1383"/>
    <n v="8"/>
  </r>
  <r>
    <n v="8790"/>
    <x v="8"/>
    <x v="330"/>
    <x v="4"/>
    <x v="17"/>
    <n v="1"/>
    <n v="15.69"/>
    <n v="15.69"/>
    <n v="3.14"/>
    <x v="285"/>
    <n v="57"/>
  </r>
  <r>
    <n v="1762"/>
    <x v="8"/>
    <x v="359"/>
    <x v="4"/>
    <x v="4"/>
    <n v="4"/>
    <n v="3.06"/>
    <n v="12.24"/>
    <n v="2.4500000000000002"/>
    <x v="1384"/>
    <n v="218"/>
  </r>
  <r>
    <n v="2218"/>
    <x v="6"/>
    <x v="43"/>
    <x v="4"/>
    <x v="4"/>
    <n v="3"/>
    <n v="29.27"/>
    <n v="87.81"/>
    <n v="8.7799999999999994"/>
    <x v="1385"/>
    <n v="459"/>
  </r>
  <r>
    <n v="5593"/>
    <x v="5"/>
    <x v="187"/>
    <x v="6"/>
    <x v="10"/>
    <n v="2"/>
    <n v="11.67"/>
    <n v="23.34"/>
    <n v="1.1000000000000001"/>
    <x v="1386"/>
    <n v="148"/>
  </r>
  <r>
    <n v="9897"/>
    <x v="8"/>
    <x v="647"/>
    <x v="4"/>
    <x v="15"/>
    <n v="5"/>
    <n v="23.71"/>
    <n v="118.55"/>
    <n v="23.71"/>
    <x v="1387"/>
    <n v="364"/>
  </r>
  <r>
    <n v="1539"/>
    <x v="3"/>
    <x v="648"/>
    <x v="6"/>
    <x v="11"/>
    <n v="2"/>
    <n v="12.04"/>
    <n v="24.08"/>
    <n v="4.83"/>
    <x v="1388"/>
    <n v="332"/>
  </r>
  <r>
    <n v="6152"/>
    <x v="8"/>
    <x v="468"/>
    <x v="6"/>
    <x v="15"/>
    <n v="5"/>
    <n v="19.27"/>
    <n v="96.35"/>
    <n v="3.93"/>
    <x v="1389"/>
    <n v="375"/>
  </r>
  <r>
    <n v="4394"/>
    <x v="1"/>
    <x v="462"/>
    <x v="0"/>
    <x v="16"/>
    <n v="5"/>
    <n v="16.079999999999998"/>
    <n v="80.400000000000006"/>
    <n v="16.079999999999998"/>
    <x v="1390"/>
    <n v="162"/>
  </r>
  <r>
    <n v="3362"/>
    <x v="5"/>
    <x v="528"/>
    <x v="2"/>
    <x v="3"/>
    <n v="2"/>
    <n v="24.16"/>
    <n v="48.32"/>
    <n v="9.66"/>
    <x v="68"/>
    <n v="500"/>
  </r>
  <r>
    <n v="7525"/>
    <x v="4"/>
    <x v="155"/>
    <x v="4"/>
    <x v="17"/>
    <n v="2"/>
    <n v="13.9"/>
    <n v="27.8"/>
    <n v="4.17"/>
    <x v="897"/>
    <n v="490"/>
  </r>
  <r>
    <n v="2260"/>
    <x v="0"/>
    <x v="629"/>
    <x v="4"/>
    <x v="2"/>
    <n v="5"/>
    <n v="3.21"/>
    <n v="16.05"/>
    <n v="1.92"/>
    <x v="1391"/>
    <n v="185"/>
  </r>
  <r>
    <n v="3661"/>
    <x v="3"/>
    <x v="297"/>
    <x v="2"/>
    <x v="12"/>
    <n v="5"/>
    <n v="8.09"/>
    <n v="40.450000000000003"/>
    <n v="0"/>
    <x v="1392"/>
    <n v="465"/>
  </r>
  <r>
    <n v="4939"/>
    <x v="2"/>
    <x v="558"/>
    <x v="6"/>
    <x v="0"/>
    <n v="3"/>
    <n v="10.9"/>
    <n v="32.700000000000003"/>
    <n v="3.27"/>
    <x v="1393"/>
    <n v="60"/>
  </r>
  <r>
    <n v="7375"/>
    <x v="3"/>
    <x v="3"/>
    <x v="9"/>
    <x v="12"/>
    <n v="5"/>
    <n v="15.32"/>
    <n v="76.599999999999994"/>
    <n v="15.32"/>
    <x v="1394"/>
    <n v="451"/>
  </r>
  <r>
    <n v="9856"/>
    <x v="4"/>
    <x v="208"/>
    <x v="0"/>
    <x v="6"/>
    <n v="1"/>
    <n v="13.13"/>
    <n v="13.13"/>
    <n v="0"/>
    <x v="1395"/>
    <n v="391"/>
  </r>
  <r>
    <n v="7288"/>
    <x v="0"/>
    <x v="96"/>
    <x v="7"/>
    <x v="11"/>
    <n v="4"/>
    <n v="1.68"/>
    <n v="6.72"/>
    <n v="1.34"/>
    <x v="1396"/>
    <n v="85"/>
  </r>
  <r>
    <n v="3292"/>
    <x v="1"/>
    <x v="522"/>
    <x v="9"/>
    <x v="7"/>
    <n v="4"/>
    <n v="11.27"/>
    <n v="45.08"/>
    <n v="0"/>
    <x v="1397"/>
    <n v="205"/>
  </r>
  <r>
    <n v="2284"/>
    <x v="5"/>
    <x v="75"/>
    <x v="1"/>
    <x v="3"/>
    <n v="3"/>
    <n v="18.14"/>
    <n v="54.42"/>
    <n v="0"/>
    <x v="1398"/>
    <n v="315"/>
  </r>
  <r>
    <n v="6666"/>
    <x v="6"/>
    <x v="649"/>
    <x v="1"/>
    <x v="4"/>
    <n v="4"/>
    <n v="27.4"/>
    <n v="109.6"/>
    <n v="0"/>
    <x v="1399"/>
    <n v="322"/>
  </r>
  <r>
    <n v="2600"/>
    <x v="3"/>
    <x v="552"/>
    <x v="8"/>
    <x v="16"/>
    <n v="2"/>
    <n v="22.26"/>
    <n v="44.52"/>
    <n v="8.9"/>
    <x v="1400"/>
    <n v="370"/>
  </r>
  <r>
    <n v="4803"/>
    <x v="6"/>
    <x v="295"/>
    <x v="6"/>
    <x v="4"/>
    <n v="4"/>
    <n v="11.99"/>
    <n v="47.96"/>
    <n v="3.89"/>
    <x v="1401"/>
    <n v="224"/>
  </r>
  <r>
    <n v="2245"/>
    <x v="5"/>
    <x v="16"/>
    <x v="1"/>
    <x v="5"/>
    <n v="3"/>
    <n v="15.3"/>
    <n v="45.9"/>
    <n v="6.88"/>
    <x v="1402"/>
    <n v="24"/>
  </r>
  <r>
    <n v="7499"/>
    <x v="7"/>
    <x v="32"/>
    <x v="3"/>
    <x v="3"/>
    <n v="2"/>
    <n v="28.64"/>
    <n v="57.28"/>
    <n v="5.73"/>
    <x v="1403"/>
    <n v="21"/>
  </r>
  <r>
    <n v="6347"/>
    <x v="1"/>
    <x v="650"/>
    <x v="8"/>
    <x v="3"/>
    <n v="1"/>
    <n v="11.06"/>
    <n v="11.06"/>
    <n v="1.66"/>
    <x v="1404"/>
    <n v="84"/>
  </r>
  <r>
    <n v="5478"/>
    <x v="5"/>
    <x v="651"/>
    <x v="10"/>
    <x v="8"/>
    <n v="2"/>
    <n v="26.67"/>
    <n v="53.34"/>
    <n v="4.01"/>
    <x v="1405"/>
    <n v="147"/>
  </r>
  <r>
    <n v="8381"/>
    <x v="8"/>
    <x v="652"/>
    <x v="5"/>
    <x v="0"/>
    <n v="2"/>
    <n v="3.77"/>
    <n v="7.54"/>
    <n v="3.39"/>
    <x v="1406"/>
    <n v="282"/>
  </r>
  <r>
    <n v="4737"/>
    <x v="6"/>
    <x v="653"/>
    <x v="9"/>
    <x v="2"/>
    <n v="2"/>
    <n v="1.18"/>
    <n v="2.36"/>
    <n v="0.35"/>
    <x v="1407"/>
    <n v="426"/>
  </r>
  <r>
    <n v="7150"/>
    <x v="8"/>
    <x v="654"/>
    <x v="8"/>
    <x v="1"/>
    <n v="4"/>
    <n v="16.100000000000001"/>
    <n v="64.400000000000006"/>
    <n v="9.66"/>
    <x v="1408"/>
    <n v="425"/>
  </r>
  <r>
    <n v="4043"/>
    <x v="0"/>
    <x v="521"/>
    <x v="1"/>
    <x v="8"/>
    <n v="4"/>
    <n v="15.29"/>
    <n v="61.16"/>
    <n v="9.17"/>
    <x v="1409"/>
    <n v="44"/>
  </r>
  <r>
    <n v="7227"/>
    <x v="0"/>
    <x v="87"/>
    <x v="4"/>
    <x v="13"/>
    <n v="2"/>
    <n v="22.08"/>
    <n v="44.16"/>
    <n v="2.34"/>
    <x v="1410"/>
    <n v="167"/>
  </r>
  <r>
    <n v="5839"/>
    <x v="4"/>
    <x v="320"/>
    <x v="5"/>
    <x v="15"/>
    <n v="1"/>
    <n v="21.49"/>
    <n v="21.49"/>
    <n v="2.15"/>
    <x v="1264"/>
    <n v="161"/>
  </r>
  <r>
    <n v="5037"/>
    <x v="0"/>
    <x v="97"/>
    <x v="9"/>
    <x v="3"/>
    <n v="2"/>
    <n v="25.39"/>
    <n v="50.78"/>
    <n v="0"/>
    <x v="1411"/>
    <n v="338"/>
  </r>
  <r>
    <n v="2204"/>
    <x v="6"/>
    <x v="573"/>
    <x v="2"/>
    <x v="12"/>
    <n v="5"/>
    <n v="11.9"/>
    <n v="59.5"/>
    <n v="0"/>
    <x v="48"/>
    <n v="482"/>
  </r>
  <r>
    <n v="5390"/>
    <x v="8"/>
    <x v="527"/>
    <x v="8"/>
    <x v="16"/>
    <n v="2"/>
    <n v="15.04"/>
    <n v="30.08"/>
    <n v="4.51"/>
    <x v="1412"/>
    <n v="95"/>
  </r>
  <r>
    <n v="7225"/>
    <x v="2"/>
    <x v="531"/>
    <x v="2"/>
    <x v="13"/>
    <n v="5"/>
    <n v="25.85"/>
    <n v="129.25"/>
    <n v="2.74"/>
    <x v="1413"/>
    <n v="383"/>
  </r>
  <r>
    <n v="3527"/>
    <x v="4"/>
    <x v="655"/>
    <x v="9"/>
    <x v="14"/>
    <n v="2"/>
    <n v="2.12"/>
    <n v="4.24"/>
    <n v="2.52"/>
    <x v="1414"/>
    <n v="352"/>
  </r>
  <r>
    <n v="7383"/>
    <x v="8"/>
    <x v="151"/>
    <x v="5"/>
    <x v="4"/>
    <n v="4"/>
    <n v="16.37"/>
    <n v="65.48"/>
    <n v="9.82"/>
    <x v="1415"/>
    <n v="488"/>
  </r>
  <r>
    <n v="6909"/>
    <x v="8"/>
    <x v="433"/>
    <x v="8"/>
    <x v="16"/>
    <n v="4"/>
    <n v="24.1"/>
    <n v="96.4"/>
    <n v="2.92"/>
    <x v="1416"/>
    <n v="200"/>
  </r>
  <r>
    <n v="2499"/>
    <x v="0"/>
    <x v="604"/>
    <x v="2"/>
    <x v="17"/>
    <n v="3"/>
    <n v="13.16"/>
    <n v="39.479999999999997"/>
    <n v="7.9"/>
    <x v="1417"/>
    <n v="228"/>
  </r>
  <r>
    <n v="6050"/>
    <x v="3"/>
    <x v="459"/>
    <x v="1"/>
    <x v="6"/>
    <n v="4"/>
    <n v="28.72"/>
    <n v="114.88"/>
    <n v="17.23"/>
    <x v="1418"/>
    <n v="338"/>
  </r>
  <r>
    <n v="6896"/>
    <x v="3"/>
    <x v="616"/>
    <x v="7"/>
    <x v="16"/>
    <n v="4"/>
    <n v="18.420000000000002"/>
    <n v="73.680000000000007"/>
    <n v="2.16"/>
    <x v="1419"/>
    <n v="351"/>
  </r>
  <r>
    <n v="5419"/>
    <x v="1"/>
    <x v="19"/>
    <x v="2"/>
    <x v="1"/>
    <n v="1"/>
    <n v="17.3"/>
    <n v="17.3"/>
    <n v="0"/>
    <x v="1420"/>
    <n v="165"/>
  </r>
  <r>
    <n v="3170"/>
    <x v="7"/>
    <x v="4"/>
    <x v="3"/>
    <x v="7"/>
    <n v="4"/>
    <n v="13.32"/>
    <n v="53.28"/>
    <n v="7.99"/>
    <x v="1421"/>
    <n v="133"/>
  </r>
  <r>
    <n v="4070"/>
    <x v="4"/>
    <x v="478"/>
    <x v="2"/>
    <x v="3"/>
    <n v="1"/>
    <n v="9.94"/>
    <n v="9.94"/>
    <n v="4.5"/>
    <x v="1422"/>
    <n v="209"/>
  </r>
  <r>
    <n v="8353"/>
    <x v="1"/>
    <x v="252"/>
    <x v="2"/>
    <x v="17"/>
    <n v="5"/>
    <n v="18.7"/>
    <n v="93.5"/>
    <n v="0"/>
    <x v="1423"/>
    <n v="66"/>
  </r>
  <r>
    <n v="9395"/>
    <x v="6"/>
    <x v="270"/>
    <x v="3"/>
    <x v="13"/>
    <n v="3"/>
    <n v="27.44"/>
    <n v="82.32"/>
    <n v="0"/>
    <x v="1424"/>
    <n v="392"/>
  </r>
  <r>
    <n v="2692"/>
    <x v="6"/>
    <x v="283"/>
    <x v="9"/>
    <x v="14"/>
    <n v="3"/>
    <n v="16.52"/>
    <n v="49.56"/>
    <n v="0"/>
    <x v="1425"/>
    <n v="80"/>
  </r>
  <r>
    <n v="2468"/>
    <x v="8"/>
    <x v="190"/>
    <x v="8"/>
    <x v="6"/>
    <n v="3"/>
    <n v="10.6"/>
    <n v="31.8"/>
    <n v="1.1399999999999999"/>
    <x v="1426"/>
    <n v="110"/>
  </r>
  <r>
    <n v="2524"/>
    <x v="6"/>
    <x v="63"/>
    <x v="9"/>
    <x v="17"/>
    <n v="5"/>
    <n v="12.53"/>
    <n v="62.65"/>
    <n v="12.53"/>
    <x v="1427"/>
    <n v="248"/>
  </r>
  <r>
    <n v="6315"/>
    <x v="5"/>
    <x v="119"/>
    <x v="8"/>
    <x v="10"/>
    <n v="2"/>
    <n v="19.309999999999999"/>
    <n v="38.619999999999997"/>
    <n v="2.09"/>
    <x v="1428"/>
    <n v="352"/>
  </r>
  <r>
    <n v="7311"/>
    <x v="0"/>
    <x v="309"/>
    <x v="3"/>
    <x v="7"/>
    <n v="2"/>
    <n v="24.72"/>
    <n v="49.44"/>
    <n v="1.31"/>
    <x v="1429"/>
    <n v="448"/>
  </r>
  <r>
    <n v="5781"/>
    <x v="1"/>
    <x v="480"/>
    <x v="3"/>
    <x v="10"/>
    <n v="1"/>
    <n v="22.53"/>
    <n v="22.53"/>
    <n v="3.94"/>
    <x v="1430"/>
    <n v="277"/>
  </r>
  <r>
    <n v="7353"/>
    <x v="3"/>
    <x v="504"/>
    <x v="2"/>
    <x v="9"/>
    <n v="3"/>
    <n v="13.32"/>
    <n v="39.96"/>
    <n v="5.99"/>
    <x v="1431"/>
    <n v="380"/>
  </r>
  <r>
    <n v="2387"/>
    <x v="5"/>
    <x v="656"/>
    <x v="10"/>
    <x v="14"/>
    <n v="1"/>
    <n v="8.65"/>
    <n v="8.65"/>
    <n v="0.87"/>
    <x v="1432"/>
    <n v="335"/>
  </r>
  <r>
    <n v="4977"/>
    <x v="5"/>
    <x v="403"/>
    <x v="3"/>
    <x v="13"/>
    <n v="2"/>
    <n v="29.03"/>
    <n v="58.06"/>
    <n v="5.81"/>
    <x v="1349"/>
    <n v="287"/>
  </r>
  <r>
    <n v="9537"/>
    <x v="5"/>
    <x v="639"/>
    <x v="9"/>
    <x v="15"/>
    <n v="2"/>
    <n v="12.08"/>
    <n v="24.16"/>
    <n v="3.62"/>
    <x v="1433"/>
    <n v="254"/>
  </r>
  <r>
    <n v="7237"/>
    <x v="1"/>
    <x v="639"/>
    <x v="1"/>
    <x v="8"/>
    <n v="2"/>
    <n v="17.75"/>
    <n v="35.5"/>
    <n v="7.1"/>
    <x v="1434"/>
    <n v="12"/>
  </r>
  <r>
    <n v="3274"/>
    <x v="4"/>
    <x v="657"/>
    <x v="4"/>
    <x v="16"/>
    <n v="5"/>
    <n v="4.1500000000000004"/>
    <n v="20.75"/>
    <n v="4.1500000000000004"/>
    <x v="1435"/>
    <n v="159"/>
  </r>
  <r>
    <n v="5933"/>
    <x v="0"/>
    <x v="657"/>
    <x v="1"/>
    <x v="2"/>
    <n v="2"/>
    <n v="7.01"/>
    <n v="14.02"/>
    <n v="2"/>
    <x v="1436"/>
    <n v="482"/>
  </r>
  <r>
    <n v="9079"/>
    <x v="2"/>
    <x v="423"/>
    <x v="3"/>
    <x v="16"/>
    <n v="5"/>
    <n v="21.96"/>
    <n v="109.8"/>
    <n v="4.07"/>
    <x v="1437"/>
    <n v="290"/>
  </r>
  <r>
    <n v="2036"/>
    <x v="5"/>
    <x v="131"/>
    <x v="3"/>
    <x v="9"/>
    <n v="3"/>
    <n v="25.19"/>
    <n v="75.569999999999993"/>
    <n v="0"/>
    <x v="1438"/>
    <n v="18"/>
  </r>
  <r>
    <n v="8121"/>
    <x v="3"/>
    <x v="334"/>
    <x v="0"/>
    <x v="0"/>
    <n v="2"/>
    <n v="22.89"/>
    <n v="45.78"/>
    <n v="3"/>
    <x v="1439"/>
    <n v="406"/>
  </r>
  <r>
    <n v="7899"/>
    <x v="8"/>
    <x v="629"/>
    <x v="4"/>
    <x v="8"/>
    <n v="4"/>
    <n v="15.91"/>
    <n v="63.64"/>
    <n v="2.7"/>
    <x v="1440"/>
    <n v="439"/>
  </r>
  <r>
    <n v="8933"/>
    <x v="0"/>
    <x v="194"/>
    <x v="3"/>
    <x v="12"/>
    <n v="1"/>
    <n v="5.69"/>
    <n v="5.69"/>
    <n v="1.1399999999999999"/>
    <x v="1441"/>
    <n v="383"/>
  </r>
  <r>
    <n v="2260"/>
    <x v="8"/>
    <x v="336"/>
    <x v="10"/>
    <x v="17"/>
    <n v="1"/>
    <n v="26.67"/>
    <n v="26.67"/>
    <n v="0"/>
    <x v="1442"/>
    <n v="253"/>
  </r>
  <r>
    <n v="5123"/>
    <x v="1"/>
    <x v="658"/>
    <x v="10"/>
    <x v="12"/>
    <n v="5"/>
    <n v="13.12"/>
    <n v="65.599999999999994"/>
    <n v="2.74"/>
    <x v="1443"/>
    <n v="4"/>
  </r>
  <r>
    <n v="9123"/>
    <x v="5"/>
    <x v="591"/>
    <x v="5"/>
    <x v="0"/>
    <n v="5"/>
    <n v="10.34"/>
    <n v="51.7"/>
    <n v="3.6"/>
    <x v="143"/>
    <n v="455"/>
  </r>
  <r>
    <n v="4203"/>
    <x v="2"/>
    <x v="154"/>
    <x v="8"/>
    <x v="15"/>
    <n v="2"/>
    <n v="24.27"/>
    <n v="48.54"/>
    <n v="3.42"/>
    <x v="1082"/>
    <n v="487"/>
  </r>
  <r>
    <n v="2752"/>
    <x v="4"/>
    <x v="286"/>
    <x v="10"/>
    <x v="14"/>
    <n v="3"/>
    <n v="27.88"/>
    <n v="83.64"/>
    <n v="16.73"/>
    <x v="595"/>
    <n v="368"/>
  </r>
  <r>
    <n v="5991"/>
    <x v="1"/>
    <x v="105"/>
    <x v="10"/>
    <x v="10"/>
    <n v="3"/>
    <n v="13.06"/>
    <n v="39.18"/>
    <n v="4.97"/>
    <x v="1444"/>
    <n v="76"/>
  </r>
  <r>
    <n v="7483"/>
    <x v="6"/>
    <x v="377"/>
    <x v="8"/>
    <x v="14"/>
    <n v="2"/>
    <n v="21.12"/>
    <n v="42.24"/>
    <n v="6.34"/>
    <x v="1445"/>
    <n v="275"/>
  </r>
  <r>
    <n v="7224"/>
    <x v="0"/>
    <x v="250"/>
    <x v="0"/>
    <x v="8"/>
    <n v="5"/>
    <n v="5.53"/>
    <n v="27.65"/>
    <n v="4.1500000000000004"/>
    <x v="763"/>
    <n v="179"/>
  </r>
  <r>
    <n v="6399"/>
    <x v="9"/>
    <x v="365"/>
    <x v="2"/>
    <x v="0"/>
    <n v="3"/>
    <n v="24.79"/>
    <n v="74.37"/>
    <n v="3.92"/>
    <x v="1446"/>
    <n v="444"/>
  </r>
  <r>
    <n v="6484"/>
    <x v="7"/>
    <x v="478"/>
    <x v="6"/>
    <x v="7"/>
    <n v="3"/>
    <n v="17.260000000000002"/>
    <n v="51.78"/>
    <n v="3.37"/>
    <x v="1447"/>
    <n v="328"/>
  </r>
  <r>
    <n v="3230"/>
    <x v="0"/>
    <x v="627"/>
    <x v="2"/>
    <x v="0"/>
    <n v="2"/>
    <n v="8.6199999999999992"/>
    <n v="17.239999999999998"/>
    <n v="3.35"/>
    <x v="1448"/>
    <n v="52"/>
  </r>
  <r>
    <n v="6253"/>
    <x v="9"/>
    <x v="22"/>
    <x v="4"/>
    <x v="0"/>
    <n v="5"/>
    <n v="20.38"/>
    <n v="101.9"/>
    <n v="20.38"/>
    <x v="1449"/>
    <n v="242"/>
  </r>
  <r>
    <n v="4290"/>
    <x v="6"/>
    <x v="634"/>
    <x v="2"/>
    <x v="14"/>
    <n v="1"/>
    <n v="27.95"/>
    <n v="27.95"/>
    <n v="5.59"/>
    <x v="1450"/>
    <n v="314"/>
  </r>
  <r>
    <n v="6147"/>
    <x v="2"/>
    <x v="509"/>
    <x v="10"/>
    <x v="10"/>
    <n v="3"/>
    <n v="3.25"/>
    <n v="9.75"/>
    <n v="1.95"/>
    <x v="1451"/>
    <n v="496"/>
  </r>
  <r>
    <n v="7524"/>
    <x v="1"/>
    <x v="578"/>
    <x v="10"/>
    <x v="1"/>
    <n v="4"/>
    <n v="10.48"/>
    <n v="41.92"/>
    <n v="8.3800000000000008"/>
    <x v="1110"/>
    <n v="256"/>
  </r>
  <r>
    <n v="5775"/>
    <x v="1"/>
    <x v="370"/>
    <x v="3"/>
    <x v="7"/>
    <n v="4"/>
    <n v="21.47"/>
    <n v="85.88"/>
    <n v="2.27"/>
    <x v="1452"/>
    <n v="181"/>
  </r>
  <r>
    <n v="9044"/>
    <x v="0"/>
    <x v="301"/>
    <x v="6"/>
    <x v="14"/>
    <n v="2"/>
    <n v="28.41"/>
    <n v="56.82"/>
    <n v="0"/>
    <x v="1453"/>
    <n v="426"/>
  </r>
  <r>
    <n v="4971"/>
    <x v="2"/>
    <x v="224"/>
    <x v="3"/>
    <x v="2"/>
    <n v="4"/>
    <n v="15.2"/>
    <n v="60.8"/>
    <n v="0"/>
    <x v="687"/>
    <n v="403"/>
  </r>
  <r>
    <n v="7161"/>
    <x v="0"/>
    <x v="659"/>
    <x v="9"/>
    <x v="1"/>
    <n v="3"/>
    <n v="6.15"/>
    <n v="18.45"/>
    <n v="1.84"/>
    <x v="1454"/>
    <n v="443"/>
  </r>
  <r>
    <n v="7437"/>
    <x v="7"/>
    <x v="186"/>
    <x v="3"/>
    <x v="14"/>
    <n v="5"/>
    <n v="17.22"/>
    <n v="86.1"/>
    <n v="8.61"/>
    <x v="1455"/>
    <n v="471"/>
  </r>
  <r>
    <n v="2865"/>
    <x v="7"/>
    <x v="166"/>
    <x v="7"/>
    <x v="10"/>
    <n v="2"/>
    <n v="13.81"/>
    <n v="27.62"/>
    <n v="3.34"/>
    <x v="1456"/>
    <n v="269"/>
  </r>
  <r>
    <n v="4273"/>
    <x v="7"/>
    <x v="284"/>
    <x v="1"/>
    <x v="4"/>
    <n v="3"/>
    <n v="15.57"/>
    <n v="46.71"/>
    <n v="3.59"/>
    <x v="1457"/>
    <n v="6"/>
  </r>
  <r>
    <n v="9939"/>
    <x v="4"/>
    <x v="648"/>
    <x v="3"/>
    <x v="11"/>
    <n v="3"/>
    <n v="8.94"/>
    <n v="26.82"/>
    <n v="0"/>
    <x v="1458"/>
    <n v="29"/>
  </r>
  <r>
    <n v="1440"/>
    <x v="4"/>
    <x v="473"/>
    <x v="6"/>
    <x v="8"/>
    <n v="4"/>
    <n v="6.03"/>
    <n v="24.12"/>
    <n v="2.48"/>
    <x v="1270"/>
    <n v="383"/>
  </r>
  <r>
    <n v="8563"/>
    <x v="2"/>
    <x v="215"/>
    <x v="7"/>
    <x v="12"/>
    <n v="1"/>
    <n v="13.16"/>
    <n v="13.16"/>
    <n v="2.77"/>
    <x v="173"/>
    <n v="433"/>
  </r>
  <r>
    <n v="4434"/>
    <x v="6"/>
    <x v="99"/>
    <x v="4"/>
    <x v="17"/>
    <n v="5"/>
    <n v="9.0399999999999991"/>
    <n v="45.2"/>
    <n v="0"/>
    <x v="863"/>
    <n v="436"/>
  </r>
  <r>
    <n v="5773"/>
    <x v="6"/>
    <x v="317"/>
    <x v="4"/>
    <x v="3"/>
    <n v="2"/>
    <n v="27.26"/>
    <n v="54.52"/>
    <n v="1.06"/>
    <x v="1459"/>
    <n v="300"/>
  </r>
  <r>
    <n v="2133"/>
    <x v="3"/>
    <x v="660"/>
    <x v="3"/>
    <x v="11"/>
    <n v="1"/>
    <n v="6.59"/>
    <n v="6.59"/>
    <n v="0"/>
    <x v="1460"/>
    <n v="389"/>
  </r>
  <r>
    <n v="7703"/>
    <x v="5"/>
    <x v="239"/>
    <x v="1"/>
    <x v="6"/>
    <n v="4"/>
    <n v="2.2799999999999998"/>
    <n v="9.1199999999999992"/>
    <n v="0"/>
    <x v="1461"/>
    <n v="311"/>
  </r>
  <r>
    <n v="9180"/>
    <x v="1"/>
    <x v="2"/>
    <x v="3"/>
    <x v="6"/>
    <n v="1"/>
    <n v="10.01"/>
    <n v="10.01"/>
    <n v="2.37"/>
    <x v="1039"/>
    <n v="287"/>
  </r>
  <r>
    <n v="5961"/>
    <x v="0"/>
    <x v="86"/>
    <x v="6"/>
    <x v="8"/>
    <n v="1"/>
    <n v="4.3600000000000003"/>
    <n v="4.3600000000000003"/>
    <n v="0"/>
    <x v="1462"/>
    <n v="46"/>
  </r>
  <r>
    <n v="5139"/>
    <x v="0"/>
    <x v="237"/>
    <x v="7"/>
    <x v="3"/>
    <n v="5"/>
    <n v="19.16"/>
    <n v="95.8"/>
    <n v="1.87"/>
    <x v="1463"/>
    <n v="10"/>
  </r>
  <r>
    <n v="3525"/>
    <x v="7"/>
    <x v="661"/>
    <x v="10"/>
    <x v="13"/>
    <n v="2"/>
    <n v="9.92"/>
    <n v="19.84"/>
    <n v="0"/>
    <x v="1464"/>
    <n v="348"/>
  </r>
  <r>
    <n v="7932"/>
    <x v="2"/>
    <x v="464"/>
    <x v="8"/>
    <x v="11"/>
    <n v="4"/>
    <n v="21.46"/>
    <n v="85.84"/>
    <n v="17.170000000000002"/>
    <x v="949"/>
    <n v="91"/>
  </r>
  <r>
    <n v="7176"/>
    <x v="7"/>
    <x v="346"/>
    <x v="3"/>
    <x v="5"/>
    <n v="2"/>
    <n v="8.9"/>
    <n v="17.8"/>
    <n v="2.67"/>
    <x v="3"/>
    <n v="102"/>
  </r>
  <r>
    <n v="8357"/>
    <x v="5"/>
    <x v="368"/>
    <x v="10"/>
    <x v="0"/>
    <n v="1"/>
    <n v="15.2"/>
    <n v="15.2"/>
    <n v="2.2799999999999998"/>
    <x v="512"/>
    <n v="296"/>
  </r>
  <r>
    <n v="8851"/>
    <x v="1"/>
    <x v="183"/>
    <x v="10"/>
    <x v="6"/>
    <n v="1"/>
    <n v="28.53"/>
    <n v="28.53"/>
    <n v="5.71"/>
    <x v="440"/>
    <n v="299"/>
  </r>
  <r>
    <n v="7566"/>
    <x v="1"/>
    <x v="605"/>
    <x v="6"/>
    <x v="14"/>
    <n v="4"/>
    <n v="11.05"/>
    <n v="44.2"/>
    <n v="8.84"/>
    <x v="1465"/>
    <n v="415"/>
  </r>
  <r>
    <n v="9300"/>
    <x v="7"/>
    <x v="359"/>
    <x v="9"/>
    <x v="2"/>
    <n v="3"/>
    <n v="3.62"/>
    <n v="10.86"/>
    <n v="1.63"/>
    <x v="1294"/>
    <n v="395"/>
  </r>
  <r>
    <n v="7853"/>
    <x v="8"/>
    <x v="361"/>
    <x v="10"/>
    <x v="0"/>
    <n v="1"/>
    <n v="27.73"/>
    <n v="27.73"/>
    <n v="2.77"/>
    <x v="1466"/>
    <n v="264"/>
  </r>
  <r>
    <n v="1602"/>
    <x v="2"/>
    <x v="534"/>
    <x v="10"/>
    <x v="3"/>
    <n v="3"/>
    <n v="17.34"/>
    <n v="52.02"/>
    <n v="7.8"/>
    <x v="1467"/>
    <n v="337"/>
  </r>
  <r>
    <n v="6890"/>
    <x v="0"/>
    <x v="662"/>
    <x v="5"/>
    <x v="4"/>
    <n v="1"/>
    <n v="5.59"/>
    <n v="5.59"/>
    <n v="0.84"/>
    <x v="1468"/>
    <n v="243"/>
  </r>
  <r>
    <n v="9796"/>
    <x v="0"/>
    <x v="591"/>
    <x v="7"/>
    <x v="4"/>
    <n v="3"/>
    <n v="5.71"/>
    <n v="17.13"/>
    <n v="2.76"/>
    <x v="1033"/>
    <n v="279"/>
  </r>
  <r>
    <n v="2392"/>
    <x v="4"/>
    <x v="452"/>
    <x v="6"/>
    <x v="1"/>
    <n v="4"/>
    <n v="14.72"/>
    <n v="58.88"/>
    <n v="0"/>
    <x v="1469"/>
    <n v="124"/>
  </r>
  <r>
    <n v="5067"/>
    <x v="7"/>
    <x v="385"/>
    <x v="6"/>
    <x v="3"/>
    <n v="4"/>
    <n v="20.67"/>
    <n v="82.68"/>
    <n v="16.54"/>
    <x v="1470"/>
    <n v="153"/>
  </r>
  <r>
    <n v="6816"/>
    <x v="1"/>
    <x v="131"/>
    <x v="1"/>
    <x v="1"/>
    <n v="4"/>
    <n v="23.44"/>
    <n v="93.76"/>
    <n v="1.1100000000000001"/>
    <x v="1471"/>
    <n v="488"/>
  </r>
  <r>
    <n v="1725"/>
    <x v="9"/>
    <x v="647"/>
    <x v="7"/>
    <x v="9"/>
    <n v="5"/>
    <n v="28.98"/>
    <n v="144.9"/>
    <n v="4.01"/>
    <x v="1472"/>
    <n v="482"/>
  </r>
  <r>
    <n v="7547"/>
    <x v="2"/>
    <x v="528"/>
    <x v="5"/>
    <x v="3"/>
    <n v="1"/>
    <n v="29.13"/>
    <n v="29.13"/>
    <n v="4.37"/>
    <x v="1473"/>
    <n v="158"/>
  </r>
  <r>
    <n v="6432"/>
    <x v="4"/>
    <x v="305"/>
    <x v="3"/>
    <x v="6"/>
    <n v="4"/>
    <n v="1.01"/>
    <n v="4.04"/>
    <n v="0.81"/>
    <x v="1474"/>
    <n v="75"/>
  </r>
  <r>
    <n v="8052"/>
    <x v="5"/>
    <x v="433"/>
    <x v="8"/>
    <x v="13"/>
    <n v="2"/>
    <n v="7.84"/>
    <n v="15.68"/>
    <n v="3.9"/>
    <x v="1475"/>
    <n v="104"/>
  </r>
  <r>
    <n v="1172"/>
    <x v="2"/>
    <x v="663"/>
    <x v="5"/>
    <x v="2"/>
    <n v="3"/>
    <n v="1.1299999999999999"/>
    <n v="3.39"/>
    <n v="2.88"/>
    <x v="1476"/>
    <n v="81"/>
  </r>
  <r>
    <n v="5239"/>
    <x v="3"/>
    <x v="200"/>
    <x v="2"/>
    <x v="16"/>
    <n v="4"/>
    <n v="25.1"/>
    <n v="100.4"/>
    <n v="2.5499999999999998"/>
    <x v="1477"/>
    <n v="361"/>
  </r>
  <r>
    <n v="9366"/>
    <x v="7"/>
    <x v="543"/>
    <x v="7"/>
    <x v="7"/>
    <n v="3"/>
    <n v="27.03"/>
    <n v="81.09"/>
    <n v="2.58"/>
    <x v="1478"/>
    <n v="419"/>
  </r>
  <r>
    <n v="9499"/>
    <x v="0"/>
    <x v="587"/>
    <x v="4"/>
    <x v="16"/>
    <n v="5"/>
    <n v="1.77"/>
    <n v="8.85"/>
    <n v="1.77"/>
    <x v="1479"/>
    <n v="453"/>
  </r>
  <r>
    <n v="4621"/>
    <x v="7"/>
    <x v="258"/>
    <x v="4"/>
    <x v="3"/>
    <n v="5"/>
    <n v="24.86"/>
    <n v="124.3"/>
    <n v="3.58"/>
    <x v="1480"/>
    <n v="312"/>
  </r>
  <r>
    <n v="7129"/>
    <x v="2"/>
    <x v="541"/>
    <x v="10"/>
    <x v="14"/>
    <n v="1"/>
    <n v="7.12"/>
    <n v="7.12"/>
    <n v="1.07"/>
    <x v="1339"/>
    <n v="222"/>
  </r>
  <r>
    <n v="8586"/>
    <x v="3"/>
    <x v="545"/>
    <x v="5"/>
    <x v="6"/>
    <n v="4"/>
    <n v="5.36"/>
    <n v="21.44"/>
    <n v="0"/>
    <x v="1481"/>
    <n v="159"/>
  </r>
  <r>
    <n v="9199"/>
    <x v="4"/>
    <x v="268"/>
    <x v="0"/>
    <x v="0"/>
    <n v="4"/>
    <n v="6.2"/>
    <n v="24.8"/>
    <n v="2.48"/>
    <x v="1482"/>
    <n v="203"/>
  </r>
  <r>
    <n v="6651"/>
    <x v="0"/>
    <x v="0"/>
    <x v="4"/>
    <x v="17"/>
    <n v="4"/>
    <n v="24.29"/>
    <n v="97.16"/>
    <n v="14.57"/>
    <x v="141"/>
    <n v="6"/>
  </r>
  <r>
    <n v="8909"/>
    <x v="2"/>
    <x v="311"/>
    <x v="6"/>
    <x v="15"/>
    <n v="4"/>
    <n v="20.89"/>
    <n v="83.56"/>
    <n v="0"/>
    <x v="1483"/>
    <n v="5"/>
  </r>
  <r>
    <n v="5840"/>
    <x v="3"/>
    <x v="594"/>
    <x v="3"/>
    <x v="11"/>
    <n v="3"/>
    <n v="13.31"/>
    <n v="39.93"/>
    <n v="4.2300000000000004"/>
    <x v="1484"/>
    <n v="379"/>
  </r>
  <r>
    <n v="2406"/>
    <x v="4"/>
    <x v="455"/>
    <x v="9"/>
    <x v="4"/>
    <n v="4"/>
    <n v="21.64"/>
    <n v="86.56"/>
    <n v="4.1399999999999997"/>
    <x v="1485"/>
    <n v="432"/>
  </r>
  <r>
    <n v="3321"/>
    <x v="3"/>
    <x v="376"/>
    <x v="9"/>
    <x v="7"/>
    <n v="1"/>
    <n v="5.35"/>
    <n v="5.35"/>
    <n v="1.07"/>
    <x v="142"/>
    <n v="172"/>
  </r>
  <r>
    <n v="6110"/>
    <x v="1"/>
    <x v="664"/>
    <x v="6"/>
    <x v="8"/>
    <n v="4"/>
    <n v="2.4"/>
    <n v="9.6"/>
    <n v="4.47"/>
    <x v="1486"/>
    <n v="144"/>
  </r>
  <r>
    <n v="8460"/>
    <x v="4"/>
    <x v="665"/>
    <x v="4"/>
    <x v="11"/>
    <n v="5"/>
    <n v="20.9"/>
    <n v="104.5"/>
    <n v="15.67"/>
    <x v="1487"/>
    <n v="129"/>
  </r>
  <r>
    <n v="4389"/>
    <x v="5"/>
    <x v="666"/>
    <x v="0"/>
    <x v="2"/>
    <n v="3"/>
    <n v="6.17"/>
    <n v="18.510000000000002"/>
    <n v="2.79"/>
    <x v="1488"/>
    <n v="182"/>
  </r>
  <r>
    <n v="8912"/>
    <x v="5"/>
    <x v="376"/>
    <x v="5"/>
    <x v="11"/>
    <n v="5"/>
    <n v="4.2300000000000004"/>
    <n v="21.15"/>
    <n v="3.95"/>
    <x v="1489"/>
    <n v="374"/>
  </r>
  <r>
    <n v="8801"/>
    <x v="8"/>
    <x v="117"/>
    <x v="7"/>
    <x v="13"/>
    <n v="5"/>
    <n v="3.73"/>
    <n v="18.649999999999999"/>
    <n v="0"/>
    <x v="1490"/>
    <n v="372"/>
  </r>
  <r>
    <n v="8178"/>
    <x v="4"/>
    <x v="74"/>
    <x v="3"/>
    <x v="0"/>
    <n v="3"/>
    <n v="29.17"/>
    <n v="87.51"/>
    <n v="0"/>
    <x v="1491"/>
    <n v="352"/>
  </r>
  <r>
    <n v="8412"/>
    <x v="9"/>
    <x v="578"/>
    <x v="6"/>
    <x v="8"/>
    <n v="1"/>
    <n v="3.21"/>
    <n v="3.21"/>
    <n v="0.64"/>
    <x v="1492"/>
    <n v="190"/>
  </r>
  <r>
    <n v="2100"/>
    <x v="0"/>
    <x v="627"/>
    <x v="3"/>
    <x v="15"/>
    <n v="1"/>
    <n v="10.79"/>
    <n v="10.79"/>
    <n v="1.08"/>
    <x v="1493"/>
    <n v="326"/>
  </r>
  <r>
    <n v="1732"/>
    <x v="3"/>
    <x v="667"/>
    <x v="0"/>
    <x v="6"/>
    <n v="3"/>
    <n v="21.92"/>
    <n v="65.760000000000005"/>
    <n v="6.58"/>
    <x v="1494"/>
    <n v="380"/>
  </r>
  <r>
    <n v="2885"/>
    <x v="0"/>
    <x v="436"/>
    <x v="2"/>
    <x v="0"/>
    <n v="3"/>
    <n v="18.84"/>
    <n v="56.52"/>
    <n v="0"/>
    <x v="1495"/>
    <n v="276"/>
  </r>
  <r>
    <n v="6620"/>
    <x v="6"/>
    <x v="362"/>
    <x v="4"/>
    <x v="16"/>
    <n v="2"/>
    <n v="23.05"/>
    <n v="46.1"/>
    <n v="0"/>
    <x v="1496"/>
    <n v="223"/>
  </r>
  <r>
    <n v="2791"/>
    <x v="2"/>
    <x v="3"/>
    <x v="8"/>
    <x v="15"/>
    <n v="1"/>
    <n v="18.52"/>
    <n v="18.52"/>
    <n v="0"/>
    <x v="1497"/>
    <n v="465"/>
  </r>
  <r>
    <n v="3692"/>
    <x v="5"/>
    <x v="532"/>
    <x v="8"/>
    <x v="10"/>
    <n v="4"/>
    <n v="7"/>
    <n v="28"/>
    <n v="0"/>
    <x v="1498"/>
    <n v="400"/>
  </r>
  <r>
    <n v="4996"/>
    <x v="2"/>
    <x v="550"/>
    <x v="8"/>
    <x v="0"/>
    <n v="4"/>
    <n v="18.36"/>
    <n v="73.44"/>
    <n v="1.89"/>
    <x v="1499"/>
    <n v="499"/>
  </r>
  <r>
    <n v="3858"/>
    <x v="9"/>
    <x v="179"/>
    <x v="4"/>
    <x v="5"/>
    <n v="1"/>
    <n v="18.72"/>
    <n v="18.72"/>
    <n v="2.68"/>
    <x v="1500"/>
    <n v="372"/>
  </r>
  <r>
    <n v="3623"/>
    <x v="7"/>
    <x v="208"/>
    <x v="9"/>
    <x v="7"/>
    <n v="4"/>
    <n v="27.96"/>
    <n v="111.84"/>
    <n v="16.78"/>
    <x v="1501"/>
    <n v="6"/>
  </r>
  <r>
    <n v="7985"/>
    <x v="7"/>
    <x v="386"/>
    <x v="4"/>
    <x v="8"/>
    <n v="2"/>
    <n v="14.39"/>
    <n v="28.78"/>
    <n v="5.76"/>
    <x v="262"/>
    <n v="380"/>
  </r>
  <r>
    <n v="4798"/>
    <x v="1"/>
    <x v="320"/>
    <x v="7"/>
    <x v="7"/>
    <n v="3"/>
    <n v="12.68"/>
    <n v="38.04"/>
    <n v="0"/>
    <x v="1502"/>
    <n v="338"/>
  </r>
  <r>
    <n v="7636"/>
    <x v="4"/>
    <x v="392"/>
    <x v="9"/>
    <x v="4"/>
    <n v="1"/>
    <n v="7.01"/>
    <n v="7.01"/>
    <n v="1.05"/>
    <x v="1503"/>
    <n v="271"/>
  </r>
  <r>
    <n v="4022"/>
    <x v="5"/>
    <x v="607"/>
    <x v="4"/>
    <x v="8"/>
    <n v="4"/>
    <n v="1.85"/>
    <n v="7.4"/>
    <n v="2.41"/>
    <x v="1504"/>
    <n v="319"/>
  </r>
  <r>
    <n v="8080"/>
    <x v="3"/>
    <x v="51"/>
    <x v="3"/>
    <x v="10"/>
    <n v="3"/>
    <n v="17.13"/>
    <n v="51.39"/>
    <n v="5.14"/>
    <x v="1505"/>
    <n v="251"/>
  </r>
  <r>
    <n v="1478"/>
    <x v="1"/>
    <x v="193"/>
    <x v="7"/>
    <x v="7"/>
    <n v="5"/>
    <n v="28.51"/>
    <n v="142.55000000000001"/>
    <n v="14.26"/>
    <x v="1506"/>
    <n v="63"/>
  </r>
  <r>
    <n v="4232"/>
    <x v="8"/>
    <x v="260"/>
    <x v="2"/>
    <x v="17"/>
    <n v="5"/>
    <n v="9.3800000000000008"/>
    <n v="46.9"/>
    <n v="0"/>
    <x v="1507"/>
    <n v="442"/>
  </r>
  <r>
    <n v="8037"/>
    <x v="3"/>
    <x v="274"/>
    <x v="9"/>
    <x v="1"/>
    <n v="3"/>
    <n v="22.78"/>
    <n v="68.34"/>
    <n v="10.25"/>
    <x v="1508"/>
    <n v="214"/>
  </r>
  <r>
    <n v="1072"/>
    <x v="7"/>
    <x v="30"/>
    <x v="5"/>
    <x v="17"/>
    <n v="3"/>
    <n v="15.56"/>
    <n v="46.68"/>
    <n v="9.34"/>
    <x v="1509"/>
    <n v="272"/>
  </r>
  <r>
    <n v="4519"/>
    <x v="3"/>
    <x v="668"/>
    <x v="10"/>
    <x v="8"/>
    <n v="3"/>
    <n v="24.95"/>
    <n v="74.849999999999994"/>
    <n v="14.97"/>
    <x v="1510"/>
    <n v="230"/>
  </r>
  <r>
    <n v="5560"/>
    <x v="3"/>
    <x v="528"/>
    <x v="8"/>
    <x v="10"/>
    <n v="5"/>
    <n v="25.06"/>
    <n v="125.3"/>
    <n v="0"/>
    <x v="1511"/>
    <n v="390"/>
  </r>
  <r>
    <n v="2025"/>
    <x v="2"/>
    <x v="29"/>
    <x v="5"/>
    <x v="17"/>
    <n v="4"/>
    <n v="17.809999999999999"/>
    <n v="71.239999999999995"/>
    <n v="7.12"/>
    <x v="1512"/>
    <n v="214"/>
  </r>
  <r>
    <n v="2667"/>
    <x v="8"/>
    <x v="551"/>
    <x v="5"/>
    <x v="10"/>
    <n v="5"/>
    <n v="7.49"/>
    <n v="37.450000000000003"/>
    <n v="3.28"/>
    <x v="1513"/>
    <n v="312"/>
  </r>
  <r>
    <n v="9796"/>
    <x v="3"/>
    <x v="540"/>
    <x v="0"/>
    <x v="3"/>
    <n v="5"/>
    <n v="8.24"/>
    <n v="41.2"/>
    <n v="0"/>
    <x v="1514"/>
    <n v="291"/>
  </r>
  <r>
    <n v="6993"/>
    <x v="0"/>
    <x v="224"/>
    <x v="4"/>
    <x v="10"/>
    <n v="5"/>
    <n v="26.61"/>
    <n v="133.05000000000001"/>
    <n v="3.05"/>
    <x v="1515"/>
    <n v="334"/>
  </r>
  <r>
    <n v="4228"/>
    <x v="8"/>
    <x v="154"/>
    <x v="7"/>
    <x v="8"/>
    <n v="3"/>
    <n v="21.96"/>
    <n v="65.88"/>
    <n v="6.59"/>
    <x v="1516"/>
    <n v="122"/>
  </r>
  <r>
    <n v="2867"/>
    <x v="8"/>
    <x v="561"/>
    <x v="4"/>
    <x v="12"/>
    <n v="3"/>
    <n v="2.87"/>
    <n v="8.61"/>
    <n v="2.84"/>
    <x v="1517"/>
    <n v="15"/>
  </r>
  <r>
    <n v="9019"/>
    <x v="8"/>
    <x v="495"/>
    <x v="5"/>
    <x v="8"/>
    <n v="2"/>
    <n v="24.1"/>
    <n v="48.2"/>
    <n v="3.57"/>
    <x v="1518"/>
    <n v="498"/>
  </r>
  <r>
    <n v="6134"/>
    <x v="7"/>
    <x v="63"/>
    <x v="7"/>
    <x v="5"/>
    <n v="4"/>
    <n v="21.93"/>
    <n v="87.72"/>
    <n v="0"/>
    <x v="1519"/>
    <n v="35"/>
  </r>
  <r>
    <n v="7367"/>
    <x v="6"/>
    <x v="669"/>
    <x v="5"/>
    <x v="1"/>
    <n v="5"/>
    <n v="29.86"/>
    <n v="149.30000000000001"/>
    <n v="4.13"/>
    <x v="1520"/>
    <n v="441"/>
  </r>
  <r>
    <n v="7431"/>
    <x v="5"/>
    <x v="462"/>
    <x v="9"/>
    <x v="17"/>
    <n v="5"/>
    <n v="19.760000000000002"/>
    <n v="98.8"/>
    <n v="9.8800000000000008"/>
    <x v="1521"/>
    <n v="273"/>
  </r>
  <r>
    <n v="2871"/>
    <x v="4"/>
    <x v="376"/>
    <x v="0"/>
    <x v="9"/>
    <n v="4"/>
    <n v="25.01"/>
    <n v="100.04"/>
    <n v="15.01"/>
    <x v="1522"/>
    <n v="371"/>
  </r>
  <r>
    <n v="6766"/>
    <x v="3"/>
    <x v="449"/>
    <x v="9"/>
    <x v="8"/>
    <n v="4"/>
    <n v="23.83"/>
    <n v="95.32"/>
    <n v="14.3"/>
    <x v="1523"/>
    <n v="53"/>
  </r>
  <r>
    <n v="8501"/>
    <x v="0"/>
    <x v="640"/>
    <x v="7"/>
    <x v="4"/>
    <n v="4"/>
    <n v="20.03"/>
    <n v="80.12"/>
    <n v="8.01"/>
    <x v="1524"/>
    <n v="72"/>
  </r>
  <r>
    <n v="3826"/>
    <x v="8"/>
    <x v="670"/>
    <x v="8"/>
    <x v="17"/>
    <n v="3"/>
    <n v="19.61"/>
    <n v="58.83"/>
    <n v="0"/>
    <x v="1525"/>
    <n v="37"/>
  </r>
  <r>
    <n v="5873"/>
    <x v="4"/>
    <x v="81"/>
    <x v="2"/>
    <x v="0"/>
    <n v="3"/>
    <n v="9.5500000000000007"/>
    <n v="28.65"/>
    <n v="2.87"/>
    <x v="206"/>
    <n v="227"/>
  </r>
  <r>
    <n v="2388"/>
    <x v="5"/>
    <x v="239"/>
    <x v="6"/>
    <x v="0"/>
    <n v="5"/>
    <n v="2.0299999999999998"/>
    <n v="10.15"/>
    <n v="2.15"/>
    <x v="1526"/>
    <n v="71"/>
  </r>
  <r>
    <n v="3194"/>
    <x v="8"/>
    <x v="597"/>
    <x v="4"/>
    <x v="4"/>
    <n v="3"/>
    <n v="9.8800000000000008"/>
    <n v="29.64"/>
    <n v="3.54"/>
    <x v="1527"/>
    <n v="366"/>
  </r>
  <r>
    <n v="2931"/>
    <x v="4"/>
    <x v="85"/>
    <x v="10"/>
    <x v="9"/>
    <n v="2"/>
    <n v="22.56"/>
    <n v="45.12"/>
    <n v="9.02"/>
    <x v="1528"/>
    <n v="355"/>
  </r>
  <r>
    <n v="6003"/>
    <x v="5"/>
    <x v="455"/>
    <x v="3"/>
    <x v="0"/>
    <n v="2"/>
    <n v="1.8"/>
    <n v="3.6"/>
    <n v="0.72"/>
    <x v="1529"/>
    <n v="108"/>
  </r>
  <r>
    <n v="3999"/>
    <x v="6"/>
    <x v="542"/>
    <x v="8"/>
    <x v="4"/>
    <n v="5"/>
    <n v="22.61"/>
    <n v="113.05"/>
    <n v="11.3"/>
    <x v="1530"/>
    <n v="264"/>
  </r>
  <r>
    <n v="3316"/>
    <x v="2"/>
    <x v="671"/>
    <x v="4"/>
    <x v="12"/>
    <n v="5"/>
    <n v="25.72"/>
    <n v="128.6"/>
    <n v="12.86"/>
    <x v="1531"/>
    <n v="160"/>
  </r>
  <r>
    <n v="7364"/>
    <x v="4"/>
    <x v="606"/>
    <x v="5"/>
    <x v="6"/>
    <n v="5"/>
    <n v="14.97"/>
    <n v="74.849999999999994"/>
    <n v="3.67"/>
    <x v="1532"/>
    <n v="247"/>
  </r>
  <r>
    <n v="3258"/>
    <x v="0"/>
    <x v="435"/>
    <x v="4"/>
    <x v="5"/>
    <n v="3"/>
    <n v="6.98"/>
    <n v="20.94"/>
    <n v="4.1100000000000003"/>
    <x v="1533"/>
    <n v="76"/>
  </r>
  <r>
    <n v="7286"/>
    <x v="0"/>
    <x v="537"/>
    <x v="5"/>
    <x v="14"/>
    <n v="3"/>
    <n v="15.45"/>
    <n v="46.35"/>
    <n v="0"/>
    <x v="1534"/>
    <n v="291"/>
  </r>
  <r>
    <n v="4043"/>
    <x v="1"/>
    <x v="672"/>
    <x v="2"/>
    <x v="14"/>
    <n v="3"/>
    <n v="20.25"/>
    <n v="60.75"/>
    <n v="9.11"/>
    <x v="1535"/>
    <n v="204"/>
  </r>
  <r>
    <n v="9804"/>
    <x v="1"/>
    <x v="379"/>
    <x v="1"/>
    <x v="0"/>
    <n v="5"/>
    <n v="28.88"/>
    <n v="144.4"/>
    <n v="2.79"/>
    <x v="1536"/>
    <n v="433"/>
  </r>
  <r>
    <n v="3838"/>
    <x v="1"/>
    <x v="322"/>
    <x v="2"/>
    <x v="5"/>
    <n v="3"/>
    <n v="24.11"/>
    <n v="72.33"/>
    <n v="14.47"/>
    <x v="1537"/>
    <n v="93"/>
  </r>
  <r>
    <n v="3733"/>
    <x v="4"/>
    <x v="476"/>
    <x v="7"/>
    <x v="11"/>
    <n v="5"/>
    <n v="8.6999999999999993"/>
    <n v="43.5"/>
    <n v="0"/>
    <x v="1538"/>
    <n v="142"/>
  </r>
  <r>
    <n v="5732"/>
    <x v="8"/>
    <x v="2"/>
    <x v="1"/>
    <x v="12"/>
    <n v="5"/>
    <n v="9.77"/>
    <n v="48.85"/>
    <n v="9.77"/>
    <x v="1539"/>
    <n v="106"/>
  </r>
  <r>
    <n v="4065"/>
    <x v="4"/>
    <x v="382"/>
    <x v="10"/>
    <x v="17"/>
    <n v="5"/>
    <n v="26.56"/>
    <n v="132.80000000000001"/>
    <n v="0"/>
    <x v="1540"/>
    <n v="26"/>
  </r>
  <r>
    <n v="8389"/>
    <x v="0"/>
    <x v="150"/>
    <x v="2"/>
    <x v="16"/>
    <n v="1"/>
    <n v="13.81"/>
    <n v="13.81"/>
    <n v="3.17"/>
    <x v="1541"/>
    <n v="243"/>
  </r>
  <r>
    <n v="1878"/>
    <x v="8"/>
    <x v="400"/>
    <x v="6"/>
    <x v="16"/>
    <n v="3"/>
    <n v="17.5"/>
    <n v="52.5"/>
    <n v="3.88"/>
    <x v="701"/>
    <n v="297"/>
  </r>
  <r>
    <n v="6882"/>
    <x v="4"/>
    <x v="156"/>
    <x v="5"/>
    <x v="14"/>
    <n v="5"/>
    <n v="24.36"/>
    <n v="121.8"/>
    <n v="2.0099999999999998"/>
    <x v="1542"/>
    <n v="314"/>
  </r>
  <r>
    <n v="8939"/>
    <x v="3"/>
    <x v="526"/>
    <x v="6"/>
    <x v="0"/>
    <n v="4"/>
    <n v="19.29"/>
    <n v="77.16"/>
    <n v="2.14"/>
    <x v="1543"/>
    <n v="168"/>
  </r>
  <r>
    <n v="4196"/>
    <x v="5"/>
    <x v="88"/>
    <x v="8"/>
    <x v="2"/>
    <n v="2"/>
    <n v="10.88"/>
    <n v="21.76"/>
    <n v="0"/>
    <x v="1544"/>
    <n v="347"/>
  </r>
  <r>
    <n v="7290"/>
    <x v="4"/>
    <x v="631"/>
    <x v="1"/>
    <x v="6"/>
    <n v="4"/>
    <n v="1.18"/>
    <n v="4.72"/>
    <n v="0.47"/>
    <x v="1545"/>
    <n v="457"/>
  </r>
  <r>
    <n v="9281"/>
    <x v="2"/>
    <x v="643"/>
    <x v="7"/>
    <x v="13"/>
    <n v="4"/>
    <n v="20.51"/>
    <n v="82.04"/>
    <n v="12.31"/>
    <x v="1546"/>
    <n v="48"/>
  </r>
  <r>
    <n v="9109"/>
    <x v="1"/>
    <x v="355"/>
    <x v="7"/>
    <x v="14"/>
    <n v="1"/>
    <n v="23.11"/>
    <n v="23.11"/>
    <n v="2.2200000000000002"/>
    <x v="1547"/>
    <n v="109"/>
  </r>
  <r>
    <n v="9056"/>
    <x v="1"/>
    <x v="272"/>
    <x v="10"/>
    <x v="17"/>
    <n v="3"/>
    <n v="27.89"/>
    <n v="83.67"/>
    <n v="12.55"/>
    <x v="1548"/>
    <n v="107"/>
  </r>
  <r>
    <n v="8272"/>
    <x v="2"/>
    <x v="83"/>
    <x v="2"/>
    <x v="7"/>
    <n v="2"/>
    <n v="25.71"/>
    <n v="51.42"/>
    <n v="7.71"/>
    <x v="1549"/>
    <n v="312"/>
  </r>
  <r>
    <n v="3740"/>
    <x v="1"/>
    <x v="645"/>
    <x v="10"/>
    <x v="1"/>
    <n v="3"/>
    <n v="7.62"/>
    <n v="22.86"/>
    <n v="3.43"/>
    <x v="1550"/>
    <n v="134"/>
  </r>
  <r>
    <n v="1505"/>
    <x v="7"/>
    <x v="305"/>
    <x v="7"/>
    <x v="9"/>
    <n v="3"/>
    <n v="22.06"/>
    <n v="66.180000000000007"/>
    <n v="6.62"/>
    <x v="1174"/>
    <n v="424"/>
  </r>
  <r>
    <n v="4613"/>
    <x v="5"/>
    <x v="357"/>
    <x v="3"/>
    <x v="7"/>
    <n v="4"/>
    <n v="1.1499999999999999"/>
    <n v="4.5999999999999996"/>
    <n v="4.87"/>
    <x v="1551"/>
    <n v="481"/>
  </r>
  <r>
    <n v="1535"/>
    <x v="7"/>
    <x v="263"/>
    <x v="5"/>
    <x v="12"/>
    <n v="4"/>
    <n v="23.23"/>
    <n v="92.92"/>
    <n v="18.579999999999998"/>
    <x v="1552"/>
    <n v="9"/>
  </r>
  <r>
    <n v="4683"/>
    <x v="5"/>
    <x v="622"/>
    <x v="8"/>
    <x v="4"/>
    <n v="1"/>
    <n v="10.32"/>
    <n v="10.32"/>
    <n v="1.55"/>
    <x v="726"/>
    <n v="404"/>
  </r>
  <r>
    <n v="5729"/>
    <x v="1"/>
    <x v="299"/>
    <x v="9"/>
    <x v="14"/>
    <n v="2"/>
    <n v="18.899999999999999"/>
    <n v="37.799999999999997"/>
    <n v="1.3"/>
    <x v="715"/>
    <n v="225"/>
  </r>
  <r>
    <n v="8492"/>
    <x v="2"/>
    <x v="425"/>
    <x v="4"/>
    <x v="16"/>
    <n v="5"/>
    <n v="14.62"/>
    <n v="73.099999999999994"/>
    <n v="0"/>
    <x v="1553"/>
    <n v="497"/>
  </r>
  <r>
    <n v="9115"/>
    <x v="3"/>
    <x v="389"/>
    <x v="10"/>
    <x v="5"/>
    <n v="3"/>
    <n v="29.61"/>
    <n v="88.83"/>
    <n v="1.41"/>
    <x v="1554"/>
    <n v="300"/>
  </r>
  <r>
    <n v="9369"/>
    <x v="7"/>
    <x v="673"/>
    <x v="8"/>
    <x v="2"/>
    <n v="3"/>
    <n v="13.7"/>
    <n v="41.1"/>
    <n v="4.1100000000000003"/>
    <x v="410"/>
    <n v="145"/>
  </r>
  <r>
    <n v="2871"/>
    <x v="2"/>
    <x v="657"/>
    <x v="1"/>
    <x v="3"/>
    <n v="4"/>
    <n v="24.9"/>
    <n v="99.6"/>
    <n v="2.2000000000000002"/>
    <x v="1555"/>
    <n v="447"/>
  </r>
  <r>
    <n v="9898"/>
    <x v="8"/>
    <x v="565"/>
    <x v="9"/>
    <x v="13"/>
    <n v="4"/>
    <n v="8.1"/>
    <n v="32.4"/>
    <n v="3.12"/>
    <x v="1556"/>
    <n v="293"/>
  </r>
  <r>
    <n v="7010"/>
    <x v="5"/>
    <x v="271"/>
    <x v="0"/>
    <x v="12"/>
    <n v="1"/>
    <n v="26.24"/>
    <n v="26.24"/>
    <n v="3.94"/>
    <x v="1557"/>
    <n v="358"/>
  </r>
  <r>
    <n v="1681"/>
    <x v="4"/>
    <x v="89"/>
    <x v="2"/>
    <x v="6"/>
    <n v="3"/>
    <n v="14.57"/>
    <n v="43.71"/>
    <n v="6.56"/>
    <x v="1558"/>
    <n v="235"/>
  </r>
  <r>
    <n v="8231"/>
    <x v="8"/>
    <x v="674"/>
    <x v="5"/>
    <x v="0"/>
    <n v="3"/>
    <n v="18.489999999999998"/>
    <n v="55.47"/>
    <n v="11.09"/>
    <x v="267"/>
    <n v="477"/>
  </r>
  <r>
    <n v="4580"/>
    <x v="0"/>
    <x v="360"/>
    <x v="5"/>
    <x v="1"/>
    <n v="4"/>
    <n v="12.48"/>
    <n v="49.92"/>
    <n v="1.24"/>
    <x v="1559"/>
    <n v="249"/>
  </r>
  <r>
    <n v="2677"/>
    <x v="1"/>
    <x v="675"/>
    <x v="4"/>
    <x v="10"/>
    <n v="5"/>
    <n v="13.67"/>
    <n v="68.349999999999994"/>
    <n v="2.97"/>
    <x v="1560"/>
    <n v="16"/>
  </r>
  <r>
    <n v="5055"/>
    <x v="7"/>
    <x v="576"/>
    <x v="5"/>
    <x v="13"/>
    <n v="1"/>
    <n v="17.38"/>
    <n v="17.38"/>
    <n v="1.63"/>
    <x v="1561"/>
    <n v="498"/>
  </r>
  <r>
    <n v="1528"/>
    <x v="1"/>
    <x v="260"/>
    <x v="1"/>
    <x v="8"/>
    <n v="5"/>
    <n v="19.850000000000001"/>
    <n v="99.25"/>
    <n v="0"/>
    <x v="1562"/>
    <n v="97"/>
  </r>
  <r>
    <n v="5305"/>
    <x v="3"/>
    <x v="376"/>
    <x v="8"/>
    <x v="8"/>
    <n v="4"/>
    <n v="26.78"/>
    <n v="107.12"/>
    <n v="0"/>
    <x v="1563"/>
    <n v="378"/>
  </r>
  <r>
    <n v="2425"/>
    <x v="7"/>
    <x v="365"/>
    <x v="1"/>
    <x v="6"/>
    <n v="5"/>
    <n v="10.84"/>
    <n v="54.2"/>
    <n v="2.61"/>
    <x v="1564"/>
    <n v="270"/>
  </r>
  <r>
    <n v="2923"/>
    <x v="5"/>
    <x v="350"/>
    <x v="0"/>
    <x v="7"/>
    <n v="1"/>
    <n v="1.24"/>
    <n v="1.24"/>
    <n v="0.25"/>
    <x v="1565"/>
    <n v="165"/>
  </r>
  <r>
    <n v="4882"/>
    <x v="5"/>
    <x v="188"/>
    <x v="2"/>
    <x v="3"/>
    <n v="5"/>
    <n v="14.26"/>
    <n v="71.3"/>
    <n v="4.7"/>
    <x v="1566"/>
    <n v="340"/>
  </r>
  <r>
    <n v="6744"/>
    <x v="2"/>
    <x v="60"/>
    <x v="2"/>
    <x v="12"/>
    <n v="2"/>
    <n v="9.94"/>
    <n v="19.88"/>
    <n v="3.41"/>
    <x v="1567"/>
    <n v="51"/>
  </r>
  <r>
    <n v="8015"/>
    <x v="6"/>
    <x v="364"/>
    <x v="7"/>
    <x v="2"/>
    <n v="3"/>
    <n v="28.68"/>
    <n v="86.04"/>
    <n v="17.21"/>
    <x v="1568"/>
    <n v="167"/>
  </r>
  <r>
    <n v="3281"/>
    <x v="8"/>
    <x v="665"/>
    <x v="2"/>
    <x v="9"/>
    <n v="2"/>
    <n v="13.29"/>
    <n v="26.58"/>
    <n v="5.32"/>
    <x v="1569"/>
    <n v="138"/>
  </r>
  <r>
    <n v="4385"/>
    <x v="7"/>
    <x v="381"/>
    <x v="0"/>
    <x v="12"/>
    <n v="4"/>
    <n v="4.5599999999999996"/>
    <n v="18.239999999999998"/>
    <n v="2.78"/>
    <x v="1570"/>
    <n v="485"/>
  </r>
  <r>
    <n v="4390"/>
    <x v="8"/>
    <x v="46"/>
    <x v="3"/>
    <x v="11"/>
    <n v="4"/>
    <n v="13.71"/>
    <n v="54.84"/>
    <n v="5.48"/>
    <x v="1571"/>
    <n v="101"/>
  </r>
  <r>
    <n v="1972"/>
    <x v="0"/>
    <x v="318"/>
    <x v="1"/>
    <x v="6"/>
    <n v="5"/>
    <n v="27.48"/>
    <n v="137.4"/>
    <n v="27.48"/>
    <x v="1572"/>
    <n v="370"/>
  </r>
  <r>
    <n v="6747"/>
    <x v="8"/>
    <x v="592"/>
    <x v="1"/>
    <x v="16"/>
    <n v="5"/>
    <n v="11.38"/>
    <n v="56.9"/>
    <n v="11.38"/>
    <x v="809"/>
    <n v="162"/>
  </r>
  <r>
    <n v="5605"/>
    <x v="8"/>
    <x v="63"/>
    <x v="1"/>
    <x v="15"/>
    <n v="3"/>
    <n v="14.85"/>
    <n v="44.55"/>
    <n v="4.46"/>
    <x v="1573"/>
    <n v="260"/>
  </r>
  <r>
    <n v="9827"/>
    <x v="6"/>
    <x v="299"/>
    <x v="0"/>
    <x v="7"/>
    <n v="4"/>
    <n v="12.6"/>
    <n v="50.4"/>
    <n v="7.56"/>
    <x v="1574"/>
    <n v="439"/>
  </r>
  <r>
    <n v="6302"/>
    <x v="7"/>
    <x v="163"/>
    <x v="8"/>
    <x v="13"/>
    <n v="4"/>
    <n v="28.42"/>
    <n v="113.68"/>
    <n v="22.74"/>
    <x v="1575"/>
    <n v="333"/>
  </r>
  <r>
    <n v="5794"/>
    <x v="0"/>
    <x v="496"/>
    <x v="5"/>
    <x v="7"/>
    <n v="4"/>
    <n v="1.45"/>
    <n v="5.8"/>
    <n v="0"/>
    <x v="1576"/>
    <n v="493"/>
  </r>
  <r>
    <n v="5380"/>
    <x v="7"/>
    <x v="199"/>
    <x v="0"/>
    <x v="12"/>
    <n v="2"/>
    <n v="6.13"/>
    <n v="12.26"/>
    <n v="1.62"/>
    <x v="1541"/>
    <n v="4"/>
  </r>
  <r>
    <n v="9428"/>
    <x v="4"/>
    <x v="429"/>
    <x v="0"/>
    <x v="11"/>
    <n v="5"/>
    <n v="24.26"/>
    <n v="121.3"/>
    <n v="18.2"/>
    <x v="1577"/>
    <n v="443"/>
  </r>
  <r>
    <n v="2560"/>
    <x v="3"/>
    <x v="286"/>
    <x v="7"/>
    <x v="1"/>
    <n v="2"/>
    <n v="6.05"/>
    <n v="12.1"/>
    <n v="0"/>
    <x v="310"/>
    <n v="265"/>
  </r>
  <r>
    <n v="7743"/>
    <x v="2"/>
    <x v="81"/>
    <x v="4"/>
    <x v="17"/>
    <n v="2"/>
    <n v="1.86"/>
    <n v="3.72"/>
    <n v="0.37"/>
    <x v="724"/>
    <n v="104"/>
  </r>
  <r>
    <n v="1971"/>
    <x v="7"/>
    <x v="465"/>
    <x v="8"/>
    <x v="3"/>
    <n v="1"/>
    <n v="23.7"/>
    <n v="23.7"/>
    <n v="2.37"/>
    <x v="334"/>
    <n v="169"/>
  </r>
  <r>
    <n v="3078"/>
    <x v="6"/>
    <x v="662"/>
    <x v="7"/>
    <x v="1"/>
    <n v="1"/>
    <n v="16.63"/>
    <n v="16.63"/>
    <n v="3.33"/>
    <x v="1578"/>
    <n v="390"/>
  </r>
  <r>
    <n v="3174"/>
    <x v="0"/>
    <x v="124"/>
    <x v="0"/>
    <x v="4"/>
    <n v="2"/>
    <n v="3.66"/>
    <n v="7.32"/>
    <n v="0.73"/>
    <x v="1460"/>
    <n v="33"/>
  </r>
  <r>
    <n v="3396"/>
    <x v="4"/>
    <x v="531"/>
    <x v="3"/>
    <x v="2"/>
    <n v="4"/>
    <n v="4.8899999999999997"/>
    <n v="19.559999999999999"/>
    <n v="2.93"/>
    <x v="1579"/>
    <n v="308"/>
  </r>
  <r>
    <n v="6277"/>
    <x v="4"/>
    <x v="602"/>
    <x v="10"/>
    <x v="0"/>
    <n v="2"/>
    <n v="10.35"/>
    <n v="20.7"/>
    <n v="3.67"/>
    <x v="1580"/>
    <n v="276"/>
  </r>
  <r>
    <n v="5055"/>
    <x v="0"/>
    <x v="616"/>
    <x v="10"/>
    <x v="16"/>
    <n v="5"/>
    <n v="6.68"/>
    <n v="33.4"/>
    <n v="6.68"/>
    <x v="1581"/>
    <n v="112"/>
  </r>
  <r>
    <n v="7434"/>
    <x v="8"/>
    <x v="476"/>
    <x v="5"/>
    <x v="13"/>
    <n v="1"/>
    <n v="21.79"/>
    <n v="21.79"/>
    <n v="4.3600000000000003"/>
    <x v="357"/>
    <n v="144"/>
  </r>
  <r>
    <n v="3329"/>
    <x v="8"/>
    <x v="29"/>
    <x v="8"/>
    <x v="6"/>
    <n v="3"/>
    <n v="10.52"/>
    <n v="31.56"/>
    <n v="0"/>
    <x v="1582"/>
    <n v="498"/>
  </r>
  <r>
    <n v="5402"/>
    <x v="1"/>
    <x v="440"/>
    <x v="9"/>
    <x v="0"/>
    <n v="2"/>
    <n v="10.5"/>
    <n v="21"/>
    <n v="3.95"/>
    <x v="1583"/>
    <n v="191"/>
  </r>
  <r>
    <n v="7786"/>
    <x v="6"/>
    <x v="422"/>
    <x v="3"/>
    <x v="11"/>
    <n v="2"/>
    <n v="29.4"/>
    <n v="58.8"/>
    <n v="0"/>
    <x v="1584"/>
    <n v="7"/>
  </r>
  <r>
    <n v="8405"/>
    <x v="6"/>
    <x v="414"/>
    <x v="2"/>
    <x v="6"/>
    <n v="4"/>
    <n v="10.34"/>
    <n v="41.36"/>
    <n v="4.1399999999999997"/>
    <x v="1585"/>
    <n v="292"/>
  </r>
  <r>
    <n v="2525"/>
    <x v="7"/>
    <x v="625"/>
    <x v="2"/>
    <x v="7"/>
    <n v="4"/>
    <n v="29.78"/>
    <n v="119.12"/>
    <n v="2.76"/>
    <x v="1586"/>
    <n v="232"/>
  </r>
  <r>
    <n v="9447"/>
    <x v="5"/>
    <x v="676"/>
    <x v="5"/>
    <x v="15"/>
    <n v="3"/>
    <n v="10.77"/>
    <n v="32.31"/>
    <n v="4.8499999999999996"/>
    <x v="1587"/>
    <n v="456"/>
  </r>
  <r>
    <n v="5558"/>
    <x v="7"/>
    <x v="419"/>
    <x v="10"/>
    <x v="2"/>
    <n v="4"/>
    <n v="20.22"/>
    <n v="80.88"/>
    <n v="2.0499999999999998"/>
    <x v="1588"/>
    <n v="342"/>
  </r>
  <r>
    <n v="7046"/>
    <x v="7"/>
    <x v="243"/>
    <x v="3"/>
    <x v="10"/>
    <n v="5"/>
    <n v="4.6500000000000004"/>
    <n v="23.25"/>
    <n v="1.48"/>
    <x v="1589"/>
    <n v="116"/>
  </r>
  <r>
    <n v="8996"/>
    <x v="5"/>
    <x v="289"/>
    <x v="7"/>
    <x v="4"/>
    <n v="3"/>
    <n v="14.11"/>
    <n v="42.33"/>
    <n v="1.73"/>
    <x v="1590"/>
    <n v="283"/>
  </r>
  <r>
    <n v="1040"/>
    <x v="1"/>
    <x v="485"/>
    <x v="2"/>
    <x v="12"/>
    <n v="2"/>
    <n v="23.49"/>
    <n v="46.98"/>
    <n v="3.4"/>
    <x v="1591"/>
    <n v="101"/>
  </r>
  <r>
    <n v="2526"/>
    <x v="2"/>
    <x v="610"/>
    <x v="6"/>
    <x v="15"/>
    <n v="5"/>
    <n v="2.35"/>
    <n v="11.75"/>
    <n v="1.92"/>
    <x v="1592"/>
    <n v="272"/>
  </r>
  <r>
    <n v="8511"/>
    <x v="1"/>
    <x v="374"/>
    <x v="7"/>
    <x v="4"/>
    <n v="2"/>
    <n v="3.89"/>
    <n v="7.78"/>
    <n v="0"/>
    <x v="1432"/>
    <n v="84"/>
  </r>
  <r>
    <n v="6869"/>
    <x v="2"/>
    <x v="304"/>
    <x v="9"/>
    <x v="1"/>
    <n v="2"/>
    <n v="9.06"/>
    <n v="18.12"/>
    <n v="2.72"/>
    <x v="1593"/>
    <n v="491"/>
  </r>
  <r>
    <n v="2037"/>
    <x v="3"/>
    <x v="305"/>
    <x v="9"/>
    <x v="1"/>
    <n v="4"/>
    <n v="14.56"/>
    <n v="58.24"/>
    <n v="1.3"/>
    <x v="1594"/>
    <n v="69"/>
  </r>
  <r>
    <n v="9756"/>
    <x v="1"/>
    <x v="302"/>
    <x v="5"/>
    <x v="9"/>
    <n v="2"/>
    <n v="27.76"/>
    <n v="55.52"/>
    <n v="4.0199999999999996"/>
    <x v="1595"/>
    <n v="313"/>
  </r>
  <r>
    <n v="4568"/>
    <x v="2"/>
    <x v="184"/>
    <x v="7"/>
    <x v="16"/>
    <n v="2"/>
    <n v="23.16"/>
    <n v="46.32"/>
    <n v="4.63"/>
    <x v="1596"/>
    <n v="413"/>
  </r>
  <r>
    <n v="4470"/>
    <x v="2"/>
    <x v="407"/>
    <x v="5"/>
    <x v="1"/>
    <n v="4"/>
    <n v="18.14"/>
    <n v="72.56"/>
    <n v="1.91"/>
    <x v="1597"/>
    <n v="127"/>
  </r>
  <r>
    <n v="5399"/>
    <x v="5"/>
    <x v="316"/>
    <x v="7"/>
    <x v="7"/>
    <n v="1"/>
    <n v="22.04"/>
    <n v="22.04"/>
    <n v="4.41"/>
    <x v="1598"/>
    <n v="299"/>
  </r>
  <r>
    <n v="5646"/>
    <x v="4"/>
    <x v="290"/>
    <x v="7"/>
    <x v="0"/>
    <n v="3"/>
    <n v="1.3"/>
    <n v="3.9"/>
    <n v="1.41"/>
    <x v="1599"/>
    <n v="60"/>
  </r>
  <r>
    <n v="9967"/>
    <x v="4"/>
    <x v="29"/>
    <x v="2"/>
    <x v="8"/>
    <n v="3"/>
    <n v="24.83"/>
    <n v="74.489999999999995"/>
    <n v="14.9"/>
    <x v="1600"/>
    <n v="277"/>
  </r>
  <r>
    <n v="3139"/>
    <x v="0"/>
    <x v="425"/>
    <x v="4"/>
    <x v="0"/>
    <n v="1"/>
    <n v="12.05"/>
    <n v="12.05"/>
    <n v="3.51"/>
    <x v="187"/>
    <n v="456"/>
  </r>
  <r>
    <n v="8951"/>
    <x v="3"/>
    <x v="464"/>
    <x v="6"/>
    <x v="6"/>
    <n v="4"/>
    <n v="22.99"/>
    <n v="91.96"/>
    <n v="4.99"/>
    <x v="1601"/>
    <n v="115"/>
  </r>
  <r>
    <n v="6631"/>
    <x v="7"/>
    <x v="553"/>
    <x v="2"/>
    <x v="16"/>
    <n v="4"/>
    <n v="13.22"/>
    <n v="52.88"/>
    <n v="7.93"/>
    <x v="1602"/>
    <n v="326"/>
  </r>
  <r>
    <n v="1793"/>
    <x v="5"/>
    <x v="31"/>
    <x v="8"/>
    <x v="15"/>
    <n v="3"/>
    <n v="13.16"/>
    <n v="39.479999999999997"/>
    <n v="5.92"/>
    <x v="1603"/>
    <n v="428"/>
  </r>
  <r>
    <n v="2631"/>
    <x v="0"/>
    <x v="416"/>
    <x v="0"/>
    <x v="17"/>
    <n v="4"/>
    <n v="8.0299999999999994"/>
    <n v="32.119999999999997"/>
    <n v="2.74"/>
    <x v="1604"/>
    <n v="253"/>
  </r>
  <r>
    <n v="8529"/>
    <x v="5"/>
    <x v="468"/>
    <x v="1"/>
    <x v="16"/>
    <n v="5"/>
    <n v="18.579999999999998"/>
    <n v="92.9"/>
    <n v="3.08"/>
    <x v="1605"/>
    <n v="289"/>
  </r>
  <r>
    <n v="3035"/>
    <x v="3"/>
    <x v="155"/>
    <x v="0"/>
    <x v="17"/>
    <n v="5"/>
    <n v="25.3"/>
    <n v="126.5"/>
    <n v="1.38"/>
    <x v="1606"/>
    <n v="329"/>
  </r>
  <r>
    <n v="3588"/>
    <x v="8"/>
    <x v="342"/>
    <x v="4"/>
    <x v="1"/>
    <n v="4"/>
    <n v="21.82"/>
    <n v="87.28"/>
    <n v="0"/>
    <x v="1607"/>
    <n v="20"/>
  </r>
  <r>
    <n v="8479"/>
    <x v="4"/>
    <x v="677"/>
    <x v="10"/>
    <x v="15"/>
    <n v="1"/>
    <n v="28.26"/>
    <n v="28.26"/>
    <n v="0"/>
    <x v="1608"/>
    <n v="416"/>
  </r>
  <r>
    <n v="8009"/>
    <x v="6"/>
    <x v="617"/>
    <x v="2"/>
    <x v="6"/>
    <n v="1"/>
    <n v="19.28"/>
    <n v="19.28"/>
    <n v="2.89"/>
    <x v="1609"/>
    <n v="168"/>
  </r>
  <r>
    <n v="3161"/>
    <x v="3"/>
    <x v="180"/>
    <x v="0"/>
    <x v="8"/>
    <n v="3"/>
    <n v="11.39"/>
    <n v="34.17"/>
    <n v="5.13"/>
    <x v="1610"/>
    <n v="349"/>
  </r>
  <r>
    <n v="5945"/>
    <x v="8"/>
    <x v="678"/>
    <x v="8"/>
    <x v="8"/>
    <n v="1"/>
    <n v="10.4"/>
    <n v="10.4"/>
    <n v="2.08"/>
    <x v="1611"/>
    <n v="357"/>
  </r>
  <r>
    <n v="5489"/>
    <x v="8"/>
    <x v="6"/>
    <x v="9"/>
    <x v="2"/>
    <n v="3"/>
    <n v="22.47"/>
    <n v="67.41"/>
    <n v="13.48"/>
    <x v="1612"/>
    <n v="385"/>
  </r>
  <r>
    <n v="6905"/>
    <x v="4"/>
    <x v="127"/>
    <x v="1"/>
    <x v="3"/>
    <n v="3"/>
    <n v="18.87"/>
    <n v="56.61"/>
    <n v="8.49"/>
    <x v="1613"/>
    <n v="378"/>
  </r>
  <r>
    <n v="2350"/>
    <x v="5"/>
    <x v="559"/>
    <x v="1"/>
    <x v="13"/>
    <n v="4"/>
    <n v="10.06"/>
    <n v="40.24"/>
    <n v="4.0199999999999996"/>
    <x v="1614"/>
    <n v="254"/>
  </r>
  <r>
    <n v="3711"/>
    <x v="8"/>
    <x v="293"/>
    <x v="8"/>
    <x v="16"/>
    <n v="3"/>
    <n v="10.76"/>
    <n v="32.28"/>
    <n v="6.46"/>
    <x v="1615"/>
    <n v="224"/>
  </r>
  <r>
    <n v="7493"/>
    <x v="2"/>
    <x v="352"/>
    <x v="4"/>
    <x v="10"/>
    <n v="1"/>
    <n v="6.49"/>
    <n v="6.49"/>
    <n v="3.15"/>
    <x v="1616"/>
    <n v="158"/>
  </r>
  <r>
    <n v="6005"/>
    <x v="3"/>
    <x v="656"/>
    <x v="6"/>
    <x v="13"/>
    <n v="2"/>
    <n v="3.7"/>
    <n v="7.4"/>
    <n v="1.1100000000000001"/>
    <x v="1617"/>
    <n v="364"/>
  </r>
  <r>
    <n v="4836"/>
    <x v="2"/>
    <x v="184"/>
    <x v="4"/>
    <x v="2"/>
    <n v="3"/>
    <n v="12.5"/>
    <n v="37.5"/>
    <n v="4.38"/>
    <x v="1021"/>
    <n v="471"/>
  </r>
  <r>
    <n v="2494"/>
    <x v="5"/>
    <x v="163"/>
    <x v="6"/>
    <x v="13"/>
    <n v="3"/>
    <n v="29.97"/>
    <n v="89.91"/>
    <n v="17.98"/>
    <x v="1618"/>
    <n v="226"/>
  </r>
  <r>
    <n v="2559"/>
    <x v="1"/>
    <x v="677"/>
    <x v="7"/>
    <x v="0"/>
    <n v="1"/>
    <n v="15.33"/>
    <n v="15.33"/>
    <n v="3.07"/>
    <x v="1619"/>
    <n v="426"/>
  </r>
  <r>
    <n v="4496"/>
    <x v="8"/>
    <x v="276"/>
    <x v="10"/>
    <x v="14"/>
    <n v="2"/>
    <n v="1.35"/>
    <n v="2.7"/>
    <n v="2.93"/>
    <x v="1620"/>
    <n v="124"/>
  </r>
  <r>
    <n v="2276"/>
    <x v="4"/>
    <x v="546"/>
    <x v="3"/>
    <x v="2"/>
    <n v="5"/>
    <n v="29.94"/>
    <n v="149.69999999999999"/>
    <n v="29.94"/>
    <x v="1621"/>
    <n v="98"/>
  </r>
  <r>
    <n v="4705"/>
    <x v="1"/>
    <x v="589"/>
    <x v="6"/>
    <x v="7"/>
    <n v="5"/>
    <n v="26.76"/>
    <n v="133.80000000000001"/>
    <n v="0"/>
    <x v="1622"/>
    <n v="198"/>
  </r>
  <r>
    <n v="8291"/>
    <x v="7"/>
    <x v="156"/>
    <x v="8"/>
    <x v="1"/>
    <n v="3"/>
    <n v="11.56"/>
    <n v="34.68"/>
    <n v="5.2"/>
    <x v="1623"/>
    <n v="473"/>
  </r>
  <r>
    <n v="1132"/>
    <x v="1"/>
    <x v="536"/>
    <x v="4"/>
    <x v="13"/>
    <n v="2"/>
    <n v="10.32"/>
    <n v="20.64"/>
    <n v="3.32"/>
    <x v="1624"/>
    <n v="423"/>
  </r>
  <r>
    <n v="6629"/>
    <x v="0"/>
    <x v="201"/>
    <x v="9"/>
    <x v="16"/>
    <n v="5"/>
    <n v="10.08"/>
    <n v="50.4"/>
    <n v="0"/>
    <x v="1307"/>
    <n v="413"/>
  </r>
  <r>
    <n v="2975"/>
    <x v="7"/>
    <x v="60"/>
    <x v="5"/>
    <x v="2"/>
    <n v="2"/>
    <n v="14.48"/>
    <n v="28.96"/>
    <n v="2.9"/>
    <x v="1625"/>
    <n v="294"/>
  </r>
  <r>
    <n v="7919"/>
    <x v="4"/>
    <x v="419"/>
    <x v="10"/>
    <x v="1"/>
    <n v="1"/>
    <n v="28.63"/>
    <n v="28.63"/>
    <n v="2.79"/>
    <x v="122"/>
    <n v="87"/>
  </r>
  <r>
    <n v="3165"/>
    <x v="6"/>
    <x v="613"/>
    <x v="4"/>
    <x v="16"/>
    <n v="2"/>
    <n v="2.84"/>
    <n v="5.68"/>
    <n v="0"/>
    <x v="708"/>
    <n v="181"/>
  </r>
  <r>
    <n v="2160"/>
    <x v="5"/>
    <x v="45"/>
    <x v="6"/>
    <x v="0"/>
    <n v="1"/>
    <n v="21.68"/>
    <n v="21.68"/>
    <n v="0"/>
    <x v="1626"/>
    <n v="251"/>
  </r>
  <r>
    <n v="7276"/>
    <x v="2"/>
    <x v="581"/>
    <x v="3"/>
    <x v="14"/>
    <n v="4"/>
    <n v="9.9700000000000006"/>
    <n v="39.880000000000003"/>
    <n v="5.98"/>
    <x v="327"/>
    <n v="356"/>
  </r>
  <r>
    <n v="2678"/>
    <x v="8"/>
    <x v="516"/>
    <x v="6"/>
    <x v="15"/>
    <n v="4"/>
    <n v="5.17"/>
    <n v="20.68"/>
    <n v="4.88"/>
    <x v="704"/>
    <n v="276"/>
  </r>
  <r>
    <n v="6133"/>
    <x v="6"/>
    <x v="530"/>
    <x v="4"/>
    <x v="17"/>
    <n v="1"/>
    <n v="18.79"/>
    <n v="18.79"/>
    <n v="0"/>
    <x v="199"/>
    <n v="271"/>
  </r>
  <r>
    <n v="5902"/>
    <x v="2"/>
    <x v="526"/>
    <x v="2"/>
    <x v="5"/>
    <n v="5"/>
    <n v="23.43"/>
    <n v="117.15"/>
    <n v="3.6"/>
    <x v="1627"/>
    <n v="91"/>
  </r>
  <r>
    <n v="7270"/>
    <x v="4"/>
    <x v="32"/>
    <x v="1"/>
    <x v="3"/>
    <n v="1"/>
    <n v="3.72"/>
    <n v="3.72"/>
    <n v="0.37"/>
    <x v="724"/>
    <n v="206"/>
  </r>
  <r>
    <n v="3181"/>
    <x v="3"/>
    <x v="461"/>
    <x v="10"/>
    <x v="12"/>
    <n v="3"/>
    <n v="6.3"/>
    <n v="18.899999999999999"/>
    <n v="3.78"/>
    <x v="1628"/>
    <n v="159"/>
  </r>
  <r>
    <n v="3340"/>
    <x v="3"/>
    <x v="145"/>
    <x v="8"/>
    <x v="16"/>
    <n v="1"/>
    <n v="6.34"/>
    <n v="6.34"/>
    <n v="1.27"/>
    <x v="1629"/>
    <n v="205"/>
  </r>
  <r>
    <n v="9691"/>
    <x v="7"/>
    <x v="647"/>
    <x v="5"/>
    <x v="13"/>
    <n v="3"/>
    <n v="14.09"/>
    <n v="42.27"/>
    <n v="4.5199999999999996"/>
    <x v="1630"/>
    <n v="48"/>
  </r>
  <r>
    <n v="1138"/>
    <x v="6"/>
    <x v="669"/>
    <x v="9"/>
    <x v="11"/>
    <n v="3"/>
    <n v="3.76"/>
    <n v="11.28"/>
    <n v="2.31"/>
    <x v="186"/>
    <n v="0"/>
  </r>
  <r>
    <n v="3688"/>
    <x v="5"/>
    <x v="365"/>
    <x v="0"/>
    <x v="4"/>
    <n v="1"/>
    <n v="28.71"/>
    <n v="28.71"/>
    <n v="5.74"/>
    <x v="1631"/>
    <n v="96"/>
  </r>
  <r>
    <n v="6753"/>
    <x v="1"/>
    <x v="619"/>
    <x v="2"/>
    <x v="4"/>
    <n v="1"/>
    <n v="26.28"/>
    <n v="26.28"/>
    <n v="2.5"/>
    <x v="1632"/>
    <n v="467"/>
  </r>
  <r>
    <n v="4490"/>
    <x v="2"/>
    <x v="440"/>
    <x v="10"/>
    <x v="6"/>
    <n v="5"/>
    <n v="5.31"/>
    <n v="26.55"/>
    <n v="3.49"/>
    <x v="691"/>
    <n v="419"/>
  </r>
  <r>
    <n v="3480"/>
    <x v="1"/>
    <x v="281"/>
    <x v="1"/>
    <x v="9"/>
    <n v="3"/>
    <n v="4.12"/>
    <n v="12.36"/>
    <n v="3.07"/>
    <x v="1633"/>
    <n v="349"/>
  </r>
  <r>
    <n v="7745"/>
    <x v="0"/>
    <x v="229"/>
    <x v="10"/>
    <x v="14"/>
    <n v="5"/>
    <n v="5.49"/>
    <n v="27.45"/>
    <n v="2.75"/>
    <x v="1634"/>
    <n v="313"/>
  </r>
  <r>
    <n v="8248"/>
    <x v="1"/>
    <x v="108"/>
    <x v="3"/>
    <x v="8"/>
    <n v="1"/>
    <n v="20.38"/>
    <n v="20.38"/>
    <n v="4.08"/>
    <x v="1635"/>
    <n v="33"/>
  </r>
  <r>
    <n v="4559"/>
    <x v="7"/>
    <x v="4"/>
    <x v="7"/>
    <x v="5"/>
    <n v="4"/>
    <n v="6.45"/>
    <n v="25.8"/>
    <n v="3.87"/>
    <x v="1636"/>
    <n v="206"/>
  </r>
  <r>
    <n v="2646"/>
    <x v="6"/>
    <x v="2"/>
    <x v="10"/>
    <x v="17"/>
    <n v="5"/>
    <n v="3.63"/>
    <n v="18.149999999999999"/>
    <n v="3.25"/>
    <x v="1637"/>
    <n v="335"/>
  </r>
  <r>
    <n v="3017"/>
    <x v="1"/>
    <x v="104"/>
    <x v="9"/>
    <x v="7"/>
    <n v="5"/>
    <n v="19.64"/>
    <n v="98.2"/>
    <n v="19.64"/>
    <x v="1638"/>
    <n v="144"/>
  </r>
  <r>
    <n v="7291"/>
    <x v="4"/>
    <x v="277"/>
    <x v="2"/>
    <x v="9"/>
    <n v="4"/>
    <n v="12.71"/>
    <n v="50.84"/>
    <n v="5.08"/>
    <x v="1639"/>
    <n v="193"/>
  </r>
  <r>
    <n v="8035"/>
    <x v="6"/>
    <x v="382"/>
    <x v="10"/>
    <x v="17"/>
    <n v="3"/>
    <n v="17.27"/>
    <n v="51.81"/>
    <n v="7.77"/>
    <x v="1640"/>
    <n v="312"/>
  </r>
  <r>
    <n v="3290"/>
    <x v="4"/>
    <x v="101"/>
    <x v="8"/>
    <x v="11"/>
    <n v="5"/>
    <n v="25.1"/>
    <n v="125.5"/>
    <n v="18.82"/>
    <x v="1641"/>
    <n v="96"/>
  </r>
  <r>
    <n v="5537"/>
    <x v="1"/>
    <x v="646"/>
    <x v="7"/>
    <x v="3"/>
    <n v="1"/>
    <n v="16.48"/>
    <n v="16.48"/>
    <n v="1.65"/>
    <x v="860"/>
    <n v="24"/>
  </r>
  <r>
    <n v="2380"/>
    <x v="8"/>
    <x v="101"/>
    <x v="4"/>
    <x v="2"/>
    <n v="1"/>
    <n v="24.88"/>
    <n v="24.88"/>
    <n v="0"/>
    <x v="1642"/>
    <n v="350"/>
  </r>
  <r>
    <n v="5668"/>
    <x v="1"/>
    <x v="504"/>
    <x v="9"/>
    <x v="6"/>
    <n v="5"/>
    <n v="11.74"/>
    <n v="58.7"/>
    <n v="11.74"/>
    <x v="1643"/>
    <n v="357"/>
  </r>
  <r>
    <n v="1439"/>
    <x v="0"/>
    <x v="475"/>
    <x v="10"/>
    <x v="6"/>
    <n v="2"/>
    <n v="21.65"/>
    <n v="43.3"/>
    <n v="4.33"/>
    <x v="1644"/>
    <n v="37"/>
  </r>
  <r>
    <n v="5942"/>
    <x v="8"/>
    <x v="668"/>
    <x v="6"/>
    <x v="10"/>
    <n v="1"/>
    <n v="27.73"/>
    <n v="27.73"/>
    <n v="4.16"/>
    <x v="388"/>
    <n v="105"/>
  </r>
  <r>
    <n v="9482"/>
    <x v="6"/>
    <x v="438"/>
    <x v="2"/>
    <x v="3"/>
    <n v="2"/>
    <n v="29.62"/>
    <n v="59.24"/>
    <n v="8.89"/>
    <x v="1645"/>
    <n v="423"/>
  </r>
  <r>
    <n v="9348"/>
    <x v="3"/>
    <x v="633"/>
    <x v="0"/>
    <x v="12"/>
    <n v="2"/>
    <n v="18.350000000000001"/>
    <n v="36.700000000000003"/>
    <n v="3.67"/>
    <x v="1646"/>
    <n v="318"/>
  </r>
  <r>
    <n v="7418"/>
    <x v="5"/>
    <x v="477"/>
    <x v="2"/>
    <x v="0"/>
    <n v="4"/>
    <n v="21.01"/>
    <n v="84.04"/>
    <n v="8.4"/>
    <x v="1647"/>
    <n v="212"/>
  </r>
  <r>
    <n v="1894"/>
    <x v="5"/>
    <x v="651"/>
    <x v="2"/>
    <x v="16"/>
    <n v="3"/>
    <n v="18.39"/>
    <n v="55.17"/>
    <n v="3.78"/>
    <x v="1648"/>
    <n v="320"/>
  </r>
  <r>
    <n v="4921"/>
    <x v="4"/>
    <x v="407"/>
    <x v="7"/>
    <x v="5"/>
    <n v="1"/>
    <n v="19.48"/>
    <n v="19.48"/>
    <n v="1.95"/>
    <x v="241"/>
    <n v="59"/>
  </r>
  <r>
    <n v="7322"/>
    <x v="0"/>
    <x v="673"/>
    <x v="7"/>
    <x v="2"/>
    <n v="3"/>
    <n v="5.84"/>
    <n v="17.52"/>
    <n v="0"/>
    <x v="1649"/>
    <n v="378"/>
  </r>
  <r>
    <n v="4949"/>
    <x v="3"/>
    <x v="75"/>
    <x v="8"/>
    <x v="2"/>
    <n v="3"/>
    <n v="9.25"/>
    <n v="27.75"/>
    <n v="4.04"/>
    <x v="214"/>
    <n v="291"/>
  </r>
  <r>
    <n v="2163"/>
    <x v="9"/>
    <x v="66"/>
    <x v="2"/>
    <x v="13"/>
    <n v="5"/>
    <n v="25.54"/>
    <n v="127.7"/>
    <n v="4.9800000000000004"/>
    <x v="1650"/>
    <n v="102"/>
  </r>
  <r>
    <n v="1197"/>
    <x v="4"/>
    <x v="336"/>
    <x v="10"/>
    <x v="17"/>
    <n v="1"/>
    <n v="7.62"/>
    <n v="7.62"/>
    <n v="1.52"/>
    <x v="1651"/>
    <n v="426"/>
  </r>
  <r>
    <n v="6185"/>
    <x v="0"/>
    <x v="113"/>
    <x v="1"/>
    <x v="5"/>
    <n v="4"/>
    <n v="18.829999999999998"/>
    <n v="75.319999999999993"/>
    <n v="7.53"/>
    <x v="1652"/>
    <n v="224"/>
  </r>
  <r>
    <n v="7337"/>
    <x v="6"/>
    <x v="60"/>
    <x v="5"/>
    <x v="15"/>
    <n v="2"/>
    <n v="23.28"/>
    <n v="46.56"/>
    <n v="3.28"/>
    <x v="1653"/>
    <n v="371"/>
  </r>
  <r>
    <n v="7895"/>
    <x v="2"/>
    <x v="186"/>
    <x v="4"/>
    <x v="0"/>
    <n v="2"/>
    <n v="11.14"/>
    <n v="22.28"/>
    <n v="2.23"/>
    <x v="1654"/>
    <n v="102"/>
  </r>
  <r>
    <n v="9951"/>
    <x v="3"/>
    <x v="621"/>
    <x v="7"/>
    <x v="9"/>
    <n v="5"/>
    <n v="2.84"/>
    <n v="14.2"/>
    <n v="2.13"/>
    <x v="1655"/>
    <n v="94"/>
  </r>
  <r>
    <n v="3830"/>
    <x v="4"/>
    <x v="79"/>
    <x v="0"/>
    <x v="8"/>
    <n v="1"/>
    <n v="25.45"/>
    <n v="25.45"/>
    <n v="1.64"/>
    <x v="1656"/>
    <n v="308"/>
  </r>
  <r>
    <n v="8717"/>
    <x v="1"/>
    <x v="599"/>
    <x v="4"/>
    <x v="11"/>
    <n v="1"/>
    <n v="20.85"/>
    <n v="20.85"/>
    <n v="3.88"/>
    <x v="1052"/>
    <n v="209"/>
  </r>
  <r>
    <n v="2195"/>
    <x v="7"/>
    <x v="468"/>
    <x v="4"/>
    <x v="11"/>
    <n v="2"/>
    <n v="27.13"/>
    <n v="54.26"/>
    <n v="2.52"/>
    <x v="1657"/>
    <n v="350"/>
  </r>
  <r>
    <n v="2106"/>
    <x v="6"/>
    <x v="450"/>
    <x v="3"/>
    <x v="17"/>
    <n v="2"/>
    <n v="23.09"/>
    <n v="46.18"/>
    <n v="3.6"/>
    <x v="1658"/>
    <n v="18"/>
  </r>
  <r>
    <n v="5295"/>
    <x v="4"/>
    <x v="490"/>
    <x v="6"/>
    <x v="7"/>
    <n v="3"/>
    <n v="20.87"/>
    <n v="62.61"/>
    <n v="0"/>
    <x v="1659"/>
    <n v="198"/>
  </r>
  <r>
    <n v="1652"/>
    <x v="8"/>
    <x v="26"/>
    <x v="5"/>
    <x v="16"/>
    <n v="5"/>
    <n v="8.24"/>
    <n v="41.2"/>
    <n v="4.12"/>
    <x v="1660"/>
    <n v="325"/>
  </r>
  <r>
    <n v="1990"/>
    <x v="2"/>
    <x v="522"/>
    <x v="10"/>
    <x v="2"/>
    <n v="3"/>
    <n v="7.48"/>
    <n v="22.44"/>
    <n v="2.2400000000000002"/>
    <x v="1661"/>
    <n v="146"/>
  </r>
  <r>
    <n v="7520"/>
    <x v="5"/>
    <x v="222"/>
    <x v="7"/>
    <x v="4"/>
    <n v="1"/>
    <n v="13.51"/>
    <n v="13.51"/>
    <n v="2.84"/>
    <x v="787"/>
    <n v="153"/>
  </r>
  <r>
    <n v="5693"/>
    <x v="1"/>
    <x v="595"/>
    <x v="2"/>
    <x v="7"/>
    <n v="2"/>
    <n v="25.35"/>
    <n v="50.7"/>
    <n v="5.07"/>
    <x v="1662"/>
    <n v="180"/>
  </r>
  <r>
    <n v="9209"/>
    <x v="3"/>
    <x v="298"/>
    <x v="3"/>
    <x v="8"/>
    <n v="4"/>
    <n v="13.86"/>
    <n v="55.44"/>
    <n v="8.32"/>
    <x v="1081"/>
    <n v="198"/>
  </r>
  <r>
    <n v="7806"/>
    <x v="7"/>
    <x v="623"/>
    <x v="4"/>
    <x v="7"/>
    <n v="2"/>
    <n v="21.97"/>
    <n v="43.94"/>
    <n v="8.7899999999999991"/>
    <x v="24"/>
    <n v="105"/>
  </r>
  <r>
    <n v="7590"/>
    <x v="8"/>
    <x v="645"/>
    <x v="6"/>
    <x v="14"/>
    <n v="5"/>
    <n v="11.53"/>
    <n v="57.65"/>
    <n v="8.65"/>
    <x v="1663"/>
    <n v="237"/>
  </r>
  <r>
    <n v="9791"/>
    <x v="5"/>
    <x v="622"/>
    <x v="2"/>
    <x v="7"/>
    <n v="2"/>
    <n v="14.63"/>
    <n v="29.26"/>
    <n v="4.3899999999999997"/>
    <x v="108"/>
    <n v="277"/>
  </r>
  <r>
    <n v="3501"/>
    <x v="3"/>
    <x v="465"/>
    <x v="0"/>
    <x v="14"/>
    <n v="2"/>
    <n v="10.78"/>
    <n v="21.56"/>
    <n v="0"/>
    <x v="1664"/>
    <n v="455"/>
  </r>
  <r>
    <n v="2369"/>
    <x v="3"/>
    <x v="524"/>
    <x v="9"/>
    <x v="1"/>
    <n v="2"/>
    <n v="28.34"/>
    <n v="56.68"/>
    <n v="5.67"/>
    <x v="1665"/>
    <n v="12"/>
  </r>
  <r>
    <n v="2294"/>
    <x v="2"/>
    <x v="235"/>
    <x v="8"/>
    <x v="12"/>
    <n v="4"/>
    <n v="17.670000000000002"/>
    <n v="70.680000000000007"/>
    <n v="14.14"/>
    <x v="1666"/>
    <n v="410"/>
  </r>
  <r>
    <n v="4329"/>
    <x v="3"/>
    <x v="115"/>
    <x v="4"/>
    <x v="8"/>
    <n v="2"/>
    <n v="26.16"/>
    <n v="52.32"/>
    <n v="7.85"/>
    <x v="1667"/>
    <n v="66"/>
  </r>
  <r>
    <n v="3545"/>
    <x v="1"/>
    <x v="25"/>
    <x v="5"/>
    <x v="11"/>
    <n v="1"/>
    <n v="23.81"/>
    <n v="23.81"/>
    <n v="4.68"/>
    <x v="1668"/>
    <n v="43"/>
  </r>
  <r>
    <n v="6353"/>
    <x v="6"/>
    <x v="541"/>
    <x v="4"/>
    <x v="13"/>
    <n v="3"/>
    <n v="28.01"/>
    <n v="84.03"/>
    <n v="0"/>
    <x v="1669"/>
    <n v="182"/>
  </r>
  <r>
    <n v="2083"/>
    <x v="2"/>
    <x v="524"/>
    <x v="2"/>
    <x v="9"/>
    <n v="1"/>
    <n v="11.52"/>
    <n v="11.52"/>
    <n v="4.62"/>
    <x v="1670"/>
    <n v="465"/>
  </r>
  <r>
    <n v="8167"/>
    <x v="4"/>
    <x v="24"/>
    <x v="10"/>
    <x v="3"/>
    <n v="2"/>
    <n v="9.39"/>
    <n v="18.78"/>
    <n v="3.76"/>
    <x v="1671"/>
    <n v="51"/>
  </r>
  <r>
    <n v="4909"/>
    <x v="2"/>
    <x v="140"/>
    <x v="3"/>
    <x v="17"/>
    <n v="5"/>
    <n v="27.39"/>
    <n v="136.94999999999999"/>
    <n v="3.21"/>
    <x v="1672"/>
    <n v="209"/>
  </r>
  <r>
    <n v="5005"/>
    <x v="4"/>
    <x v="87"/>
    <x v="8"/>
    <x v="5"/>
    <n v="1"/>
    <n v="20.239999999999998"/>
    <n v="20.239999999999998"/>
    <n v="4.0199999999999996"/>
    <x v="1673"/>
    <n v="75"/>
  </r>
  <r>
    <n v="8118"/>
    <x v="2"/>
    <x v="455"/>
    <x v="3"/>
    <x v="16"/>
    <n v="4"/>
    <n v="14.82"/>
    <n v="59.28"/>
    <n v="3.75"/>
    <x v="1674"/>
    <n v="392"/>
  </r>
  <r>
    <n v="8428"/>
    <x v="7"/>
    <x v="164"/>
    <x v="10"/>
    <x v="6"/>
    <n v="4"/>
    <n v="26.92"/>
    <n v="107.68"/>
    <n v="0"/>
    <x v="1675"/>
    <n v="496"/>
  </r>
  <r>
    <n v="1901"/>
    <x v="7"/>
    <x v="524"/>
    <x v="4"/>
    <x v="13"/>
    <n v="3"/>
    <n v="2.99"/>
    <n v="8.9700000000000006"/>
    <n v="0"/>
    <x v="186"/>
    <n v="69"/>
  </r>
  <r>
    <n v="3877"/>
    <x v="3"/>
    <x v="348"/>
    <x v="7"/>
    <x v="17"/>
    <n v="2"/>
    <n v="28.88"/>
    <n v="57.76"/>
    <n v="0"/>
    <x v="1676"/>
    <n v="164"/>
  </r>
  <r>
    <n v="1207"/>
    <x v="0"/>
    <x v="106"/>
    <x v="4"/>
    <x v="16"/>
    <n v="1"/>
    <n v="19.02"/>
    <n v="19.02"/>
    <n v="3.8"/>
    <x v="1677"/>
    <n v="302"/>
  </r>
  <r>
    <n v="3248"/>
    <x v="7"/>
    <x v="662"/>
    <x v="8"/>
    <x v="14"/>
    <n v="5"/>
    <n v="9.1199999999999992"/>
    <n v="45.6"/>
    <n v="4.5599999999999996"/>
    <x v="1678"/>
    <n v="266"/>
  </r>
  <r>
    <n v="1185"/>
    <x v="7"/>
    <x v="134"/>
    <x v="7"/>
    <x v="11"/>
    <n v="2"/>
    <n v="21.3"/>
    <n v="42.6"/>
    <n v="4.26"/>
    <x v="1123"/>
    <n v="134"/>
  </r>
  <r>
    <n v="9133"/>
    <x v="7"/>
    <x v="306"/>
    <x v="0"/>
    <x v="0"/>
    <n v="4"/>
    <n v="20.11"/>
    <n v="80.44"/>
    <n v="16.09"/>
    <x v="1679"/>
    <n v="170"/>
  </r>
  <r>
    <n v="9568"/>
    <x v="6"/>
    <x v="323"/>
    <x v="6"/>
    <x v="10"/>
    <n v="3"/>
    <n v="12.03"/>
    <n v="36.090000000000003"/>
    <n v="3.61"/>
    <x v="1680"/>
    <n v="463"/>
  </r>
  <r>
    <n v="5247"/>
    <x v="3"/>
    <x v="131"/>
    <x v="0"/>
    <x v="0"/>
    <n v="4"/>
    <n v="10.72"/>
    <n v="42.88"/>
    <n v="4.29"/>
    <x v="338"/>
    <n v="411"/>
  </r>
  <r>
    <n v="7092"/>
    <x v="7"/>
    <x v="338"/>
    <x v="7"/>
    <x v="4"/>
    <n v="3"/>
    <n v="17.010000000000002"/>
    <n v="51.03"/>
    <n v="7.65"/>
    <x v="1681"/>
    <n v="250"/>
  </r>
  <r>
    <n v="5403"/>
    <x v="0"/>
    <x v="312"/>
    <x v="10"/>
    <x v="13"/>
    <n v="3"/>
    <n v="25.97"/>
    <n v="77.91"/>
    <n v="4.24"/>
    <x v="1682"/>
    <n v="458"/>
  </r>
  <r>
    <n v="2934"/>
    <x v="0"/>
    <x v="545"/>
    <x v="2"/>
    <x v="13"/>
    <n v="2"/>
    <n v="11.82"/>
    <n v="23.64"/>
    <n v="4.45"/>
    <x v="1683"/>
    <n v="78"/>
  </r>
  <r>
    <n v="1480"/>
    <x v="6"/>
    <x v="266"/>
    <x v="0"/>
    <x v="3"/>
    <n v="5"/>
    <n v="3.03"/>
    <n v="15.15"/>
    <n v="0"/>
    <x v="1684"/>
    <n v="298"/>
  </r>
  <r>
    <n v="8034"/>
    <x v="7"/>
    <x v="169"/>
    <x v="5"/>
    <x v="17"/>
    <n v="5"/>
    <n v="4.53"/>
    <n v="22.65"/>
    <n v="4.53"/>
    <x v="1685"/>
    <n v="360"/>
  </r>
  <r>
    <n v="9582"/>
    <x v="0"/>
    <x v="102"/>
    <x v="7"/>
    <x v="13"/>
    <n v="1"/>
    <n v="1.1000000000000001"/>
    <n v="1.1000000000000001"/>
    <n v="0.22"/>
    <x v="1186"/>
    <n v="405"/>
  </r>
  <r>
    <n v="5308"/>
    <x v="6"/>
    <x v="97"/>
    <x v="1"/>
    <x v="7"/>
    <n v="3"/>
    <n v="19.13"/>
    <n v="57.39"/>
    <n v="11.48"/>
    <x v="1686"/>
    <n v="98"/>
  </r>
  <r>
    <n v="2262"/>
    <x v="4"/>
    <x v="554"/>
    <x v="6"/>
    <x v="6"/>
    <n v="4"/>
    <n v="9.34"/>
    <n v="37.36"/>
    <n v="3.74"/>
    <x v="1687"/>
    <n v="346"/>
  </r>
  <r>
    <n v="8457"/>
    <x v="2"/>
    <x v="671"/>
    <x v="9"/>
    <x v="10"/>
    <n v="1"/>
    <n v="6.09"/>
    <n v="6.09"/>
    <n v="1.22"/>
    <x v="1688"/>
    <n v="101"/>
  </r>
  <r>
    <n v="6900"/>
    <x v="1"/>
    <x v="644"/>
    <x v="6"/>
    <x v="14"/>
    <n v="1"/>
    <n v="21.37"/>
    <n v="21.37"/>
    <n v="4.2699999999999996"/>
    <x v="1331"/>
    <n v="38"/>
  </r>
  <r>
    <n v="9185"/>
    <x v="7"/>
    <x v="108"/>
    <x v="2"/>
    <x v="6"/>
    <n v="4"/>
    <n v="19.41"/>
    <n v="77.64"/>
    <n v="2.65"/>
    <x v="1689"/>
    <n v="303"/>
  </r>
  <r>
    <n v="3734"/>
    <x v="5"/>
    <x v="530"/>
    <x v="2"/>
    <x v="1"/>
    <n v="3"/>
    <n v="24.9"/>
    <n v="74.7"/>
    <n v="1.03"/>
    <x v="1682"/>
    <n v="376"/>
  </r>
  <r>
    <n v="3577"/>
    <x v="5"/>
    <x v="679"/>
    <x v="8"/>
    <x v="6"/>
    <n v="1"/>
    <n v="2.78"/>
    <n v="2.78"/>
    <n v="0"/>
    <x v="1690"/>
    <n v="252"/>
  </r>
  <r>
    <n v="2685"/>
    <x v="6"/>
    <x v="553"/>
    <x v="6"/>
    <x v="1"/>
    <n v="1"/>
    <n v="20.54"/>
    <n v="20.54"/>
    <n v="4.91"/>
    <x v="1691"/>
    <n v="460"/>
  </r>
  <r>
    <n v="2889"/>
    <x v="0"/>
    <x v="45"/>
    <x v="4"/>
    <x v="4"/>
    <n v="5"/>
    <n v="20.66"/>
    <n v="103.3"/>
    <n v="0"/>
    <x v="1692"/>
    <n v="33"/>
  </r>
  <r>
    <n v="9336"/>
    <x v="7"/>
    <x v="135"/>
    <x v="10"/>
    <x v="4"/>
    <n v="4"/>
    <n v="11.73"/>
    <n v="46.92"/>
    <n v="7.04"/>
    <x v="1693"/>
    <n v="153"/>
  </r>
  <r>
    <n v="1721"/>
    <x v="1"/>
    <x v="199"/>
    <x v="2"/>
    <x v="5"/>
    <n v="5"/>
    <n v="5.94"/>
    <n v="29.7"/>
    <n v="2.97"/>
    <x v="654"/>
    <n v="353"/>
  </r>
  <r>
    <n v="1201"/>
    <x v="4"/>
    <x v="245"/>
    <x v="10"/>
    <x v="3"/>
    <n v="4"/>
    <n v="14.44"/>
    <n v="57.76"/>
    <n v="5.78"/>
    <x v="1088"/>
    <n v="460"/>
  </r>
  <r>
    <n v="1753"/>
    <x v="2"/>
    <x v="396"/>
    <x v="7"/>
    <x v="7"/>
    <n v="4"/>
    <n v="28.53"/>
    <n v="114.12"/>
    <n v="17.12"/>
    <x v="1694"/>
    <n v="447"/>
  </r>
  <r>
    <n v="6963"/>
    <x v="3"/>
    <x v="198"/>
    <x v="5"/>
    <x v="12"/>
    <n v="4"/>
    <n v="11.6"/>
    <n v="46.4"/>
    <n v="9.2799999999999994"/>
    <x v="1695"/>
    <n v="222"/>
  </r>
  <r>
    <n v="3458"/>
    <x v="2"/>
    <x v="648"/>
    <x v="2"/>
    <x v="17"/>
    <n v="1"/>
    <n v="12.34"/>
    <n v="12.34"/>
    <n v="1.85"/>
    <x v="1696"/>
    <n v="76"/>
  </r>
  <r>
    <n v="1579"/>
    <x v="8"/>
    <x v="67"/>
    <x v="0"/>
    <x v="16"/>
    <n v="4"/>
    <n v="5.58"/>
    <n v="22.32"/>
    <n v="4.46"/>
    <x v="1697"/>
    <n v="424"/>
  </r>
  <r>
    <n v="7870"/>
    <x v="8"/>
    <x v="240"/>
    <x v="10"/>
    <x v="16"/>
    <n v="4"/>
    <n v="13.61"/>
    <n v="54.44"/>
    <n v="5.44"/>
    <x v="1663"/>
    <n v="436"/>
  </r>
  <r>
    <n v="6272"/>
    <x v="6"/>
    <x v="101"/>
    <x v="4"/>
    <x v="17"/>
    <n v="1"/>
    <n v="28.63"/>
    <n v="28.63"/>
    <n v="2.16"/>
    <x v="1698"/>
    <n v="361"/>
  </r>
  <r>
    <n v="7819"/>
    <x v="8"/>
    <x v="372"/>
    <x v="9"/>
    <x v="16"/>
    <n v="2"/>
    <n v="13.06"/>
    <n v="26.12"/>
    <n v="0"/>
    <x v="1699"/>
    <n v="6"/>
  </r>
  <r>
    <n v="6241"/>
    <x v="2"/>
    <x v="330"/>
    <x v="4"/>
    <x v="9"/>
    <n v="5"/>
    <n v="13.43"/>
    <n v="67.150000000000006"/>
    <n v="2.13"/>
    <x v="1700"/>
    <n v="62"/>
  </r>
  <r>
    <n v="2276"/>
    <x v="7"/>
    <x v="680"/>
    <x v="7"/>
    <x v="4"/>
    <n v="5"/>
    <n v="29.13"/>
    <n v="145.65"/>
    <n v="14.57"/>
    <x v="1701"/>
    <n v="32"/>
  </r>
  <r>
    <n v="7108"/>
    <x v="7"/>
    <x v="348"/>
    <x v="3"/>
    <x v="5"/>
    <n v="2"/>
    <n v="28.38"/>
    <n v="56.76"/>
    <n v="8.51"/>
    <x v="1702"/>
    <n v="352"/>
  </r>
  <r>
    <n v="9225"/>
    <x v="4"/>
    <x v="239"/>
    <x v="8"/>
    <x v="2"/>
    <n v="3"/>
    <n v="17.73"/>
    <n v="53.19"/>
    <n v="10.64"/>
    <x v="1703"/>
    <n v="169"/>
  </r>
  <r>
    <n v="1862"/>
    <x v="7"/>
    <x v="648"/>
    <x v="5"/>
    <x v="5"/>
    <n v="5"/>
    <n v="18.66"/>
    <n v="93.3"/>
    <n v="9.33"/>
    <x v="1704"/>
    <n v="416"/>
  </r>
  <r>
    <n v="4656"/>
    <x v="4"/>
    <x v="250"/>
    <x v="0"/>
    <x v="3"/>
    <n v="5"/>
    <n v="26.53"/>
    <n v="132.65"/>
    <n v="2.29"/>
    <x v="1705"/>
    <n v="196"/>
  </r>
  <r>
    <n v="9450"/>
    <x v="1"/>
    <x v="31"/>
    <x v="10"/>
    <x v="8"/>
    <n v="5"/>
    <n v="27.1"/>
    <n v="135.5"/>
    <n v="2.8"/>
    <x v="1706"/>
    <n v="484"/>
  </r>
  <r>
    <n v="7568"/>
    <x v="8"/>
    <x v="145"/>
    <x v="8"/>
    <x v="12"/>
    <n v="3"/>
    <n v="25.58"/>
    <n v="76.739999999999995"/>
    <n v="15.35"/>
    <x v="1707"/>
    <n v="30"/>
  </r>
  <r>
    <n v="8620"/>
    <x v="8"/>
    <x v="400"/>
    <x v="5"/>
    <x v="10"/>
    <n v="3"/>
    <n v="11.32"/>
    <n v="33.96"/>
    <n v="1.58"/>
    <x v="1708"/>
    <n v="317"/>
  </r>
  <r>
    <n v="5625"/>
    <x v="5"/>
    <x v="32"/>
    <x v="4"/>
    <x v="16"/>
    <n v="3"/>
    <n v="18.53"/>
    <n v="55.59"/>
    <n v="0"/>
    <x v="1709"/>
    <n v="274"/>
  </r>
  <r>
    <n v="6090"/>
    <x v="8"/>
    <x v="289"/>
    <x v="6"/>
    <x v="17"/>
    <n v="3"/>
    <n v="22.26"/>
    <n v="66.78"/>
    <n v="4.2"/>
    <x v="1710"/>
    <n v="376"/>
  </r>
  <r>
    <n v="2415"/>
    <x v="5"/>
    <x v="67"/>
    <x v="2"/>
    <x v="7"/>
    <n v="4"/>
    <n v="21.31"/>
    <n v="85.24"/>
    <n v="12.79"/>
    <x v="1711"/>
    <n v="436"/>
  </r>
  <r>
    <n v="8483"/>
    <x v="5"/>
    <x v="165"/>
    <x v="2"/>
    <x v="12"/>
    <n v="3"/>
    <n v="1.72"/>
    <n v="5.16"/>
    <n v="2.4700000000000002"/>
    <x v="1712"/>
    <n v="333"/>
  </r>
  <r>
    <n v="7044"/>
    <x v="2"/>
    <x v="562"/>
    <x v="10"/>
    <x v="7"/>
    <n v="5"/>
    <n v="5.54"/>
    <n v="27.7"/>
    <n v="4.75"/>
    <x v="1713"/>
    <n v="227"/>
  </r>
  <r>
    <n v="5777"/>
    <x v="4"/>
    <x v="647"/>
    <x v="8"/>
    <x v="14"/>
    <n v="5"/>
    <n v="14.14"/>
    <n v="70.7"/>
    <n v="10.61"/>
    <x v="1714"/>
    <n v="83"/>
  </r>
  <r>
    <n v="5979"/>
    <x v="6"/>
    <x v="655"/>
    <x v="1"/>
    <x v="11"/>
    <n v="3"/>
    <n v="17.010000000000002"/>
    <n v="51.03"/>
    <n v="7.65"/>
    <x v="1681"/>
    <n v="188"/>
  </r>
  <r>
    <n v="4974"/>
    <x v="3"/>
    <x v="251"/>
    <x v="9"/>
    <x v="10"/>
    <n v="4"/>
    <n v="19.73"/>
    <n v="78.92"/>
    <n v="11.84"/>
    <x v="1715"/>
    <n v="202"/>
  </r>
  <r>
    <n v="7033"/>
    <x v="6"/>
    <x v="284"/>
    <x v="5"/>
    <x v="9"/>
    <n v="3"/>
    <n v="17.39"/>
    <n v="52.17"/>
    <n v="1.22"/>
    <x v="1716"/>
    <n v="291"/>
  </r>
  <r>
    <n v="9083"/>
    <x v="2"/>
    <x v="32"/>
    <x v="10"/>
    <x v="13"/>
    <n v="1"/>
    <n v="5.05"/>
    <n v="5.05"/>
    <n v="0"/>
    <x v="1717"/>
    <n v="52"/>
  </r>
  <r>
    <n v="4201"/>
    <x v="8"/>
    <x v="443"/>
    <x v="1"/>
    <x v="4"/>
    <n v="3"/>
    <n v="10.8"/>
    <n v="32.4"/>
    <n v="2.97"/>
    <x v="1393"/>
    <n v="211"/>
  </r>
  <r>
    <n v="9954"/>
    <x v="1"/>
    <x v="89"/>
    <x v="0"/>
    <x v="15"/>
    <n v="4"/>
    <n v="19.600000000000001"/>
    <n v="78.400000000000006"/>
    <n v="4.29"/>
    <x v="1718"/>
    <n v="202"/>
  </r>
  <r>
    <n v="5016"/>
    <x v="8"/>
    <x v="618"/>
    <x v="10"/>
    <x v="6"/>
    <n v="1"/>
    <n v="23.11"/>
    <n v="23.11"/>
    <n v="4.62"/>
    <x v="1719"/>
    <n v="444"/>
  </r>
  <r>
    <n v="1104"/>
    <x v="8"/>
    <x v="159"/>
    <x v="0"/>
    <x v="2"/>
    <n v="1"/>
    <n v="2.5099999999999998"/>
    <n v="2.5099999999999998"/>
    <n v="0.25"/>
    <x v="756"/>
    <n v="431"/>
  </r>
  <r>
    <n v="7718"/>
    <x v="6"/>
    <x v="681"/>
    <x v="0"/>
    <x v="5"/>
    <n v="2"/>
    <n v="28.54"/>
    <n v="57.08"/>
    <n v="2.2799999999999998"/>
    <x v="1720"/>
    <n v="488"/>
  </r>
  <r>
    <n v="4817"/>
    <x v="3"/>
    <x v="620"/>
    <x v="5"/>
    <x v="7"/>
    <n v="1"/>
    <n v="15.79"/>
    <n v="15.79"/>
    <n v="3.68"/>
    <x v="909"/>
    <n v="148"/>
  </r>
  <r>
    <n v="6675"/>
    <x v="3"/>
    <x v="374"/>
    <x v="9"/>
    <x v="13"/>
    <n v="1"/>
    <n v="6.79"/>
    <n v="6.79"/>
    <n v="1.36"/>
    <x v="1721"/>
    <n v="18"/>
  </r>
  <r>
    <n v="1157"/>
    <x v="4"/>
    <x v="266"/>
    <x v="0"/>
    <x v="4"/>
    <n v="1"/>
    <n v="17.86"/>
    <n v="17.86"/>
    <n v="1.79"/>
    <x v="1722"/>
    <n v="188"/>
  </r>
  <r>
    <n v="1023"/>
    <x v="8"/>
    <x v="14"/>
    <x v="7"/>
    <x v="2"/>
    <n v="1"/>
    <n v="27.53"/>
    <n v="27.53"/>
    <n v="4.13"/>
    <x v="1723"/>
    <n v="381"/>
  </r>
  <r>
    <n v="7164"/>
    <x v="1"/>
    <x v="557"/>
    <x v="4"/>
    <x v="15"/>
    <n v="4"/>
    <n v="5.63"/>
    <n v="22.52"/>
    <n v="3.38"/>
    <x v="895"/>
    <n v="103"/>
  </r>
  <r>
    <n v="6038"/>
    <x v="8"/>
    <x v="516"/>
    <x v="4"/>
    <x v="0"/>
    <n v="4"/>
    <n v="4.45"/>
    <n v="17.8"/>
    <n v="2.78"/>
    <x v="1671"/>
    <n v="146"/>
  </r>
  <r>
    <n v="4361"/>
    <x v="1"/>
    <x v="560"/>
    <x v="3"/>
    <x v="14"/>
    <n v="2"/>
    <n v="4.26"/>
    <n v="8.52"/>
    <n v="0"/>
    <x v="1089"/>
    <n v="198"/>
  </r>
  <r>
    <n v="4902"/>
    <x v="8"/>
    <x v="491"/>
    <x v="2"/>
    <x v="9"/>
    <n v="2"/>
    <n v="26.7"/>
    <n v="53.4"/>
    <n v="8.01"/>
    <x v="1724"/>
    <n v="418"/>
  </r>
  <r>
    <n v="9061"/>
    <x v="4"/>
    <x v="682"/>
    <x v="0"/>
    <x v="5"/>
    <n v="5"/>
    <n v="26.81"/>
    <n v="134.05000000000001"/>
    <n v="26.81"/>
    <x v="1725"/>
    <n v="431"/>
  </r>
  <r>
    <n v="3332"/>
    <x v="1"/>
    <x v="531"/>
    <x v="0"/>
    <x v="9"/>
    <n v="1"/>
    <n v="7.27"/>
    <n v="7.27"/>
    <n v="1.45"/>
    <x v="1726"/>
    <n v="92"/>
  </r>
  <r>
    <n v="5584"/>
    <x v="4"/>
    <x v="6"/>
    <x v="3"/>
    <x v="3"/>
    <n v="4"/>
    <n v="29.53"/>
    <n v="118.12"/>
    <n v="11.81"/>
    <x v="1727"/>
    <n v="308"/>
  </r>
  <r>
    <n v="1719"/>
    <x v="4"/>
    <x v="488"/>
    <x v="9"/>
    <x v="9"/>
    <n v="2"/>
    <n v="3.24"/>
    <n v="6.48"/>
    <n v="3.48"/>
    <x v="1728"/>
    <n v="54"/>
  </r>
  <r>
    <n v="4792"/>
    <x v="6"/>
    <x v="683"/>
    <x v="8"/>
    <x v="10"/>
    <n v="3"/>
    <n v="13.9"/>
    <n v="41.7"/>
    <n v="1.21"/>
    <x v="1729"/>
    <n v="373"/>
  </r>
  <r>
    <n v="9515"/>
    <x v="8"/>
    <x v="596"/>
    <x v="5"/>
    <x v="14"/>
    <n v="4"/>
    <n v="22.5"/>
    <n v="90"/>
    <n v="13.5"/>
    <x v="1730"/>
    <n v="190"/>
  </r>
  <r>
    <n v="7102"/>
    <x v="3"/>
    <x v="428"/>
    <x v="5"/>
    <x v="10"/>
    <n v="3"/>
    <n v="23.33"/>
    <n v="69.989999999999995"/>
    <n v="10.5"/>
    <x v="1731"/>
    <n v="460"/>
  </r>
  <r>
    <n v="2391"/>
    <x v="2"/>
    <x v="684"/>
    <x v="8"/>
    <x v="8"/>
    <n v="2"/>
    <n v="4.4800000000000004"/>
    <n v="8.9600000000000009"/>
    <n v="0.9"/>
    <x v="1732"/>
    <n v="325"/>
  </r>
  <r>
    <n v="2565"/>
    <x v="2"/>
    <x v="172"/>
    <x v="0"/>
    <x v="17"/>
    <n v="1"/>
    <n v="22.01"/>
    <n v="22.01"/>
    <n v="3.3"/>
    <x v="1733"/>
    <n v="233"/>
  </r>
  <r>
    <n v="3187"/>
    <x v="6"/>
    <x v="177"/>
    <x v="6"/>
    <x v="16"/>
    <n v="1"/>
    <n v="22.2"/>
    <n v="22.2"/>
    <n v="2.59"/>
    <x v="1734"/>
    <n v="78"/>
  </r>
  <r>
    <n v="7461"/>
    <x v="3"/>
    <x v="414"/>
    <x v="0"/>
    <x v="11"/>
    <n v="4"/>
    <n v="13.53"/>
    <n v="54.12"/>
    <n v="10.82"/>
    <x v="1735"/>
    <n v="238"/>
  </r>
  <r>
    <n v="2020"/>
    <x v="6"/>
    <x v="73"/>
    <x v="6"/>
    <x v="11"/>
    <n v="1"/>
    <n v="28.81"/>
    <n v="28.81"/>
    <n v="0"/>
    <x v="1736"/>
    <n v="448"/>
  </r>
  <r>
    <n v="3141"/>
    <x v="5"/>
    <x v="507"/>
    <x v="10"/>
    <x v="14"/>
    <n v="3"/>
    <n v="1.7"/>
    <n v="5.0999999999999996"/>
    <n v="1.02"/>
    <x v="627"/>
    <n v="139"/>
  </r>
  <r>
    <n v="5778"/>
    <x v="4"/>
    <x v="288"/>
    <x v="0"/>
    <x v="11"/>
    <n v="5"/>
    <n v="25.22"/>
    <n v="126.1"/>
    <n v="25.22"/>
    <x v="528"/>
    <n v="222"/>
  </r>
  <r>
    <n v="6161"/>
    <x v="6"/>
    <x v="191"/>
    <x v="8"/>
    <x v="4"/>
    <n v="1"/>
    <n v="18.329999999999998"/>
    <n v="18.329999999999998"/>
    <n v="1.66"/>
    <x v="1737"/>
    <n v="233"/>
  </r>
  <r>
    <n v="7438"/>
    <x v="7"/>
    <x v="662"/>
    <x v="9"/>
    <x v="2"/>
    <n v="2"/>
    <n v="10.29"/>
    <n v="20.58"/>
    <n v="2.06"/>
    <x v="1497"/>
    <n v="327"/>
  </r>
  <r>
    <n v="6345"/>
    <x v="2"/>
    <x v="578"/>
    <x v="6"/>
    <x v="7"/>
    <n v="3"/>
    <n v="14.55"/>
    <n v="43.65"/>
    <n v="8.73"/>
    <x v="1738"/>
    <n v="177"/>
  </r>
  <r>
    <n v="8417"/>
    <x v="4"/>
    <x v="169"/>
    <x v="5"/>
    <x v="2"/>
    <n v="4"/>
    <n v="11.44"/>
    <n v="45.76"/>
    <n v="2.0099999999999998"/>
    <x v="1739"/>
    <n v="221"/>
  </r>
  <r>
    <n v="4827"/>
    <x v="2"/>
    <x v="414"/>
    <x v="4"/>
    <x v="4"/>
    <n v="4"/>
    <n v="14.06"/>
    <n v="56.24"/>
    <n v="2.37"/>
    <x v="1740"/>
    <n v="276"/>
  </r>
  <r>
    <n v="4321"/>
    <x v="2"/>
    <x v="286"/>
    <x v="6"/>
    <x v="3"/>
    <n v="5"/>
    <n v="19.34"/>
    <n v="96.7"/>
    <n v="1.56"/>
    <x v="1741"/>
    <n v="381"/>
  </r>
  <r>
    <n v="2785"/>
    <x v="8"/>
    <x v="17"/>
    <x v="3"/>
    <x v="13"/>
    <n v="4"/>
    <n v="26.53"/>
    <n v="106.12"/>
    <n v="1.42"/>
    <x v="1742"/>
    <n v="256"/>
  </r>
  <r>
    <n v="2731"/>
    <x v="6"/>
    <x v="134"/>
    <x v="8"/>
    <x v="2"/>
    <n v="2"/>
    <n v="22.44"/>
    <n v="44.88"/>
    <n v="4.49"/>
    <x v="1743"/>
    <n v="350"/>
  </r>
  <r>
    <n v="8365"/>
    <x v="0"/>
    <x v="233"/>
    <x v="4"/>
    <x v="4"/>
    <n v="5"/>
    <n v="28.16"/>
    <n v="140.80000000000001"/>
    <n v="28.16"/>
    <x v="1744"/>
    <n v="267"/>
  </r>
  <r>
    <n v="6145"/>
    <x v="7"/>
    <x v="230"/>
    <x v="3"/>
    <x v="17"/>
    <n v="2"/>
    <n v="19.559999999999999"/>
    <n v="39.119999999999997"/>
    <n v="0"/>
    <x v="1745"/>
    <n v="232"/>
  </r>
  <r>
    <n v="2978"/>
    <x v="8"/>
    <x v="25"/>
    <x v="0"/>
    <x v="15"/>
    <n v="1"/>
    <n v="15.35"/>
    <n v="15.35"/>
    <n v="0"/>
    <x v="1746"/>
    <n v="468"/>
  </r>
  <r>
    <n v="6870"/>
    <x v="5"/>
    <x v="599"/>
    <x v="2"/>
    <x v="7"/>
    <n v="3"/>
    <n v="24.92"/>
    <n v="74.760000000000005"/>
    <n v="14.95"/>
    <x v="1747"/>
    <n v="277"/>
  </r>
  <r>
    <n v="4401"/>
    <x v="6"/>
    <x v="472"/>
    <x v="0"/>
    <x v="10"/>
    <n v="3"/>
    <n v="4.5"/>
    <n v="13.5"/>
    <n v="2.0099999999999998"/>
    <x v="377"/>
    <n v="95"/>
  </r>
  <r>
    <n v="6051"/>
    <x v="0"/>
    <x v="685"/>
    <x v="3"/>
    <x v="4"/>
    <n v="4"/>
    <n v="1.3"/>
    <n v="5.2"/>
    <n v="0.78"/>
    <x v="1748"/>
    <n v="305"/>
  </r>
  <r>
    <n v="5341"/>
    <x v="3"/>
    <x v="279"/>
    <x v="4"/>
    <x v="14"/>
    <n v="3"/>
    <n v="13.42"/>
    <n v="40.26"/>
    <n v="0"/>
    <x v="1749"/>
    <n v="301"/>
  </r>
  <r>
    <n v="2964"/>
    <x v="6"/>
    <x v="375"/>
    <x v="5"/>
    <x v="16"/>
    <n v="1"/>
    <n v="15.49"/>
    <n v="15.49"/>
    <n v="2.3199999999999998"/>
    <x v="916"/>
    <n v="179"/>
  </r>
  <r>
    <n v="3582"/>
    <x v="4"/>
    <x v="115"/>
    <x v="3"/>
    <x v="2"/>
    <n v="1"/>
    <n v="13.25"/>
    <n v="13.25"/>
    <n v="0"/>
    <x v="1750"/>
    <n v="300"/>
  </r>
  <r>
    <n v="5984"/>
    <x v="4"/>
    <x v="315"/>
    <x v="0"/>
    <x v="7"/>
    <n v="1"/>
    <n v="28.91"/>
    <n v="28.91"/>
    <n v="2.89"/>
    <x v="573"/>
    <n v="388"/>
  </r>
  <r>
    <n v="1660"/>
    <x v="5"/>
    <x v="490"/>
    <x v="9"/>
    <x v="13"/>
    <n v="1"/>
    <n v="8.11"/>
    <n v="8.11"/>
    <n v="0.81"/>
    <x v="1751"/>
    <n v="425"/>
  </r>
  <r>
    <n v="6370"/>
    <x v="3"/>
    <x v="590"/>
    <x v="4"/>
    <x v="5"/>
    <n v="5"/>
    <n v="29.53"/>
    <n v="147.65"/>
    <n v="22.15"/>
    <x v="1752"/>
    <n v="17"/>
  </r>
  <r>
    <n v="2494"/>
    <x v="1"/>
    <x v="531"/>
    <x v="10"/>
    <x v="14"/>
    <n v="5"/>
    <n v="12.9"/>
    <n v="64.5"/>
    <n v="4.45"/>
    <x v="1753"/>
    <n v="5"/>
  </r>
  <r>
    <n v="5066"/>
    <x v="6"/>
    <x v="653"/>
    <x v="9"/>
    <x v="8"/>
    <n v="1"/>
    <n v="15.55"/>
    <n v="15.55"/>
    <n v="0"/>
    <x v="846"/>
    <n v="237"/>
  </r>
  <r>
    <n v="7492"/>
    <x v="3"/>
    <x v="471"/>
    <x v="9"/>
    <x v="11"/>
    <n v="3"/>
    <n v="17.97"/>
    <n v="53.91"/>
    <n v="10.78"/>
    <x v="422"/>
    <n v="357"/>
  </r>
  <r>
    <n v="1802"/>
    <x v="4"/>
    <x v="3"/>
    <x v="8"/>
    <x v="6"/>
    <n v="1"/>
    <n v="9.41"/>
    <n v="9.41"/>
    <n v="3.75"/>
    <x v="1754"/>
    <n v="169"/>
  </r>
  <r>
    <n v="5896"/>
    <x v="0"/>
    <x v="288"/>
    <x v="2"/>
    <x v="16"/>
    <n v="4"/>
    <n v="8.2100000000000009"/>
    <n v="32.840000000000003"/>
    <n v="3.28"/>
    <x v="1755"/>
    <n v="198"/>
  </r>
  <r>
    <n v="3848"/>
    <x v="6"/>
    <x v="5"/>
    <x v="8"/>
    <x v="6"/>
    <n v="2"/>
    <n v="10.85"/>
    <n v="21.7"/>
    <n v="4.34"/>
    <x v="1154"/>
    <n v="349"/>
  </r>
  <r>
    <n v="7625"/>
    <x v="4"/>
    <x v="686"/>
    <x v="1"/>
    <x v="17"/>
    <n v="2"/>
    <n v="5.03"/>
    <n v="10.06"/>
    <n v="1.01"/>
    <x v="1756"/>
    <n v="379"/>
  </r>
  <r>
    <n v="8408"/>
    <x v="4"/>
    <x v="322"/>
    <x v="4"/>
    <x v="1"/>
    <n v="1"/>
    <n v="21.53"/>
    <n v="21.53"/>
    <n v="0"/>
    <x v="197"/>
    <n v="459"/>
  </r>
  <r>
    <n v="5093"/>
    <x v="1"/>
    <x v="523"/>
    <x v="1"/>
    <x v="1"/>
    <n v="4"/>
    <n v="1.96"/>
    <n v="7.84"/>
    <n v="1.26"/>
    <x v="858"/>
    <n v="223"/>
  </r>
  <r>
    <n v="8570"/>
    <x v="5"/>
    <x v="19"/>
    <x v="5"/>
    <x v="4"/>
    <n v="4"/>
    <n v="12.63"/>
    <n v="50.52"/>
    <n v="10.1"/>
    <x v="1757"/>
    <n v="470"/>
  </r>
  <r>
    <n v="3290"/>
    <x v="0"/>
    <x v="391"/>
    <x v="0"/>
    <x v="6"/>
    <n v="1"/>
    <n v="17.53"/>
    <n v="17.53"/>
    <n v="1.75"/>
    <x v="1300"/>
    <n v="340"/>
  </r>
  <r>
    <n v="1195"/>
    <x v="1"/>
    <x v="121"/>
    <x v="4"/>
    <x v="2"/>
    <n v="3"/>
    <n v="14.85"/>
    <n v="44.55"/>
    <n v="2.65"/>
    <x v="268"/>
    <n v="497"/>
  </r>
  <r>
    <n v="4641"/>
    <x v="1"/>
    <x v="687"/>
    <x v="0"/>
    <x v="5"/>
    <n v="2"/>
    <n v="5.26"/>
    <n v="10.52"/>
    <n v="2.4900000000000002"/>
    <x v="1758"/>
    <n v="68"/>
  </r>
  <r>
    <n v="4246"/>
    <x v="1"/>
    <x v="565"/>
    <x v="0"/>
    <x v="17"/>
    <n v="5"/>
    <n v="20.3"/>
    <n v="101.5"/>
    <n v="15.22"/>
    <x v="1759"/>
    <n v="299"/>
  </r>
  <r>
    <n v="7563"/>
    <x v="2"/>
    <x v="542"/>
    <x v="4"/>
    <x v="5"/>
    <n v="4"/>
    <n v="24.23"/>
    <n v="96.92"/>
    <n v="9.69"/>
    <x v="498"/>
    <n v="96"/>
  </r>
  <r>
    <n v="2376"/>
    <x v="4"/>
    <x v="183"/>
    <x v="2"/>
    <x v="17"/>
    <n v="2"/>
    <n v="12.24"/>
    <n v="24.48"/>
    <n v="4.9000000000000004"/>
    <x v="92"/>
    <n v="324"/>
  </r>
  <r>
    <n v="5240"/>
    <x v="2"/>
    <x v="253"/>
    <x v="9"/>
    <x v="12"/>
    <n v="1"/>
    <n v="14.84"/>
    <n v="14.84"/>
    <n v="2.97"/>
    <x v="1760"/>
    <n v="37"/>
  </r>
  <r>
    <n v="2228"/>
    <x v="3"/>
    <x v="103"/>
    <x v="5"/>
    <x v="4"/>
    <n v="2"/>
    <n v="25"/>
    <n v="50"/>
    <n v="5"/>
    <x v="1761"/>
    <n v="208"/>
  </r>
  <r>
    <n v="2056"/>
    <x v="6"/>
    <x v="508"/>
    <x v="4"/>
    <x v="7"/>
    <n v="1"/>
    <n v="6.58"/>
    <n v="6.58"/>
    <n v="0.66"/>
    <x v="1762"/>
    <n v="371"/>
  </r>
  <r>
    <n v="8265"/>
    <x v="4"/>
    <x v="13"/>
    <x v="6"/>
    <x v="5"/>
    <n v="2"/>
    <n v="14.89"/>
    <n v="29.78"/>
    <n v="0"/>
    <x v="981"/>
    <n v="486"/>
  </r>
  <r>
    <n v="3110"/>
    <x v="2"/>
    <x v="174"/>
    <x v="2"/>
    <x v="15"/>
    <n v="3"/>
    <n v="15.41"/>
    <n v="46.23"/>
    <n v="1.1200000000000001"/>
    <x v="1763"/>
    <n v="38"/>
  </r>
  <r>
    <n v="6432"/>
    <x v="0"/>
    <x v="688"/>
    <x v="9"/>
    <x v="13"/>
    <n v="2"/>
    <n v="23.4"/>
    <n v="46.8"/>
    <n v="7.02"/>
    <x v="435"/>
    <n v="20"/>
  </r>
  <r>
    <n v="1699"/>
    <x v="3"/>
    <x v="386"/>
    <x v="8"/>
    <x v="8"/>
    <n v="3"/>
    <n v="9.7899999999999991"/>
    <n v="29.37"/>
    <n v="4.41"/>
    <x v="1466"/>
    <n v="274"/>
  </r>
  <r>
    <n v="1829"/>
    <x v="4"/>
    <x v="299"/>
    <x v="9"/>
    <x v="16"/>
    <n v="4"/>
    <n v="22.96"/>
    <n v="91.84"/>
    <n v="9.18"/>
    <x v="1764"/>
    <n v="429"/>
  </r>
  <r>
    <n v="8096"/>
    <x v="7"/>
    <x v="310"/>
    <x v="1"/>
    <x v="16"/>
    <n v="3"/>
    <n v="16.440000000000001"/>
    <n v="49.32"/>
    <n v="7.4"/>
    <x v="1228"/>
    <n v="315"/>
  </r>
  <r>
    <n v="7471"/>
    <x v="5"/>
    <x v="554"/>
    <x v="8"/>
    <x v="9"/>
    <n v="5"/>
    <n v="15.88"/>
    <n v="79.400000000000006"/>
    <n v="15.88"/>
    <x v="1765"/>
    <n v="160"/>
  </r>
  <r>
    <n v="1483"/>
    <x v="8"/>
    <x v="198"/>
    <x v="4"/>
    <x v="9"/>
    <n v="2"/>
    <n v="24.94"/>
    <n v="49.88"/>
    <n v="7.48"/>
    <x v="1766"/>
    <n v="2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C5ACEB-82AA-4E88-8DF0-205EC15EC770}"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N20" firstHeaderRow="1" firstDataRow="1" firstDataCol="1"/>
  <pivotFields count="14">
    <pivotField showAll="0"/>
    <pivotField showAll="0">
      <items count="11">
        <item x="4"/>
        <item x="3"/>
        <item x="8"/>
        <item x="6"/>
        <item x="0"/>
        <item x="7"/>
        <item x="5"/>
        <item x="2"/>
        <item x="1"/>
        <item x="9"/>
        <item t="default"/>
      </items>
    </pivotField>
    <pivotField numFmtId="14" showAll="0">
      <items count="690">
        <item x="677"/>
        <item x="135"/>
        <item x="604"/>
        <item x="105"/>
        <item x="165"/>
        <item x="156"/>
        <item x="309"/>
        <item x="450"/>
        <item x="412"/>
        <item x="468"/>
        <item x="641"/>
        <item x="525"/>
        <item x="103"/>
        <item x="436"/>
        <item x="681"/>
        <item x="0"/>
        <item x="283"/>
        <item x="533"/>
        <item x="486"/>
        <item x="650"/>
        <item x="5"/>
        <item x="442"/>
        <item x="417"/>
        <item x="548"/>
        <item x="211"/>
        <item x="519"/>
        <item x="588"/>
        <item x="185"/>
        <item x="405"/>
        <item x="175"/>
        <item x="31"/>
        <item x="628"/>
        <item x="582"/>
        <item x="129"/>
        <item x="293"/>
        <item x="649"/>
        <item x="387"/>
        <item x="644"/>
        <item x="140"/>
        <item x="139"/>
        <item x="682"/>
        <item x="121"/>
        <item x="515"/>
        <item x="102"/>
        <item x="48"/>
        <item x="483"/>
        <item x="145"/>
        <item x="218"/>
        <item x="109"/>
        <item x="158"/>
        <item x="346"/>
        <item x="414"/>
        <item x="303"/>
        <item x="264"/>
        <item x="27"/>
        <item x="267"/>
        <item x="573"/>
        <item x="645"/>
        <item x="285"/>
        <item x="87"/>
        <item x="4"/>
        <item x="501"/>
        <item x="581"/>
        <item x="375"/>
        <item x="174"/>
        <item x="6"/>
        <item x="523"/>
        <item x="117"/>
        <item x="663"/>
        <item x="410"/>
        <item x="335"/>
        <item x="19"/>
        <item x="516"/>
        <item x="311"/>
        <item x="433"/>
        <item x="642"/>
        <item x="452"/>
        <item x="467"/>
        <item x="72"/>
        <item x="673"/>
        <item x="345"/>
        <item x="209"/>
        <item x="455"/>
        <item x="348"/>
        <item x="331"/>
        <item x="391"/>
        <item x="688"/>
        <item x="566"/>
        <item x="338"/>
        <item x="91"/>
        <item x="466"/>
        <item x="687"/>
        <item x="113"/>
        <item x="546"/>
        <item x="632"/>
        <item x="286"/>
        <item x="526"/>
        <item x="57"/>
        <item x="2"/>
        <item x="448"/>
        <item x="52"/>
        <item x="423"/>
        <item x="241"/>
        <item x="590"/>
        <item x="618"/>
        <item x="268"/>
        <item x="61"/>
        <item x="527"/>
        <item x="17"/>
        <item x="353"/>
        <item x="143"/>
        <item x="678"/>
        <item x="611"/>
        <item x="178"/>
        <item x="35"/>
        <item x="134"/>
        <item x="364"/>
        <item x="131"/>
        <item x="299"/>
        <item x="639"/>
        <item x="426"/>
        <item x="354"/>
        <item x="444"/>
        <item x="509"/>
        <item x="210"/>
        <item x="648"/>
        <item x="373"/>
        <item x="287"/>
        <item x="630"/>
        <item x="343"/>
        <item x="607"/>
        <item x="540"/>
        <item x="633"/>
        <item x="116"/>
        <item x="332"/>
        <item x="226"/>
        <item x="506"/>
        <item x="637"/>
        <item x="508"/>
        <item x="432"/>
        <item x="562"/>
        <item x="549"/>
        <item x="617"/>
        <item x="152"/>
        <item x="668"/>
        <item x="273"/>
        <item x="188"/>
        <item x="95"/>
        <item x="50"/>
        <item x="112"/>
        <item x="490"/>
        <item x="458"/>
        <item x="249"/>
        <item x="439"/>
        <item x="626"/>
        <item x="200"/>
        <item x="204"/>
        <item x="240"/>
        <item x="603"/>
        <item x="418"/>
        <item x="45"/>
        <item x="638"/>
        <item x="358"/>
        <item x="7"/>
        <item x="404"/>
        <item x="265"/>
        <item x="507"/>
        <item x="110"/>
        <item x="85"/>
        <item x="539"/>
        <item x="86"/>
        <item x="114"/>
        <item x="245"/>
        <item x="1"/>
        <item x="658"/>
        <item x="101"/>
        <item x="124"/>
        <item x="127"/>
        <item x="173"/>
        <item x="344"/>
        <item x="214"/>
        <item x="679"/>
        <item x="446"/>
        <item x="288"/>
        <item x="561"/>
        <item x="54"/>
        <item x="93"/>
        <item x="469"/>
        <item x="196"/>
        <item x="657"/>
        <item x="330"/>
        <item x="169"/>
        <item x="487"/>
        <item x="263"/>
        <item x="334"/>
        <item x="465"/>
        <item x="126"/>
        <item x="659"/>
        <item x="583"/>
        <item x="398"/>
        <item x="238"/>
        <item x="136"/>
        <item x="535"/>
        <item x="380"/>
        <item x="496"/>
        <item x="563"/>
        <item x="357"/>
        <item x="421"/>
        <item x="477"/>
        <item x="138"/>
        <item x="576"/>
        <item x="629"/>
        <item x="627"/>
        <item x="337"/>
        <item x="635"/>
        <item x="231"/>
        <item x="327"/>
        <item x="556"/>
        <item x="441"/>
        <item x="524"/>
        <item x="300"/>
        <item x="481"/>
        <item x="597"/>
        <item x="382"/>
        <item x="151"/>
        <item x="600"/>
        <item x="578"/>
        <item x="513"/>
        <item x="316"/>
        <item x="383"/>
        <item x="500"/>
        <item x="224"/>
        <item x="289"/>
        <item x="463"/>
        <item x="378"/>
        <item x="208"/>
        <item x="377"/>
        <item x="176"/>
        <item x="266"/>
        <item x="319"/>
        <item x="290"/>
        <item x="397"/>
        <item x="16"/>
        <item x="598"/>
        <item x="664"/>
        <item x="328"/>
        <item x="212"/>
        <item x="306"/>
        <item x="376"/>
        <item x="202"/>
        <item x="206"/>
        <item x="277"/>
        <item x="190"/>
        <item x="36"/>
        <item x="653"/>
        <item x="544"/>
        <item x="21"/>
        <item x="636"/>
        <item x="336"/>
        <item x="56"/>
        <item x="217"/>
        <item x="186"/>
        <item x="584"/>
        <item x="530"/>
        <item x="510"/>
        <item x="161"/>
        <item x="559"/>
        <item x="542"/>
        <item x="482"/>
        <item x="422"/>
        <item x="401"/>
        <item x="41"/>
        <item x="20"/>
        <item x="434"/>
        <item x="198"/>
        <item x="64"/>
        <item x="406"/>
        <item x="520"/>
        <item x="274"/>
        <item x="541"/>
        <item x="585"/>
        <item x="51"/>
        <item x="302"/>
        <item x="98"/>
        <item x="207"/>
        <item x="47"/>
        <item x="625"/>
        <item x="147"/>
        <item x="499"/>
        <item x="230"/>
        <item x="270"/>
        <item x="355"/>
        <item x="413"/>
        <item x="118"/>
        <item x="596"/>
        <item x="480"/>
        <item x="272"/>
        <item x="594"/>
        <item x="606"/>
        <item x="11"/>
        <item x="491"/>
        <item x="125"/>
        <item x="537"/>
        <item x="623"/>
        <item x="360"/>
        <item x="257"/>
        <item x="307"/>
        <item x="184"/>
        <item x="478"/>
        <item x="654"/>
        <item x="568"/>
        <item x="73"/>
        <item x="213"/>
        <item x="552"/>
        <item x="99"/>
        <item x="365"/>
        <item x="342"/>
        <item x="234"/>
        <item x="128"/>
        <item x="459"/>
        <item x="258"/>
        <item x="12"/>
        <item x="260"/>
        <item x="100"/>
        <item x="472"/>
        <item x="34"/>
        <item x="243"/>
        <item x="254"/>
        <item x="154"/>
        <item x="428"/>
        <item x="498"/>
        <item x="386"/>
        <item x="685"/>
        <item x="251"/>
        <item x="233"/>
        <item x="579"/>
        <item x="447"/>
        <item x="341"/>
        <item x="291"/>
        <item x="396"/>
        <item x="296"/>
        <item x="593"/>
        <item x="242"/>
        <item x="276"/>
        <item x="613"/>
        <item x="634"/>
        <item x="575"/>
        <item x="262"/>
        <item x="132"/>
        <item x="672"/>
        <item x="83"/>
        <item x="476"/>
        <item x="652"/>
        <item x="58"/>
        <item x="407"/>
        <item x="554"/>
        <item x="427"/>
        <item x="394"/>
        <item x="75"/>
        <item x="514"/>
        <item x="142"/>
        <item x="518"/>
        <item x="172"/>
        <item x="222"/>
        <item x="76"/>
        <item x="395"/>
        <item x="671"/>
        <item x="235"/>
        <item x="471"/>
        <item x="577"/>
        <item x="550"/>
        <item x="323"/>
        <item x="388"/>
        <item x="589"/>
        <item x="666"/>
        <item x="503"/>
        <item x="609"/>
        <item x="470"/>
        <item x="495"/>
        <item x="66"/>
        <item x="560"/>
        <item x="424"/>
        <item x="592"/>
        <item x="40"/>
        <item x="605"/>
        <item x="25"/>
        <item x="622"/>
        <item x="80"/>
        <item x="367"/>
        <item x="620"/>
        <item x="271"/>
        <item x="361"/>
        <item x="181"/>
        <item x="674"/>
        <item x="389"/>
        <item x="92"/>
        <item x="179"/>
        <item x="67"/>
        <item x="225"/>
        <item x="322"/>
        <item x="252"/>
        <item x="587"/>
        <item x="256"/>
        <item x="9"/>
        <item x="631"/>
        <item x="647"/>
        <item x="297"/>
        <item x="425"/>
        <item x="558"/>
        <item x="608"/>
        <item x="318"/>
        <item x="680"/>
        <item x="403"/>
        <item x="340"/>
        <item x="435"/>
        <item x="301"/>
        <item x="29"/>
        <item x="149"/>
        <item x="512"/>
        <item x="684"/>
        <item x="183"/>
        <item x="141"/>
        <item x="451"/>
        <item x="462"/>
        <item x="430"/>
        <item x="104"/>
        <item x="408"/>
        <item x="284"/>
        <item x="591"/>
        <item x="65"/>
        <item x="63"/>
        <item x="368"/>
        <item x="82"/>
        <item x="8"/>
        <item x="22"/>
        <item x="170"/>
        <item x="349"/>
        <item x="438"/>
        <item x="39"/>
        <item x="669"/>
        <item x="164"/>
        <item x="511"/>
        <item x="229"/>
        <item x="640"/>
        <item x="574"/>
        <item x="150"/>
        <item x="157"/>
        <item x="282"/>
        <item x="219"/>
        <item x="352"/>
        <item x="416"/>
        <item x="440"/>
        <item x="595"/>
        <item x="392"/>
        <item x="547"/>
        <item x="505"/>
        <item x="374"/>
        <item x="177"/>
        <item x="339"/>
        <item x="431"/>
        <item x="572"/>
        <item x="461"/>
        <item x="474"/>
        <item x="646"/>
        <item x="325"/>
        <item x="308"/>
        <item x="362"/>
        <item x="415"/>
        <item x="313"/>
        <item x="371"/>
        <item x="643"/>
        <item x="457"/>
        <item x="246"/>
        <item x="385"/>
        <item x="237"/>
        <item x="205"/>
        <item x="555"/>
        <item x="494"/>
        <item x="220"/>
        <item x="227"/>
        <item x="223"/>
        <item x="189"/>
        <item x="111"/>
        <item x="37"/>
        <item x="153"/>
        <item x="239"/>
        <item x="120"/>
        <item x="146"/>
        <item x="3"/>
        <item x="228"/>
        <item x="521"/>
        <item x="68"/>
        <item x="69"/>
        <item x="621"/>
        <item x="43"/>
        <item x="612"/>
        <item x="216"/>
        <item x="356"/>
        <item x="324"/>
        <item x="326"/>
        <item x="379"/>
        <item x="419"/>
        <item x="536"/>
        <item x="137"/>
        <item x="15"/>
        <item x="366"/>
        <item x="662"/>
        <item x="38"/>
        <item x="163"/>
        <item x="30"/>
        <item x="269"/>
        <item x="106"/>
        <item x="215"/>
        <item x="393"/>
        <item x="531"/>
        <item x="97"/>
        <item x="517"/>
        <item x="661"/>
        <item x="10"/>
        <item x="171"/>
        <item x="538"/>
        <item x="221"/>
        <item x="74"/>
        <item x="619"/>
        <item x="280"/>
        <item x="656"/>
        <item x="473"/>
        <item x="122"/>
        <item x="24"/>
        <item x="610"/>
        <item x="443"/>
        <item x="312"/>
        <item x="370"/>
        <item x="675"/>
        <item x="193"/>
        <item x="333"/>
        <item x="655"/>
        <item x="489"/>
        <item x="168"/>
        <item x="259"/>
        <item x="53"/>
        <item x="329"/>
        <item x="543"/>
        <item x="292"/>
        <item x="676"/>
        <item x="70"/>
        <item x="528"/>
        <item x="278"/>
        <item x="96"/>
        <item x="59"/>
        <item x="615"/>
        <item x="14"/>
        <item x="89"/>
        <item x="616"/>
        <item x="79"/>
        <item x="18"/>
        <item x="90"/>
        <item x="298"/>
        <item x="71"/>
        <item x="564"/>
        <item x="599"/>
        <item x="545"/>
        <item x="32"/>
        <item x="314"/>
        <item x="350"/>
        <item x="492"/>
        <item x="248"/>
        <item x="504"/>
        <item x="294"/>
        <item x="194"/>
        <item x="651"/>
        <item x="665"/>
        <item x="232"/>
        <item x="197"/>
        <item x="464"/>
        <item x="522"/>
        <item x="534"/>
        <item x="62"/>
        <item x="236"/>
        <item x="586"/>
        <item x="305"/>
        <item x="320"/>
        <item x="551"/>
        <item x="123"/>
        <item x="255"/>
        <item x="195"/>
        <item x="250"/>
        <item x="46"/>
        <item x="23"/>
        <item x="115"/>
        <item x="13"/>
        <item x="667"/>
        <item x="347"/>
        <item x="381"/>
        <item x="670"/>
        <item x="88"/>
        <item x="201"/>
        <item x="601"/>
        <item x="660"/>
        <item x="203"/>
        <item x="310"/>
        <item x="565"/>
        <item x="384"/>
        <item x="315"/>
        <item x="363"/>
        <item x="602"/>
        <item x="28"/>
        <item x="317"/>
        <item x="437"/>
        <item x="162"/>
        <item x="182"/>
        <item x="130"/>
        <item x="399"/>
        <item x="295"/>
        <item x="261"/>
        <item x="78"/>
        <item x="44"/>
        <item x="502"/>
        <item x="449"/>
        <item x="571"/>
        <item x="475"/>
        <item x="557"/>
        <item x="304"/>
        <item x="144"/>
        <item x="279"/>
        <item x="686"/>
        <item x="460"/>
        <item x="275"/>
        <item x="199"/>
        <item x="108"/>
        <item x="60"/>
        <item x="497"/>
        <item x="119"/>
        <item x="192"/>
        <item x="400"/>
        <item x="33"/>
        <item x="485"/>
        <item x="402"/>
        <item x="77"/>
        <item x="94"/>
        <item x="484"/>
        <item x="409"/>
        <item x="445"/>
        <item x="567"/>
        <item x="84"/>
        <item x="321"/>
        <item x="160"/>
        <item x="180"/>
        <item x="493"/>
        <item x="456"/>
        <item x="244"/>
        <item x="479"/>
        <item x="369"/>
        <item x="148"/>
        <item x="247"/>
        <item x="553"/>
        <item x="570"/>
        <item x="683"/>
        <item x="55"/>
        <item x="187"/>
        <item x="429"/>
        <item x="133"/>
        <item x="420"/>
        <item x="529"/>
        <item x="107"/>
        <item x="351"/>
        <item x="454"/>
        <item x="411"/>
        <item x="614"/>
        <item x="49"/>
        <item x="453"/>
        <item x="372"/>
        <item x="253"/>
        <item x="81"/>
        <item x="281"/>
        <item x="488"/>
        <item x="26"/>
        <item x="359"/>
        <item x="42"/>
        <item x="191"/>
        <item x="390"/>
        <item x="155"/>
        <item x="532"/>
        <item x="166"/>
        <item x="159"/>
        <item x="580"/>
        <item x="569"/>
        <item x="624"/>
        <item x="167"/>
        <item t="default"/>
      </items>
    </pivotField>
    <pivotField showAll="0">
      <items count="12">
        <item x="2"/>
        <item x="10"/>
        <item x="4"/>
        <item x="1"/>
        <item x="8"/>
        <item x="5"/>
        <item x="6"/>
        <item x="7"/>
        <item x="9"/>
        <item x="0"/>
        <item x="3"/>
        <item t="default"/>
      </items>
    </pivotField>
    <pivotField axis="axisRow" showAll="0">
      <items count="19">
        <item x="6"/>
        <item x="10"/>
        <item x="13"/>
        <item x="15"/>
        <item x="3"/>
        <item x="1"/>
        <item x="17"/>
        <item x="12"/>
        <item x="5"/>
        <item x="11"/>
        <item x="2"/>
        <item x="4"/>
        <item x="0"/>
        <item x="16"/>
        <item x="9"/>
        <item x="8"/>
        <item x="7"/>
        <item x="14"/>
        <item t="default"/>
      </items>
    </pivotField>
    <pivotField numFmtId="2" showAll="0"/>
    <pivotField numFmtId="165" showAll="0"/>
    <pivotField numFmtId="165" showAll="0"/>
    <pivotField dataField="1" numFmtId="165" showAll="0"/>
    <pivotField numFmtId="165" showAll="0"/>
    <pivotField numFmtId="2"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Average of Discount Amount" fld="8"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337804-4EF3-4F2F-8F85-8EF45F89A234}"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J1:K30" firstHeaderRow="1" firstDataRow="1" firstDataCol="1"/>
  <pivotFields count="14">
    <pivotField showAll="0"/>
    <pivotField showAll="0">
      <items count="11">
        <item x="4"/>
        <item x="3"/>
        <item x="8"/>
        <item x="6"/>
        <item x="0"/>
        <item x="7"/>
        <item x="5"/>
        <item x="2"/>
        <item x="1"/>
        <item x="9"/>
        <item t="default"/>
      </items>
    </pivotField>
    <pivotField axis="axisRow" numFmtId="14" showAll="0">
      <items count="690">
        <item x="677"/>
        <item x="135"/>
        <item x="604"/>
        <item x="105"/>
        <item x="165"/>
        <item x="156"/>
        <item x="309"/>
        <item x="450"/>
        <item x="412"/>
        <item x="468"/>
        <item x="641"/>
        <item x="525"/>
        <item x="103"/>
        <item x="436"/>
        <item x="681"/>
        <item x="0"/>
        <item x="283"/>
        <item x="533"/>
        <item x="486"/>
        <item x="650"/>
        <item x="5"/>
        <item x="442"/>
        <item x="417"/>
        <item x="548"/>
        <item x="211"/>
        <item x="519"/>
        <item x="588"/>
        <item x="185"/>
        <item x="405"/>
        <item x="175"/>
        <item x="31"/>
        <item x="628"/>
        <item x="582"/>
        <item x="129"/>
        <item x="293"/>
        <item x="649"/>
        <item x="387"/>
        <item x="644"/>
        <item x="140"/>
        <item x="139"/>
        <item x="682"/>
        <item x="121"/>
        <item x="515"/>
        <item x="102"/>
        <item x="48"/>
        <item x="483"/>
        <item x="145"/>
        <item x="218"/>
        <item x="109"/>
        <item x="158"/>
        <item x="346"/>
        <item x="414"/>
        <item x="303"/>
        <item x="264"/>
        <item x="27"/>
        <item x="267"/>
        <item x="573"/>
        <item x="645"/>
        <item x="285"/>
        <item x="87"/>
        <item x="4"/>
        <item x="501"/>
        <item x="581"/>
        <item x="375"/>
        <item x="174"/>
        <item x="6"/>
        <item x="523"/>
        <item x="117"/>
        <item x="663"/>
        <item x="410"/>
        <item x="335"/>
        <item x="19"/>
        <item x="516"/>
        <item x="311"/>
        <item x="433"/>
        <item x="642"/>
        <item x="452"/>
        <item x="467"/>
        <item x="72"/>
        <item x="673"/>
        <item x="345"/>
        <item x="209"/>
        <item x="455"/>
        <item x="348"/>
        <item x="331"/>
        <item x="391"/>
        <item x="688"/>
        <item x="566"/>
        <item x="338"/>
        <item x="91"/>
        <item x="466"/>
        <item x="687"/>
        <item x="113"/>
        <item x="546"/>
        <item x="632"/>
        <item x="286"/>
        <item x="526"/>
        <item x="57"/>
        <item x="2"/>
        <item x="448"/>
        <item x="52"/>
        <item x="423"/>
        <item x="241"/>
        <item x="590"/>
        <item x="618"/>
        <item x="268"/>
        <item x="61"/>
        <item x="527"/>
        <item x="17"/>
        <item x="353"/>
        <item x="143"/>
        <item x="678"/>
        <item x="611"/>
        <item x="178"/>
        <item x="35"/>
        <item x="134"/>
        <item x="364"/>
        <item x="131"/>
        <item x="299"/>
        <item x="639"/>
        <item x="426"/>
        <item x="354"/>
        <item x="444"/>
        <item x="509"/>
        <item x="210"/>
        <item x="648"/>
        <item x="373"/>
        <item x="287"/>
        <item x="630"/>
        <item x="343"/>
        <item x="607"/>
        <item x="540"/>
        <item x="633"/>
        <item x="116"/>
        <item x="332"/>
        <item x="226"/>
        <item x="506"/>
        <item x="637"/>
        <item x="508"/>
        <item x="432"/>
        <item x="562"/>
        <item x="549"/>
        <item x="617"/>
        <item x="152"/>
        <item x="668"/>
        <item x="273"/>
        <item x="188"/>
        <item x="95"/>
        <item x="50"/>
        <item x="112"/>
        <item x="490"/>
        <item x="458"/>
        <item x="249"/>
        <item x="439"/>
        <item x="626"/>
        <item x="200"/>
        <item x="204"/>
        <item x="240"/>
        <item x="603"/>
        <item x="418"/>
        <item x="45"/>
        <item x="638"/>
        <item x="358"/>
        <item x="7"/>
        <item x="404"/>
        <item x="265"/>
        <item x="507"/>
        <item x="110"/>
        <item x="85"/>
        <item x="539"/>
        <item x="86"/>
        <item x="114"/>
        <item x="245"/>
        <item x="1"/>
        <item x="658"/>
        <item x="101"/>
        <item x="124"/>
        <item x="127"/>
        <item x="173"/>
        <item x="344"/>
        <item x="214"/>
        <item x="679"/>
        <item x="446"/>
        <item x="288"/>
        <item x="561"/>
        <item x="54"/>
        <item x="93"/>
        <item x="469"/>
        <item x="196"/>
        <item x="657"/>
        <item x="330"/>
        <item x="169"/>
        <item x="487"/>
        <item x="263"/>
        <item x="334"/>
        <item x="465"/>
        <item x="126"/>
        <item x="659"/>
        <item x="583"/>
        <item x="398"/>
        <item x="238"/>
        <item x="136"/>
        <item x="535"/>
        <item x="380"/>
        <item x="496"/>
        <item x="563"/>
        <item x="357"/>
        <item x="421"/>
        <item x="477"/>
        <item x="138"/>
        <item x="576"/>
        <item x="629"/>
        <item x="627"/>
        <item x="337"/>
        <item x="635"/>
        <item x="231"/>
        <item x="327"/>
        <item x="556"/>
        <item x="441"/>
        <item x="524"/>
        <item x="300"/>
        <item x="481"/>
        <item x="597"/>
        <item x="382"/>
        <item x="151"/>
        <item x="600"/>
        <item x="578"/>
        <item x="513"/>
        <item x="316"/>
        <item x="383"/>
        <item x="500"/>
        <item x="224"/>
        <item x="289"/>
        <item x="463"/>
        <item x="378"/>
        <item x="208"/>
        <item x="377"/>
        <item x="176"/>
        <item x="266"/>
        <item x="319"/>
        <item x="290"/>
        <item x="397"/>
        <item x="16"/>
        <item x="598"/>
        <item x="664"/>
        <item x="328"/>
        <item x="212"/>
        <item x="306"/>
        <item x="376"/>
        <item x="202"/>
        <item x="206"/>
        <item x="277"/>
        <item x="190"/>
        <item x="36"/>
        <item x="653"/>
        <item x="544"/>
        <item x="21"/>
        <item x="636"/>
        <item x="336"/>
        <item x="56"/>
        <item x="217"/>
        <item x="186"/>
        <item x="584"/>
        <item x="530"/>
        <item x="510"/>
        <item x="161"/>
        <item x="559"/>
        <item x="542"/>
        <item x="482"/>
        <item x="422"/>
        <item x="401"/>
        <item x="41"/>
        <item x="20"/>
        <item x="434"/>
        <item x="198"/>
        <item x="64"/>
        <item x="406"/>
        <item x="520"/>
        <item x="274"/>
        <item x="541"/>
        <item x="585"/>
        <item x="51"/>
        <item x="302"/>
        <item x="98"/>
        <item x="207"/>
        <item x="47"/>
        <item x="625"/>
        <item x="147"/>
        <item x="499"/>
        <item x="230"/>
        <item x="270"/>
        <item x="355"/>
        <item x="413"/>
        <item x="118"/>
        <item x="596"/>
        <item x="480"/>
        <item x="272"/>
        <item x="594"/>
        <item x="606"/>
        <item x="11"/>
        <item x="491"/>
        <item x="125"/>
        <item x="537"/>
        <item x="623"/>
        <item x="360"/>
        <item x="257"/>
        <item x="307"/>
        <item x="184"/>
        <item x="478"/>
        <item x="654"/>
        <item x="568"/>
        <item x="73"/>
        <item x="213"/>
        <item x="552"/>
        <item x="99"/>
        <item x="365"/>
        <item x="342"/>
        <item x="234"/>
        <item x="128"/>
        <item x="459"/>
        <item x="258"/>
        <item x="12"/>
        <item x="260"/>
        <item x="100"/>
        <item x="472"/>
        <item x="34"/>
        <item x="243"/>
        <item x="254"/>
        <item x="154"/>
        <item x="428"/>
        <item x="498"/>
        <item x="386"/>
        <item x="685"/>
        <item x="251"/>
        <item x="233"/>
        <item x="579"/>
        <item x="447"/>
        <item x="341"/>
        <item x="291"/>
        <item x="396"/>
        <item x="296"/>
        <item x="593"/>
        <item x="242"/>
        <item x="276"/>
        <item x="613"/>
        <item x="634"/>
        <item x="575"/>
        <item x="262"/>
        <item x="132"/>
        <item x="672"/>
        <item x="83"/>
        <item x="476"/>
        <item x="652"/>
        <item x="58"/>
        <item x="407"/>
        <item x="554"/>
        <item x="427"/>
        <item x="394"/>
        <item x="75"/>
        <item x="514"/>
        <item x="142"/>
        <item x="518"/>
        <item x="172"/>
        <item x="222"/>
        <item x="76"/>
        <item x="395"/>
        <item x="671"/>
        <item x="235"/>
        <item x="471"/>
        <item x="577"/>
        <item x="550"/>
        <item x="323"/>
        <item x="388"/>
        <item x="589"/>
        <item x="666"/>
        <item x="503"/>
        <item x="609"/>
        <item x="470"/>
        <item x="495"/>
        <item x="66"/>
        <item x="560"/>
        <item x="424"/>
        <item x="592"/>
        <item x="40"/>
        <item x="605"/>
        <item x="25"/>
        <item x="622"/>
        <item x="80"/>
        <item x="367"/>
        <item x="620"/>
        <item x="271"/>
        <item x="361"/>
        <item x="181"/>
        <item x="674"/>
        <item x="389"/>
        <item x="92"/>
        <item x="179"/>
        <item x="67"/>
        <item x="225"/>
        <item x="322"/>
        <item x="252"/>
        <item x="587"/>
        <item x="256"/>
        <item x="9"/>
        <item x="631"/>
        <item x="647"/>
        <item x="297"/>
        <item x="425"/>
        <item x="558"/>
        <item x="608"/>
        <item x="318"/>
        <item x="680"/>
        <item x="403"/>
        <item x="340"/>
        <item x="435"/>
        <item x="301"/>
        <item x="29"/>
        <item x="149"/>
        <item x="512"/>
        <item x="684"/>
        <item x="183"/>
        <item x="141"/>
        <item x="451"/>
        <item x="462"/>
        <item x="430"/>
        <item x="104"/>
        <item x="408"/>
        <item x="284"/>
        <item x="591"/>
        <item x="65"/>
        <item x="63"/>
        <item x="368"/>
        <item x="82"/>
        <item x="8"/>
        <item x="22"/>
        <item x="170"/>
        <item x="349"/>
        <item x="438"/>
        <item x="39"/>
        <item x="669"/>
        <item x="164"/>
        <item x="511"/>
        <item x="229"/>
        <item x="640"/>
        <item x="574"/>
        <item x="150"/>
        <item x="157"/>
        <item x="282"/>
        <item x="219"/>
        <item x="352"/>
        <item x="416"/>
        <item x="440"/>
        <item x="595"/>
        <item x="392"/>
        <item x="547"/>
        <item x="505"/>
        <item x="374"/>
        <item x="177"/>
        <item x="339"/>
        <item x="431"/>
        <item x="572"/>
        <item x="461"/>
        <item x="474"/>
        <item x="646"/>
        <item x="325"/>
        <item x="308"/>
        <item x="362"/>
        <item x="415"/>
        <item x="313"/>
        <item x="371"/>
        <item x="643"/>
        <item x="457"/>
        <item x="246"/>
        <item x="385"/>
        <item x="237"/>
        <item x="205"/>
        <item x="555"/>
        <item x="494"/>
        <item x="220"/>
        <item x="227"/>
        <item x="223"/>
        <item x="189"/>
        <item x="111"/>
        <item x="37"/>
        <item x="153"/>
        <item x="239"/>
        <item x="120"/>
        <item x="146"/>
        <item x="3"/>
        <item x="228"/>
        <item x="521"/>
        <item x="68"/>
        <item x="69"/>
        <item x="621"/>
        <item x="43"/>
        <item x="612"/>
        <item x="216"/>
        <item x="356"/>
        <item x="324"/>
        <item x="326"/>
        <item x="379"/>
        <item x="419"/>
        <item x="536"/>
        <item x="137"/>
        <item x="15"/>
        <item x="366"/>
        <item x="662"/>
        <item x="38"/>
        <item x="163"/>
        <item x="30"/>
        <item x="269"/>
        <item x="106"/>
        <item x="215"/>
        <item x="393"/>
        <item x="531"/>
        <item x="97"/>
        <item x="517"/>
        <item x="661"/>
        <item x="10"/>
        <item x="171"/>
        <item x="538"/>
        <item x="221"/>
        <item x="74"/>
        <item x="619"/>
        <item x="280"/>
        <item x="656"/>
        <item x="473"/>
        <item x="122"/>
        <item x="24"/>
        <item x="610"/>
        <item x="443"/>
        <item x="312"/>
        <item x="370"/>
        <item x="675"/>
        <item x="193"/>
        <item x="333"/>
        <item x="655"/>
        <item x="489"/>
        <item x="168"/>
        <item x="259"/>
        <item x="53"/>
        <item x="329"/>
        <item x="543"/>
        <item x="292"/>
        <item x="676"/>
        <item x="70"/>
        <item x="528"/>
        <item x="278"/>
        <item x="96"/>
        <item x="59"/>
        <item x="615"/>
        <item x="14"/>
        <item x="89"/>
        <item x="616"/>
        <item x="79"/>
        <item x="18"/>
        <item x="90"/>
        <item x="298"/>
        <item x="71"/>
        <item x="564"/>
        <item x="599"/>
        <item x="545"/>
        <item x="32"/>
        <item x="314"/>
        <item x="350"/>
        <item x="492"/>
        <item x="248"/>
        <item x="504"/>
        <item x="294"/>
        <item x="194"/>
        <item x="651"/>
        <item x="665"/>
        <item x="232"/>
        <item x="197"/>
        <item x="464"/>
        <item x="522"/>
        <item x="534"/>
        <item x="62"/>
        <item x="236"/>
        <item x="586"/>
        <item x="305"/>
        <item x="320"/>
        <item x="551"/>
        <item x="123"/>
        <item x="255"/>
        <item x="195"/>
        <item x="250"/>
        <item x="46"/>
        <item x="23"/>
        <item x="115"/>
        <item x="13"/>
        <item x="667"/>
        <item x="347"/>
        <item x="381"/>
        <item x="670"/>
        <item x="88"/>
        <item x="201"/>
        <item x="601"/>
        <item x="660"/>
        <item x="203"/>
        <item x="310"/>
        <item x="565"/>
        <item x="384"/>
        <item x="315"/>
        <item x="363"/>
        <item x="602"/>
        <item x="28"/>
        <item x="317"/>
        <item x="437"/>
        <item x="162"/>
        <item x="182"/>
        <item x="130"/>
        <item x="399"/>
        <item x="295"/>
        <item x="261"/>
        <item x="78"/>
        <item x="44"/>
        <item x="502"/>
        <item x="449"/>
        <item x="571"/>
        <item x="475"/>
        <item x="557"/>
        <item x="304"/>
        <item x="144"/>
        <item x="279"/>
        <item x="686"/>
        <item x="460"/>
        <item x="275"/>
        <item x="199"/>
        <item x="108"/>
        <item x="60"/>
        <item x="497"/>
        <item x="119"/>
        <item x="192"/>
        <item x="400"/>
        <item x="33"/>
        <item x="485"/>
        <item x="402"/>
        <item x="77"/>
        <item x="94"/>
        <item x="484"/>
        <item x="409"/>
        <item x="445"/>
        <item x="567"/>
        <item x="84"/>
        <item x="321"/>
        <item x="160"/>
        <item x="180"/>
        <item x="493"/>
        <item x="456"/>
        <item x="244"/>
        <item x="479"/>
        <item x="369"/>
        <item x="148"/>
        <item x="247"/>
        <item x="553"/>
        <item x="570"/>
        <item x="683"/>
        <item x="55"/>
        <item x="187"/>
        <item x="429"/>
        <item x="133"/>
        <item x="420"/>
        <item x="529"/>
        <item x="107"/>
        <item x="351"/>
        <item x="454"/>
        <item x="411"/>
        <item x="614"/>
        <item x="49"/>
        <item x="453"/>
        <item x="372"/>
        <item x="253"/>
        <item x="81"/>
        <item x="281"/>
        <item x="488"/>
        <item x="26"/>
        <item x="359"/>
        <item x="42"/>
        <item x="191"/>
        <item x="390"/>
        <item x="155"/>
        <item x="532"/>
        <item x="166"/>
        <item x="159"/>
        <item x="580"/>
        <item x="569"/>
        <item x="624"/>
        <item x="167"/>
        <item t="default"/>
      </items>
    </pivotField>
    <pivotField showAll="0">
      <items count="12">
        <item x="2"/>
        <item x="10"/>
        <item x="4"/>
        <item x="1"/>
        <item x="8"/>
        <item x="5"/>
        <item x="6"/>
        <item x="7"/>
        <item x="9"/>
        <item x="0"/>
        <item x="3"/>
        <item t="default"/>
      </items>
    </pivotField>
    <pivotField showAll="0"/>
    <pivotField numFmtId="2" showAll="0"/>
    <pivotField numFmtId="165" showAll="0"/>
    <pivotField numFmtId="165" showAll="0"/>
    <pivotField numFmtId="165" showAll="0"/>
    <pivotField dataField="1" numFmtId="165" showAll="0"/>
    <pivotField numFmtId="2"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x="1"/>
        <item x="2"/>
        <item x="3"/>
        <item sd="0" x="4"/>
        <item t="default"/>
      </items>
    </pivotField>
  </pivotFields>
  <rowFields count="3">
    <field x="13"/>
    <field x="11"/>
    <field x="2"/>
  </rowFields>
  <rowItems count="29">
    <i>
      <x v="1"/>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t="grand">
      <x/>
    </i>
  </rowItems>
  <colItems count="1">
    <i/>
  </colItems>
  <dataFields count="1">
    <dataField name="Sum of Final Amount" fld="9" baseField="0" baseItem="0" numFmtId="165"/>
  </dataFields>
  <chartFormats count="2">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026ED9-1210-4280-B6F6-B8AD62D78ECA}"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G1:H13" firstHeaderRow="1" firstDataRow="1" firstDataCol="1"/>
  <pivotFields count="14">
    <pivotField showAll="0"/>
    <pivotField showAll="0">
      <items count="11">
        <item x="4"/>
        <item x="3"/>
        <item x="8"/>
        <item x="6"/>
        <item x="0"/>
        <item x="7"/>
        <item x="5"/>
        <item x="2"/>
        <item x="1"/>
        <item x="9"/>
        <item t="default"/>
      </items>
    </pivotField>
    <pivotField numFmtId="14" showAll="0">
      <items count="690">
        <item x="677"/>
        <item x="135"/>
        <item x="604"/>
        <item x="105"/>
        <item x="165"/>
        <item x="156"/>
        <item x="309"/>
        <item x="450"/>
        <item x="412"/>
        <item x="468"/>
        <item x="641"/>
        <item x="525"/>
        <item x="103"/>
        <item x="436"/>
        <item x="681"/>
        <item x="0"/>
        <item x="283"/>
        <item x="533"/>
        <item x="486"/>
        <item x="650"/>
        <item x="5"/>
        <item x="442"/>
        <item x="417"/>
        <item x="548"/>
        <item x="211"/>
        <item x="519"/>
        <item x="588"/>
        <item x="185"/>
        <item x="405"/>
        <item x="175"/>
        <item x="31"/>
        <item x="628"/>
        <item x="582"/>
        <item x="129"/>
        <item x="293"/>
        <item x="649"/>
        <item x="387"/>
        <item x="644"/>
        <item x="140"/>
        <item x="139"/>
        <item x="682"/>
        <item x="121"/>
        <item x="515"/>
        <item x="102"/>
        <item x="48"/>
        <item x="483"/>
        <item x="145"/>
        <item x="218"/>
        <item x="109"/>
        <item x="158"/>
        <item x="346"/>
        <item x="414"/>
        <item x="303"/>
        <item x="264"/>
        <item x="27"/>
        <item x="267"/>
        <item x="573"/>
        <item x="645"/>
        <item x="285"/>
        <item x="87"/>
        <item x="4"/>
        <item x="501"/>
        <item x="581"/>
        <item x="375"/>
        <item x="174"/>
        <item x="6"/>
        <item x="523"/>
        <item x="117"/>
        <item x="663"/>
        <item x="410"/>
        <item x="335"/>
        <item x="19"/>
        <item x="516"/>
        <item x="311"/>
        <item x="433"/>
        <item x="642"/>
        <item x="452"/>
        <item x="467"/>
        <item x="72"/>
        <item x="673"/>
        <item x="345"/>
        <item x="209"/>
        <item x="455"/>
        <item x="348"/>
        <item x="331"/>
        <item x="391"/>
        <item x="688"/>
        <item x="566"/>
        <item x="338"/>
        <item x="91"/>
        <item x="466"/>
        <item x="687"/>
        <item x="113"/>
        <item x="546"/>
        <item x="632"/>
        <item x="286"/>
        <item x="526"/>
        <item x="57"/>
        <item x="2"/>
        <item x="448"/>
        <item x="52"/>
        <item x="423"/>
        <item x="241"/>
        <item x="590"/>
        <item x="618"/>
        <item x="268"/>
        <item x="61"/>
        <item x="527"/>
        <item x="17"/>
        <item x="353"/>
        <item x="143"/>
        <item x="678"/>
        <item x="611"/>
        <item x="178"/>
        <item x="35"/>
        <item x="134"/>
        <item x="364"/>
        <item x="131"/>
        <item x="299"/>
        <item x="639"/>
        <item x="426"/>
        <item x="354"/>
        <item x="444"/>
        <item x="509"/>
        <item x="210"/>
        <item x="648"/>
        <item x="373"/>
        <item x="287"/>
        <item x="630"/>
        <item x="343"/>
        <item x="607"/>
        <item x="540"/>
        <item x="633"/>
        <item x="116"/>
        <item x="332"/>
        <item x="226"/>
        <item x="506"/>
        <item x="637"/>
        <item x="508"/>
        <item x="432"/>
        <item x="562"/>
        <item x="549"/>
        <item x="617"/>
        <item x="152"/>
        <item x="668"/>
        <item x="273"/>
        <item x="188"/>
        <item x="95"/>
        <item x="50"/>
        <item x="112"/>
        <item x="490"/>
        <item x="458"/>
        <item x="249"/>
        <item x="439"/>
        <item x="626"/>
        <item x="200"/>
        <item x="204"/>
        <item x="240"/>
        <item x="603"/>
        <item x="418"/>
        <item x="45"/>
        <item x="638"/>
        <item x="358"/>
        <item x="7"/>
        <item x="404"/>
        <item x="265"/>
        <item x="507"/>
        <item x="110"/>
        <item x="85"/>
        <item x="539"/>
        <item x="86"/>
        <item x="114"/>
        <item x="245"/>
        <item x="1"/>
        <item x="658"/>
        <item x="101"/>
        <item x="124"/>
        <item x="127"/>
        <item x="173"/>
        <item x="344"/>
        <item x="214"/>
        <item x="679"/>
        <item x="446"/>
        <item x="288"/>
        <item x="561"/>
        <item x="54"/>
        <item x="93"/>
        <item x="469"/>
        <item x="196"/>
        <item x="657"/>
        <item x="330"/>
        <item x="169"/>
        <item x="487"/>
        <item x="263"/>
        <item x="334"/>
        <item x="465"/>
        <item x="126"/>
        <item x="659"/>
        <item x="583"/>
        <item x="398"/>
        <item x="238"/>
        <item x="136"/>
        <item x="535"/>
        <item x="380"/>
        <item x="496"/>
        <item x="563"/>
        <item x="357"/>
        <item x="421"/>
        <item x="477"/>
        <item x="138"/>
        <item x="576"/>
        <item x="629"/>
        <item x="627"/>
        <item x="337"/>
        <item x="635"/>
        <item x="231"/>
        <item x="327"/>
        <item x="556"/>
        <item x="441"/>
        <item x="524"/>
        <item x="300"/>
        <item x="481"/>
        <item x="597"/>
        <item x="382"/>
        <item x="151"/>
        <item x="600"/>
        <item x="578"/>
        <item x="513"/>
        <item x="316"/>
        <item x="383"/>
        <item x="500"/>
        <item x="224"/>
        <item x="289"/>
        <item x="463"/>
        <item x="378"/>
        <item x="208"/>
        <item x="377"/>
        <item x="176"/>
        <item x="266"/>
        <item x="319"/>
        <item x="290"/>
        <item x="397"/>
        <item x="16"/>
        <item x="598"/>
        <item x="664"/>
        <item x="328"/>
        <item x="212"/>
        <item x="306"/>
        <item x="376"/>
        <item x="202"/>
        <item x="206"/>
        <item x="277"/>
        <item x="190"/>
        <item x="36"/>
        <item x="653"/>
        <item x="544"/>
        <item x="21"/>
        <item x="636"/>
        <item x="336"/>
        <item x="56"/>
        <item x="217"/>
        <item x="186"/>
        <item x="584"/>
        <item x="530"/>
        <item x="510"/>
        <item x="161"/>
        <item x="559"/>
        <item x="542"/>
        <item x="482"/>
        <item x="422"/>
        <item x="401"/>
        <item x="41"/>
        <item x="20"/>
        <item x="434"/>
        <item x="198"/>
        <item x="64"/>
        <item x="406"/>
        <item x="520"/>
        <item x="274"/>
        <item x="541"/>
        <item x="585"/>
        <item x="51"/>
        <item x="302"/>
        <item x="98"/>
        <item x="207"/>
        <item x="47"/>
        <item x="625"/>
        <item x="147"/>
        <item x="499"/>
        <item x="230"/>
        <item x="270"/>
        <item x="355"/>
        <item x="413"/>
        <item x="118"/>
        <item x="596"/>
        <item x="480"/>
        <item x="272"/>
        <item x="594"/>
        <item x="606"/>
        <item x="11"/>
        <item x="491"/>
        <item x="125"/>
        <item x="537"/>
        <item x="623"/>
        <item x="360"/>
        <item x="257"/>
        <item x="307"/>
        <item x="184"/>
        <item x="478"/>
        <item x="654"/>
        <item x="568"/>
        <item x="73"/>
        <item x="213"/>
        <item x="552"/>
        <item x="99"/>
        <item x="365"/>
        <item x="342"/>
        <item x="234"/>
        <item x="128"/>
        <item x="459"/>
        <item x="258"/>
        <item x="12"/>
        <item x="260"/>
        <item x="100"/>
        <item x="472"/>
        <item x="34"/>
        <item x="243"/>
        <item x="254"/>
        <item x="154"/>
        <item x="428"/>
        <item x="498"/>
        <item x="386"/>
        <item x="685"/>
        <item x="251"/>
        <item x="233"/>
        <item x="579"/>
        <item x="447"/>
        <item x="341"/>
        <item x="291"/>
        <item x="396"/>
        <item x="296"/>
        <item x="593"/>
        <item x="242"/>
        <item x="276"/>
        <item x="613"/>
        <item x="634"/>
        <item x="575"/>
        <item x="262"/>
        <item x="132"/>
        <item x="672"/>
        <item x="83"/>
        <item x="476"/>
        <item x="652"/>
        <item x="58"/>
        <item x="407"/>
        <item x="554"/>
        <item x="427"/>
        <item x="394"/>
        <item x="75"/>
        <item x="514"/>
        <item x="142"/>
        <item x="518"/>
        <item x="172"/>
        <item x="222"/>
        <item x="76"/>
        <item x="395"/>
        <item x="671"/>
        <item x="235"/>
        <item x="471"/>
        <item x="577"/>
        <item x="550"/>
        <item x="323"/>
        <item x="388"/>
        <item x="589"/>
        <item x="666"/>
        <item x="503"/>
        <item x="609"/>
        <item x="470"/>
        <item x="495"/>
        <item x="66"/>
        <item x="560"/>
        <item x="424"/>
        <item x="592"/>
        <item x="40"/>
        <item x="605"/>
        <item x="25"/>
        <item x="622"/>
        <item x="80"/>
        <item x="367"/>
        <item x="620"/>
        <item x="271"/>
        <item x="361"/>
        <item x="181"/>
        <item x="674"/>
        <item x="389"/>
        <item x="92"/>
        <item x="179"/>
        <item x="67"/>
        <item x="225"/>
        <item x="322"/>
        <item x="252"/>
        <item x="587"/>
        <item x="256"/>
        <item x="9"/>
        <item x="631"/>
        <item x="647"/>
        <item x="297"/>
        <item x="425"/>
        <item x="558"/>
        <item x="608"/>
        <item x="318"/>
        <item x="680"/>
        <item x="403"/>
        <item x="340"/>
        <item x="435"/>
        <item x="301"/>
        <item x="29"/>
        <item x="149"/>
        <item x="512"/>
        <item x="684"/>
        <item x="183"/>
        <item x="141"/>
        <item x="451"/>
        <item x="462"/>
        <item x="430"/>
        <item x="104"/>
        <item x="408"/>
        <item x="284"/>
        <item x="591"/>
        <item x="65"/>
        <item x="63"/>
        <item x="368"/>
        <item x="82"/>
        <item x="8"/>
        <item x="22"/>
        <item x="170"/>
        <item x="349"/>
        <item x="438"/>
        <item x="39"/>
        <item x="669"/>
        <item x="164"/>
        <item x="511"/>
        <item x="229"/>
        <item x="640"/>
        <item x="574"/>
        <item x="150"/>
        <item x="157"/>
        <item x="282"/>
        <item x="219"/>
        <item x="352"/>
        <item x="416"/>
        <item x="440"/>
        <item x="595"/>
        <item x="392"/>
        <item x="547"/>
        <item x="505"/>
        <item x="374"/>
        <item x="177"/>
        <item x="339"/>
        <item x="431"/>
        <item x="572"/>
        <item x="461"/>
        <item x="474"/>
        <item x="646"/>
        <item x="325"/>
        <item x="308"/>
        <item x="362"/>
        <item x="415"/>
        <item x="313"/>
        <item x="371"/>
        <item x="643"/>
        <item x="457"/>
        <item x="246"/>
        <item x="385"/>
        <item x="237"/>
        <item x="205"/>
        <item x="555"/>
        <item x="494"/>
        <item x="220"/>
        <item x="227"/>
        <item x="223"/>
        <item x="189"/>
        <item x="111"/>
        <item x="37"/>
        <item x="153"/>
        <item x="239"/>
        <item x="120"/>
        <item x="146"/>
        <item x="3"/>
        <item x="228"/>
        <item x="521"/>
        <item x="68"/>
        <item x="69"/>
        <item x="621"/>
        <item x="43"/>
        <item x="612"/>
        <item x="216"/>
        <item x="356"/>
        <item x="324"/>
        <item x="326"/>
        <item x="379"/>
        <item x="419"/>
        <item x="536"/>
        <item x="137"/>
        <item x="15"/>
        <item x="366"/>
        <item x="662"/>
        <item x="38"/>
        <item x="163"/>
        <item x="30"/>
        <item x="269"/>
        <item x="106"/>
        <item x="215"/>
        <item x="393"/>
        <item x="531"/>
        <item x="97"/>
        <item x="517"/>
        <item x="661"/>
        <item x="10"/>
        <item x="171"/>
        <item x="538"/>
        <item x="221"/>
        <item x="74"/>
        <item x="619"/>
        <item x="280"/>
        <item x="656"/>
        <item x="473"/>
        <item x="122"/>
        <item x="24"/>
        <item x="610"/>
        <item x="443"/>
        <item x="312"/>
        <item x="370"/>
        <item x="675"/>
        <item x="193"/>
        <item x="333"/>
        <item x="655"/>
        <item x="489"/>
        <item x="168"/>
        <item x="259"/>
        <item x="53"/>
        <item x="329"/>
        <item x="543"/>
        <item x="292"/>
        <item x="676"/>
        <item x="70"/>
        <item x="528"/>
        <item x="278"/>
        <item x="96"/>
        <item x="59"/>
        <item x="615"/>
        <item x="14"/>
        <item x="89"/>
        <item x="616"/>
        <item x="79"/>
        <item x="18"/>
        <item x="90"/>
        <item x="298"/>
        <item x="71"/>
        <item x="564"/>
        <item x="599"/>
        <item x="545"/>
        <item x="32"/>
        <item x="314"/>
        <item x="350"/>
        <item x="492"/>
        <item x="248"/>
        <item x="504"/>
        <item x="294"/>
        <item x="194"/>
        <item x="651"/>
        <item x="665"/>
        <item x="232"/>
        <item x="197"/>
        <item x="464"/>
        <item x="522"/>
        <item x="534"/>
        <item x="62"/>
        <item x="236"/>
        <item x="586"/>
        <item x="305"/>
        <item x="320"/>
        <item x="551"/>
        <item x="123"/>
        <item x="255"/>
        <item x="195"/>
        <item x="250"/>
        <item x="46"/>
        <item x="23"/>
        <item x="115"/>
        <item x="13"/>
        <item x="667"/>
        <item x="347"/>
        <item x="381"/>
        <item x="670"/>
        <item x="88"/>
        <item x="201"/>
        <item x="601"/>
        <item x="660"/>
        <item x="203"/>
        <item x="310"/>
        <item x="565"/>
        <item x="384"/>
        <item x="315"/>
        <item x="363"/>
        <item x="602"/>
        <item x="28"/>
        <item x="317"/>
        <item x="437"/>
        <item x="162"/>
        <item x="182"/>
        <item x="130"/>
        <item x="399"/>
        <item x="295"/>
        <item x="261"/>
        <item x="78"/>
        <item x="44"/>
        <item x="502"/>
        <item x="449"/>
        <item x="571"/>
        <item x="475"/>
        <item x="557"/>
        <item x="304"/>
        <item x="144"/>
        <item x="279"/>
        <item x="686"/>
        <item x="460"/>
        <item x="275"/>
        <item x="199"/>
        <item x="108"/>
        <item x="60"/>
        <item x="497"/>
        <item x="119"/>
        <item x="192"/>
        <item x="400"/>
        <item x="33"/>
        <item x="485"/>
        <item x="402"/>
        <item x="77"/>
        <item x="94"/>
        <item x="484"/>
        <item x="409"/>
        <item x="445"/>
        <item x="567"/>
        <item x="84"/>
        <item x="321"/>
        <item x="160"/>
        <item x="180"/>
        <item x="493"/>
        <item x="456"/>
        <item x="244"/>
        <item x="479"/>
        <item x="369"/>
        <item x="148"/>
        <item x="247"/>
        <item x="553"/>
        <item x="570"/>
        <item x="683"/>
        <item x="55"/>
        <item x="187"/>
        <item x="429"/>
        <item x="133"/>
        <item x="420"/>
        <item x="529"/>
        <item x="107"/>
        <item x="351"/>
        <item x="454"/>
        <item x="411"/>
        <item x="614"/>
        <item x="49"/>
        <item x="453"/>
        <item x="372"/>
        <item x="253"/>
        <item x="81"/>
        <item x="281"/>
        <item x="488"/>
        <item x="26"/>
        <item x="359"/>
        <item x="42"/>
        <item x="191"/>
        <item x="390"/>
        <item x="155"/>
        <item x="532"/>
        <item x="166"/>
        <item x="159"/>
        <item x="580"/>
        <item x="569"/>
        <item x="624"/>
        <item x="167"/>
        <item t="default"/>
      </items>
    </pivotField>
    <pivotField axis="axisRow" showAll="0">
      <items count="12">
        <item x="2"/>
        <item x="10"/>
        <item x="4"/>
        <item x="1"/>
        <item x="8"/>
        <item x="5"/>
        <item x="6"/>
        <item x="7"/>
        <item x="9"/>
        <item x="0"/>
        <item x="3"/>
        <item t="default"/>
      </items>
    </pivotField>
    <pivotField showAll="0">
      <items count="19">
        <item x="6"/>
        <item x="10"/>
        <item x="13"/>
        <item x="15"/>
        <item x="3"/>
        <item x="1"/>
        <item x="17"/>
        <item x="12"/>
        <item x="5"/>
        <item x="11"/>
        <item x="2"/>
        <item x="4"/>
        <item x="0"/>
        <item x="16"/>
        <item x="9"/>
        <item x="8"/>
        <item x="7"/>
        <item x="14"/>
        <item t="default"/>
      </items>
    </pivotField>
    <pivotField numFmtId="2" showAll="0"/>
    <pivotField numFmtId="165" showAll="0"/>
    <pivotField numFmtId="165" showAll="0"/>
    <pivotField numFmtId="165" showAll="0"/>
    <pivotField dataField="1" numFmtId="165"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2">
    <i>
      <x/>
    </i>
    <i>
      <x v="1"/>
    </i>
    <i>
      <x v="2"/>
    </i>
    <i>
      <x v="3"/>
    </i>
    <i>
      <x v="4"/>
    </i>
    <i>
      <x v="5"/>
    </i>
    <i>
      <x v="6"/>
    </i>
    <i>
      <x v="7"/>
    </i>
    <i>
      <x v="8"/>
    </i>
    <i>
      <x v="9"/>
    </i>
    <i>
      <x v="10"/>
    </i>
    <i t="grand">
      <x/>
    </i>
  </rowItems>
  <colItems count="1">
    <i/>
  </colItems>
  <dataFields count="1">
    <dataField name="Sum of Final Amount" fld="9" baseField="0" baseItem="0" numFmtId="165"/>
  </dataFields>
  <chartFormats count="48">
    <chartFormat chart="29" format="13" series="1">
      <pivotArea type="data" outline="0" fieldPosition="0">
        <references count="1">
          <reference field="4294967294" count="1" selected="0">
            <x v="0"/>
          </reference>
        </references>
      </pivotArea>
    </chartFormat>
    <chartFormat chart="29" format="14">
      <pivotArea type="data" outline="0" fieldPosition="0">
        <references count="2">
          <reference field="4294967294" count="1" selected="0">
            <x v="0"/>
          </reference>
          <reference field="3" count="1" selected="0">
            <x v="0"/>
          </reference>
        </references>
      </pivotArea>
    </chartFormat>
    <chartFormat chart="29" format="15">
      <pivotArea type="data" outline="0" fieldPosition="0">
        <references count="2">
          <reference field="4294967294" count="1" selected="0">
            <x v="0"/>
          </reference>
          <reference field="3" count="1" selected="0">
            <x v="1"/>
          </reference>
        </references>
      </pivotArea>
    </chartFormat>
    <chartFormat chart="29" format="16">
      <pivotArea type="data" outline="0" fieldPosition="0">
        <references count="2">
          <reference field="4294967294" count="1" selected="0">
            <x v="0"/>
          </reference>
          <reference field="3" count="1" selected="0">
            <x v="2"/>
          </reference>
        </references>
      </pivotArea>
    </chartFormat>
    <chartFormat chart="29" format="17">
      <pivotArea type="data" outline="0" fieldPosition="0">
        <references count="2">
          <reference field="4294967294" count="1" selected="0">
            <x v="0"/>
          </reference>
          <reference field="3" count="1" selected="0">
            <x v="3"/>
          </reference>
        </references>
      </pivotArea>
    </chartFormat>
    <chartFormat chart="29" format="18">
      <pivotArea type="data" outline="0" fieldPosition="0">
        <references count="2">
          <reference field="4294967294" count="1" selected="0">
            <x v="0"/>
          </reference>
          <reference field="3" count="1" selected="0">
            <x v="4"/>
          </reference>
        </references>
      </pivotArea>
    </chartFormat>
    <chartFormat chart="29" format="19">
      <pivotArea type="data" outline="0" fieldPosition="0">
        <references count="2">
          <reference field="4294967294" count="1" selected="0">
            <x v="0"/>
          </reference>
          <reference field="3" count="1" selected="0">
            <x v="5"/>
          </reference>
        </references>
      </pivotArea>
    </chartFormat>
    <chartFormat chart="29" format="20">
      <pivotArea type="data" outline="0" fieldPosition="0">
        <references count="2">
          <reference field="4294967294" count="1" selected="0">
            <x v="0"/>
          </reference>
          <reference field="3" count="1" selected="0">
            <x v="6"/>
          </reference>
        </references>
      </pivotArea>
    </chartFormat>
    <chartFormat chart="29" format="21">
      <pivotArea type="data" outline="0" fieldPosition="0">
        <references count="2">
          <reference field="4294967294" count="1" selected="0">
            <x v="0"/>
          </reference>
          <reference field="3" count="1" selected="0">
            <x v="7"/>
          </reference>
        </references>
      </pivotArea>
    </chartFormat>
    <chartFormat chart="29" format="22">
      <pivotArea type="data" outline="0" fieldPosition="0">
        <references count="2">
          <reference field="4294967294" count="1" selected="0">
            <x v="0"/>
          </reference>
          <reference field="3" count="1" selected="0">
            <x v="8"/>
          </reference>
        </references>
      </pivotArea>
    </chartFormat>
    <chartFormat chart="29" format="23">
      <pivotArea type="data" outline="0" fieldPosition="0">
        <references count="2">
          <reference field="4294967294" count="1" selected="0">
            <x v="0"/>
          </reference>
          <reference field="3" count="1" selected="0">
            <x v="9"/>
          </reference>
        </references>
      </pivotArea>
    </chartFormat>
    <chartFormat chart="29" format="24">
      <pivotArea type="data" outline="0" fieldPosition="0">
        <references count="2">
          <reference field="4294967294" count="1" selected="0">
            <x v="0"/>
          </reference>
          <reference field="3" count="1" selected="0">
            <x v="10"/>
          </reference>
        </references>
      </pivotArea>
    </chartFormat>
    <chartFormat chart="30" format="25" series="1">
      <pivotArea type="data" outline="0" fieldPosition="0">
        <references count="1">
          <reference field="4294967294" count="1" selected="0">
            <x v="0"/>
          </reference>
        </references>
      </pivotArea>
    </chartFormat>
    <chartFormat chart="30" format="26">
      <pivotArea type="data" outline="0" fieldPosition="0">
        <references count="2">
          <reference field="4294967294" count="1" selected="0">
            <x v="0"/>
          </reference>
          <reference field="3" count="1" selected="0">
            <x v="0"/>
          </reference>
        </references>
      </pivotArea>
    </chartFormat>
    <chartFormat chart="30" format="27">
      <pivotArea type="data" outline="0" fieldPosition="0">
        <references count="2">
          <reference field="4294967294" count="1" selected="0">
            <x v="0"/>
          </reference>
          <reference field="3" count="1" selected="0">
            <x v="1"/>
          </reference>
        </references>
      </pivotArea>
    </chartFormat>
    <chartFormat chart="30" format="28">
      <pivotArea type="data" outline="0" fieldPosition="0">
        <references count="2">
          <reference field="4294967294" count="1" selected="0">
            <x v="0"/>
          </reference>
          <reference field="3" count="1" selected="0">
            <x v="2"/>
          </reference>
        </references>
      </pivotArea>
    </chartFormat>
    <chartFormat chart="30" format="29">
      <pivotArea type="data" outline="0" fieldPosition="0">
        <references count="2">
          <reference field="4294967294" count="1" selected="0">
            <x v="0"/>
          </reference>
          <reference field="3" count="1" selected="0">
            <x v="3"/>
          </reference>
        </references>
      </pivotArea>
    </chartFormat>
    <chartFormat chart="30" format="30">
      <pivotArea type="data" outline="0" fieldPosition="0">
        <references count="2">
          <reference field="4294967294" count="1" selected="0">
            <x v="0"/>
          </reference>
          <reference field="3" count="1" selected="0">
            <x v="4"/>
          </reference>
        </references>
      </pivotArea>
    </chartFormat>
    <chartFormat chart="30" format="31">
      <pivotArea type="data" outline="0" fieldPosition="0">
        <references count="2">
          <reference field="4294967294" count="1" selected="0">
            <x v="0"/>
          </reference>
          <reference field="3" count="1" selected="0">
            <x v="5"/>
          </reference>
        </references>
      </pivotArea>
    </chartFormat>
    <chartFormat chart="30" format="32">
      <pivotArea type="data" outline="0" fieldPosition="0">
        <references count="2">
          <reference field="4294967294" count="1" selected="0">
            <x v="0"/>
          </reference>
          <reference field="3" count="1" selected="0">
            <x v="6"/>
          </reference>
        </references>
      </pivotArea>
    </chartFormat>
    <chartFormat chart="30" format="33">
      <pivotArea type="data" outline="0" fieldPosition="0">
        <references count="2">
          <reference field="4294967294" count="1" selected="0">
            <x v="0"/>
          </reference>
          <reference field="3" count="1" selected="0">
            <x v="7"/>
          </reference>
        </references>
      </pivotArea>
    </chartFormat>
    <chartFormat chart="30" format="34">
      <pivotArea type="data" outline="0" fieldPosition="0">
        <references count="2">
          <reference field="4294967294" count="1" selected="0">
            <x v="0"/>
          </reference>
          <reference field="3" count="1" selected="0">
            <x v="8"/>
          </reference>
        </references>
      </pivotArea>
    </chartFormat>
    <chartFormat chart="30" format="35">
      <pivotArea type="data" outline="0" fieldPosition="0">
        <references count="2">
          <reference field="4294967294" count="1" selected="0">
            <x v="0"/>
          </reference>
          <reference field="3" count="1" selected="0">
            <x v="9"/>
          </reference>
        </references>
      </pivotArea>
    </chartFormat>
    <chartFormat chart="30" format="36">
      <pivotArea type="data" outline="0" fieldPosition="0">
        <references count="2">
          <reference field="4294967294" count="1" selected="0">
            <x v="0"/>
          </reference>
          <reference field="3" count="1" selected="0">
            <x v="10"/>
          </reference>
        </references>
      </pivotArea>
    </chartFormat>
    <chartFormat chart="31" format="37" series="1">
      <pivotArea type="data" outline="0" fieldPosition="0">
        <references count="1">
          <reference field="4294967294" count="1" selected="0">
            <x v="0"/>
          </reference>
        </references>
      </pivotArea>
    </chartFormat>
    <chartFormat chart="31" format="38">
      <pivotArea type="data" outline="0" fieldPosition="0">
        <references count="2">
          <reference field="4294967294" count="1" selected="0">
            <x v="0"/>
          </reference>
          <reference field="3" count="1" selected="0">
            <x v="0"/>
          </reference>
        </references>
      </pivotArea>
    </chartFormat>
    <chartFormat chart="31" format="39">
      <pivotArea type="data" outline="0" fieldPosition="0">
        <references count="2">
          <reference field="4294967294" count="1" selected="0">
            <x v="0"/>
          </reference>
          <reference field="3" count="1" selected="0">
            <x v="1"/>
          </reference>
        </references>
      </pivotArea>
    </chartFormat>
    <chartFormat chart="31" format="40">
      <pivotArea type="data" outline="0" fieldPosition="0">
        <references count="2">
          <reference field="4294967294" count="1" selected="0">
            <x v="0"/>
          </reference>
          <reference field="3" count="1" selected="0">
            <x v="2"/>
          </reference>
        </references>
      </pivotArea>
    </chartFormat>
    <chartFormat chart="31" format="41">
      <pivotArea type="data" outline="0" fieldPosition="0">
        <references count="2">
          <reference field="4294967294" count="1" selected="0">
            <x v="0"/>
          </reference>
          <reference field="3" count="1" selected="0">
            <x v="3"/>
          </reference>
        </references>
      </pivotArea>
    </chartFormat>
    <chartFormat chart="31" format="42">
      <pivotArea type="data" outline="0" fieldPosition="0">
        <references count="2">
          <reference field="4294967294" count="1" selected="0">
            <x v="0"/>
          </reference>
          <reference field="3" count="1" selected="0">
            <x v="4"/>
          </reference>
        </references>
      </pivotArea>
    </chartFormat>
    <chartFormat chart="31" format="43">
      <pivotArea type="data" outline="0" fieldPosition="0">
        <references count="2">
          <reference field="4294967294" count="1" selected="0">
            <x v="0"/>
          </reference>
          <reference field="3" count="1" selected="0">
            <x v="5"/>
          </reference>
        </references>
      </pivotArea>
    </chartFormat>
    <chartFormat chart="31" format="44">
      <pivotArea type="data" outline="0" fieldPosition="0">
        <references count="2">
          <reference field="4294967294" count="1" selected="0">
            <x v="0"/>
          </reference>
          <reference field="3" count="1" selected="0">
            <x v="6"/>
          </reference>
        </references>
      </pivotArea>
    </chartFormat>
    <chartFormat chart="31" format="45">
      <pivotArea type="data" outline="0" fieldPosition="0">
        <references count="2">
          <reference field="4294967294" count="1" selected="0">
            <x v="0"/>
          </reference>
          <reference field="3" count="1" selected="0">
            <x v="7"/>
          </reference>
        </references>
      </pivotArea>
    </chartFormat>
    <chartFormat chart="31" format="46">
      <pivotArea type="data" outline="0" fieldPosition="0">
        <references count="2">
          <reference field="4294967294" count="1" selected="0">
            <x v="0"/>
          </reference>
          <reference field="3" count="1" selected="0">
            <x v="8"/>
          </reference>
        </references>
      </pivotArea>
    </chartFormat>
    <chartFormat chart="31" format="47">
      <pivotArea type="data" outline="0" fieldPosition="0">
        <references count="2">
          <reference field="4294967294" count="1" selected="0">
            <x v="0"/>
          </reference>
          <reference field="3" count="1" selected="0">
            <x v="9"/>
          </reference>
        </references>
      </pivotArea>
    </chartFormat>
    <chartFormat chart="31" format="48">
      <pivotArea type="data" outline="0" fieldPosition="0">
        <references count="2">
          <reference field="4294967294" count="1" selected="0">
            <x v="0"/>
          </reference>
          <reference field="3" count="1" selected="0">
            <x v="10"/>
          </reference>
        </references>
      </pivotArea>
    </chartFormat>
    <chartFormat chart="32" format="37" series="1">
      <pivotArea type="data" outline="0" fieldPosition="0">
        <references count="1">
          <reference field="4294967294" count="1" selected="0">
            <x v="0"/>
          </reference>
        </references>
      </pivotArea>
    </chartFormat>
    <chartFormat chart="32" format="38">
      <pivotArea type="data" outline="0" fieldPosition="0">
        <references count="2">
          <reference field="4294967294" count="1" selected="0">
            <x v="0"/>
          </reference>
          <reference field="3" count="1" selected="0">
            <x v="0"/>
          </reference>
        </references>
      </pivotArea>
    </chartFormat>
    <chartFormat chart="32" format="39">
      <pivotArea type="data" outline="0" fieldPosition="0">
        <references count="2">
          <reference field="4294967294" count="1" selected="0">
            <x v="0"/>
          </reference>
          <reference field="3" count="1" selected="0">
            <x v="1"/>
          </reference>
        </references>
      </pivotArea>
    </chartFormat>
    <chartFormat chart="32" format="40">
      <pivotArea type="data" outline="0" fieldPosition="0">
        <references count="2">
          <reference field="4294967294" count="1" selected="0">
            <x v="0"/>
          </reference>
          <reference field="3" count="1" selected="0">
            <x v="2"/>
          </reference>
        </references>
      </pivotArea>
    </chartFormat>
    <chartFormat chart="32" format="41">
      <pivotArea type="data" outline="0" fieldPosition="0">
        <references count="2">
          <reference field="4294967294" count="1" selected="0">
            <x v="0"/>
          </reference>
          <reference field="3" count="1" selected="0">
            <x v="3"/>
          </reference>
        </references>
      </pivotArea>
    </chartFormat>
    <chartFormat chart="32" format="42">
      <pivotArea type="data" outline="0" fieldPosition="0">
        <references count="2">
          <reference field="4294967294" count="1" selected="0">
            <x v="0"/>
          </reference>
          <reference field="3" count="1" selected="0">
            <x v="4"/>
          </reference>
        </references>
      </pivotArea>
    </chartFormat>
    <chartFormat chart="32" format="43">
      <pivotArea type="data" outline="0" fieldPosition="0">
        <references count="2">
          <reference field="4294967294" count="1" selected="0">
            <x v="0"/>
          </reference>
          <reference field="3" count="1" selected="0">
            <x v="5"/>
          </reference>
        </references>
      </pivotArea>
    </chartFormat>
    <chartFormat chart="32" format="44">
      <pivotArea type="data" outline="0" fieldPosition="0">
        <references count="2">
          <reference field="4294967294" count="1" selected="0">
            <x v="0"/>
          </reference>
          <reference field="3" count="1" selected="0">
            <x v="6"/>
          </reference>
        </references>
      </pivotArea>
    </chartFormat>
    <chartFormat chart="32" format="45">
      <pivotArea type="data" outline="0" fieldPosition="0">
        <references count="2">
          <reference field="4294967294" count="1" selected="0">
            <x v="0"/>
          </reference>
          <reference field="3" count="1" selected="0">
            <x v="7"/>
          </reference>
        </references>
      </pivotArea>
    </chartFormat>
    <chartFormat chart="32" format="46">
      <pivotArea type="data" outline="0" fieldPosition="0">
        <references count="2">
          <reference field="4294967294" count="1" selected="0">
            <x v="0"/>
          </reference>
          <reference field="3" count="1" selected="0">
            <x v="8"/>
          </reference>
        </references>
      </pivotArea>
    </chartFormat>
    <chartFormat chart="32" format="47">
      <pivotArea type="data" outline="0" fieldPosition="0">
        <references count="2">
          <reference field="4294967294" count="1" selected="0">
            <x v="0"/>
          </reference>
          <reference field="3" count="1" selected="0">
            <x v="9"/>
          </reference>
        </references>
      </pivotArea>
    </chartFormat>
    <chartFormat chart="32" format="48">
      <pivotArea type="data" outline="0" fieldPosition="0">
        <references count="2">
          <reference field="4294967294" count="1" selected="0">
            <x v="0"/>
          </reference>
          <reference field="3"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479B69-F4DB-417C-8269-362B45B7B1E8}" name="PivotTable2"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20" firstHeaderRow="1" firstDataRow="1" firstDataCol="1"/>
  <pivotFields count="14">
    <pivotField showAll="0"/>
    <pivotField showAll="0">
      <items count="11">
        <item x="4"/>
        <item x="3"/>
        <item x="8"/>
        <item x="6"/>
        <item x="0"/>
        <item x="7"/>
        <item x="5"/>
        <item x="2"/>
        <item x="1"/>
        <item x="9"/>
        <item t="default"/>
      </items>
    </pivotField>
    <pivotField numFmtId="14" showAll="0">
      <items count="690">
        <item x="677"/>
        <item x="135"/>
        <item x="604"/>
        <item x="105"/>
        <item x="165"/>
        <item x="156"/>
        <item x="309"/>
        <item x="450"/>
        <item x="412"/>
        <item x="468"/>
        <item x="641"/>
        <item x="525"/>
        <item x="103"/>
        <item x="436"/>
        <item x="681"/>
        <item x="0"/>
        <item x="283"/>
        <item x="533"/>
        <item x="486"/>
        <item x="650"/>
        <item x="5"/>
        <item x="442"/>
        <item x="417"/>
        <item x="548"/>
        <item x="211"/>
        <item x="519"/>
        <item x="588"/>
        <item x="185"/>
        <item x="405"/>
        <item x="175"/>
        <item x="31"/>
        <item x="628"/>
        <item x="582"/>
        <item x="129"/>
        <item x="293"/>
        <item x="649"/>
        <item x="387"/>
        <item x="644"/>
        <item x="140"/>
        <item x="139"/>
        <item x="682"/>
        <item x="121"/>
        <item x="515"/>
        <item x="102"/>
        <item x="48"/>
        <item x="483"/>
        <item x="145"/>
        <item x="218"/>
        <item x="109"/>
        <item x="158"/>
        <item x="346"/>
        <item x="414"/>
        <item x="303"/>
        <item x="264"/>
        <item x="27"/>
        <item x="267"/>
        <item x="573"/>
        <item x="645"/>
        <item x="285"/>
        <item x="87"/>
        <item x="4"/>
        <item x="501"/>
        <item x="581"/>
        <item x="375"/>
        <item x="174"/>
        <item x="6"/>
        <item x="523"/>
        <item x="117"/>
        <item x="663"/>
        <item x="410"/>
        <item x="335"/>
        <item x="19"/>
        <item x="516"/>
        <item x="311"/>
        <item x="433"/>
        <item x="642"/>
        <item x="452"/>
        <item x="467"/>
        <item x="72"/>
        <item x="673"/>
        <item x="345"/>
        <item x="209"/>
        <item x="455"/>
        <item x="348"/>
        <item x="331"/>
        <item x="391"/>
        <item x="688"/>
        <item x="566"/>
        <item x="338"/>
        <item x="91"/>
        <item x="466"/>
        <item x="687"/>
        <item x="113"/>
        <item x="546"/>
        <item x="632"/>
        <item x="286"/>
        <item x="526"/>
        <item x="57"/>
        <item x="2"/>
        <item x="448"/>
        <item x="52"/>
        <item x="423"/>
        <item x="241"/>
        <item x="590"/>
        <item x="618"/>
        <item x="268"/>
        <item x="61"/>
        <item x="527"/>
        <item x="17"/>
        <item x="353"/>
        <item x="143"/>
        <item x="678"/>
        <item x="611"/>
        <item x="178"/>
        <item x="35"/>
        <item x="134"/>
        <item x="364"/>
        <item x="131"/>
        <item x="299"/>
        <item x="639"/>
        <item x="426"/>
        <item x="354"/>
        <item x="444"/>
        <item x="509"/>
        <item x="210"/>
        <item x="648"/>
        <item x="373"/>
        <item x="287"/>
        <item x="630"/>
        <item x="343"/>
        <item x="607"/>
        <item x="540"/>
        <item x="633"/>
        <item x="116"/>
        <item x="332"/>
        <item x="226"/>
        <item x="506"/>
        <item x="637"/>
        <item x="508"/>
        <item x="432"/>
        <item x="562"/>
        <item x="549"/>
        <item x="617"/>
        <item x="152"/>
        <item x="668"/>
        <item x="273"/>
        <item x="188"/>
        <item x="95"/>
        <item x="50"/>
        <item x="112"/>
        <item x="490"/>
        <item x="458"/>
        <item x="249"/>
        <item x="439"/>
        <item x="626"/>
        <item x="200"/>
        <item x="204"/>
        <item x="240"/>
        <item x="603"/>
        <item x="418"/>
        <item x="45"/>
        <item x="638"/>
        <item x="358"/>
        <item x="7"/>
        <item x="404"/>
        <item x="265"/>
        <item x="507"/>
        <item x="110"/>
        <item x="85"/>
        <item x="539"/>
        <item x="86"/>
        <item x="114"/>
        <item x="245"/>
        <item x="1"/>
        <item x="658"/>
        <item x="101"/>
        <item x="124"/>
        <item x="127"/>
        <item x="173"/>
        <item x="344"/>
        <item x="214"/>
        <item x="679"/>
        <item x="446"/>
        <item x="288"/>
        <item x="561"/>
        <item x="54"/>
        <item x="93"/>
        <item x="469"/>
        <item x="196"/>
        <item x="657"/>
        <item x="330"/>
        <item x="169"/>
        <item x="487"/>
        <item x="263"/>
        <item x="334"/>
        <item x="465"/>
        <item x="126"/>
        <item x="659"/>
        <item x="583"/>
        <item x="398"/>
        <item x="238"/>
        <item x="136"/>
        <item x="535"/>
        <item x="380"/>
        <item x="496"/>
        <item x="563"/>
        <item x="357"/>
        <item x="421"/>
        <item x="477"/>
        <item x="138"/>
        <item x="576"/>
        <item x="629"/>
        <item x="627"/>
        <item x="337"/>
        <item x="635"/>
        <item x="231"/>
        <item x="327"/>
        <item x="556"/>
        <item x="441"/>
        <item x="524"/>
        <item x="300"/>
        <item x="481"/>
        <item x="597"/>
        <item x="382"/>
        <item x="151"/>
        <item x="600"/>
        <item x="578"/>
        <item x="513"/>
        <item x="316"/>
        <item x="383"/>
        <item x="500"/>
        <item x="224"/>
        <item x="289"/>
        <item x="463"/>
        <item x="378"/>
        <item x="208"/>
        <item x="377"/>
        <item x="176"/>
        <item x="266"/>
        <item x="319"/>
        <item x="290"/>
        <item x="397"/>
        <item x="16"/>
        <item x="598"/>
        <item x="664"/>
        <item x="328"/>
        <item x="212"/>
        <item x="306"/>
        <item x="376"/>
        <item x="202"/>
        <item x="206"/>
        <item x="277"/>
        <item x="190"/>
        <item x="36"/>
        <item x="653"/>
        <item x="544"/>
        <item x="21"/>
        <item x="636"/>
        <item x="336"/>
        <item x="56"/>
        <item x="217"/>
        <item x="186"/>
        <item x="584"/>
        <item x="530"/>
        <item x="510"/>
        <item x="161"/>
        <item x="559"/>
        <item x="542"/>
        <item x="482"/>
        <item x="422"/>
        <item x="401"/>
        <item x="41"/>
        <item x="20"/>
        <item x="434"/>
        <item x="198"/>
        <item x="64"/>
        <item x="406"/>
        <item x="520"/>
        <item x="274"/>
        <item x="541"/>
        <item x="585"/>
        <item x="51"/>
        <item x="302"/>
        <item x="98"/>
        <item x="207"/>
        <item x="47"/>
        <item x="625"/>
        <item x="147"/>
        <item x="499"/>
        <item x="230"/>
        <item x="270"/>
        <item x="355"/>
        <item x="413"/>
        <item x="118"/>
        <item x="596"/>
        <item x="480"/>
        <item x="272"/>
        <item x="594"/>
        <item x="606"/>
        <item x="11"/>
        <item x="491"/>
        <item x="125"/>
        <item x="537"/>
        <item x="623"/>
        <item x="360"/>
        <item x="257"/>
        <item x="307"/>
        <item x="184"/>
        <item x="478"/>
        <item x="654"/>
        <item x="568"/>
        <item x="73"/>
        <item x="213"/>
        <item x="552"/>
        <item x="99"/>
        <item x="365"/>
        <item x="342"/>
        <item x="234"/>
        <item x="128"/>
        <item x="459"/>
        <item x="258"/>
        <item x="12"/>
        <item x="260"/>
        <item x="100"/>
        <item x="472"/>
        <item x="34"/>
        <item x="243"/>
        <item x="254"/>
        <item x="154"/>
        <item x="428"/>
        <item x="498"/>
        <item x="386"/>
        <item x="685"/>
        <item x="251"/>
        <item x="233"/>
        <item x="579"/>
        <item x="447"/>
        <item x="341"/>
        <item x="291"/>
        <item x="396"/>
        <item x="296"/>
        <item x="593"/>
        <item x="242"/>
        <item x="276"/>
        <item x="613"/>
        <item x="634"/>
        <item x="575"/>
        <item x="262"/>
        <item x="132"/>
        <item x="672"/>
        <item x="83"/>
        <item x="476"/>
        <item x="652"/>
        <item x="58"/>
        <item x="407"/>
        <item x="554"/>
        <item x="427"/>
        <item x="394"/>
        <item x="75"/>
        <item x="514"/>
        <item x="142"/>
        <item x="518"/>
        <item x="172"/>
        <item x="222"/>
        <item x="76"/>
        <item x="395"/>
        <item x="671"/>
        <item x="235"/>
        <item x="471"/>
        <item x="577"/>
        <item x="550"/>
        <item x="323"/>
        <item x="388"/>
        <item x="589"/>
        <item x="666"/>
        <item x="503"/>
        <item x="609"/>
        <item x="470"/>
        <item x="495"/>
        <item x="66"/>
        <item x="560"/>
        <item x="424"/>
        <item x="592"/>
        <item x="40"/>
        <item x="605"/>
        <item x="25"/>
        <item x="622"/>
        <item x="80"/>
        <item x="367"/>
        <item x="620"/>
        <item x="271"/>
        <item x="361"/>
        <item x="181"/>
        <item x="674"/>
        <item x="389"/>
        <item x="92"/>
        <item x="179"/>
        <item x="67"/>
        <item x="225"/>
        <item x="322"/>
        <item x="252"/>
        <item x="587"/>
        <item x="256"/>
        <item x="9"/>
        <item x="631"/>
        <item x="647"/>
        <item x="297"/>
        <item x="425"/>
        <item x="558"/>
        <item x="608"/>
        <item x="318"/>
        <item x="680"/>
        <item x="403"/>
        <item x="340"/>
        <item x="435"/>
        <item x="301"/>
        <item x="29"/>
        <item x="149"/>
        <item x="512"/>
        <item x="684"/>
        <item x="183"/>
        <item x="141"/>
        <item x="451"/>
        <item x="462"/>
        <item x="430"/>
        <item x="104"/>
        <item x="408"/>
        <item x="284"/>
        <item x="591"/>
        <item x="65"/>
        <item x="63"/>
        <item x="368"/>
        <item x="82"/>
        <item x="8"/>
        <item x="22"/>
        <item x="170"/>
        <item x="349"/>
        <item x="438"/>
        <item x="39"/>
        <item x="669"/>
        <item x="164"/>
        <item x="511"/>
        <item x="229"/>
        <item x="640"/>
        <item x="574"/>
        <item x="150"/>
        <item x="157"/>
        <item x="282"/>
        <item x="219"/>
        <item x="352"/>
        <item x="416"/>
        <item x="440"/>
        <item x="595"/>
        <item x="392"/>
        <item x="547"/>
        <item x="505"/>
        <item x="374"/>
        <item x="177"/>
        <item x="339"/>
        <item x="431"/>
        <item x="572"/>
        <item x="461"/>
        <item x="474"/>
        <item x="646"/>
        <item x="325"/>
        <item x="308"/>
        <item x="362"/>
        <item x="415"/>
        <item x="313"/>
        <item x="371"/>
        <item x="643"/>
        <item x="457"/>
        <item x="246"/>
        <item x="385"/>
        <item x="237"/>
        <item x="205"/>
        <item x="555"/>
        <item x="494"/>
        <item x="220"/>
        <item x="227"/>
        <item x="223"/>
        <item x="189"/>
        <item x="111"/>
        <item x="37"/>
        <item x="153"/>
        <item x="239"/>
        <item x="120"/>
        <item x="146"/>
        <item x="3"/>
        <item x="228"/>
        <item x="521"/>
        <item x="68"/>
        <item x="69"/>
        <item x="621"/>
        <item x="43"/>
        <item x="612"/>
        <item x="216"/>
        <item x="356"/>
        <item x="324"/>
        <item x="326"/>
        <item x="379"/>
        <item x="419"/>
        <item x="536"/>
        <item x="137"/>
        <item x="15"/>
        <item x="366"/>
        <item x="662"/>
        <item x="38"/>
        <item x="163"/>
        <item x="30"/>
        <item x="269"/>
        <item x="106"/>
        <item x="215"/>
        <item x="393"/>
        <item x="531"/>
        <item x="97"/>
        <item x="517"/>
        <item x="661"/>
        <item x="10"/>
        <item x="171"/>
        <item x="538"/>
        <item x="221"/>
        <item x="74"/>
        <item x="619"/>
        <item x="280"/>
        <item x="656"/>
        <item x="473"/>
        <item x="122"/>
        <item x="24"/>
        <item x="610"/>
        <item x="443"/>
        <item x="312"/>
        <item x="370"/>
        <item x="675"/>
        <item x="193"/>
        <item x="333"/>
        <item x="655"/>
        <item x="489"/>
        <item x="168"/>
        <item x="259"/>
        <item x="53"/>
        <item x="329"/>
        <item x="543"/>
        <item x="292"/>
        <item x="676"/>
        <item x="70"/>
        <item x="528"/>
        <item x="278"/>
        <item x="96"/>
        <item x="59"/>
        <item x="615"/>
        <item x="14"/>
        <item x="89"/>
        <item x="616"/>
        <item x="79"/>
        <item x="18"/>
        <item x="90"/>
        <item x="298"/>
        <item x="71"/>
        <item x="564"/>
        <item x="599"/>
        <item x="545"/>
        <item x="32"/>
        <item x="314"/>
        <item x="350"/>
        <item x="492"/>
        <item x="248"/>
        <item x="504"/>
        <item x="294"/>
        <item x="194"/>
        <item x="651"/>
        <item x="665"/>
        <item x="232"/>
        <item x="197"/>
        <item x="464"/>
        <item x="522"/>
        <item x="534"/>
        <item x="62"/>
        <item x="236"/>
        <item x="586"/>
        <item x="305"/>
        <item x="320"/>
        <item x="551"/>
        <item x="123"/>
        <item x="255"/>
        <item x="195"/>
        <item x="250"/>
        <item x="46"/>
        <item x="23"/>
        <item x="115"/>
        <item x="13"/>
        <item x="667"/>
        <item x="347"/>
        <item x="381"/>
        <item x="670"/>
        <item x="88"/>
        <item x="201"/>
        <item x="601"/>
        <item x="660"/>
        <item x="203"/>
        <item x="310"/>
        <item x="565"/>
        <item x="384"/>
        <item x="315"/>
        <item x="363"/>
        <item x="602"/>
        <item x="28"/>
        <item x="317"/>
        <item x="437"/>
        <item x="162"/>
        <item x="182"/>
        <item x="130"/>
        <item x="399"/>
        <item x="295"/>
        <item x="261"/>
        <item x="78"/>
        <item x="44"/>
        <item x="502"/>
        <item x="449"/>
        <item x="571"/>
        <item x="475"/>
        <item x="557"/>
        <item x="304"/>
        <item x="144"/>
        <item x="279"/>
        <item x="686"/>
        <item x="460"/>
        <item x="275"/>
        <item x="199"/>
        <item x="108"/>
        <item x="60"/>
        <item x="497"/>
        <item x="119"/>
        <item x="192"/>
        <item x="400"/>
        <item x="33"/>
        <item x="485"/>
        <item x="402"/>
        <item x="77"/>
        <item x="94"/>
        <item x="484"/>
        <item x="409"/>
        <item x="445"/>
        <item x="567"/>
        <item x="84"/>
        <item x="321"/>
        <item x="160"/>
        <item x="180"/>
        <item x="493"/>
        <item x="456"/>
        <item x="244"/>
        <item x="479"/>
        <item x="369"/>
        <item x="148"/>
        <item x="247"/>
        <item x="553"/>
        <item x="570"/>
        <item x="683"/>
        <item x="55"/>
        <item x="187"/>
        <item x="429"/>
        <item x="133"/>
        <item x="420"/>
        <item x="529"/>
        <item x="107"/>
        <item x="351"/>
        <item x="454"/>
        <item x="411"/>
        <item x="614"/>
        <item x="49"/>
        <item x="453"/>
        <item x="372"/>
        <item x="253"/>
        <item x="81"/>
        <item x="281"/>
        <item x="488"/>
        <item x="26"/>
        <item x="359"/>
        <item x="42"/>
        <item x="191"/>
        <item x="390"/>
        <item x="155"/>
        <item x="532"/>
        <item x="166"/>
        <item x="159"/>
        <item x="580"/>
        <item x="569"/>
        <item x="624"/>
        <item x="167"/>
        <item t="default"/>
      </items>
    </pivotField>
    <pivotField showAll="0">
      <items count="12">
        <item x="2"/>
        <item x="10"/>
        <item x="4"/>
        <item x="1"/>
        <item x="8"/>
        <item x="5"/>
        <item x="6"/>
        <item x="7"/>
        <item x="9"/>
        <item x="0"/>
        <item x="3"/>
        <item t="default"/>
      </items>
    </pivotField>
    <pivotField axis="axisRow" showAll="0">
      <items count="19">
        <item x="6"/>
        <item x="10"/>
        <item x="13"/>
        <item x="15"/>
        <item x="3"/>
        <item x="1"/>
        <item x="17"/>
        <item x="12"/>
        <item x="5"/>
        <item x="11"/>
        <item x="2"/>
        <item x="4"/>
        <item x="0"/>
        <item x="16"/>
        <item x="9"/>
        <item x="8"/>
        <item x="7"/>
        <item x="14"/>
        <item t="default"/>
      </items>
    </pivotField>
    <pivotField dataField="1" numFmtId="2" showAll="0"/>
    <pivotField numFmtId="165" showAll="0"/>
    <pivotField numFmtId="165" showAll="0"/>
    <pivotField numFmtId="165" showAll="0"/>
    <pivotField numFmtId="165" showAll="0"/>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19">
    <i>
      <x/>
    </i>
    <i>
      <x v="1"/>
    </i>
    <i>
      <x v="2"/>
    </i>
    <i>
      <x v="3"/>
    </i>
    <i>
      <x v="4"/>
    </i>
    <i>
      <x v="5"/>
    </i>
    <i>
      <x v="6"/>
    </i>
    <i>
      <x v="7"/>
    </i>
    <i>
      <x v="8"/>
    </i>
    <i>
      <x v="9"/>
    </i>
    <i>
      <x v="10"/>
    </i>
    <i>
      <x v="11"/>
    </i>
    <i>
      <x v="12"/>
    </i>
    <i>
      <x v="13"/>
    </i>
    <i>
      <x v="14"/>
    </i>
    <i>
      <x v="15"/>
    </i>
    <i>
      <x v="16"/>
    </i>
    <i>
      <x v="17"/>
    </i>
    <i t="grand">
      <x/>
    </i>
  </rowItems>
  <colItems count="1">
    <i/>
  </colItems>
  <dataFields count="1">
    <dataField name="Sum of Quantity" fld="5" baseField="0" baseItem="0" numFmtId="2"/>
  </dataFields>
  <conditionalFormats count="1">
    <conditionalFormat priority="1">
      <pivotAreas count="1">
        <pivotArea fieldPosition="0">
          <references count="1">
            <reference field="4" count="0"/>
          </references>
        </pivotArea>
      </pivotAreas>
    </conditionalFormat>
  </conditionalFormat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BF5BC2-7DBD-4DCA-BAEF-F171BB42CAE5}" name="PivotTable1"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B12" firstHeaderRow="1" firstDataRow="1" firstDataCol="1"/>
  <pivotFields count="14">
    <pivotField showAll="0"/>
    <pivotField axis="axisRow" showAll="0">
      <items count="11">
        <item sd="0" x="4"/>
        <item sd="0" x="3"/>
        <item sd="0" x="8"/>
        <item sd="0" x="6"/>
        <item sd="0" x="0"/>
        <item sd="0" x="7"/>
        <item sd="0" x="5"/>
        <item sd="0" x="2"/>
        <item sd="0" x="1"/>
        <item sd="0" x="9"/>
        <item t="default" sd="0"/>
      </items>
    </pivotField>
    <pivotField numFmtId="14" showAll="0">
      <items count="690">
        <item x="677"/>
        <item x="135"/>
        <item x="604"/>
        <item x="105"/>
        <item x="165"/>
        <item x="156"/>
        <item x="309"/>
        <item x="450"/>
        <item x="412"/>
        <item x="468"/>
        <item x="641"/>
        <item x="525"/>
        <item x="103"/>
        <item x="436"/>
        <item x="681"/>
        <item x="0"/>
        <item x="283"/>
        <item x="533"/>
        <item x="486"/>
        <item x="650"/>
        <item x="5"/>
        <item x="442"/>
        <item x="417"/>
        <item x="548"/>
        <item x="211"/>
        <item x="519"/>
        <item x="588"/>
        <item x="185"/>
        <item x="405"/>
        <item x="175"/>
        <item x="31"/>
        <item x="628"/>
        <item x="582"/>
        <item x="129"/>
        <item x="293"/>
        <item x="649"/>
        <item x="387"/>
        <item x="644"/>
        <item x="140"/>
        <item x="139"/>
        <item x="682"/>
        <item x="121"/>
        <item x="515"/>
        <item x="102"/>
        <item x="48"/>
        <item x="483"/>
        <item x="145"/>
        <item x="218"/>
        <item x="109"/>
        <item x="158"/>
        <item x="346"/>
        <item x="414"/>
        <item x="303"/>
        <item x="264"/>
        <item x="27"/>
        <item x="267"/>
        <item x="573"/>
        <item x="645"/>
        <item x="285"/>
        <item x="87"/>
        <item x="4"/>
        <item x="501"/>
        <item x="581"/>
        <item x="375"/>
        <item x="174"/>
        <item x="6"/>
        <item x="523"/>
        <item x="117"/>
        <item x="663"/>
        <item x="410"/>
        <item x="335"/>
        <item x="19"/>
        <item x="516"/>
        <item x="311"/>
        <item x="433"/>
        <item x="642"/>
        <item x="452"/>
        <item x="467"/>
        <item x="72"/>
        <item x="673"/>
        <item x="345"/>
        <item x="209"/>
        <item x="455"/>
        <item x="348"/>
        <item x="331"/>
        <item x="391"/>
        <item x="688"/>
        <item x="566"/>
        <item x="338"/>
        <item x="91"/>
        <item x="466"/>
        <item x="687"/>
        <item x="113"/>
        <item x="546"/>
        <item x="632"/>
        <item x="286"/>
        <item x="526"/>
        <item x="57"/>
        <item x="2"/>
        <item x="448"/>
        <item x="52"/>
        <item x="423"/>
        <item x="241"/>
        <item x="590"/>
        <item x="618"/>
        <item x="268"/>
        <item x="61"/>
        <item x="527"/>
        <item x="17"/>
        <item x="353"/>
        <item x="143"/>
        <item x="678"/>
        <item x="611"/>
        <item x="178"/>
        <item x="35"/>
        <item x="134"/>
        <item x="364"/>
        <item x="131"/>
        <item x="299"/>
        <item x="639"/>
        <item x="426"/>
        <item x="354"/>
        <item x="444"/>
        <item x="509"/>
        <item x="210"/>
        <item x="648"/>
        <item x="373"/>
        <item x="287"/>
        <item x="630"/>
        <item x="343"/>
        <item x="607"/>
        <item x="540"/>
        <item x="633"/>
        <item x="116"/>
        <item x="332"/>
        <item x="226"/>
        <item x="506"/>
        <item x="637"/>
        <item x="508"/>
        <item x="432"/>
        <item x="562"/>
        <item x="549"/>
        <item x="617"/>
        <item x="152"/>
        <item x="668"/>
        <item x="273"/>
        <item x="188"/>
        <item x="95"/>
        <item x="50"/>
        <item x="112"/>
        <item x="490"/>
        <item x="458"/>
        <item x="249"/>
        <item x="439"/>
        <item x="626"/>
        <item x="200"/>
        <item x="204"/>
        <item x="240"/>
        <item x="603"/>
        <item x="418"/>
        <item x="45"/>
        <item x="638"/>
        <item x="358"/>
        <item x="7"/>
        <item x="404"/>
        <item x="265"/>
        <item x="507"/>
        <item x="110"/>
        <item x="85"/>
        <item x="539"/>
        <item x="86"/>
        <item x="114"/>
        <item x="245"/>
        <item x="1"/>
        <item x="658"/>
        <item x="101"/>
        <item x="124"/>
        <item x="127"/>
        <item x="173"/>
        <item x="344"/>
        <item x="214"/>
        <item x="679"/>
        <item x="446"/>
        <item x="288"/>
        <item x="561"/>
        <item x="54"/>
        <item x="93"/>
        <item x="469"/>
        <item x="196"/>
        <item x="657"/>
        <item x="330"/>
        <item x="169"/>
        <item x="487"/>
        <item x="263"/>
        <item x="334"/>
        <item x="465"/>
        <item x="126"/>
        <item x="659"/>
        <item x="583"/>
        <item x="398"/>
        <item x="238"/>
        <item x="136"/>
        <item x="535"/>
        <item x="380"/>
        <item x="496"/>
        <item x="563"/>
        <item x="357"/>
        <item x="421"/>
        <item x="477"/>
        <item x="138"/>
        <item x="576"/>
        <item x="629"/>
        <item x="627"/>
        <item x="337"/>
        <item x="635"/>
        <item x="231"/>
        <item x="327"/>
        <item x="556"/>
        <item x="441"/>
        <item x="524"/>
        <item x="300"/>
        <item x="481"/>
        <item x="597"/>
        <item x="382"/>
        <item x="151"/>
        <item x="600"/>
        <item x="578"/>
        <item x="513"/>
        <item x="316"/>
        <item x="383"/>
        <item x="500"/>
        <item x="224"/>
        <item x="289"/>
        <item x="463"/>
        <item x="378"/>
        <item x="208"/>
        <item x="377"/>
        <item x="176"/>
        <item x="266"/>
        <item x="319"/>
        <item x="290"/>
        <item x="397"/>
        <item x="16"/>
        <item x="598"/>
        <item x="664"/>
        <item x="328"/>
        <item x="212"/>
        <item x="306"/>
        <item x="376"/>
        <item x="202"/>
        <item x="206"/>
        <item x="277"/>
        <item x="190"/>
        <item x="36"/>
        <item x="653"/>
        <item x="544"/>
        <item x="21"/>
        <item x="636"/>
        <item x="336"/>
        <item x="56"/>
        <item x="217"/>
        <item x="186"/>
        <item x="584"/>
        <item x="530"/>
        <item x="510"/>
        <item x="161"/>
        <item x="559"/>
        <item x="542"/>
        <item x="482"/>
        <item x="422"/>
        <item x="401"/>
        <item x="41"/>
        <item x="20"/>
        <item x="434"/>
        <item x="198"/>
        <item x="64"/>
        <item x="406"/>
        <item x="520"/>
        <item x="274"/>
        <item x="541"/>
        <item x="585"/>
        <item x="51"/>
        <item x="302"/>
        <item x="98"/>
        <item x="207"/>
        <item x="47"/>
        <item x="625"/>
        <item x="147"/>
        <item x="499"/>
        <item x="230"/>
        <item x="270"/>
        <item x="355"/>
        <item x="413"/>
        <item x="118"/>
        <item x="596"/>
        <item x="480"/>
        <item x="272"/>
        <item x="594"/>
        <item x="606"/>
        <item x="11"/>
        <item x="491"/>
        <item x="125"/>
        <item x="537"/>
        <item x="623"/>
        <item x="360"/>
        <item x="257"/>
        <item x="307"/>
        <item x="184"/>
        <item x="478"/>
        <item x="654"/>
        <item x="568"/>
        <item x="73"/>
        <item x="213"/>
        <item x="552"/>
        <item x="99"/>
        <item x="365"/>
        <item x="342"/>
        <item x="234"/>
        <item x="128"/>
        <item x="459"/>
        <item x="258"/>
        <item x="12"/>
        <item x="260"/>
        <item x="100"/>
        <item x="472"/>
        <item x="34"/>
        <item x="243"/>
        <item x="254"/>
        <item x="154"/>
        <item x="428"/>
        <item x="498"/>
        <item x="386"/>
        <item x="685"/>
        <item x="251"/>
        <item x="233"/>
        <item x="579"/>
        <item x="447"/>
        <item x="341"/>
        <item x="291"/>
        <item x="396"/>
        <item x="296"/>
        <item x="593"/>
        <item x="242"/>
        <item x="276"/>
        <item x="613"/>
        <item x="634"/>
        <item x="575"/>
        <item x="262"/>
        <item x="132"/>
        <item x="672"/>
        <item x="83"/>
        <item x="476"/>
        <item x="652"/>
        <item x="58"/>
        <item x="407"/>
        <item x="554"/>
        <item x="427"/>
        <item x="394"/>
        <item x="75"/>
        <item x="514"/>
        <item x="142"/>
        <item x="518"/>
        <item x="172"/>
        <item x="222"/>
        <item x="76"/>
        <item x="395"/>
        <item x="671"/>
        <item x="235"/>
        <item x="471"/>
        <item x="577"/>
        <item x="550"/>
        <item x="323"/>
        <item x="388"/>
        <item x="589"/>
        <item x="666"/>
        <item x="503"/>
        <item x="609"/>
        <item x="470"/>
        <item x="495"/>
        <item x="66"/>
        <item x="560"/>
        <item x="424"/>
        <item x="592"/>
        <item x="40"/>
        <item x="605"/>
        <item x="25"/>
        <item x="622"/>
        <item x="80"/>
        <item x="367"/>
        <item x="620"/>
        <item x="271"/>
        <item x="361"/>
        <item x="181"/>
        <item x="674"/>
        <item x="389"/>
        <item x="92"/>
        <item x="179"/>
        <item x="67"/>
        <item x="225"/>
        <item x="322"/>
        <item x="252"/>
        <item x="587"/>
        <item x="256"/>
        <item x="9"/>
        <item x="631"/>
        <item x="647"/>
        <item x="297"/>
        <item x="425"/>
        <item x="558"/>
        <item x="608"/>
        <item x="318"/>
        <item x="680"/>
        <item x="403"/>
        <item x="340"/>
        <item x="435"/>
        <item x="301"/>
        <item x="29"/>
        <item x="149"/>
        <item x="512"/>
        <item x="684"/>
        <item x="183"/>
        <item x="141"/>
        <item x="451"/>
        <item x="462"/>
        <item x="430"/>
        <item x="104"/>
        <item x="408"/>
        <item x="284"/>
        <item x="591"/>
        <item x="65"/>
        <item x="63"/>
        <item x="368"/>
        <item x="82"/>
        <item x="8"/>
        <item x="22"/>
        <item x="170"/>
        <item x="349"/>
        <item x="438"/>
        <item x="39"/>
        <item x="669"/>
        <item x="164"/>
        <item x="511"/>
        <item x="229"/>
        <item x="640"/>
        <item x="574"/>
        <item x="150"/>
        <item x="157"/>
        <item x="282"/>
        <item x="219"/>
        <item x="352"/>
        <item x="416"/>
        <item x="440"/>
        <item x="595"/>
        <item x="392"/>
        <item x="547"/>
        <item x="505"/>
        <item x="374"/>
        <item x="177"/>
        <item x="339"/>
        <item x="431"/>
        <item x="572"/>
        <item x="461"/>
        <item x="474"/>
        <item x="646"/>
        <item x="325"/>
        <item x="308"/>
        <item x="362"/>
        <item x="415"/>
        <item x="313"/>
        <item x="371"/>
        <item x="643"/>
        <item x="457"/>
        <item x="246"/>
        <item x="385"/>
        <item x="237"/>
        <item x="205"/>
        <item x="555"/>
        <item x="494"/>
        <item x="220"/>
        <item x="227"/>
        <item x="223"/>
        <item x="189"/>
        <item x="111"/>
        <item x="37"/>
        <item x="153"/>
        <item x="239"/>
        <item x="120"/>
        <item x="146"/>
        <item x="3"/>
        <item x="228"/>
        <item x="521"/>
        <item x="68"/>
        <item x="69"/>
        <item x="621"/>
        <item x="43"/>
        <item x="612"/>
        <item x="216"/>
        <item x="356"/>
        <item x="324"/>
        <item x="326"/>
        <item x="379"/>
        <item x="419"/>
        <item x="536"/>
        <item x="137"/>
        <item x="15"/>
        <item x="366"/>
        <item x="662"/>
        <item x="38"/>
        <item x="163"/>
        <item x="30"/>
        <item x="269"/>
        <item x="106"/>
        <item x="215"/>
        <item x="393"/>
        <item x="531"/>
        <item x="97"/>
        <item x="517"/>
        <item x="661"/>
        <item x="10"/>
        <item x="171"/>
        <item x="538"/>
        <item x="221"/>
        <item x="74"/>
        <item x="619"/>
        <item x="280"/>
        <item x="656"/>
        <item x="473"/>
        <item x="122"/>
        <item x="24"/>
        <item x="610"/>
        <item x="443"/>
        <item x="312"/>
        <item x="370"/>
        <item x="675"/>
        <item x="193"/>
        <item x="333"/>
        <item x="655"/>
        <item x="489"/>
        <item x="168"/>
        <item x="259"/>
        <item x="53"/>
        <item x="329"/>
        <item x="543"/>
        <item x="292"/>
        <item x="676"/>
        <item x="70"/>
        <item x="528"/>
        <item x="278"/>
        <item x="96"/>
        <item x="59"/>
        <item x="615"/>
        <item x="14"/>
        <item x="89"/>
        <item x="616"/>
        <item x="79"/>
        <item x="18"/>
        <item x="90"/>
        <item x="298"/>
        <item x="71"/>
        <item x="564"/>
        <item x="599"/>
        <item x="545"/>
        <item x="32"/>
        <item x="314"/>
        <item x="350"/>
        <item x="492"/>
        <item x="248"/>
        <item x="504"/>
        <item x="294"/>
        <item x="194"/>
        <item x="651"/>
        <item x="665"/>
        <item x="232"/>
        <item x="197"/>
        <item x="464"/>
        <item x="522"/>
        <item x="534"/>
        <item x="62"/>
        <item x="236"/>
        <item x="586"/>
        <item x="305"/>
        <item x="320"/>
        <item x="551"/>
        <item x="123"/>
        <item x="255"/>
        <item x="195"/>
        <item x="250"/>
        <item x="46"/>
        <item x="23"/>
        <item x="115"/>
        <item x="13"/>
        <item x="667"/>
        <item x="347"/>
        <item x="381"/>
        <item x="670"/>
        <item x="88"/>
        <item x="201"/>
        <item x="601"/>
        <item x="660"/>
        <item x="203"/>
        <item x="310"/>
        <item x="565"/>
        <item x="384"/>
        <item x="315"/>
        <item x="363"/>
        <item x="602"/>
        <item x="28"/>
        <item x="317"/>
        <item x="437"/>
        <item x="162"/>
        <item x="182"/>
        <item x="130"/>
        <item x="399"/>
        <item x="295"/>
        <item x="261"/>
        <item x="78"/>
        <item x="44"/>
        <item x="502"/>
        <item x="449"/>
        <item x="571"/>
        <item x="475"/>
        <item x="557"/>
        <item x="304"/>
        <item x="144"/>
        <item x="279"/>
        <item x="686"/>
        <item x="460"/>
        <item x="275"/>
        <item x="199"/>
        <item x="108"/>
        <item x="60"/>
        <item x="497"/>
        <item x="119"/>
        <item x="192"/>
        <item x="400"/>
        <item x="33"/>
        <item x="485"/>
        <item x="402"/>
        <item x="77"/>
        <item x="94"/>
        <item x="484"/>
        <item x="409"/>
        <item x="445"/>
        <item x="567"/>
        <item x="84"/>
        <item x="321"/>
        <item x="160"/>
        <item x="180"/>
        <item x="493"/>
        <item x="456"/>
        <item x="244"/>
        <item x="479"/>
        <item x="369"/>
        <item x="148"/>
        <item x="247"/>
        <item x="553"/>
        <item x="570"/>
        <item x="683"/>
        <item x="55"/>
        <item x="187"/>
        <item x="429"/>
        <item x="133"/>
        <item x="420"/>
        <item x="529"/>
        <item x="107"/>
        <item x="351"/>
        <item x="454"/>
        <item x="411"/>
        <item x="614"/>
        <item x="49"/>
        <item x="453"/>
        <item x="372"/>
        <item x="253"/>
        <item x="81"/>
        <item x="281"/>
        <item x="488"/>
        <item x="26"/>
        <item x="359"/>
        <item x="42"/>
        <item x="191"/>
        <item x="390"/>
        <item x="155"/>
        <item x="532"/>
        <item x="166"/>
        <item x="159"/>
        <item x="580"/>
        <item x="569"/>
        <item x="624"/>
        <item x="167"/>
        <item t="default"/>
      </items>
    </pivotField>
    <pivotField showAll="0">
      <items count="12">
        <item x="2"/>
        <item x="10"/>
        <item x="4"/>
        <item x="1"/>
        <item x="8"/>
        <item x="5"/>
        <item x="6"/>
        <item x="7"/>
        <item x="9"/>
        <item x="0"/>
        <item x="3"/>
        <item t="default"/>
      </items>
    </pivotField>
    <pivotField showAll="0">
      <items count="19">
        <item x="6"/>
        <item x="10"/>
        <item x="13"/>
        <item x="15"/>
        <item x="3"/>
        <item x="1"/>
        <item x="17"/>
        <item x="12"/>
        <item x="5"/>
        <item x="11"/>
        <item x="2"/>
        <item x="4"/>
        <item x="0"/>
        <item x="16"/>
        <item x="9"/>
        <item x="8"/>
        <item x="7"/>
        <item x="14"/>
        <item t="default"/>
      </items>
    </pivotField>
    <pivotField numFmtId="2" showAll="0"/>
    <pivotField numFmtId="165" showAll="0"/>
    <pivotField numFmtId="165" showAll="0"/>
    <pivotField numFmtId="165" showAll="0"/>
    <pivotField dataField="1" numFmtId="165" showAll="0">
      <items count="1768">
        <item x="738"/>
        <item x="28"/>
        <item x="815"/>
        <item x="1261"/>
        <item x="1344"/>
        <item x="1"/>
        <item x="60"/>
        <item x="1198"/>
        <item x="640"/>
        <item x="792"/>
        <item x="1551"/>
        <item x="1620"/>
        <item x="1017"/>
        <item x="779"/>
        <item x="304"/>
        <item x="1476"/>
        <item x="26"/>
        <item x="1005"/>
        <item x="308"/>
        <item x="1161"/>
        <item x="365"/>
        <item x="1186"/>
        <item x="1565"/>
        <item x="1130"/>
        <item x="380"/>
        <item x="366"/>
        <item x="1257"/>
        <item x="762"/>
        <item x="1370"/>
        <item x="975"/>
        <item x="1287"/>
        <item x="610"/>
        <item x="794"/>
        <item x="707"/>
        <item x="500"/>
        <item x="1414"/>
        <item x="898"/>
        <item x="783"/>
        <item x="1008"/>
        <item x="1407"/>
        <item x="1288"/>
        <item x="1222"/>
        <item x="245"/>
        <item x="240"/>
        <item x="270"/>
        <item x="1210"/>
        <item x="756"/>
        <item x="361"/>
        <item x="1363"/>
        <item x="251"/>
        <item x="336"/>
        <item x="1599"/>
        <item x="379"/>
        <item x="446"/>
        <item x="1367"/>
        <item x="1492"/>
        <item x="1712"/>
        <item x="1199"/>
        <item x="633"/>
        <item x="196"/>
        <item x="1690"/>
        <item x="1063"/>
        <item x="1529"/>
        <item x="669"/>
        <item x="1728"/>
        <item x="764"/>
        <item x="791"/>
        <item x="1474"/>
        <item x="314"/>
        <item x="318"/>
        <item x="487"/>
        <item x="1616"/>
        <item x="724"/>
        <item x="25"/>
        <item x="1145"/>
        <item x="861"/>
        <item x="665"/>
        <item x="1128"/>
        <item x="107"/>
        <item x="725"/>
        <item x="1318"/>
        <item x="1162"/>
        <item x="319"/>
        <item x="210"/>
        <item x="303"/>
        <item x="1196"/>
        <item x="221"/>
        <item x="751"/>
        <item x="750"/>
        <item x="637"/>
        <item x="493"/>
        <item x="130"/>
        <item x="627"/>
        <item x="433"/>
        <item x="51"/>
        <item x="1406"/>
        <item x="132"/>
        <item x="70"/>
        <item x="1545"/>
        <item x="142"/>
        <item x="370"/>
        <item x="1462"/>
        <item x="955"/>
        <item x="1003"/>
        <item x="1748"/>
        <item x="850"/>
        <item x="1100"/>
        <item x="78"/>
        <item x="1069"/>
        <item x="1441"/>
        <item x="208"/>
        <item x="82"/>
        <item x="163"/>
        <item x="603"/>
        <item x="1468"/>
        <item x="1324"/>
        <item x="758"/>
        <item x="1246"/>
        <item x="698"/>
        <item x="417"/>
        <item x="1688"/>
        <item x="857"/>
        <item x="641"/>
        <item x="260"/>
        <item x="1070"/>
        <item x="364"/>
        <item x="1504"/>
        <item x="1717"/>
        <item x="1629"/>
        <item x="184"/>
        <item x="946"/>
        <item x="1241"/>
        <item x="1486"/>
        <item x="43"/>
        <item x="942"/>
        <item x="145"/>
        <item x="1232"/>
        <item x="76"/>
        <item x="550"/>
        <item x="555"/>
        <item x="1053"/>
        <item x="1396"/>
        <item x="1721"/>
        <item x="1422"/>
        <item x="1197"/>
        <item x="941"/>
        <item x="1754"/>
        <item x="708"/>
        <item x="1223"/>
        <item x="1517"/>
        <item x="624"/>
        <item x="1576"/>
        <item x="1726"/>
        <item x="935"/>
        <item x="113"/>
        <item x="957"/>
        <item x="995"/>
        <item x="1762"/>
        <item x="1503"/>
        <item x="150"/>
        <item x="1339"/>
        <item x="1143"/>
        <item x="1651"/>
        <item x="1242"/>
        <item x="46"/>
        <item x="1176"/>
        <item x="181"/>
        <item x="1617"/>
        <item x="1201"/>
        <item x="1157"/>
        <item x="1102"/>
        <item x="403"/>
        <item x="461"/>
        <item x="1165"/>
        <item x="1079"/>
        <item x="858"/>
        <item x="1460"/>
        <item x="1048"/>
        <item x="1355"/>
        <item x="668"/>
        <item x="1347"/>
        <item x="576"/>
        <item x="220"/>
        <item x="1313"/>
        <item x="191"/>
        <item x="1670"/>
        <item x="519"/>
        <item x="10"/>
        <item x="940"/>
        <item x="1479"/>
        <item x="910"/>
        <item x="1002"/>
        <item x="386"/>
        <item x="1751"/>
        <item x="1248"/>
        <item x="825"/>
        <item x="889"/>
        <item x="455"/>
        <item x="237"/>
        <item x="1351"/>
        <item x="781"/>
        <item x="1039"/>
        <item x="1164"/>
        <item x="988"/>
        <item x="1432"/>
        <item x="1451"/>
        <item x="722"/>
        <item x="535"/>
        <item x="539"/>
        <item x="1212"/>
        <item x="877"/>
        <item x="166"/>
        <item x="1526"/>
        <item x="1202"/>
        <item x="1758"/>
        <item x="1172"/>
        <item x="896"/>
        <item x="1732"/>
        <item x="193"/>
        <item x="1239"/>
        <item x="1140"/>
        <item x="1182"/>
        <item x="1611"/>
        <item x="1064"/>
        <item x="1382"/>
        <item x="269"/>
        <item x="939"/>
        <item x="1373"/>
        <item x="1089"/>
        <item x="187"/>
        <item x="611"/>
        <item x="867"/>
        <item x="1235"/>
        <item x="662"/>
        <item x="317"/>
        <item x="726"/>
        <item x="772"/>
        <item x="63"/>
        <item x="729"/>
        <item x="918"/>
        <item x="853"/>
        <item x="429"/>
        <item x="186"/>
        <item x="1193"/>
        <item x="158"/>
        <item x="1756"/>
        <item x="536"/>
        <item x="1461"/>
        <item x="1294"/>
        <item x="657"/>
        <item x="111"/>
        <item x="1633"/>
        <item x="1216"/>
        <item x="1206"/>
        <item x="588"/>
        <item x="1332"/>
        <item x="1404"/>
        <item x="1225"/>
        <item x="843"/>
        <item x="1194"/>
        <item x="844"/>
        <item x="927"/>
        <item x="47"/>
        <item x="474"/>
        <item x="804"/>
        <item x="1493"/>
        <item x="231"/>
        <item x="432"/>
        <item x="425"/>
        <item x="776"/>
        <item x="971"/>
        <item x="190"/>
        <item x="1384"/>
        <item x="1592"/>
        <item x="406"/>
        <item x="1009"/>
        <item x="1266"/>
        <item x="601"/>
        <item x="887"/>
        <item x="1325"/>
        <item x="835"/>
        <item x="541"/>
        <item x="69"/>
        <item x="800"/>
        <item x="152"/>
        <item x="1298"/>
        <item x="1263"/>
        <item x="746"/>
        <item x="230"/>
        <item x="482"/>
        <item x="52"/>
        <item x="173"/>
        <item x="933"/>
        <item x="1124"/>
        <item x="1696"/>
        <item x="1119"/>
        <item x="1057"/>
        <item x="441"/>
        <item x="1541"/>
        <item x="787"/>
        <item x="1342"/>
        <item x="1141"/>
        <item x="258"/>
        <item x="904"/>
        <item x="936"/>
        <item x="522"/>
        <item x="227"/>
        <item x="151"/>
        <item x="780"/>
        <item x="377"/>
        <item x="1335"/>
        <item x="798"/>
        <item x="138"/>
        <item x="1475"/>
        <item x="913"/>
        <item x="1760"/>
        <item x="126"/>
        <item x="473"/>
        <item x="182"/>
        <item x="552"/>
        <item x="1214"/>
        <item x="1436"/>
        <item x="605"/>
        <item x="1655"/>
        <item x="310"/>
        <item x="909"/>
        <item x="937"/>
        <item x="1619"/>
        <item x="170"/>
        <item x="1136"/>
        <item x="124"/>
        <item x="305"/>
        <item x="1227"/>
        <item x="1028"/>
        <item x="548"/>
        <item x="285"/>
        <item x="664"/>
        <item x="1224"/>
        <item x="127"/>
        <item x="101"/>
        <item x="228"/>
        <item x="512"/>
        <item x="529"/>
        <item x="747"/>
        <item x="1326"/>
        <item x="1395"/>
        <item x="384"/>
        <item x="916"/>
        <item x="1750"/>
        <item x="282"/>
        <item x="1578"/>
        <item x="350"/>
        <item x="33"/>
        <item x="1277"/>
        <item x="986"/>
        <item x="1245"/>
        <item x="451"/>
        <item x="1350"/>
        <item x="306"/>
        <item x="390"/>
        <item x="869"/>
        <item x="689"/>
        <item x="1336"/>
        <item x="807"/>
        <item x="1083"/>
        <item x="1448"/>
        <item x="1027"/>
        <item x="826"/>
        <item x="183"/>
        <item x="497"/>
        <item x="1391"/>
        <item x="115"/>
        <item x="1375"/>
        <item x="805"/>
        <item x="453"/>
        <item x="202"/>
        <item x="1033"/>
        <item x="1180"/>
        <item x="650"/>
        <item x="272"/>
        <item x="888"/>
        <item x="93"/>
        <item x="415"/>
        <item x="583"/>
        <item x="1283"/>
        <item x="371"/>
        <item x="99"/>
        <item x="951"/>
        <item x="323"/>
        <item x="1321"/>
        <item x="1315"/>
        <item x="860"/>
        <item x="513"/>
        <item x="871"/>
        <item x="1637"/>
        <item x="0"/>
        <item x="596"/>
        <item x="565"/>
        <item x="329"/>
        <item x="1671"/>
        <item x="205"/>
        <item x="594"/>
        <item x="1628"/>
        <item x="3"/>
        <item x="284"/>
        <item x="1684"/>
        <item x="978"/>
        <item x="1677"/>
        <item x="991"/>
        <item x="1072"/>
        <item x="1746"/>
        <item x="242"/>
        <item x="868"/>
        <item x="1593"/>
        <item x="1570"/>
        <item x="1014"/>
        <item x="846"/>
        <item x="870"/>
        <item x="1691"/>
        <item x="1116"/>
        <item x="1488"/>
        <item x="1561"/>
        <item x="1300"/>
        <item x="704"/>
        <item x="402"/>
        <item x="534"/>
        <item x="530"/>
        <item x="1299"/>
        <item x="1500"/>
        <item x="147"/>
        <item x="1722"/>
        <item x="277"/>
        <item x="828"/>
        <item x="1226"/>
        <item x="1673"/>
        <item x="820"/>
        <item x="123"/>
        <item x="215"/>
        <item x="1635"/>
        <item x="922"/>
        <item x="1609"/>
        <item x="1147"/>
        <item x="714"/>
        <item x="1567"/>
        <item x="822"/>
        <item x="1435"/>
        <item x="1454"/>
        <item x="1579"/>
        <item x="616"/>
        <item x="1737"/>
        <item x="1169"/>
        <item x="22"/>
        <item x="129"/>
        <item x="177"/>
        <item x="1533"/>
        <item x="494"/>
        <item x="900"/>
        <item x="666"/>
        <item x="162"/>
        <item x="1052"/>
        <item x="1580"/>
        <item x="423"/>
        <item x="1583"/>
        <item x="81"/>
        <item x="1331"/>
        <item x="471"/>
        <item x="1489"/>
        <item x="1295"/>
        <item x="658"/>
        <item x="699"/>
        <item x="1420"/>
        <item x="1624"/>
        <item x="11"/>
        <item x="1154"/>
        <item x="357"/>
        <item x="586"/>
        <item x="741"/>
        <item x="291"/>
        <item x="469"/>
        <item x="721"/>
        <item x="1649"/>
        <item x="241"/>
        <item x="424"/>
        <item x="589"/>
        <item x="600"/>
        <item x="1022"/>
        <item x="514"/>
        <item x="1598"/>
        <item x="1188"/>
        <item x="523"/>
        <item x="790"/>
        <item x="149"/>
        <item x="817"/>
        <item x="40"/>
        <item x="31"/>
        <item x="617"/>
        <item x="1697"/>
        <item x="110"/>
        <item x="984"/>
        <item x="159"/>
        <item x="12"/>
        <item x="444"/>
        <item x="1685"/>
        <item x="396"/>
        <item x="483"/>
        <item x="613"/>
        <item x="504"/>
        <item x="15"/>
        <item x="236"/>
        <item x="77"/>
        <item x="131"/>
        <item x="105"/>
        <item x="1068"/>
        <item x="569"/>
        <item x="1719"/>
        <item x="1497"/>
        <item x="855"/>
        <item x="1430"/>
        <item x="398"/>
        <item x="331"/>
        <item x="1490"/>
        <item x="348"/>
        <item x="1733"/>
        <item x="973"/>
        <item x="414"/>
        <item x="199"/>
        <item x="479"/>
        <item x="730"/>
        <item x="465"/>
        <item x="164"/>
        <item x="1668"/>
        <item x="895"/>
        <item x="255"/>
        <item x="192"/>
        <item x="87"/>
        <item x="1683"/>
        <item x="1213"/>
        <item x="965"/>
        <item x="175"/>
        <item x="1388"/>
        <item x="204"/>
        <item x="717"/>
        <item x="1264"/>
        <item x="1108"/>
        <item x="1550"/>
        <item x="684"/>
        <item x="702"/>
        <item x="92"/>
        <item x="1734"/>
        <item x="518"/>
        <item x="344"/>
        <item x="892"/>
        <item x="1308"/>
        <item x="808"/>
        <item x="1464"/>
        <item x="1114"/>
        <item x="1192"/>
        <item x="1360"/>
        <item x="1654"/>
        <item x="655"/>
        <item x="468"/>
        <item x="341"/>
        <item x="485"/>
        <item x="1661"/>
        <item x="1346"/>
        <item x="832"/>
        <item x="1168"/>
        <item x="1189"/>
        <item x="356"/>
        <item x="549"/>
        <item x="1433"/>
        <item x="796"/>
        <item x="418"/>
        <item x="14"/>
        <item x="571"/>
        <item x="1084"/>
        <item x="430"/>
        <item x="1547"/>
        <item x="501"/>
        <item x="1044"/>
        <item x="382"/>
        <item x="1381"/>
        <item x="95"/>
        <item x="27"/>
        <item x="288"/>
        <item x="1286"/>
        <item x="1179"/>
        <item x="264"/>
        <item x="1569"/>
        <item x="334"/>
        <item x="94"/>
        <item x="1320"/>
        <item x="316"/>
        <item x="1481"/>
        <item x="1362"/>
        <item x="1238"/>
        <item x="197"/>
        <item x="766"/>
        <item x="1664"/>
        <item x="757"/>
        <item x="300"/>
        <item x="1270"/>
        <item x="359"/>
        <item x="1626"/>
        <item x="1544"/>
        <item x="1589"/>
        <item x="1187"/>
        <item x="903"/>
        <item x="827"/>
        <item x="427"/>
        <item x="1636"/>
        <item x="782"/>
        <item x="367"/>
        <item x="1319"/>
        <item x="234"/>
        <item x="23"/>
        <item x="578"/>
        <item x="563"/>
        <item x="1249"/>
        <item x="1386"/>
        <item x="1557"/>
        <item x="1482"/>
        <item x="597"/>
        <item x="732"/>
        <item x="1450"/>
        <item x="907"/>
        <item x="139"/>
        <item x="1262"/>
        <item x="977"/>
        <item x="1037"/>
        <item x="1099"/>
        <item x="1056"/>
        <item x="675"/>
        <item x="593"/>
        <item x="207"/>
        <item x="545"/>
        <item x="239"/>
        <item x="1106"/>
        <item x="467"/>
        <item x="440"/>
        <item x="44"/>
        <item x="1713"/>
        <item x="1631"/>
        <item x="262"/>
        <item x="1150"/>
        <item x="691"/>
        <item x="1330"/>
        <item x="926"/>
        <item x="148"/>
        <item x="833"/>
        <item x="1090"/>
        <item x="1723"/>
        <item x="557"/>
        <item x="1043"/>
        <item x="7"/>
        <item x="976"/>
        <item x="1013"/>
        <item x="763"/>
        <item x="1067"/>
        <item x="388"/>
        <item x="1038"/>
        <item x="575"/>
        <item x="897"/>
        <item x="96"/>
        <item x="1191"/>
        <item x="119"/>
        <item x="214"/>
        <item x="886"/>
        <item x="1632"/>
        <item x="1656"/>
        <item x="1173"/>
        <item x="1137"/>
        <item x="1026"/>
        <item x="599"/>
        <item x="1041"/>
        <item x="1378"/>
        <item x="62"/>
        <item x="967"/>
        <item x="156"/>
        <item x="1456"/>
        <item x="795"/>
        <item x="645"/>
        <item x="486"/>
        <item x="993"/>
        <item x="1358"/>
        <item x="293"/>
        <item x="852"/>
        <item x="328"/>
        <item x="1634"/>
        <item x="1220"/>
        <item x="1337"/>
        <item x="1473"/>
        <item x="759"/>
        <item x="108"/>
        <item x="1642"/>
        <item x="399"/>
        <item x="1466"/>
        <item x="628"/>
        <item x="506"/>
        <item x="1049"/>
        <item x="755"/>
        <item x="90"/>
        <item x="1377"/>
        <item x="2"/>
        <item x="1412"/>
        <item x="376"/>
        <item x="553"/>
        <item x="392"/>
        <item x="67"/>
        <item x="206"/>
        <item x="801"/>
        <item x="1615"/>
        <item x="122"/>
        <item x="250"/>
        <item x="974"/>
        <item x="431"/>
        <item x="1204"/>
        <item x="573"/>
        <item x="1625"/>
        <item x="1527"/>
        <item x="1256"/>
        <item x="1699"/>
        <item x="1025"/>
        <item x="1012"/>
        <item x="579"/>
        <item x="558"/>
        <item x="1078"/>
        <item x="1698"/>
        <item x="1442"/>
        <item x="1127"/>
        <item x="1581"/>
        <item x="654"/>
        <item x="799"/>
        <item x="37"/>
        <item x="1458"/>
        <item x="146"/>
        <item x="1280"/>
        <item x="623"/>
        <item x="851"/>
        <item x="1311"/>
        <item x="337"/>
        <item x="854"/>
        <item x="1080"/>
        <item x="960"/>
        <item x="346"/>
        <item x="1354"/>
        <item x="276"/>
        <item x="1587"/>
        <item x="179"/>
        <item x="321"/>
        <item x="233"/>
        <item x="450"/>
        <item x="373"/>
        <item x="1149"/>
        <item x="709"/>
        <item x="1093"/>
        <item x="400"/>
        <item x="847"/>
        <item x="1365"/>
        <item x="634"/>
        <item x="652"/>
        <item x="273"/>
        <item x="1498"/>
        <item x="394"/>
        <item x="1237"/>
        <item x="953"/>
        <item x="524"/>
        <item x="899"/>
        <item x="1217"/>
        <item x="1097"/>
        <item x="1608"/>
        <item x="1316"/>
        <item x="1434"/>
        <item x="723"/>
        <item x="646"/>
        <item x="678"/>
        <item x="765"/>
        <item x="212"/>
        <item x="1183"/>
        <item x="1736"/>
        <item x="278"/>
        <item x="875"/>
        <item x="505"/>
        <item x="969"/>
        <item x="1610"/>
        <item x="525"/>
        <item x="778"/>
        <item x="349"/>
        <item x="114"/>
        <item x="901"/>
        <item x="1556"/>
        <item x="1604"/>
        <item x="1393"/>
        <item x="335"/>
        <item x="814"/>
        <item x="1623"/>
        <item x="735"/>
        <item x="1755"/>
        <item x="248"/>
        <item x="30"/>
        <item x="821"/>
        <item x="619"/>
        <item x="79"/>
        <item x="362"/>
        <item x="981"/>
        <item x="61"/>
        <item x="448"/>
        <item x="1292"/>
        <item x="661"/>
        <item x="994"/>
        <item x="1163"/>
        <item x="865"/>
        <item x="1426"/>
        <item x="297"/>
        <item x="618"/>
        <item x="1062"/>
        <item x="188"/>
        <item x="932"/>
        <item x="1380"/>
        <item x="1046"/>
        <item x="692"/>
        <item x="598"/>
        <item x="577"/>
        <item x="456"/>
        <item x="1582"/>
        <item x="1417"/>
        <item x="1109"/>
        <item x="703"/>
        <item x="194"/>
        <item x="372"/>
        <item x="253"/>
        <item x="1178"/>
        <item x="391"/>
        <item x="1007"/>
        <item x="1276"/>
        <item x="609"/>
        <item x="740"/>
        <item x="1708"/>
        <item x="947"/>
        <item x="915"/>
        <item x="1055"/>
        <item x="1680"/>
        <item x="1279"/>
        <item x="1091"/>
        <item x="1361"/>
        <item x="1177"/>
        <item x="1122"/>
        <item x="1646"/>
        <item x="1021"/>
        <item x="9"/>
        <item x="56"/>
        <item x="572"/>
        <item x="484"/>
        <item x="1110"/>
        <item x="1603"/>
        <item x="1687"/>
        <item x="564"/>
        <item x="872"/>
        <item x="811"/>
        <item x="327"/>
        <item x="1431"/>
        <item x="1284"/>
        <item x="1236"/>
        <item x="1269"/>
        <item x="355"/>
        <item x="1513"/>
        <item x="19"/>
        <item x="1444"/>
        <item x="325"/>
        <item x="771"/>
        <item x="1175"/>
        <item x="217"/>
        <item x="533"/>
        <item x="35"/>
        <item x="1738"/>
        <item x="742"/>
        <item x="324"/>
        <item x="24"/>
        <item x="996"/>
        <item x="1465"/>
        <item x="259"/>
        <item x="1281"/>
        <item x="75"/>
        <item x="1400"/>
        <item x="1484"/>
        <item x="590"/>
        <item x="49"/>
        <item x="768"/>
        <item x="612"/>
        <item x="1445"/>
        <item x="515"/>
        <item x="1268"/>
        <item x="368"/>
        <item x="1528"/>
        <item x="671"/>
        <item x="1170"/>
        <item x="1614"/>
        <item x="313"/>
        <item x="243"/>
        <item x="715"/>
        <item x="1428"/>
        <item x="45"/>
        <item x="185"/>
        <item x="128"/>
        <item x="559"/>
        <item x="410"/>
        <item x="1301"/>
        <item x="731"/>
        <item x="1660"/>
        <item x="1695"/>
        <item x="1558"/>
        <item x="1585"/>
        <item x="462"/>
        <item x="542"/>
        <item x="836"/>
        <item x="1509"/>
        <item x="538"/>
        <item x="789"/>
        <item x="1271"/>
        <item x="682"/>
        <item x="1630"/>
        <item x="256"/>
        <item x="223"/>
        <item x="36"/>
        <item x="89"/>
        <item x="1158"/>
        <item x="1502"/>
        <item x="296"/>
        <item x="630"/>
        <item x="727"/>
        <item x="1123"/>
        <item x="475"/>
        <item x="338"/>
        <item x="1247"/>
        <item x="68"/>
        <item x="824"/>
        <item x="985"/>
        <item x="785"/>
        <item x="302"/>
        <item x="354"/>
        <item x="587"/>
        <item x="1372"/>
        <item x="705"/>
        <item x="1644"/>
        <item x="1402"/>
        <item x="944"/>
        <item x="1539"/>
        <item x="1745"/>
        <item x="570"/>
        <item x="1323"/>
        <item x="663"/>
        <item x="1035"/>
        <item x="806"/>
        <item x="982"/>
        <item x="411"/>
        <item x="720"/>
        <item x="638"/>
        <item x="281"/>
        <item x="695"/>
        <item x="531"/>
        <item x="1121"/>
        <item x="481"/>
        <item x="435"/>
        <item x="1693"/>
        <item x="1112"/>
        <item x="859"/>
        <item x="745"/>
        <item x="1573"/>
        <item x="1296"/>
        <item x="369"/>
        <item x="1293"/>
        <item x="1749"/>
        <item x="55"/>
        <item x="1743"/>
        <item x="1757"/>
        <item x="436"/>
        <item x="1392"/>
        <item x="1729"/>
        <item x="818"/>
        <item x="1590"/>
        <item x="816"/>
        <item x="917"/>
        <item x="1258"/>
        <item x="189"/>
        <item x="1019"/>
        <item x="1678"/>
        <item x="290"/>
        <item x="167"/>
        <item x="1514"/>
        <item x="244"/>
        <item x="697"/>
        <item x="118"/>
        <item x="134"/>
        <item x="395"/>
        <item x="238"/>
        <item x="894"/>
        <item x="1596"/>
        <item x="1230"/>
        <item x="4"/>
        <item x="1410"/>
        <item x="268"/>
        <item x="1228"/>
        <item x="100"/>
        <item x="1190"/>
        <item x="1018"/>
        <item x="673"/>
        <item x="261"/>
        <item x="180"/>
        <item x="1766"/>
        <item x="1703"/>
        <item x="470"/>
        <item x="1658"/>
        <item x="1333"/>
        <item x="734"/>
        <item x="1439"/>
        <item x="1366"/>
        <item x="1574"/>
        <item x="547"/>
        <item x="72"/>
        <item x="1020"/>
        <item x="1457"/>
        <item x="422"/>
        <item x="881"/>
        <item x="1272"/>
        <item x="1653"/>
        <item x="1735"/>
        <item x="908"/>
        <item x="1681"/>
        <item x="1118"/>
        <item x="1538"/>
        <item x="1591"/>
        <item x="1549"/>
        <item x="744"/>
        <item x="1739"/>
        <item x="621"/>
        <item x="404"/>
        <item x="121"/>
        <item x="1640"/>
        <item x="1401"/>
        <item x="1203"/>
        <item x="1086"/>
        <item x="775"/>
        <item x="17"/>
        <item x="1467"/>
        <item x="924"/>
        <item x="267"/>
        <item x="74"/>
        <item x="420"/>
        <item x="1667"/>
        <item x="1302"/>
        <item x="1125"/>
        <item x="1518"/>
        <item x="716"/>
        <item x="838"/>
        <item x="813"/>
        <item x="1602"/>
        <item x="1761"/>
        <item x="819"/>
        <item x="1001"/>
        <item x="1397"/>
        <item x="1763"/>
        <item x="1082"/>
        <item x="992"/>
        <item x="863"/>
        <item x="793"/>
        <item x="1421"/>
        <item x="656"/>
        <item x="490"/>
        <item x="1724"/>
        <item x="809"/>
        <item x="1306"/>
        <item x="1662"/>
        <item x="1639"/>
        <item x="761"/>
        <item x="648"/>
        <item x="1686"/>
        <item x="585"/>
        <item x="1496"/>
        <item x="1282"/>
        <item x="1505"/>
        <item x="1534"/>
        <item x="1134"/>
        <item x="1061"/>
        <item x="1376"/>
        <item x="91"/>
        <item x="401"/>
        <item x="1368"/>
        <item x="1250"/>
        <item x="719"/>
        <item x="929"/>
        <item x="426"/>
        <item x="1507"/>
        <item x="1015"/>
        <item x="1309"/>
        <item x="1643"/>
        <item x="495"/>
        <item x="1081"/>
        <item x="685"/>
        <item x="841"/>
        <item x="736"/>
        <item x="1345"/>
        <item x="154"/>
        <item x="1117"/>
        <item x="254"/>
        <item x="931"/>
        <item x="1171"/>
        <item x="950"/>
        <item x="1240"/>
        <item x="516"/>
        <item x="1231"/>
        <item x="80"/>
        <item x="466"/>
        <item x="1031"/>
        <item x="143"/>
        <item x="1613"/>
        <item x="1429"/>
        <item x="443"/>
        <item x="925"/>
        <item x="1702"/>
        <item x="1040"/>
        <item x="1447"/>
        <item x="1195"/>
        <item x="1059"/>
        <item x="701"/>
        <item x="1275"/>
        <item x="848"/>
        <item x="1559"/>
        <item x="428"/>
        <item x="938"/>
        <item x="961"/>
        <item x="1011"/>
        <item x="18"/>
        <item x="1663"/>
        <item x="873"/>
        <item x="363"/>
        <item x="891"/>
        <item x="298"/>
        <item x="1405"/>
        <item x="1571"/>
        <item x="1208"/>
        <item x="1425"/>
        <item x="224"/>
        <item x="405"/>
        <item x="1144"/>
        <item x="839"/>
        <item x="604"/>
        <item x="103"/>
        <item x="1427"/>
        <item x="568"/>
        <item x="1645"/>
        <item x="1307"/>
        <item x="54"/>
        <item x="351"/>
        <item x="295"/>
        <item x="1156"/>
        <item x="878"/>
        <item x="412"/>
        <item x="964"/>
        <item x="1411"/>
        <item x="1251"/>
        <item x="1716"/>
        <item x="1665"/>
        <item x="893"/>
        <item x="1132"/>
        <item x="526"/>
        <item x="1648"/>
        <item x="1273"/>
        <item x="1595"/>
        <item x="1403"/>
        <item x="1564"/>
        <item x="1535"/>
        <item x="517"/>
        <item x="1657"/>
        <item x="1327"/>
        <item x="591"/>
        <item x="1379"/>
        <item x="510"/>
        <item x="219"/>
        <item x="1088"/>
        <item x="1409"/>
        <item x="1285"/>
        <item x="342"/>
        <item x="1349"/>
        <item x="1151"/>
        <item x="226"/>
        <item x="1229"/>
        <item x="1305"/>
        <item x="507"/>
        <item x="1032"/>
        <item x="883"/>
        <item x="286"/>
        <item x="1060"/>
        <item x="153"/>
        <item x="104"/>
        <item x="1459"/>
        <item x="59"/>
        <item x="447"/>
        <item x="97"/>
        <item x="247"/>
        <item x="1740"/>
        <item x="1612"/>
        <item x="1233"/>
        <item x="1166"/>
        <item x="1205"/>
        <item x="136"/>
        <item x="1398"/>
        <item x="176"/>
        <item x="1408"/>
        <item x="1720"/>
        <item x="954"/>
        <item x="292"/>
        <item x="274"/>
        <item x="1074"/>
        <item x="222"/>
        <item x="1200"/>
        <item x="1674"/>
        <item x="1709"/>
        <item x="1207"/>
        <item x="1415"/>
        <item x="963"/>
        <item x="521"/>
        <item x="20"/>
        <item x="739"/>
        <item x="890"/>
        <item x="1155"/>
        <item x="921"/>
        <item x="42"/>
        <item x="607"/>
        <item x="581"/>
        <item x="674"/>
        <item x="626"/>
        <item x="911"/>
        <item x="622"/>
        <item x="140"/>
        <item x="1495"/>
        <item x="1666"/>
        <item x="1357"/>
        <item x="1334"/>
        <item x="1098"/>
        <item x="1453"/>
        <item x="1142"/>
        <item x="315"/>
        <item x="1594"/>
        <item x="749"/>
        <item x="434"/>
        <item x="1092"/>
        <item x="1153"/>
        <item x="1138"/>
        <item x="1065"/>
        <item x="803"/>
        <item x="830"/>
        <item x="1071"/>
        <item x="694"/>
        <item x="1676"/>
        <item x="543"/>
        <item x="1255"/>
        <item x="1537"/>
        <item x="283"/>
        <item x="1508"/>
        <item x="29"/>
        <item x="83"/>
        <item x="527"/>
        <item x="1303"/>
        <item x="383"/>
        <item x="990"/>
        <item x="1312"/>
        <item x="1584"/>
        <item x="232"/>
        <item x="1525"/>
        <item x="1469"/>
        <item x="1036"/>
        <item x="1101"/>
        <item x="1054"/>
        <item x="928"/>
        <item x="263"/>
        <item x="1494"/>
        <item x="1516"/>
        <item x="635"/>
        <item x="561"/>
        <item x="1731"/>
        <item x="48"/>
        <item x="1174"/>
        <item x="1600"/>
        <item x="1219"/>
        <item x="1348"/>
        <item x="1747"/>
        <item x="1252"/>
        <item x="1510"/>
        <item x="1753"/>
        <item x="1714"/>
        <item x="660"/>
        <item x="458"/>
        <item x="659"/>
        <item x="687"/>
        <item x="1289"/>
        <item x="1095"/>
        <item x="1440"/>
        <item x="200"/>
        <item x="472"/>
        <item x="537"/>
        <item x="1369"/>
        <item x="1047"/>
        <item x="1394"/>
        <item x="1707"/>
        <item x="962"/>
        <item x="330"/>
        <item x="102"/>
        <item x="902"/>
        <item x="301"/>
        <item x="211"/>
        <item x="1710"/>
        <item x="532"/>
        <item x="1659"/>
        <item x="1364"/>
        <item x="670"/>
        <item x="161"/>
        <item x="1443"/>
        <item x="653"/>
        <item x="632"/>
        <item x="884"/>
        <item x="876"/>
        <item x="566"/>
        <item x="979"/>
        <item x="1765"/>
        <item x="770"/>
        <item x="837"/>
        <item x="1371"/>
        <item x="786"/>
        <item x="437"/>
        <item x="1073"/>
        <item x="1512"/>
        <item x="1340"/>
        <item x="1390"/>
        <item x="1679"/>
        <item x="608"/>
        <item x="1167"/>
        <item x="1343"/>
        <item x="842"/>
        <item x="144"/>
        <item x="117"/>
        <item x="620"/>
        <item x="1700"/>
        <item x="275"/>
        <item x="502"/>
        <item x="1560"/>
        <item x="760"/>
        <item x="85"/>
        <item x="125"/>
        <item x="680"/>
        <item x="345"/>
        <item x="753"/>
        <item x="614"/>
        <item x="1244"/>
        <item x="1470"/>
        <item x="1120"/>
        <item x="1085"/>
        <item x="476"/>
        <item x="407"/>
        <item x="1566"/>
        <item x="718"/>
        <item x="544"/>
        <item x="595"/>
        <item x="409"/>
        <item x="340"/>
        <item x="1715"/>
        <item x="912"/>
        <item x="1029"/>
        <item x="1058"/>
        <item x="681"/>
        <item x="66"/>
        <item x="1652"/>
        <item x="13"/>
        <item x="797"/>
        <item x="647"/>
        <item x="934"/>
        <item x="686"/>
        <item x="1278"/>
        <item x="949"/>
        <item x="1568"/>
        <item x="106"/>
        <item x="1042"/>
        <item x="32"/>
        <item x="1243"/>
        <item x="112"/>
        <item x="454"/>
        <item x="683"/>
        <item x="1546"/>
        <item x="1218"/>
        <item x="235"/>
        <item x="1075"/>
        <item x="1446"/>
        <item x="360"/>
        <item x="1597"/>
        <item x="1160"/>
        <item x="1374"/>
        <item x="1548"/>
        <item x="1051"/>
        <item x="1532"/>
        <item x="774"/>
        <item x="39"/>
        <item x="649"/>
        <item x="1419"/>
        <item x="1499"/>
        <item x="135"/>
        <item x="213"/>
        <item x="885"/>
        <item x="767"/>
        <item x="1045"/>
        <item x="1618"/>
        <item x="580"/>
        <item x="503"/>
        <item x="1524"/>
        <item x="41"/>
        <item x="169"/>
        <item x="1711"/>
        <item x="480"/>
        <item x="279"/>
        <item x="1274"/>
        <item x="1553"/>
        <item x="165"/>
        <item x="1353"/>
        <item x="287"/>
        <item x="201"/>
        <item x="5"/>
        <item x="209"/>
        <item x="58"/>
        <item x="311"/>
        <item x="1682"/>
        <item x="773"/>
        <item x="980"/>
        <item x="352"/>
        <item x="831"/>
        <item x="1104"/>
        <item x="998"/>
        <item x="1718"/>
        <item x="1552"/>
        <item x="1356"/>
        <item x="449"/>
        <item x="16"/>
        <item x="930"/>
        <item x="1066"/>
        <item x="1131"/>
        <item x="1359"/>
        <item x="997"/>
        <item x="1689"/>
        <item x="667"/>
        <item x="1543"/>
        <item x="157"/>
        <item x="710"/>
        <item x="1438"/>
        <item x="460"/>
        <item x="1647"/>
        <item x="1310"/>
        <item x="1181"/>
        <item x="322"/>
        <item x="265"/>
        <item x="606"/>
        <item x="752"/>
        <item x="463"/>
        <item x="864"/>
        <item x="1105"/>
        <item x="1148"/>
        <item x="1730"/>
        <item x="1034"/>
        <item x="203"/>
        <item x="602"/>
        <item x="289"/>
        <item x="98"/>
        <item x="397"/>
        <item x="1111"/>
        <item x="353"/>
        <item x="1135"/>
        <item x="1455"/>
        <item x="1004"/>
        <item x="693"/>
        <item x="945"/>
        <item x="155"/>
        <item x="882"/>
        <item x="1103"/>
        <item x="1314"/>
        <item x="477"/>
        <item x="266"/>
        <item x="347"/>
        <item x="1023"/>
        <item x="1478"/>
        <item x="1638"/>
        <item x="556"/>
        <item x="1588"/>
        <item x="1385"/>
        <item x="73"/>
        <item x="914"/>
        <item x="615"/>
        <item x="788"/>
        <item x="445"/>
        <item x="1000"/>
        <item x="442"/>
        <item x="511"/>
        <item x="332"/>
        <item x="1254"/>
        <item x="856"/>
        <item x="294"/>
        <item x="983"/>
        <item x="952"/>
        <item x="1523"/>
        <item x="1215"/>
        <item x="959"/>
        <item x="1094"/>
        <item x="810"/>
        <item x="50"/>
        <item x="499"/>
        <item x="1291"/>
        <item x="906"/>
        <item x="1449"/>
        <item x="374"/>
        <item x="34"/>
        <item x="1424"/>
        <item x="987"/>
        <item x="1485"/>
        <item x="141"/>
        <item x="216"/>
        <item x="1764"/>
        <item x="343"/>
        <item x="1139"/>
        <item x="1010"/>
        <item x="171"/>
        <item x="1483"/>
        <item x="1452"/>
        <item x="1185"/>
        <item x="754"/>
        <item x="956"/>
        <item x="1383"/>
        <item x="1704"/>
        <item x="459"/>
        <item x="1669"/>
        <item x="784"/>
        <item x="629"/>
        <item x="840"/>
        <item x="1129"/>
        <item x="574"/>
        <item x="1221"/>
        <item x="1522"/>
        <item x="419"/>
        <item x="488"/>
        <item x="1016"/>
        <item x="57"/>
        <item x="769"/>
        <item x="958"/>
        <item x="849"/>
        <item x="6"/>
        <item x="1759"/>
        <item x="257"/>
        <item x="823"/>
        <item x="307"/>
        <item x="651"/>
        <item x="21"/>
        <item x="1076"/>
        <item x="711"/>
        <item x="1601"/>
        <item x="64"/>
        <item x="249"/>
        <item x="498"/>
        <item x="1607"/>
        <item x="1554"/>
        <item x="1491"/>
        <item x="1519"/>
        <item x="905"/>
        <item x="491"/>
        <item x="713"/>
        <item x="1487"/>
        <item x="1521"/>
        <item x="160"/>
        <item x="496"/>
        <item x="1006"/>
        <item x="968"/>
        <item x="1605"/>
        <item x="1329"/>
        <item x="218"/>
        <item x="195"/>
        <item x="1077"/>
        <item x="133"/>
        <item x="86"/>
        <item x="845"/>
        <item x="966"/>
        <item x="1575"/>
        <item x="320"/>
        <item x="631"/>
        <item x="178"/>
        <item x="168"/>
        <item x="1265"/>
        <item x="999"/>
        <item x="1389"/>
        <item x="866"/>
        <item x="1471"/>
        <item x="642"/>
        <item x="1267"/>
        <item x="1322"/>
        <item x="1416"/>
        <item x="1423"/>
        <item x="509"/>
        <item x="1463"/>
        <item x="381"/>
        <item x="1387"/>
        <item x="1297"/>
        <item x="582"/>
        <item x="1024"/>
        <item x="1501"/>
        <item x="1741"/>
        <item x="478"/>
        <item x="1259"/>
        <item x="38"/>
        <item x="198"/>
        <item x="862"/>
        <item x="1694"/>
        <item x="457"/>
        <item x="309"/>
        <item x="387"/>
        <item x="65"/>
        <item x="644"/>
        <item x="540"/>
        <item x="970"/>
        <item x="1555"/>
        <item x="489"/>
        <item x="1418"/>
        <item x="706"/>
        <item x="1477"/>
        <item x="874"/>
        <item x="696"/>
        <item x="728"/>
        <item x="562"/>
        <item x="1562"/>
        <item x="554"/>
        <item x="174"/>
        <item x="943"/>
        <item x="8"/>
        <item x="492"/>
        <item x="1087"/>
        <item x="1096"/>
        <item x="508"/>
        <item x="438"/>
        <item x="923"/>
        <item x="688"/>
        <item x="643"/>
        <item x="326"/>
        <item x="393"/>
        <item x="528"/>
        <item x="116"/>
        <item x="1530"/>
        <item x="625"/>
        <item x="1107"/>
        <item x="639"/>
        <item x="802"/>
        <item x="333"/>
        <item x="748"/>
        <item x="385"/>
        <item x="1328"/>
        <item x="1577"/>
        <item x="1692"/>
        <item x="636"/>
        <item x="948"/>
        <item x="879"/>
        <item x="1742"/>
        <item x="109"/>
        <item x="677"/>
        <item x="733"/>
        <item x="439"/>
        <item x="1437"/>
        <item x="743"/>
        <item x="452"/>
        <item x="1727"/>
        <item x="408"/>
        <item x="812"/>
        <item x="1641"/>
        <item x="464"/>
        <item x="1563"/>
        <item x="421"/>
        <item x="1725"/>
        <item x="1146"/>
        <item x="1675"/>
        <item x="172"/>
        <item x="1209"/>
        <item x="567"/>
        <item x="1115"/>
        <item x="1399"/>
        <item x="1338"/>
        <item x="271"/>
        <item x="312"/>
        <item x="1572"/>
        <item x="834"/>
        <item x="920"/>
        <item x="375"/>
        <item x="989"/>
        <item x="672"/>
        <item x="1341"/>
        <item x="120"/>
        <item x="1744"/>
        <item x="1126"/>
        <item x="777"/>
        <item x="1627"/>
        <item x="358"/>
        <item x="1113"/>
        <item x="229"/>
        <item x="71"/>
        <item x="1133"/>
        <item x="700"/>
        <item x="1531"/>
        <item x="1586"/>
        <item x="1211"/>
        <item x="137"/>
        <item x="1260"/>
        <item x="1234"/>
        <item x="225"/>
        <item x="252"/>
        <item x="53"/>
        <item x="299"/>
        <item x="679"/>
        <item x="972"/>
        <item x="339"/>
        <item x="1621"/>
        <item x="1542"/>
        <item x="1159"/>
        <item x="1480"/>
        <item x="592"/>
        <item x="1650"/>
        <item x="584"/>
        <item x="551"/>
        <item x="1317"/>
        <item x="520"/>
        <item x="880"/>
        <item x="1606"/>
        <item x="1511"/>
        <item x="1752"/>
        <item x="1152"/>
        <item x="737"/>
        <item x="1352"/>
        <item x="1413"/>
        <item x="1506"/>
        <item x="919"/>
        <item x="676"/>
        <item x="1515"/>
        <item x="1705"/>
        <item x="84"/>
        <item x="1701"/>
        <item x="690"/>
        <item x="246"/>
        <item x="1706"/>
        <item x="1540"/>
        <item x="1290"/>
        <item x="1672"/>
        <item x="1622"/>
        <item x="280"/>
        <item x="546"/>
        <item x="712"/>
        <item x="378"/>
        <item x="1304"/>
        <item x="1253"/>
        <item x="416"/>
        <item x="1472"/>
        <item x="1536"/>
        <item x="88"/>
        <item x="389"/>
        <item x="1050"/>
        <item x="1184"/>
        <item x="1520"/>
        <item x="560"/>
        <item x="1030"/>
        <item x="829"/>
        <item x="413"/>
        <item t="default"/>
      </items>
    </pivotField>
    <pivotField numFmtId="2"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1"/>
  </rowFields>
  <rowItems count="11">
    <i>
      <x/>
    </i>
    <i>
      <x v="1"/>
    </i>
    <i>
      <x v="2"/>
    </i>
    <i>
      <x v="3"/>
    </i>
    <i>
      <x v="4"/>
    </i>
    <i>
      <x v="5"/>
    </i>
    <i>
      <x v="6"/>
    </i>
    <i>
      <x v="7"/>
    </i>
    <i>
      <x v="8"/>
    </i>
    <i>
      <x v="9"/>
    </i>
    <i t="grand">
      <x/>
    </i>
  </rowItems>
  <colItems count="1">
    <i/>
  </colItems>
  <dataFields count="1">
    <dataField name="Sum of Final Amount" fld="9" baseField="0" baseItem="0" numFmtId="165"/>
  </dataFields>
  <chartFormats count="2">
    <chartFormat chart="8" format="2"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sle" xr10:uid="{33C6E6CC-95F4-4C55-B300-2687C8E688DE}" sourceName="Aisle">
  <pivotTables>
    <pivotTable tabId="3" name="PivotTable1"/>
    <pivotTable tabId="3" name="PivotTable2"/>
    <pivotTable tabId="3" name="PivotTable3"/>
    <pivotTable tabId="3" name="PivotTable4"/>
    <pivotTable tabId="3" name="PivotTable5"/>
  </pivotTables>
  <data>
    <tabular pivotCacheId="1904380531">
      <items count="11">
        <i x="2" s="1"/>
        <i x="10" s="1"/>
        <i x="4" s="1"/>
        <i x="1" s="1"/>
        <i x="8" s="1"/>
        <i x="5" s="1"/>
        <i x="6" s="1"/>
        <i x="7" s="1"/>
        <i x="9"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C5244BA0-BBD2-4DB4-850E-C52473521FD7}" sourceName="Store Name">
  <pivotTables>
    <pivotTable tabId="3" name="PivotTable3"/>
    <pivotTable tabId="3" name="PivotTable1"/>
    <pivotTable tabId="3" name="PivotTable2"/>
    <pivotTable tabId="3" name="PivotTable4"/>
    <pivotTable tabId="3" name="PivotTable5"/>
  </pivotTables>
  <data>
    <tabular pivotCacheId="1904380531">
      <items count="10">
        <i x="4" s="1"/>
        <i x="3" s="1"/>
        <i x="8" s="1"/>
        <i x="6" s="1"/>
        <i x="0" s="1"/>
        <i x="7" s="1"/>
        <i x="5" s="1"/>
        <i x="2" s="1"/>
        <i x="1"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Transaction_Date" xr10:uid="{974707B1-6D59-4BFB-971F-39D0829C7384}" sourceName="Months (Transaction Date)">
  <pivotTables>
    <pivotTable tabId="3" name="PivotTable4"/>
    <pivotTable tabId="3" name="PivotTable1"/>
    <pivotTable tabId="3" name="PivotTable2"/>
    <pivotTable tabId="3" name="PivotTable3"/>
    <pivotTable tabId="3" name="PivotTable5"/>
  </pivotTables>
  <data>
    <tabular pivotCacheId="1904380531">
      <items count="14">
        <i x="1" s="1"/>
        <i x="2" s="1"/>
        <i x="3" s="1"/>
        <i x="4" s="1"/>
        <i x="5" s="1"/>
        <i x="6" s="1"/>
        <i x="7" s="1"/>
        <i x="8" s="1"/>
        <i x="9" s="1"/>
        <i x="10" s="1"/>
        <i x="11" s="1"/>
        <i x="12" s="1"/>
        <i x="0" s="1" nd="1"/>
        <i x="1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Transaction_Date" xr10:uid="{BFF4BABE-6E1F-4AE0-9DDF-1E23EBAD8ADE}" sourceName="Years (Transaction Date)">
  <pivotTables>
    <pivotTable tabId="3" name="PivotTable4"/>
    <pivotTable tabId="3" name="PivotTable1"/>
    <pivotTable tabId="3" name="PivotTable2"/>
    <pivotTable tabId="3" name="PivotTable3"/>
    <pivotTable tabId="3" name="PivotTable5"/>
  </pivotTables>
  <data>
    <tabular pivotCacheId="1904380531">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sle" xr10:uid="{A961BACE-5AD8-42B5-ACE5-AAE1B020B775}" cache="Slicer_Aisle" caption="Aisle" style="SlicerStyleOther1" rowHeight="234950"/>
  <slicer name="Store Name" xr10:uid="{46A7CD69-8C66-476C-BF74-8AA9B5D5E65B}" cache="Slicer_Store_Name" caption="Store Name" style="SlicerStyleOther1" rowHeight="234950"/>
  <slicer name="Months (Transaction Date) 2" xr10:uid="{191EA3A9-984F-4E91-ADCD-927585542049}" cache="Slicer_Months__Transaction_Date" caption="Months (Transaction Date)" style="SlicerStyleOther1" rowHeight="234950"/>
  <slicer name="Years (Transaction Date) 1" xr10:uid="{95723BF5-D83B-445A-A8CA-BAE9C57C2AC8}" cache="Slicer_Years__Transaction_Date" caption="Years (Transaction Date)" style="SlicerStyleOther1"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sle 1" xr10:uid="{94515A64-2018-45D9-8A9C-8C2398934A70}" cache="Slicer_Aisle" caption="Aisle" style="SlicerStyleOther1" rowHeight="234950"/>
  <slicer name="Store Name 1" xr10:uid="{041F606D-CF7C-47D7-9FA1-E07CFDEA7A59}" cache="Slicer_Store_Name" caption="Store Name" style="SlicerStyleOther1" rowHeight="234950"/>
  <slicer name="Months (Transaction Date) 1" xr10:uid="{61519A49-EBAA-4E1B-81B5-7B7B1BD0EFED}" cache="Slicer_Months__Transaction_Date" caption="Months (Transaction Date)" style="SlicerStyleOther1" rowHeight="234950"/>
  <slicer name="Years (Transaction Date) 2" xr10:uid="{BBA2C8C5-A3F9-4B91-B47C-4E91FBFB18C6}" cache="Slicer_Years__Transaction_Date" caption="Years (Transaction Date)" columnCount="3" style="SlicerStyleOther1" rowHeight="252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A4321-CC0A-43F1-AC11-1A8D31F251AE}">
  <dimension ref="A1:K1981"/>
  <sheetViews>
    <sheetView workbookViewId="0">
      <selection activeCell="D3" sqref="D3"/>
    </sheetView>
  </sheetViews>
  <sheetFormatPr defaultRowHeight="14.4" x14ac:dyDescent="0.3"/>
  <cols>
    <col min="1" max="1" width="11.109375" bestFit="1" customWidth="1"/>
    <col min="2" max="2" width="19" bestFit="1" customWidth="1"/>
    <col min="3" max="3" width="15" bestFit="1" customWidth="1"/>
    <col min="4" max="4" width="15.88671875" bestFit="1" customWidth="1"/>
    <col min="5" max="5" width="13.109375" bestFit="1" customWidth="1"/>
    <col min="6" max="6" width="7.6640625" bestFit="1" customWidth="1"/>
    <col min="7" max="7" width="9.109375" bestFit="1" customWidth="1"/>
    <col min="8" max="8" width="12.21875" bestFit="1" customWidth="1"/>
    <col min="9" max="9" width="15.33203125" bestFit="1" customWidth="1"/>
    <col min="10" max="10" width="11.88671875" bestFit="1" customWidth="1"/>
    <col min="11" max="11" width="12.4414062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2824</v>
      </c>
      <c r="B2" t="s">
        <v>11</v>
      </c>
      <c r="C2" s="1">
        <v>45164</v>
      </c>
      <c r="D2" t="s">
        <v>12</v>
      </c>
      <c r="E2" t="s">
        <v>13</v>
      </c>
      <c r="F2">
        <v>2</v>
      </c>
      <c r="G2">
        <v>7.46</v>
      </c>
      <c r="H2">
        <v>14.92</v>
      </c>
      <c r="I2">
        <v>0</v>
      </c>
      <c r="J2">
        <v>14.92</v>
      </c>
      <c r="K2">
        <v>377</v>
      </c>
    </row>
    <row r="3" spans="1:11" x14ac:dyDescent="0.3">
      <c r="A3">
        <v>5506</v>
      </c>
      <c r="B3" t="s">
        <v>14</v>
      </c>
      <c r="C3" s="1">
        <v>45335</v>
      </c>
      <c r="D3" t="s">
        <v>15</v>
      </c>
      <c r="E3" t="s">
        <v>16</v>
      </c>
      <c r="F3">
        <v>1</v>
      </c>
      <c r="G3">
        <v>1.85</v>
      </c>
      <c r="H3">
        <v>1.85</v>
      </c>
      <c r="I3">
        <v>3.41</v>
      </c>
      <c r="J3">
        <v>-1.56</v>
      </c>
      <c r="K3">
        <v>111</v>
      </c>
    </row>
    <row r="4" spans="1:11" x14ac:dyDescent="0.3">
      <c r="A4">
        <v>4657</v>
      </c>
      <c r="B4" t="s">
        <v>14</v>
      </c>
      <c r="C4" s="1">
        <v>45253</v>
      </c>
      <c r="D4" t="s">
        <v>17</v>
      </c>
      <c r="E4" t="s">
        <v>18</v>
      </c>
      <c r="F4">
        <v>4</v>
      </c>
      <c r="G4">
        <v>7.38</v>
      </c>
      <c r="H4">
        <v>29.52</v>
      </c>
      <c r="I4">
        <v>4.04</v>
      </c>
      <c r="J4">
        <v>25.48</v>
      </c>
      <c r="K4">
        <v>301</v>
      </c>
    </row>
    <row r="5" spans="1:11" x14ac:dyDescent="0.3">
      <c r="A5">
        <v>2679</v>
      </c>
      <c r="B5" t="s">
        <v>19</v>
      </c>
      <c r="C5" s="1">
        <v>45670</v>
      </c>
      <c r="D5" t="s">
        <v>20</v>
      </c>
      <c r="E5" t="s">
        <v>21</v>
      </c>
      <c r="F5">
        <v>3</v>
      </c>
      <c r="G5">
        <v>5.5</v>
      </c>
      <c r="H5">
        <v>16.5</v>
      </c>
      <c r="I5">
        <v>1.37</v>
      </c>
      <c r="J5">
        <v>15.13</v>
      </c>
      <c r="K5">
        <v>490</v>
      </c>
    </row>
    <row r="6" spans="1:11" x14ac:dyDescent="0.3">
      <c r="A6">
        <v>9935</v>
      </c>
      <c r="B6" t="s">
        <v>11</v>
      </c>
      <c r="C6" s="1">
        <v>45212</v>
      </c>
      <c r="D6" t="s">
        <v>22</v>
      </c>
      <c r="E6" t="s">
        <v>23</v>
      </c>
      <c r="F6">
        <v>5</v>
      </c>
      <c r="G6">
        <v>8.66</v>
      </c>
      <c r="H6">
        <v>43.3</v>
      </c>
      <c r="I6">
        <v>1.5</v>
      </c>
      <c r="J6">
        <v>41.8</v>
      </c>
      <c r="K6">
        <v>22</v>
      </c>
    </row>
    <row r="7" spans="1:11" x14ac:dyDescent="0.3">
      <c r="A7">
        <v>7912</v>
      </c>
      <c r="B7" t="s">
        <v>24</v>
      </c>
      <c r="C7" s="1">
        <v>45169</v>
      </c>
      <c r="D7" t="s">
        <v>15</v>
      </c>
      <c r="E7" t="s">
        <v>18</v>
      </c>
      <c r="F7">
        <v>3</v>
      </c>
      <c r="G7">
        <v>25.04</v>
      </c>
      <c r="H7">
        <v>75.12</v>
      </c>
      <c r="I7">
        <v>1.77</v>
      </c>
      <c r="J7">
        <v>73.349999999999994</v>
      </c>
      <c r="K7">
        <v>316</v>
      </c>
    </row>
    <row r="8" spans="1:11" x14ac:dyDescent="0.3">
      <c r="A8">
        <v>1488</v>
      </c>
      <c r="B8" t="s">
        <v>11</v>
      </c>
      <c r="C8" s="1">
        <v>45217</v>
      </c>
      <c r="D8" t="s">
        <v>12</v>
      </c>
      <c r="E8" t="s">
        <v>25</v>
      </c>
      <c r="F8">
        <v>3</v>
      </c>
      <c r="G8">
        <v>29.56</v>
      </c>
      <c r="H8">
        <v>88.68</v>
      </c>
      <c r="I8">
        <v>2.52</v>
      </c>
      <c r="J8">
        <v>86.16</v>
      </c>
      <c r="K8">
        <v>437</v>
      </c>
    </row>
    <row r="9" spans="1:11" x14ac:dyDescent="0.3">
      <c r="A9">
        <v>4582</v>
      </c>
      <c r="B9" t="s">
        <v>26</v>
      </c>
      <c r="C9" s="1">
        <v>45325</v>
      </c>
      <c r="D9" t="s">
        <v>27</v>
      </c>
      <c r="E9" t="s">
        <v>23</v>
      </c>
      <c r="F9">
        <v>2</v>
      </c>
      <c r="G9">
        <v>11.73</v>
      </c>
      <c r="H9">
        <v>23.46</v>
      </c>
      <c r="I9">
        <v>0</v>
      </c>
      <c r="J9">
        <v>23.46</v>
      </c>
      <c r="K9">
        <v>107</v>
      </c>
    </row>
    <row r="10" spans="1:11" x14ac:dyDescent="0.3">
      <c r="A10">
        <v>9279</v>
      </c>
      <c r="B10" t="s">
        <v>11</v>
      </c>
      <c r="C10" s="1">
        <v>45612</v>
      </c>
      <c r="D10" t="s">
        <v>28</v>
      </c>
      <c r="E10" t="s">
        <v>29</v>
      </c>
      <c r="F10">
        <v>5</v>
      </c>
      <c r="G10">
        <v>22.13</v>
      </c>
      <c r="H10">
        <v>110.65</v>
      </c>
      <c r="I10">
        <v>11.07</v>
      </c>
      <c r="J10">
        <v>99.58</v>
      </c>
      <c r="K10">
        <v>83</v>
      </c>
    </row>
    <row r="11" spans="1:11" x14ac:dyDescent="0.3">
      <c r="A11">
        <v>1434</v>
      </c>
      <c r="B11" t="s">
        <v>30</v>
      </c>
      <c r="C11" s="1">
        <v>45580</v>
      </c>
      <c r="D11" t="s">
        <v>27</v>
      </c>
      <c r="E11" t="s">
        <v>18</v>
      </c>
      <c r="F11">
        <v>2</v>
      </c>
      <c r="G11">
        <v>20.84</v>
      </c>
      <c r="H11">
        <v>41.68</v>
      </c>
      <c r="I11">
        <v>8.34</v>
      </c>
      <c r="J11">
        <v>33.340000000000003</v>
      </c>
      <c r="K11">
        <v>431</v>
      </c>
    </row>
    <row r="12" spans="1:11" x14ac:dyDescent="0.3">
      <c r="A12">
        <v>4257</v>
      </c>
      <c r="B12" t="s">
        <v>31</v>
      </c>
      <c r="C12" s="1">
        <v>45701</v>
      </c>
      <c r="D12" t="s">
        <v>22</v>
      </c>
      <c r="E12" t="s">
        <v>32</v>
      </c>
      <c r="F12">
        <v>3</v>
      </c>
      <c r="G12">
        <v>2.91</v>
      </c>
      <c r="H12">
        <v>8.73</v>
      </c>
      <c r="I12">
        <v>1.75</v>
      </c>
      <c r="J12">
        <v>6.98</v>
      </c>
      <c r="K12">
        <v>467</v>
      </c>
    </row>
    <row r="13" spans="1:11" x14ac:dyDescent="0.3">
      <c r="A13">
        <v>9928</v>
      </c>
      <c r="B13" t="s">
        <v>26</v>
      </c>
      <c r="C13" s="1">
        <v>45470</v>
      </c>
      <c r="D13" t="s">
        <v>20</v>
      </c>
      <c r="E13" t="s">
        <v>33</v>
      </c>
      <c r="F13">
        <v>2</v>
      </c>
      <c r="G13">
        <v>8.67</v>
      </c>
      <c r="H13">
        <v>17.34</v>
      </c>
      <c r="I13">
        <v>0</v>
      </c>
      <c r="J13">
        <v>17.34</v>
      </c>
      <c r="K13">
        <v>126</v>
      </c>
    </row>
    <row r="14" spans="1:11" x14ac:dyDescent="0.3">
      <c r="A14">
        <v>4611</v>
      </c>
      <c r="B14" t="s">
        <v>24</v>
      </c>
      <c r="C14" s="1">
        <v>45493</v>
      </c>
      <c r="D14" t="s">
        <v>28</v>
      </c>
      <c r="E14" t="s">
        <v>32</v>
      </c>
      <c r="F14">
        <v>3</v>
      </c>
      <c r="G14">
        <v>7.35</v>
      </c>
      <c r="H14">
        <v>22.05</v>
      </c>
      <c r="I14">
        <v>4.0199999999999996</v>
      </c>
      <c r="J14">
        <v>18.03</v>
      </c>
      <c r="K14">
        <v>70</v>
      </c>
    </row>
    <row r="15" spans="1:11" x14ac:dyDescent="0.3">
      <c r="A15">
        <v>5557</v>
      </c>
      <c r="B15" t="s">
        <v>11</v>
      </c>
      <c r="C15" s="1">
        <v>45773</v>
      </c>
      <c r="D15" t="s">
        <v>34</v>
      </c>
      <c r="E15" t="s">
        <v>29</v>
      </c>
      <c r="F15">
        <v>4</v>
      </c>
      <c r="G15">
        <v>18.29</v>
      </c>
      <c r="H15">
        <v>73.16</v>
      </c>
      <c r="I15">
        <v>4.9800000000000004</v>
      </c>
      <c r="J15">
        <v>68.180000000000007</v>
      </c>
      <c r="K15">
        <v>197</v>
      </c>
    </row>
    <row r="16" spans="1:11" x14ac:dyDescent="0.3">
      <c r="A16">
        <v>1106</v>
      </c>
      <c r="B16" t="s">
        <v>14</v>
      </c>
      <c r="C16" s="1">
        <v>45734</v>
      </c>
      <c r="D16" t="s">
        <v>35</v>
      </c>
      <c r="E16" t="s">
        <v>18</v>
      </c>
      <c r="F16">
        <v>1</v>
      </c>
      <c r="G16">
        <v>20.72</v>
      </c>
      <c r="H16">
        <v>20.72</v>
      </c>
      <c r="I16">
        <v>0</v>
      </c>
      <c r="J16">
        <v>20.72</v>
      </c>
      <c r="K16">
        <v>58</v>
      </c>
    </row>
    <row r="17" spans="1:11" x14ac:dyDescent="0.3">
      <c r="A17">
        <v>3615</v>
      </c>
      <c r="B17" t="s">
        <v>36</v>
      </c>
      <c r="C17" s="1">
        <v>45687</v>
      </c>
      <c r="D17" t="s">
        <v>15</v>
      </c>
      <c r="E17" t="s">
        <v>37</v>
      </c>
      <c r="F17">
        <v>4</v>
      </c>
      <c r="G17">
        <v>5.58</v>
      </c>
      <c r="H17">
        <v>22.32</v>
      </c>
      <c r="I17">
        <v>4.05</v>
      </c>
      <c r="J17">
        <v>18.27</v>
      </c>
      <c r="K17">
        <v>1</v>
      </c>
    </row>
    <row r="18" spans="1:11" x14ac:dyDescent="0.3">
      <c r="A18">
        <v>7924</v>
      </c>
      <c r="B18" t="s">
        <v>14</v>
      </c>
      <c r="C18" s="1">
        <v>45409</v>
      </c>
      <c r="D18" t="s">
        <v>15</v>
      </c>
      <c r="E18" t="s">
        <v>37</v>
      </c>
      <c r="F18">
        <v>5</v>
      </c>
      <c r="G18">
        <v>18.649999999999999</v>
      </c>
      <c r="H18">
        <v>93.25</v>
      </c>
      <c r="I18">
        <v>18.649999999999999</v>
      </c>
      <c r="J18">
        <v>74.599999999999994</v>
      </c>
      <c r="K18">
        <v>78</v>
      </c>
    </row>
    <row r="19" spans="1:11" x14ac:dyDescent="0.3">
      <c r="A19">
        <v>5552</v>
      </c>
      <c r="B19" t="s">
        <v>14</v>
      </c>
      <c r="C19" s="1">
        <v>45265</v>
      </c>
      <c r="D19" t="s">
        <v>38</v>
      </c>
      <c r="E19" t="s">
        <v>39</v>
      </c>
      <c r="F19">
        <v>5</v>
      </c>
      <c r="G19">
        <v>10.39</v>
      </c>
      <c r="H19">
        <v>51.95</v>
      </c>
      <c r="I19">
        <v>7.79</v>
      </c>
      <c r="J19">
        <v>44.16</v>
      </c>
      <c r="K19">
        <v>9</v>
      </c>
    </row>
    <row r="20" spans="1:11" x14ac:dyDescent="0.3">
      <c r="A20">
        <v>4527</v>
      </c>
      <c r="B20" t="s">
        <v>30</v>
      </c>
      <c r="C20" s="1">
        <v>45738</v>
      </c>
      <c r="D20" t="s">
        <v>17</v>
      </c>
      <c r="E20" t="s">
        <v>40</v>
      </c>
      <c r="F20">
        <v>2</v>
      </c>
      <c r="G20">
        <v>26.45</v>
      </c>
      <c r="H20">
        <v>52.9</v>
      </c>
      <c r="I20">
        <v>3.93</v>
      </c>
      <c r="J20">
        <v>48.97</v>
      </c>
      <c r="K20">
        <v>484</v>
      </c>
    </row>
    <row r="21" spans="1:11" x14ac:dyDescent="0.3">
      <c r="A21">
        <v>6514</v>
      </c>
      <c r="B21" t="s">
        <v>11</v>
      </c>
      <c r="C21" s="1">
        <v>45224</v>
      </c>
      <c r="D21" t="s">
        <v>38</v>
      </c>
      <c r="E21" t="s">
        <v>41</v>
      </c>
      <c r="F21">
        <v>2</v>
      </c>
      <c r="G21">
        <v>20.12</v>
      </c>
      <c r="H21">
        <v>40.24</v>
      </c>
      <c r="I21">
        <v>6.04</v>
      </c>
      <c r="J21">
        <v>34.200000000000003</v>
      </c>
      <c r="K21">
        <v>484</v>
      </c>
    </row>
    <row r="22" spans="1:11" x14ac:dyDescent="0.3">
      <c r="A22">
        <v>2519</v>
      </c>
      <c r="B22" t="s">
        <v>14</v>
      </c>
      <c r="C22" s="1">
        <v>45440</v>
      </c>
      <c r="D22" t="s">
        <v>28</v>
      </c>
      <c r="E22" t="s">
        <v>16</v>
      </c>
      <c r="F22">
        <v>2</v>
      </c>
      <c r="G22">
        <v>27.93</v>
      </c>
      <c r="H22">
        <v>55.86</v>
      </c>
      <c r="I22">
        <v>0</v>
      </c>
      <c r="J22">
        <v>55.86</v>
      </c>
      <c r="K22">
        <v>386</v>
      </c>
    </row>
    <row r="23" spans="1:11" x14ac:dyDescent="0.3">
      <c r="A23">
        <v>2584</v>
      </c>
      <c r="B23" t="s">
        <v>30</v>
      </c>
      <c r="C23" s="1">
        <v>45423</v>
      </c>
      <c r="D23" t="s">
        <v>20</v>
      </c>
      <c r="E23" t="s">
        <v>23</v>
      </c>
      <c r="F23">
        <v>4</v>
      </c>
      <c r="G23">
        <v>27.08</v>
      </c>
      <c r="H23">
        <v>108.32</v>
      </c>
      <c r="I23">
        <v>21.66</v>
      </c>
      <c r="J23">
        <v>86.66</v>
      </c>
      <c r="K23">
        <v>231</v>
      </c>
    </row>
    <row r="24" spans="1:11" x14ac:dyDescent="0.3">
      <c r="A24">
        <v>6635</v>
      </c>
      <c r="B24" t="s">
        <v>42</v>
      </c>
      <c r="C24" s="1">
        <v>45613</v>
      </c>
      <c r="D24" t="s">
        <v>15</v>
      </c>
      <c r="E24" t="s">
        <v>21</v>
      </c>
      <c r="F24">
        <v>1</v>
      </c>
      <c r="G24">
        <v>18.05</v>
      </c>
      <c r="H24">
        <v>18.05</v>
      </c>
      <c r="I24">
        <v>1.28</v>
      </c>
      <c r="J24">
        <v>16.77</v>
      </c>
      <c r="K24">
        <v>117</v>
      </c>
    </row>
    <row r="25" spans="1:11" x14ac:dyDescent="0.3">
      <c r="A25">
        <v>5333</v>
      </c>
      <c r="B25" t="s">
        <v>31</v>
      </c>
      <c r="C25" s="1">
        <v>45771</v>
      </c>
      <c r="D25" t="s">
        <v>17</v>
      </c>
      <c r="E25" t="s">
        <v>43</v>
      </c>
      <c r="F25">
        <v>1</v>
      </c>
      <c r="G25">
        <v>25.92</v>
      </c>
      <c r="H25">
        <v>25.92</v>
      </c>
      <c r="I25">
        <v>3.89</v>
      </c>
      <c r="J25">
        <v>22.03</v>
      </c>
      <c r="K25">
        <v>36</v>
      </c>
    </row>
    <row r="26" spans="1:11" x14ac:dyDescent="0.3">
      <c r="A26">
        <v>1711</v>
      </c>
      <c r="B26" t="s">
        <v>26</v>
      </c>
      <c r="C26" s="1">
        <v>45711</v>
      </c>
      <c r="D26" t="s">
        <v>17</v>
      </c>
      <c r="E26" t="s">
        <v>18</v>
      </c>
      <c r="F26">
        <v>2</v>
      </c>
      <c r="G26">
        <v>21.97</v>
      </c>
      <c r="H26">
        <v>43.94</v>
      </c>
      <c r="I26">
        <v>8.7899999999999991</v>
      </c>
      <c r="J26">
        <v>35.15</v>
      </c>
      <c r="K26">
        <v>451</v>
      </c>
    </row>
    <row r="27" spans="1:11" x14ac:dyDescent="0.3">
      <c r="A27">
        <v>8527</v>
      </c>
      <c r="B27" t="s">
        <v>26</v>
      </c>
      <c r="C27" s="1">
        <v>45561</v>
      </c>
      <c r="D27" t="s">
        <v>20</v>
      </c>
      <c r="E27" t="s">
        <v>44</v>
      </c>
      <c r="F27">
        <v>1</v>
      </c>
      <c r="G27">
        <v>3.8</v>
      </c>
      <c r="H27">
        <v>3.8</v>
      </c>
      <c r="I27">
        <v>0.38</v>
      </c>
      <c r="J27">
        <v>3.42</v>
      </c>
      <c r="K27">
        <v>220</v>
      </c>
    </row>
    <row r="28" spans="1:11" x14ac:dyDescent="0.3">
      <c r="A28">
        <v>3045</v>
      </c>
      <c r="B28" t="s">
        <v>24</v>
      </c>
      <c r="C28" s="1">
        <v>45861</v>
      </c>
      <c r="D28" t="s">
        <v>45</v>
      </c>
      <c r="E28" t="s">
        <v>40</v>
      </c>
      <c r="F28">
        <v>1</v>
      </c>
      <c r="G28">
        <v>2.75</v>
      </c>
      <c r="H28">
        <v>2.75</v>
      </c>
      <c r="I28">
        <v>1.99</v>
      </c>
      <c r="J28">
        <v>0.76</v>
      </c>
      <c r="K28">
        <v>372</v>
      </c>
    </row>
    <row r="29" spans="1:11" x14ac:dyDescent="0.3">
      <c r="A29">
        <v>7201</v>
      </c>
      <c r="B29" t="s">
        <v>42</v>
      </c>
      <c r="C29" s="1">
        <v>45206</v>
      </c>
      <c r="D29" t="s">
        <v>38</v>
      </c>
      <c r="E29" t="s">
        <v>33</v>
      </c>
      <c r="F29">
        <v>2</v>
      </c>
      <c r="G29">
        <v>13.22</v>
      </c>
      <c r="H29">
        <v>26.44</v>
      </c>
      <c r="I29">
        <v>5.29</v>
      </c>
      <c r="J29">
        <v>21.15</v>
      </c>
      <c r="K29">
        <v>142</v>
      </c>
    </row>
    <row r="30" spans="1:11" x14ac:dyDescent="0.3">
      <c r="A30">
        <v>5803</v>
      </c>
      <c r="B30" t="s">
        <v>11</v>
      </c>
      <c r="C30" s="1">
        <v>45789</v>
      </c>
      <c r="D30" t="s">
        <v>45</v>
      </c>
      <c r="E30" t="s">
        <v>18</v>
      </c>
      <c r="F30">
        <v>1</v>
      </c>
      <c r="G30">
        <v>2.46</v>
      </c>
      <c r="H30">
        <v>2.46</v>
      </c>
      <c r="I30">
        <v>4.71</v>
      </c>
      <c r="J30">
        <v>-2.25</v>
      </c>
      <c r="K30">
        <v>276</v>
      </c>
    </row>
    <row r="31" spans="1:11" x14ac:dyDescent="0.3">
      <c r="A31">
        <v>6925</v>
      </c>
      <c r="B31" t="s">
        <v>42</v>
      </c>
      <c r="C31" s="1">
        <v>45593</v>
      </c>
      <c r="D31" t="s">
        <v>34</v>
      </c>
      <c r="E31" t="s">
        <v>16</v>
      </c>
      <c r="F31">
        <v>4</v>
      </c>
      <c r="G31">
        <v>14.95</v>
      </c>
      <c r="H31">
        <v>59.8</v>
      </c>
      <c r="I31">
        <v>1.66</v>
      </c>
      <c r="J31">
        <v>58.14</v>
      </c>
      <c r="K31">
        <v>442</v>
      </c>
    </row>
    <row r="32" spans="1:11" x14ac:dyDescent="0.3">
      <c r="A32">
        <v>4150</v>
      </c>
      <c r="B32" t="s">
        <v>31</v>
      </c>
      <c r="C32" s="1">
        <v>45692</v>
      </c>
      <c r="D32" t="s">
        <v>20</v>
      </c>
      <c r="E32" t="s">
        <v>13</v>
      </c>
      <c r="F32">
        <v>4</v>
      </c>
      <c r="G32">
        <v>9.26</v>
      </c>
      <c r="H32">
        <v>37.04</v>
      </c>
      <c r="I32">
        <v>7.41</v>
      </c>
      <c r="J32">
        <v>29.63</v>
      </c>
      <c r="K32">
        <v>356</v>
      </c>
    </row>
    <row r="33" spans="1:11" x14ac:dyDescent="0.3">
      <c r="A33">
        <v>2139</v>
      </c>
      <c r="B33" t="s">
        <v>42</v>
      </c>
      <c r="C33" s="1">
        <v>45180</v>
      </c>
      <c r="D33" t="s">
        <v>35</v>
      </c>
      <c r="E33" t="s">
        <v>44</v>
      </c>
      <c r="F33">
        <v>1</v>
      </c>
      <c r="G33">
        <v>17.79</v>
      </c>
      <c r="H33">
        <v>17.79</v>
      </c>
      <c r="I33">
        <v>0</v>
      </c>
      <c r="J33">
        <v>17.79</v>
      </c>
      <c r="K33">
        <v>277</v>
      </c>
    </row>
    <row r="34" spans="1:11" x14ac:dyDescent="0.3">
      <c r="A34">
        <v>4733</v>
      </c>
      <c r="B34" t="s">
        <v>36</v>
      </c>
      <c r="C34" s="1">
        <v>45745</v>
      </c>
      <c r="D34" t="s">
        <v>12</v>
      </c>
      <c r="E34" t="s">
        <v>40</v>
      </c>
      <c r="F34">
        <v>5</v>
      </c>
      <c r="G34">
        <v>14.82</v>
      </c>
      <c r="H34">
        <v>74.099999999999994</v>
      </c>
      <c r="I34">
        <v>4.84</v>
      </c>
      <c r="J34">
        <v>69.260000000000005</v>
      </c>
      <c r="K34">
        <v>470</v>
      </c>
    </row>
    <row r="35" spans="1:11" x14ac:dyDescent="0.3">
      <c r="A35">
        <v>5741</v>
      </c>
      <c r="B35" t="s">
        <v>11</v>
      </c>
      <c r="C35" s="1">
        <v>45206</v>
      </c>
      <c r="D35" t="s">
        <v>34</v>
      </c>
      <c r="E35" t="s">
        <v>43</v>
      </c>
      <c r="F35">
        <v>5</v>
      </c>
      <c r="G35">
        <v>2.96</v>
      </c>
      <c r="H35">
        <v>14.8</v>
      </c>
      <c r="I35">
        <v>1.48</v>
      </c>
      <c r="J35">
        <v>13.32</v>
      </c>
      <c r="K35">
        <v>441</v>
      </c>
    </row>
    <row r="36" spans="1:11" x14ac:dyDescent="0.3">
      <c r="A36">
        <v>4814</v>
      </c>
      <c r="B36" t="s">
        <v>11</v>
      </c>
      <c r="C36" s="1">
        <v>45818</v>
      </c>
      <c r="D36" t="s">
        <v>28</v>
      </c>
      <c r="E36" t="s">
        <v>25</v>
      </c>
      <c r="F36">
        <v>5</v>
      </c>
      <c r="G36">
        <v>18.23</v>
      </c>
      <c r="H36">
        <v>91.15</v>
      </c>
      <c r="I36">
        <v>9.1199999999999992</v>
      </c>
      <c r="J36">
        <v>82.03</v>
      </c>
      <c r="K36">
        <v>317</v>
      </c>
    </row>
    <row r="37" spans="1:11" x14ac:dyDescent="0.3">
      <c r="A37">
        <v>2654</v>
      </c>
      <c r="B37" t="s">
        <v>14</v>
      </c>
      <c r="C37" s="1">
        <v>45440</v>
      </c>
      <c r="D37" t="s">
        <v>22</v>
      </c>
      <c r="E37" t="s">
        <v>13</v>
      </c>
      <c r="F37">
        <v>2</v>
      </c>
      <c r="G37">
        <v>20.41</v>
      </c>
      <c r="H37">
        <v>40.82</v>
      </c>
      <c r="I37">
        <v>6.12</v>
      </c>
      <c r="J37">
        <v>34.700000000000003</v>
      </c>
      <c r="K37">
        <v>160</v>
      </c>
    </row>
    <row r="38" spans="1:11" x14ac:dyDescent="0.3">
      <c r="A38">
        <v>5554</v>
      </c>
      <c r="B38" t="s">
        <v>24</v>
      </c>
      <c r="C38" s="1">
        <v>45497</v>
      </c>
      <c r="D38" t="s">
        <v>34</v>
      </c>
      <c r="E38" t="s">
        <v>37</v>
      </c>
      <c r="F38">
        <v>4</v>
      </c>
      <c r="G38">
        <v>10.16</v>
      </c>
      <c r="H38">
        <v>40.64</v>
      </c>
      <c r="I38">
        <v>2.83</v>
      </c>
      <c r="J38">
        <v>37.81</v>
      </c>
      <c r="K38">
        <v>384</v>
      </c>
    </row>
    <row r="39" spans="1:11" x14ac:dyDescent="0.3">
      <c r="A39">
        <v>6977</v>
      </c>
      <c r="B39" t="s">
        <v>11</v>
      </c>
      <c r="C39" s="1">
        <v>45271</v>
      </c>
      <c r="D39" t="s">
        <v>15</v>
      </c>
      <c r="E39" t="s">
        <v>18</v>
      </c>
      <c r="F39">
        <v>2</v>
      </c>
      <c r="G39">
        <v>15.66</v>
      </c>
      <c r="H39">
        <v>31.32</v>
      </c>
      <c r="I39">
        <v>4.5199999999999996</v>
      </c>
      <c r="J39">
        <v>26.8</v>
      </c>
      <c r="K39">
        <v>67</v>
      </c>
    </row>
    <row r="40" spans="1:11" x14ac:dyDescent="0.3">
      <c r="A40">
        <v>7065</v>
      </c>
      <c r="B40" t="s">
        <v>36</v>
      </c>
      <c r="C40" s="1">
        <v>45420</v>
      </c>
      <c r="D40" t="s">
        <v>35</v>
      </c>
      <c r="E40" t="s">
        <v>29</v>
      </c>
      <c r="F40">
        <v>4</v>
      </c>
      <c r="G40">
        <v>25.17</v>
      </c>
      <c r="H40">
        <v>100.68</v>
      </c>
      <c r="I40">
        <v>4.9400000000000004</v>
      </c>
      <c r="J40">
        <v>95.74</v>
      </c>
      <c r="K40">
        <v>360</v>
      </c>
    </row>
    <row r="41" spans="1:11" x14ac:dyDescent="0.3">
      <c r="A41">
        <v>4432</v>
      </c>
      <c r="B41" t="s">
        <v>14</v>
      </c>
      <c r="C41" s="1">
        <v>45665</v>
      </c>
      <c r="D41" t="s">
        <v>12</v>
      </c>
      <c r="E41" t="s">
        <v>18</v>
      </c>
      <c r="F41">
        <v>3</v>
      </c>
      <c r="G41">
        <v>28.01</v>
      </c>
      <c r="H41">
        <v>84.03</v>
      </c>
      <c r="I41">
        <v>12.6</v>
      </c>
      <c r="J41">
        <v>71.430000000000007</v>
      </c>
      <c r="K41">
        <v>53</v>
      </c>
    </row>
    <row r="42" spans="1:11" x14ac:dyDescent="0.3">
      <c r="A42">
        <v>5374</v>
      </c>
      <c r="B42" t="s">
        <v>11</v>
      </c>
      <c r="C42" s="1">
        <v>45690</v>
      </c>
      <c r="D42" t="s">
        <v>15</v>
      </c>
      <c r="E42" t="s">
        <v>18</v>
      </c>
      <c r="F42">
        <v>2</v>
      </c>
      <c r="G42">
        <v>8.89</v>
      </c>
      <c r="H42">
        <v>17.78</v>
      </c>
      <c r="I42">
        <v>0</v>
      </c>
      <c r="J42">
        <v>17.78</v>
      </c>
      <c r="K42">
        <v>309</v>
      </c>
    </row>
    <row r="43" spans="1:11" x14ac:dyDescent="0.3">
      <c r="A43">
        <v>2169</v>
      </c>
      <c r="B43" t="s">
        <v>36</v>
      </c>
      <c r="C43" s="1">
        <v>45618</v>
      </c>
      <c r="D43" t="s">
        <v>17</v>
      </c>
      <c r="E43" t="s">
        <v>13</v>
      </c>
      <c r="F43">
        <v>5</v>
      </c>
      <c r="G43">
        <v>15.16</v>
      </c>
      <c r="H43">
        <v>75.8</v>
      </c>
      <c r="I43">
        <v>3.54</v>
      </c>
      <c r="J43">
        <v>72.260000000000005</v>
      </c>
      <c r="K43">
        <v>463</v>
      </c>
    </row>
    <row r="44" spans="1:11" x14ac:dyDescent="0.3">
      <c r="A44">
        <v>3803</v>
      </c>
      <c r="B44" t="s">
        <v>30</v>
      </c>
      <c r="C44" s="1">
        <v>45559</v>
      </c>
      <c r="D44" t="s">
        <v>12</v>
      </c>
      <c r="E44" t="s">
        <v>39</v>
      </c>
      <c r="F44">
        <v>3</v>
      </c>
      <c r="G44">
        <v>23.35</v>
      </c>
      <c r="H44">
        <v>70.05</v>
      </c>
      <c r="I44">
        <v>14.01</v>
      </c>
      <c r="J44">
        <v>56.04</v>
      </c>
      <c r="K44">
        <v>326</v>
      </c>
    </row>
    <row r="45" spans="1:11" x14ac:dyDescent="0.3">
      <c r="A45">
        <v>5010</v>
      </c>
      <c r="B45" t="s">
        <v>26</v>
      </c>
      <c r="C45" s="1">
        <v>45271</v>
      </c>
      <c r="D45" t="s">
        <v>38</v>
      </c>
      <c r="E45" t="s">
        <v>16</v>
      </c>
      <c r="F45">
        <v>5</v>
      </c>
      <c r="G45">
        <v>1.27</v>
      </c>
      <c r="H45">
        <v>6.35</v>
      </c>
      <c r="I45">
        <v>1.1399999999999999</v>
      </c>
      <c r="J45">
        <v>5.21</v>
      </c>
      <c r="K45">
        <v>38</v>
      </c>
    </row>
    <row r="46" spans="1:11" x14ac:dyDescent="0.3">
      <c r="A46">
        <v>8573</v>
      </c>
      <c r="B46" t="s">
        <v>36</v>
      </c>
      <c r="C46" s="1">
        <v>45439</v>
      </c>
      <c r="D46" t="s">
        <v>28</v>
      </c>
      <c r="E46" t="s">
        <v>18</v>
      </c>
      <c r="F46">
        <v>2</v>
      </c>
      <c r="G46">
        <v>13.45</v>
      </c>
      <c r="H46">
        <v>26.9</v>
      </c>
      <c r="I46">
        <v>4.03</v>
      </c>
      <c r="J46">
        <v>22.87</v>
      </c>
      <c r="K46">
        <v>21</v>
      </c>
    </row>
    <row r="47" spans="1:11" x14ac:dyDescent="0.3">
      <c r="A47">
        <v>5422</v>
      </c>
      <c r="B47" t="s">
        <v>31</v>
      </c>
      <c r="C47" s="1">
        <v>45863</v>
      </c>
      <c r="D47" t="s">
        <v>22</v>
      </c>
      <c r="E47" t="s">
        <v>44</v>
      </c>
      <c r="F47">
        <v>2</v>
      </c>
      <c r="G47">
        <v>20.329999999999998</v>
      </c>
      <c r="H47">
        <v>40.659999999999997</v>
      </c>
      <c r="I47">
        <v>4</v>
      </c>
      <c r="J47">
        <v>36.659999999999997</v>
      </c>
      <c r="K47">
        <v>181</v>
      </c>
    </row>
    <row r="48" spans="1:11" x14ac:dyDescent="0.3">
      <c r="A48">
        <v>4598</v>
      </c>
      <c r="B48" t="s">
        <v>42</v>
      </c>
      <c r="C48" s="1">
        <v>45676</v>
      </c>
      <c r="D48" t="s">
        <v>34</v>
      </c>
      <c r="E48" t="s">
        <v>29</v>
      </c>
      <c r="F48">
        <v>4</v>
      </c>
      <c r="G48">
        <v>1.71</v>
      </c>
      <c r="H48">
        <v>6.84</v>
      </c>
      <c r="I48">
        <v>0.68</v>
      </c>
      <c r="J48">
        <v>6.16</v>
      </c>
      <c r="K48">
        <v>377</v>
      </c>
    </row>
    <row r="49" spans="1:11" x14ac:dyDescent="0.3">
      <c r="A49">
        <v>6313</v>
      </c>
      <c r="B49" t="s">
        <v>42</v>
      </c>
      <c r="C49" s="1">
        <v>45799</v>
      </c>
      <c r="D49" t="s">
        <v>35</v>
      </c>
      <c r="E49" t="s">
        <v>29</v>
      </c>
      <c r="F49">
        <v>1</v>
      </c>
      <c r="G49">
        <v>12.08</v>
      </c>
      <c r="H49">
        <v>12.08</v>
      </c>
      <c r="I49">
        <v>2.42</v>
      </c>
      <c r="J49">
        <v>9.66</v>
      </c>
      <c r="K49">
        <v>19</v>
      </c>
    </row>
    <row r="50" spans="1:11" x14ac:dyDescent="0.3">
      <c r="A50">
        <v>1916</v>
      </c>
      <c r="B50" t="s">
        <v>42</v>
      </c>
      <c r="C50" s="1">
        <v>45322</v>
      </c>
      <c r="D50" t="s">
        <v>45</v>
      </c>
      <c r="E50" t="s">
        <v>23</v>
      </c>
      <c r="F50">
        <v>3</v>
      </c>
      <c r="G50">
        <v>24.79</v>
      </c>
      <c r="H50">
        <v>74.37</v>
      </c>
      <c r="I50">
        <v>14.87</v>
      </c>
      <c r="J50">
        <v>59.5</v>
      </c>
      <c r="K50">
        <v>446</v>
      </c>
    </row>
    <row r="51" spans="1:11" x14ac:dyDescent="0.3">
      <c r="A51">
        <v>1525</v>
      </c>
      <c r="B51" t="s">
        <v>31</v>
      </c>
      <c r="C51" s="1">
        <v>45770</v>
      </c>
      <c r="D51" t="s">
        <v>27</v>
      </c>
      <c r="E51" t="s">
        <v>44</v>
      </c>
      <c r="F51">
        <v>4</v>
      </c>
      <c r="G51">
        <v>10.51</v>
      </c>
      <c r="H51">
        <v>42.04</v>
      </c>
      <c r="I51">
        <v>6.31</v>
      </c>
      <c r="J51">
        <v>35.729999999999997</v>
      </c>
      <c r="K51">
        <v>442</v>
      </c>
    </row>
    <row r="52" spans="1:11" x14ac:dyDescent="0.3">
      <c r="A52">
        <v>6168</v>
      </c>
      <c r="B52" t="s">
        <v>36</v>
      </c>
      <c r="C52" s="1">
        <v>45456</v>
      </c>
      <c r="D52" t="s">
        <v>27</v>
      </c>
      <c r="E52" t="s">
        <v>46</v>
      </c>
      <c r="F52">
        <v>4</v>
      </c>
      <c r="G52">
        <v>20.7</v>
      </c>
      <c r="H52">
        <v>82.8</v>
      </c>
      <c r="I52">
        <v>1.46</v>
      </c>
      <c r="J52">
        <v>81.34</v>
      </c>
      <c r="K52">
        <v>431</v>
      </c>
    </row>
    <row r="53" spans="1:11" x14ac:dyDescent="0.3">
      <c r="A53">
        <v>5386</v>
      </c>
      <c r="B53" t="s">
        <v>30</v>
      </c>
      <c r="C53" s="1">
        <v>45196</v>
      </c>
      <c r="D53" t="s">
        <v>34</v>
      </c>
      <c r="E53" t="s">
        <v>13</v>
      </c>
      <c r="F53">
        <v>1</v>
      </c>
      <c r="G53">
        <v>4.13</v>
      </c>
      <c r="H53">
        <v>4.13</v>
      </c>
      <c r="I53">
        <v>0</v>
      </c>
      <c r="J53">
        <v>4.13</v>
      </c>
      <c r="K53">
        <v>222</v>
      </c>
    </row>
    <row r="54" spans="1:11" x14ac:dyDescent="0.3">
      <c r="A54">
        <v>4456</v>
      </c>
      <c r="B54" t="s">
        <v>36</v>
      </c>
      <c r="C54" s="1">
        <v>45854</v>
      </c>
      <c r="D54" t="s">
        <v>20</v>
      </c>
      <c r="E54" t="s">
        <v>46</v>
      </c>
      <c r="F54">
        <v>1</v>
      </c>
      <c r="G54">
        <v>12.16</v>
      </c>
      <c r="H54">
        <v>12.16</v>
      </c>
      <c r="I54">
        <v>1.82</v>
      </c>
      <c r="J54">
        <v>10.34</v>
      </c>
      <c r="K54">
        <v>295</v>
      </c>
    </row>
    <row r="55" spans="1:11" x14ac:dyDescent="0.3">
      <c r="A55">
        <v>6155</v>
      </c>
      <c r="B55" t="s">
        <v>31</v>
      </c>
      <c r="C55" s="1">
        <v>45310</v>
      </c>
      <c r="D55" t="s">
        <v>20</v>
      </c>
      <c r="E55" t="s">
        <v>39</v>
      </c>
      <c r="F55">
        <v>5</v>
      </c>
      <c r="G55">
        <v>27.83</v>
      </c>
      <c r="H55">
        <v>139.15</v>
      </c>
      <c r="I55">
        <v>20.87</v>
      </c>
      <c r="J55">
        <v>118.28</v>
      </c>
      <c r="K55">
        <v>275</v>
      </c>
    </row>
    <row r="56" spans="1:11" x14ac:dyDescent="0.3">
      <c r="A56">
        <v>9179</v>
      </c>
      <c r="B56" t="s">
        <v>24</v>
      </c>
      <c r="C56" s="1">
        <v>45452</v>
      </c>
      <c r="D56" t="s">
        <v>15</v>
      </c>
      <c r="E56" t="s">
        <v>21</v>
      </c>
      <c r="F56">
        <v>5</v>
      </c>
      <c r="G56">
        <v>10.09</v>
      </c>
      <c r="H56">
        <v>50.45</v>
      </c>
      <c r="I56">
        <v>0</v>
      </c>
      <c r="J56">
        <v>50.45</v>
      </c>
      <c r="K56">
        <v>434</v>
      </c>
    </row>
    <row r="57" spans="1:11" x14ac:dyDescent="0.3">
      <c r="A57">
        <v>8517</v>
      </c>
      <c r="B57" t="s">
        <v>30</v>
      </c>
      <c r="C57" s="1">
        <v>45255</v>
      </c>
      <c r="D57" t="s">
        <v>38</v>
      </c>
      <c r="E57" t="s">
        <v>37</v>
      </c>
      <c r="F57">
        <v>4</v>
      </c>
      <c r="G57">
        <v>10.45</v>
      </c>
      <c r="H57">
        <v>41.8</v>
      </c>
      <c r="I57">
        <v>1.51</v>
      </c>
      <c r="J57">
        <v>40.29</v>
      </c>
      <c r="K57">
        <v>356</v>
      </c>
    </row>
    <row r="58" spans="1:11" x14ac:dyDescent="0.3">
      <c r="A58">
        <v>5339</v>
      </c>
      <c r="B58" t="s">
        <v>24</v>
      </c>
      <c r="C58" s="1">
        <v>45253</v>
      </c>
      <c r="D58" t="s">
        <v>27</v>
      </c>
      <c r="E58" t="s">
        <v>32</v>
      </c>
      <c r="F58">
        <v>2</v>
      </c>
      <c r="G58">
        <v>18.84</v>
      </c>
      <c r="H58">
        <v>37.68</v>
      </c>
      <c r="I58">
        <v>4.33</v>
      </c>
      <c r="J58">
        <v>33.35</v>
      </c>
      <c r="K58">
        <v>154</v>
      </c>
    </row>
    <row r="59" spans="1:11" x14ac:dyDescent="0.3">
      <c r="A59">
        <v>5040</v>
      </c>
      <c r="B59" t="s">
        <v>30</v>
      </c>
      <c r="C59" s="1">
        <v>45723</v>
      </c>
      <c r="D59" t="s">
        <v>35</v>
      </c>
      <c r="E59" t="s">
        <v>44</v>
      </c>
      <c r="F59">
        <v>4</v>
      </c>
      <c r="G59">
        <v>23.78</v>
      </c>
      <c r="H59">
        <v>95.12</v>
      </c>
      <c r="I59">
        <v>9.51</v>
      </c>
      <c r="J59">
        <v>85.61</v>
      </c>
      <c r="K59">
        <v>310</v>
      </c>
    </row>
    <row r="60" spans="1:11" x14ac:dyDescent="0.3">
      <c r="A60">
        <v>9830</v>
      </c>
      <c r="B60" t="s">
        <v>26</v>
      </c>
      <c r="C60" s="1">
        <v>45349</v>
      </c>
      <c r="D60" t="s">
        <v>45</v>
      </c>
      <c r="E60" t="s">
        <v>44</v>
      </c>
      <c r="F60">
        <v>5</v>
      </c>
      <c r="G60">
        <v>14.71</v>
      </c>
      <c r="H60">
        <v>73.55</v>
      </c>
      <c r="I60">
        <v>0</v>
      </c>
      <c r="J60">
        <v>73.55</v>
      </c>
      <c r="K60">
        <v>461</v>
      </c>
    </row>
    <row r="61" spans="1:11" x14ac:dyDescent="0.3">
      <c r="A61">
        <v>8019</v>
      </c>
      <c r="B61" t="s">
        <v>11</v>
      </c>
      <c r="C61" s="1">
        <v>45842</v>
      </c>
      <c r="D61" t="s">
        <v>35</v>
      </c>
      <c r="E61" t="s">
        <v>46</v>
      </c>
      <c r="F61">
        <v>5</v>
      </c>
      <c r="G61">
        <v>10.71</v>
      </c>
      <c r="H61">
        <v>53.55</v>
      </c>
      <c r="I61">
        <v>0</v>
      </c>
      <c r="J61">
        <v>53.55</v>
      </c>
      <c r="K61">
        <v>419</v>
      </c>
    </row>
    <row r="62" spans="1:11" x14ac:dyDescent="0.3">
      <c r="A62">
        <v>7543</v>
      </c>
      <c r="B62" t="s">
        <v>30</v>
      </c>
      <c r="C62" s="1">
        <v>45426</v>
      </c>
      <c r="D62" t="s">
        <v>17</v>
      </c>
      <c r="E62" t="s">
        <v>44</v>
      </c>
      <c r="F62">
        <v>2</v>
      </c>
      <c r="G62">
        <v>1.7</v>
      </c>
      <c r="H62">
        <v>3.4</v>
      </c>
      <c r="I62">
        <v>4.4000000000000004</v>
      </c>
      <c r="J62">
        <v>-1</v>
      </c>
      <c r="K62">
        <v>125</v>
      </c>
    </row>
    <row r="63" spans="1:11" x14ac:dyDescent="0.3">
      <c r="A63">
        <v>4593</v>
      </c>
      <c r="B63" t="s">
        <v>11</v>
      </c>
      <c r="C63" s="1">
        <v>45252</v>
      </c>
      <c r="D63" t="s">
        <v>45</v>
      </c>
      <c r="E63" t="s">
        <v>16</v>
      </c>
      <c r="F63">
        <v>5</v>
      </c>
      <c r="G63">
        <v>6.63</v>
      </c>
      <c r="H63">
        <v>33.15</v>
      </c>
      <c r="I63">
        <v>3.31</v>
      </c>
      <c r="J63">
        <v>29.84</v>
      </c>
      <c r="K63">
        <v>356</v>
      </c>
    </row>
    <row r="64" spans="1:11" x14ac:dyDescent="0.3">
      <c r="A64">
        <v>9348</v>
      </c>
      <c r="B64" t="s">
        <v>24</v>
      </c>
      <c r="C64" s="1">
        <v>45528</v>
      </c>
      <c r="D64" t="s">
        <v>17</v>
      </c>
      <c r="E64" t="s">
        <v>41</v>
      </c>
      <c r="F64">
        <v>1</v>
      </c>
      <c r="G64">
        <v>26.88</v>
      </c>
      <c r="H64">
        <v>26.88</v>
      </c>
      <c r="I64">
        <v>2.69</v>
      </c>
      <c r="J64">
        <v>24.19</v>
      </c>
      <c r="K64">
        <v>440</v>
      </c>
    </row>
    <row r="65" spans="1:11" x14ac:dyDescent="0.3">
      <c r="A65">
        <v>2489</v>
      </c>
      <c r="B65" t="s">
        <v>42</v>
      </c>
      <c r="C65" s="1">
        <v>45732</v>
      </c>
      <c r="D65" t="s">
        <v>34</v>
      </c>
      <c r="E65" t="s">
        <v>46</v>
      </c>
      <c r="F65">
        <v>4</v>
      </c>
      <c r="G65">
        <v>2.4500000000000002</v>
      </c>
      <c r="H65">
        <v>9.8000000000000007</v>
      </c>
      <c r="I65">
        <v>0.98</v>
      </c>
      <c r="J65">
        <v>8.82</v>
      </c>
      <c r="K65">
        <v>127</v>
      </c>
    </row>
    <row r="66" spans="1:11" x14ac:dyDescent="0.3">
      <c r="A66">
        <v>1771</v>
      </c>
      <c r="B66" t="s">
        <v>19</v>
      </c>
      <c r="C66" s="1">
        <v>45813</v>
      </c>
      <c r="D66" t="s">
        <v>45</v>
      </c>
      <c r="E66" t="s">
        <v>46</v>
      </c>
      <c r="F66">
        <v>5</v>
      </c>
      <c r="G66">
        <v>18.260000000000002</v>
      </c>
      <c r="H66">
        <v>91.3</v>
      </c>
      <c r="I66">
        <v>4.26</v>
      </c>
      <c r="J66">
        <v>87.04</v>
      </c>
      <c r="K66">
        <v>486</v>
      </c>
    </row>
    <row r="67" spans="1:11" x14ac:dyDescent="0.3">
      <c r="A67">
        <v>2796</v>
      </c>
      <c r="B67" t="s">
        <v>14</v>
      </c>
      <c r="C67" s="1">
        <v>45263</v>
      </c>
      <c r="D67" t="s">
        <v>20</v>
      </c>
      <c r="E67" t="s">
        <v>18</v>
      </c>
      <c r="F67">
        <v>4</v>
      </c>
      <c r="G67">
        <v>27.01</v>
      </c>
      <c r="H67">
        <v>108.04</v>
      </c>
      <c r="I67">
        <v>10.8</v>
      </c>
      <c r="J67">
        <v>97.24</v>
      </c>
      <c r="K67">
        <v>380</v>
      </c>
    </row>
    <row r="68" spans="1:11" x14ac:dyDescent="0.3">
      <c r="A68">
        <v>3621</v>
      </c>
      <c r="B68" t="s">
        <v>30</v>
      </c>
      <c r="C68" s="1">
        <v>45760</v>
      </c>
      <c r="D68" t="s">
        <v>17</v>
      </c>
      <c r="E68" t="s">
        <v>13</v>
      </c>
      <c r="F68">
        <v>5</v>
      </c>
      <c r="G68">
        <v>15.04</v>
      </c>
      <c r="H68">
        <v>75.2</v>
      </c>
      <c r="I68">
        <v>7.52</v>
      </c>
      <c r="J68">
        <v>67.680000000000007</v>
      </c>
      <c r="K68">
        <v>122</v>
      </c>
    </row>
    <row r="69" spans="1:11" x14ac:dyDescent="0.3">
      <c r="A69">
        <v>7916</v>
      </c>
      <c r="B69" t="s">
        <v>11</v>
      </c>
      <c r="C69" s="1">
        <v>45608</v>
      </c>
      <c r="D69" t="s">
        <v>35</v>
      </c>
      <c r="E69" t="s">
        <v>25</v>
      </c>
      <c r="F69">
        <v>3</v>
      </c>
      <c r="G69">
        <v>10.73</v>
      </c>
      <c r="H69">
        <v>32.19</v>
      </c>
      <c r="I69">
        <v>6.44</v>
      </c>
      <c r="J69">
        <v>25.75</v>
      </c>
      <c r="K69">
        <v>457</v>
      </c>
    </row>
    <row r="70" spans="1:11" x14ac:dyDescent="0.3">
      <c r="A70">
        <v>2040</v>
      </c>
      <c r="B70" t="s">
        <v>19</v>
      </c>
      <c r="C70" s="1">
        <v>45443</v>
      </c>
      <c r="D70" t="s">
        <v>17</v>
      </c>
      <c r="E70" t="s">
        <v>32</v>
      </c>
      <c r="F70">
        <v>2</v>
      </c>
      <c r="G70">
        <v>21.48</v>
      </c>
      <c r="H70">
        <v>42.96</v>
      </c>
      <c r="I70">
        <v>4.3</v>
      </c>
      <c r="J70">
        <v>38.659999999999997</v>
      </c>
      <c r="K70">
        <v>32</v>
      </c>
    </row>
    <row r="71" spans="1:11" x14ac:dyDescent="0.3">
      <c r="A71">
        <v>7252</v>
      </c>
      <c r="B71" t="s">
        <v>36</v>
      </c>
      <c r="C71" s="1">
        <v>45607</v>
      </c>
      <c r="D71" t="s">
        <v>38</v>
      </c>
      <c r="E71" t="s">
        <v>33</v>
      </c>
      <c r="F71">
        <v>4</v>
      </c>
      <c r="G71">
        <v>2.8</v>
      </c>
      <c r="H71">
        <v>11.2</v>
      </c>
      <c r="I71">
        <v>1.1200000000000001</v>
      </c>
      <c r="J71">
        <v>10.08</v>
      </c>
      <c r="K71">
        <v>426</v>
      </c>
    </row>
    <row r="72" spans="1:11" x14ac:dyDescent="0.3">
      <c r="A72">
        <v>8668</v>
      </c>
      <c r="B72" t="s">
        <v>31</v>
      </c>
      <c r="C72" s="1">
        <v>45555</v>
      </c>
      <c r="D72" t="s">
        <v>28</v>
      </c>
      <c r="E72" t="s">
        <v>32</v>
      </c>
      <c r="F72">
        <v>4</v>
      </c>
      <c r="G72">
        <v>1.1599999999999999</v>
      </c>
      <c r="H72">
        <v>4.6399999999999997</v>
      </c>
      <c r="I72">
        <v>0.46</v>
      </c>
      <c r="J72">
        <v>4.18</v>
      </c>
      <c r="K72">
        <v>180</v>
      </c>
    </row>
    <row r="73" spans="1:11" x14ac:dyDescent="0.3">
      <c r="A73">
        <v>5119</v>
      </c>
      <c r="B73" t="s">
        <v>24</v>
      </c>
      <c r="C73" s="1">
        <v>45574</v>
      </c>
      <c r="D73" t="s">
        <v>38</v>
      </c>
      <c r="E73" t="s">
        <v>18</v>
      </c>
      <c r="F73">
        <v>5</v>
      </c>
      <c r="G73">
        <v>27.03</v>
      </c>
      <c r="H73">
        <v>135.15</v>
      </c>
      <c r="I73">
        <v>20.27</v>
      </c>
      <c r="J73">
        <v>114.88</v>
      </c>
      <c r="K73">
        <v>249</v>
      </c>
    </row>
    <row r="74" spans="1:11" x14ac:dyDescent="0.3">
      <c r="A74">
        <v>1188</v>
      </c>
      <c r="B74" t="s">
        <v>24</v>
      </c>
      <c r="C74" s="1">
        <v>45673</v>
      </c>
      <c r="D74" t="s">
        <v>45</v>
      </c>
      <c r="E74" t="s">
        <v>39</v>
      </c>
      <c r="F74">
        <v>4</v>
      </c>
      <c r="G74">
        <v>10.74</v>
      </c>
      <c r="H74">
        <v>42.96</v>
      </c>
      <c r="I74">
        <v>0</v>
      </c>
      <c r="J74">
        <v>42.96</v>
      </c>
      <c r="K74">
        <v>347</v>
      </c>
    </row>
    <row r="75" spans="1:11" x14ac:dyDescent="0.3">
      <c r="A75">
        <v>2876</v>
      </c>
      <c r="B75" t="s">
        <v>19</v>
      </c>
      <c r="C75" s="1">
        <v>45674</v>
      </c>
      <c r="D75" t="s">
        <v>45</v>
      </c>
      <c r="E75" t="s">
        <v>41</v>
      </c>
      <c r="F75">
        <v>5</v>
      </c>
      <c r="G75">
        <v>16.48</v>
      </c>
      <c r="H75">
        <v>82.4</v>
      </c>
      <c r="I75">
        <v>3.26</v>
      </c>
      <c r="J75">
        <v>79.14</v>
      </c>
      <c r="K75">
        <v>464</v>
      </c>
    </row>
    <row r="76" spans="1:11" x14ac:dyDescent="0.3">
      <c r="A76">
        <v>9797</v>
      </c>
      <c r="B76" t="s">
        <v>31</v>
      </c>
      <c r="C76" s="1">
        <v>45728</v>
      </c>
      <c r="D76" t="s">
        <v>15</v>
      </c>
      <c r="E76" t="s">
        <v>16</v>
      </c>
      <c r="F76">
        <v>2</v>
      </c>
      <c r="G76">
        <v>26.13</v>
      </c>
      <c r="H76">
        <v>52.26</v>
      </c>
      <c r="I76">
        <v>7.84</v>
      </c>
      <c r="J76">
        <v>44.42</v>
      </c>
      <c r="K76">
        <v>93</v>
      </c>
    </row>
    <row r="77" spans="1:11" x14ac:dyDescent="0.3">
      <c r="A77">
        <v>5371</v>
      </c>
      <c r="B77" t="s">
        <v>24</v>
      </c>
      <c r="C77" s="1">
        <v>45741</v>
      </c>
      <c r="D77" t="s">
        <v>22</v>
      </c>
      <c r="E77" t="s">
        <v>44</v>
      </c>
      <c r="F77">
        <v>4</v>
      </c>
      <c r="G77">
        <v>10.47</v>
      </c>
      <c r="H77">
        <v>41.88</v>
      </c>
      <c r="I77">
        <v>6.28</v>
      </c>
      <c r="J77">
        <v>35.6</v>
      </c>
      <c r="K77">
        <v>389</v>
      </c>
    </row>
    <row r="78" spans="1:11" x14ac:dyDescent="0.3">
      <c r="A78">
        <v>6573</v>
      </c>
      <c r="B78" t="s">
        <v>24</v>
      </c>
      <c r="C78" s="1">
        <v>45231</v>
      </c>
      <c r="D78" t="s">
        <v>35</v>
      </c>
      <c r="E78" t="s">
        <v>43</v>
      </c>
      <c r="F78">
        <v>4</v>
      </c>
      <c r="G78">
        <v>1.55</v>
      </c>
      <c r="H78">
        <v>6.2</v>
      </c>
      <c r="I78">
        <v>0.93</v>
      </c>
      <c r="J78">
        <v>5.27</v>
      </c>
      <c r="K78">
        <v>276</v>
      </c>
    </row>
    <row r="79" spans="1:11" x14ac:dyDescent="0.3">
      <c r="A79">
        <v>5808</v>
      </c>
      <c r="B79" t="s">
        <v>42</v>
      </c>
      <c r="C79" s="1">
        <v>45482</v>
      </c>
      <c r="D79" t="s">
        <v>27</v>
      </c>
      <c r="E79" t="s">
        <v>43</v>
      </c>
      <c r="F79">
        <v>1</v>
      </c>
      <c r="G79">
        <v>22.86</v>
      </c>
      <c r="H79">
        <v>22.86</v>
      </c>
      <c r="I79">
        <v>4.57</v>
      </c>
      <c r="J79">
        <v>18.29</v>
      </c>
      <c r="K79">
        <v>486</v>
      </c>
    </row>
    <row r="80" spans="1:11" x14ac:dyDescent="0.3">
      <c r="A80">
        <v>3591</v>
      </c>
      <c r="B80" t="s">
        <v>31</v>
      </c>
      <c r="C80" s="1">
        <v>45497</v>
      </c>
      <c r="D80" t="s">
        <v>28</v>
      </c>
      <c r="E80" t="s">
        <v>41</v>
      </c>
      <c r="F80">
        <v>2</v>
      </c>
      <c r="G80">
        <v>4.6500000000000004</v>
      </c>
      <c r="H80">
        <v>9.3000000000000007</v>
      </c>
      <c r="I80">
        <v>4.79</v>
      </c>
      <c r="J80">
        <v>4.51</v>
      </c>
      <c r="K80">
        <v>342</v>
      </c>
    </row>
    <row r="81" spans="1:11" x14ac:dyDescent="0.3">
      <c r="A81">
        <v>1053</v>
      </c>
      <c r="B81" t="s">
        <v>26</v>
      </c>
      <c r="C81" s="1">
        <v>45705</v>
      </c>
      <c r="D81" t="s">
        <v>35</v>
      </c>
      <c r="E81" t="s">
        <v>23</v>
      </c>
      <c r="F81">
        <v>2</v>
      </c>
      <c r="G81">
        <v>18.559999999999999</v>
      </c>
      <c r="H81">
        <v>37.119999999999997</v>
      </c>
      <c r="I81">
        <v>7.42</v>
      </c>
      <c r="J81">
        <v>29.7</v>
      </c>
      <c r="K81">
        <v>493</v>
      </c>
    </row>
    <row r="82" spans="1:11" x14ac:dyDescent="0.3">
      <c r="A82">
        <v>5315</v>
      </c>
      <c r="B82" t="s">
        <v>30</v>
      </c>
      <c r="C82" s="1">
        <v>45533</v>
      </c>
      <c r="D82" t="s">
        <v>15</v>
      </c>
      <c r="E82" t="s">
        <v>39</v>
      </c>
      <c r="F82">
        <v>3</v>
      </c>
      <c r="G82">
        <v>17.690000000000001</v>
      </c>
      <c r="H82">
        <v>53.07</v>
      </c>
      <c r="I82">
        <v>5.31</v>
      </c>
      <c r="J82">
        <v>47.76</v>
      </c>
      <c r="K82">
        <v>464</v>
      </c>
    </row>
    <row r="83" spans="1:11" x14ac:dyDescent="0.3">
      <c r="A83">
        <v>3927</v>
      </c>
      <c r="B83" t="s">
        <v>42</v>
      </c>
      <c r="C83" s="1">
        <v>45539</v>
      </c>
      <c r="D83" t="s">
        <v>15</v>
      </c>
      <c r="E83" t="s">
        <v>25</v>
      </c>
      <c r="F83">
        <v>1</v>
      </c>
      <c r="G83">
        <v>21.21</v>
      </c>
      <c r="H83">
        <v>21.21</v>
      </c>
      <c r="I83">
        <v>4.13</v>
      </c>
      <c r="J83">
        <v>17.079999999999998</v>
      </c>
      <c r="K83">
        <v>154</v>
      </c>
    </row>
    <row r="84" spans="1:11" x14ac:dyDescent="0.3">
      <c r="A84">
        <v>2743</v>
      </c>
      <c r="B84" t="s">
        <v>36</v>
      </c>
      <c r="C84" s="1">
        <v>45821</v>
      </c>
      <c r="D84" t="s">
        <v>38</v>
      </c>
      <c r="E84" t="s">
        <v>16</v>
      </c>
      <c r="F84">
        <v>3</v>
      </c>
      <c r="G84">
        <v>2.99</v>
      </c>
      <c r="H84">
        <v>8.9700000000000006</v>
      </c>
      <c r="I84">
        <v>4.4000000000000004</v>
      </c>
      <c r="J84">
        <v>4.57</v>
      </c>
      <c r="K84">
        <v>331</v>
      </c>
    </row>
    <row r="85" spans="1:11" x14ac:dyDescent="0.3">
      <c r="A85">
        <v>5889</v>
      </c>
      <c r="B85" t="s">
        <v>26</v>
      </c>
      <c r="C85" s="1">
        <v>45798</v>
      </c>
      <c r="D85" t="s">
        <v>15</v>
      </c>
      <c r="E85" t="s">
        <v>16</v>
      </c>
      <c r="F85">
        <v>3</v>
      </c>
      <c r="G85">
        <v>19.420000000000002</v>
      </c>
      <c r="H85">
        <v>58.26</v>
      </c>
      <c r="I85">
        <v>0</v>
      </c>
      <c r="J85">
        <v>58.26</v>
      </c>
      <c r="K85">
        <v>424</v>
      </c>
    </row>
    <row r="86" spans="1:11" x14ac:dyDescent="0.3">
      <c r="A86">
        <v>9317</v>
      </c>
      <c r="B86" t="s">
        <v>19</v>
      </c>
      <c r="C86" s="1">
        <v>45618</v>
      </c>
      <c r="D86" t="s">
        <v>20</v>
      </c>
      <c r="E86" t="s">
        <v>29</v>
      </c>
      <c r="F86">
        <v>5</v>
      </c>
      <c r="G86">
        <v>28.99</v>
      </c>
      <c r="H86">
        <v>144.94999999999999</v>
      </c>
      <c r="I86">
        <v>14.49</v>
      </c>
      <c r="J86">
        <v>130.46</v>
      </c>
      <c r="K86">
        <v>138</v>
      </c>
    </row>
    <row r="87" spans="1:11" x14ac:dyDescent="0.3">
      <c r="A87">
        <v>4258</v>
      </c>
      <c r="B87" t="s">
        <v>24</v>
      </c>
      <c r="C87" s="1">
        <v>45263</v>
      </c>
      <c r="D87" t="s">
        <v>28</v>
      </c>
      <c r="E87" t="s">
        <v>13</v>
      </c>
      <c r="F87">
        <v>3</v>
      </c>
      <c r="G87">
        <v>25.69</v>
      </c>
      <c r="H87">
        <v>77.069999999999993</v>
      </c>
      <c r="I87">
        <v>11.56</v>
      </c>
      <c r="J87">
        <v>65.510000000000005</v>
      </c>
      <c r="K87">
        <v>425</v>
      </c>
    </row>
    <row r="88" spans="1:11" x14ac:dyDescent="0.3">
      <c r="A88">
        <v>7126</v>
      </c>
      <c r="B88" t="s">
        <v>26</v>
      </c>
      <c r="C88" s="1">
        <v>45737</v>
      </c>
      <c r="D88" t="s">
        <v>17</v>
      </c>
      <c r="E88" t="s">
        <v>33</v>
      </c>
      <c r="F88">
        <v>5</v>
      </c>
      <c r="G88">
        <v>18.690000000000001</v>
      </c>
      <c r="H88">
        <v>93.45</v>
      </c>
      <c r="I88">
        <v>2.98</v>
      </c>
      <c r="J88">
        <v>90.47</v>
      </c>
      <c r="K88">
        <v>194</v>
      </c>
    </row>
    <row r="89" spans="1:11" x14ac:dyDescent="0.3">
      <c r="A89">
        <v>3646</v>
      </c>
      <c r="B89" t="s">
        <v>36</v>
      </c>
      <c r="C89" s="1">
        <v>45563</v>
      </c>
      <c r="D89" t="s">
        <v>34</v>
      </c>
      <c r="E89" t="s">
        <v>47</v>
      </c>
      <c r="F89">
        <v>2</v>
      </c>
      <c r="G89">
        <v>11.28</v>
      </c>
      <c r="H89">
        <v>22.56</v>
      </c>
      <c r="I89">
        <v>3.38</v>
      </c>
      <c r="J89">
        <v>19.18</v>
      </c>
      <c r="K89">
        <v>132</v>
      </c>
    </row>
    <row r="90" spans="1:11" x14ac:dyDescent="0.3">
      <c r="A90">
        <v>9689</v>
      </c>
      <c r="B90" t="s">
        <v>30</v>
      </c>
      <c r="C90" s="1">
        <v>45858</v>
      </c>
      <c r="D90" t="s">
        <v>38</v>
      </c>
      <c r="E90" t="s">
        <v>39</v>
      </c>
      <c r="F90">
        <v>5</v>
      </c>
      <c r="G90">
        <v>28.48</v>
      </c>
      <c r="H90">
        <v>142.4</v>
      </c>
      <c r="I90">
        <v>0</v>
      </c>
      <c r="J90">
        <v>142.4</v>
      </c>
      <c r="K90">
        <v>43</v>
      </c>
    </row>
    <row r="91" spans="1:11" x14ac:dyDescent="0.3">
      <c r="A91">
        <v>1009</v>
      </c>
      <c r="B91" t="s">
        <v>24</v>
      </c>
      <c r="C91" s="1">
        <v>45610</v>
      </c>
      <c r="D91" t="s">
        <v>45</v>
      </c>
      <c r="E91" t="s">
        <v>18</v>
      </c>
      <c r="F91">
        <v>2</v>
      </c>
      <c r="G91">
        <v>21.02</v>
      </c>
      <c r="H91">
        <v>42.04</v>
      </c>
      <c r="I91">
        <v>4.2</v>
      </c>
      <c r="J91">
        <v>37.840000000000003</v>
      </c>
      <c r="K91">
        <v>330</v>
      </c>
    </row>
    <row r="92" spans="1:11" x14ac:dyDescent="0.3">
      <c r="A92">
        <v>6310</v>
      </c>
      <c r="B92" t="s">
        <v>31</v>
      </c>
      <c r="C92" s="1">
        <v>45524</v>
      </c>
      <c r="D92" t="s">
        <v>15</v>
      </c>
      <c r="E92" t="s">
        <v>37</v>
      </c>
      <c r="F92">
        <v>2</v>
      </c>
      <c r="G92">
        <v>12.72</v>
      </c>
      <c r="H92">
        <v>25.44</v>
      </c>
      <c r="I92">
        <v>0</v>
      </c>
      <c r="J92">
        <v>25.44</v>
      </c>
      <c r="K92">
        <v>124</v>
      </c>
    </row>
    <row r="93" spans="1:11" x14ac:dyDescent="0.3">
      <c r="A93">
        <v>1319</v>
      </c>
      <c r="B93" t="s">
        <v>36</v>
      </c>
      <c r="C93" s="1">
        <v>45231</v>
      </c>
      <c r="D93" t="s">
        <v>45</v>
      </c>
      <c r="E93" t="s">
        <v>18</v>
      </c>
      <c r="F93">
        <v>5</v>
      </c>
      <c r="G93">
        <v>10.96</v>
      </c>
      <c r="H93">
        <v>54.8</v>
      </c>
      <c r="I93">
        <v>8.2200000000000006</v>
      </c>
      <c r="J93">
        <v>46.58</v>
      </c>
      <c r="K93">
        <v>381</v>
      </c>
    </row>
    <row r="94" spans="1:11" x14ac:dyDescent="0.3">
      <c r="A94">
        <v>6947</v>
      </c>
      <c r="B94" t="s">
        <v>26</v>
      </c>
      <c r="C94" s="1">
        <v>45827</v>
      </c>
      <c r="D94" t="s">
        <v>35</v>
      </c>
      <c r="E94" t="s">
        <v>37</v>
      </c>
      <c r="F94">
        <v>3</v>
      </c>
      <c r="G94">
        <v>7.68</v>
      </c>
      <c r="H94">
        <v>23.04</v>
      </c>
      <c r="I94">
        <v>3.46</v>
      </c>
      <c r="J94">
        <v>19.579999999999998</v>
      </c>
      <c r="K94">
        <v>369</v>
      </c>
    </row>
    <row r="95" spans="1:11" x14ac:dyDescent="0.3">
      <c r="A95">
        <v>6038</v>
      </c>
      <c r="B95" t="s">
        <v>11</v>
      </c>
      <c r="C95" s="1">
        <v>45330</v>
      </c>
      <c r="D95" t="s">
        <v>38</v>
      </c>
      <c r="E95" t="s">
        <v>29</v>
      </c>
      <c r="F95">
        <v>2</v>
      </c>
      <c r="G95">
        <v>7.27</v>
      </c>
      <c r="H95">
        <v>14.54</v>
      </c>
      <c r="I95">
        <v>0</v>
      </c>
      <c r="J95">
        <v>14.54</v>
      </c>
      <c r="K95">
        <v>247</v>
      </c>
    </row>
    <row r="96" spans="1:11" x14ac:dyDescent="0.3">
      <c r="A96">
        <v>1949</v>
      </c>
      <c r="B96" t="s">
        <v>14</v>
      </c>
      <c r="C96" s="1">
        <v>45332</v>
      </c>
      <c r="D96" t="s">
        <v>28</v>
      </c>
      <c r="E96" t="s">
        <v>37</v>
      </c>
      <c r="F96">
        <v>1</v>
      </c>
      <c r="G96">
        <v>25.14</v>
      </c>
      <c r="H96">
        <v>25.14</v>
      </c>
      <c r="I96">
        <v>3.77</v>
      </c>
      <c r="J96">
        <v>21.37</v>
      </c>
      <c r="K96">
        <v>151</v>
      </c>
    </row>
    <row r="97" spans="1:11" x14ac:dyDescent="0.3">
      <c r="A97">
        <v>2290</v>
      </c>
      <c r="B97" t="s">
        <v>19</v>
      </c>
      <c r="C97" s="1">
        <v>45211</v>
      </c>
      <c r="D97" t="s">
        <v>35</v>
      </c>
      <c r="E97" t="s">
        <v>39</v>
      </c>
      <c r="F97">
        <v>5</v>
      </c>
      <c r="G97">
        <v>4.66</v>
      </c>
      <c r="H97">
        <v>23.3</v>
      </c>
      <c r="I97">
        <v>2.17</v>
      </c>
      <c r="J97">
        <v>21.13</v>
      </c>
      <c r="K97">
        <v>23</v>
      </c>
    </row>
    <row r="98" spans="1:11" x14ac:dyDescent="0.3">
      <c r="A98">
        <v>8962</v>
      </c>
      <c r="B98" t="s">
        <v>19</v>
      </c>
      <c r="C98" s="1">
        <v>45778</v>
      </c>
      <c r="D98" t="s">
        <v>27</v>
      </c>
      <c r="E98" t="s">
        <v>47</v>
      </c>
      <c r="F98">
        <v>1</v>
      </c>
      <c r="G98">
        <v>26.3</v>
      </c>
      <c r="H98">
        <v>26.3</v>
      </c>
      <c r="I98">
        <v>2.63</v>
      </c>
      <c r="J98">
        <v>23.67</v>
      </c>
      <c r="K98">
        <v>293</v>
      </c>
    </row>
    <row r="99" spans="1:11" x14ac:dyDescent="0.3">
      <c r="A99">
        <v>2133</v>
      </c>
      <c r="B99" t="s">
        <v>26</v>
      </c>
      <c r="C99" s="1">
        <v>45735</v>
      </c>
      <c r="D99" t="s">
        <v>45</v>
      </c>
      <c r="E99" t="s">
        <v>21</v>
      </c>
      <c r="F99">
        <v>2</v>
      </c>
      <c r="G99">
        <v>28.99</v>
      </c>
      <c r="H99">
        <v>57.98</v>
      </c>
      <c r="I99">
        <v>4.29</v>
      </c>
      <c r="J99">
        <v>53.69</v>
      </c>
      <c r="K99">
        <v>129</v>
      </c>
    </row>
    <row r="100" spans="1:11" x14ac:dyDescent="0.3">
      <c r="A100">
        <v>9727</v>
      </c>
      <c r="B100" t="s">
        <v>24</v>
      </c>
      <c r="C100" s="1">
        <v>45739</v>
      </c>
      <c r="D100" t="s">
        <v>45</v>
      </c>
      <c r="E100" t="s">
        <v>43</v>
      </c>
      <c r="F100">
        <v>5</v>
      </c>
      <c r="G100">
        <v>19.239999999999998</v>
      </c>
      <c r="H100">
        <v>96.2</v>
      </c>
      <c r="I100">
        <v>19.239999999999998</v>
      </c>
      <c r="J100">
        <v>76.959999999999994</v>
      </c>
      <c r="K100">
        <v>27</v>
      </c>
    </row>
    <row r="101" spans="1:11" x14ac:dyDescent="0.3">
      <c r="A101">
        <v>3060</v>
      </c>
      <c r="B101" t="s">
        <v>30</v>
      </c>
      <c r="C101" s="1">
        <v>45244</v>
      </c>
      <c r="D101" t="s">
        <v>15</v>
      </c>
      <c r="E101" t="s">
        <v>25</v>
      </c>
      <c r="F101">
        <v>1</v>
      </c>
      <c r="G101">
        <v>17.170000000000002</v>
      </c>
      <c r="H101">
        <v>17.170000000000002</v>
      </c>
      <c r="I101">
        <v>2.52</v>
      </c>
      <c r="J101">
        <v>14.65</v>
      </c>
      <c r="K101">
        <v>213</v>
      </c>
    </row>
    <row r="102" spans="1:11" x14ac:dyDescent="0.3">
      <c r="A102">
        <v>8787</v>
      </c>
      <c r="B102" t="s">
        <v>26</v>
      </c>
      <c r="C102" s="1">
        <v>45572</v>
      </c>
      <c r="D102" t="s">
        <v>35</v>
      </c>
      <c r="E102" t="s">
        <v>16</v>
      </c>
      <c r="F102">
        <v>3</v>
      </c>
      <c r="G102">
        <v>17.48</v>
      </c>
      <c r="H102">
        <v>52.44</v>
      </c>
      <c r="I102">
        <v>10.49</v>
      </c>
      <c r="J102">
        <v>41.95</v>
      </c>
      <c r="K102">
        <v>30</v>
      </c>
    </row>
    <row r="103" spans="1:11" x14ac:dyDescent="0.3">
      <c r="A103">
        <v>3705</v>
      </c>
      <c r="B103" t="s">
        <v>42</v>
      </c>
      <c r="C103" s="1">
        <v>45350</v>
      </c>
      <c r="D103" t="s">
        <v>35</v>
      </c>
      <c r="E103" t="s">
        <v>43</v>
      </c>
      <c r="F103">
        <v>2</v>
      </c>
      <c r="G103">
        <v>7.95</v>
      </c>
      <c r="H103">
        <v>15.9</v>
      </c>
      <c r="I103">
        <v>3.18</v>
      </c>
      <c r="J103">
        <v>12.72</v>
      </c>
      <c r="K103">
        <v>282</v>
      </c>
    </row>
    <row r="104" spans="1:11" x14ac:dyDescent="0.3">
      <c r="A104">
        <v>9645</v>
      </c>
      <c r="B104" t="s">
        <v>31</v>
      </c>
      <c r="C104" s="1">
        <v>45822</v>
      </c>
      <c r="D104" t="s">
        <v>20</v>
      </c>
      <c r="E104" t="s">
        <v>33</v>
      </c>
      <c r="F104">
        <v>5</v>
      </c>
      <c r="G104">
        <v>14.62</v>
      </c>
      <c r="H104">
        <v>73.099999999999994</v>
      </c>
      <c r="I104">
        <v>10.96</v>
      </c>
      <c r="J104">
        <v>62.14</v>
      </c>
      <c r="K104">
        <v>16</v>
      </c>
    </row>
    <row r="105" spans="1:11" x14ac:dyDescent="0.3">
      <c r="A105">
        <v>7932</v>
      </c>
      <c r="B105" t="s">
        <v>30</v>
      </c>
      <c r="C105" s="1">
        <v>45309</v>
      </c>
      <c r="D105" t="s">
        <v>45</v>
      </c>
      <c r="E105" t="s">
        <v>43</v>
      </c>
      <c r="F105">
        <v>2</v>
      </c>
      <c r="G105">
        <v>27.78</v>
      </c>
      <c r="H105">
        <v>55.56</v>
      </c>
      <c r="I105">
        <v>5.56</v>
      </c>
      <c r="J105">
        <v>50</v>
      </c>
      <c r="K105">
        <v>403</v>
      </c>
    </row>
    <row r="106" spans="1:11" x14ac:dyDescent="0.3">
      <c r="A106">
        <v>9835</v>
      </c>
      <c r="B106" t="s">
        <v>11</v>
      </c>
      <c r="C106" s="1">
        <v>45731</v>
      </c>
      <c r="D106" t="s">
        <v>38</v>
      </c>
      <c r="E106" t="s">
        <v>25</v>
      </c>
      <c r="F106">
        <v>2</v>
      </c>
      <c r="G106">
        <v>27.33</v>
      </c>
      <c r="H106">
        <v>54.66</v>
      </c>
      <c r="I106">
        <v>1.24</v>
      </c>
      <c r="J106">
        <v>53.42</v>
      </c>
      <c r="K106">
        <v>423</v>
      </c>
    </row>
    <row r="107" spans="1:11" x14ac:dyDescent="0.3">
      <c r="A107">
        <v>4295</v>
      </c>
      <c r="B107" t="s">
        <v>30</v>
      </c>
      <c r="C107" s="1">
        <v>45698</v>
      </c>
      <c r="D107" t="s">
        <v>28</v>
      </c>
      <c r="E107" t="s">
        <v>37</v>
      </c>
      <c r="F107">
        <v>4</v>
      </c>
      <c r="G107">
        <v>4.5999999999999996</v>
      </c>
      <c r="H107">
        <v>18.399999999999999</v>
      </c>
      <c r="I107">
        <v>0</v>
      </c>
      <c r="J107">
        <v>18.399999999999999</v>
      </c>
      <c r="K107">
        <v>352</v>
      </c>
    </row>
    <row r="108" spans="1:11" x14ac:dyDescent="0.3">
      <c r="A108">
        <v>6107</v>
      </c>
      <c r="B108" t="s">
        <v>24</v>
      </c>
      <c r="C108" s="1">
        <v>45454</v>
      </c>
      <c r="D108" t="s">
        <v>35</v>
      </c>
      <c r="E108" t="s">
        <v>46</v>
      </c>
      <c r="F108">
        <v>5</v>
      </c>
      <c r="G108">
        <v>15.31</v>
      </c>
      <c r="H108">
        <v>76.55</v>
      </c>
      <c r="I108">
        <v>7.66</v>
      </c>
      <c r="J108">
        <v>68.89</v>
      </c>
      <c r="K108">
        <v>41</v>
      </c>
    </row>
    <row r="109" spans="1:11" x14ac:dyDescent="0.3">
      <c r="A109">
        <v>7118</v>
      </c>
      <c r="B109" t="s">
        <v>36</v>
      </c>
      <c r="C109" s="1">
        <v>45485</v>
      </c>
      <c r="D109" t="s">
        <v>28</v>
      </c>
      <c r="E109" t="s">
        <v>13</v>
      </c>
      <c r="F109">
        <v>1</v>
      </c>
      <c r="G109">
        <v>3.64</v>
      </c>
      <c r="H109">
        <v>3.64</v>
      </c>
      <c r="I109">
        <v>0</v>
      </c>
      <c r="J109">
        <v>3.64</v>
      </c>
      <c r="K109">
        <v>492</v>
      </c>
    </row>
    <row r="110" spans="1:11" x14ac:dyDescent="0.3">
      <c r="A110">
        <v>9479</v>
      </c>
      <c r="B110" t="s">
        <v>30</v>
      </c>
      <c r="C110" s="1">
        <v>45495</v>
      </c>
      <c r="D110" t="s">
        <v>28</v>
      </c>
      <c r="E110" t="s">
        <v>40</v>
      </c>
      <c r="F110">
        <v>2</v>
      </c>
      <c r="G110">
        <v>14.63</v>
      </c>
      <c r="H110">
        <v>29.26</v>
      </c>
      <c r="I110">
        <v>4.3899999999999997</v>
      </c>
      <c r="J110">
        <v>24.87</v>
      </c>
      <c r="K110">
        <v>333</v>
      </c>
    </row>
    <row r="111" spans="1:11" x14ac:dyDescent="0.3">
      <c r="A111">
        <v>2982</v>
      </c>
      <c r="B111" t="s">
        <v>19</v>
      </c>
      <c r="C111" s="1">
        <v>45337</v>
      </c>
      <c r="D111" t="s">
        <v>28</v>
      </c>
      <c r="E111" t="s">
        <v>16</v>
      </c>
      <c r="F111">
        <v>4</v>
      </c>
      <c r="G111">
        <v>29.09</v>
      </c>
      <c r="H111">
        <v>116.36</v>
      </c>
      <c r="I111">
        <v>11.64</v>
      </c>
      <c r="J111">
        <v>104.72</v>
      </c>
      <c r="K111">
        <v>240</v>
      </c>
    </row>
    <row r="112" spans="1:11" x14ac:dyDescent="0.3">
      <c r="A112">
        <v>4681</v>
      </c>
      <c r="B112" t="s">
        <v>36</v>
      </c>
      <c r="C112" s="1">
        <v>45194</v>
      </c>
      <c r="D112" t="s">
        <v>22</v>
      </c>
      <c r="E112" t="s">
        <v>48</v>
      </c>
      <c r="F112">
        <v>2</v>
      </c>
      <c r="G112">
        <v>10.55</v>
      </c>
      <c r="H112">
        <v>21.1</v>
      </c>
      <c r="I112">
        <v>3.17</v>
      </c>
      <c r="J112">
        <v>17.93</v>
      </c>
      <c r="K112">
        <v>355</v>
      </c>
    </row>
    <row r="113" spans="1:11" x14ac:dyDescent="0.3">
      <c r="A113">
        <v>6539</v>
      </c>
      <c r="B113" t="s">
        <v>24</v>
      </c>
      <c r="C113" s="1">
        <v>45161</v>
      </c>
      <c r="D113" t="s">
        <v>38</v>
      </c>
      <c r="E113" t="s">
        <v>40</v>
      </c>
      <c r="F113">
        <v>4</v>
      </c>
      <c r="G113">
        <v>3.54</v>
      </c>
      <c r="H113">
        <v>14.16</v>
      </c>
      <c r="I113">
        <v>4.88</v>
      </c>
      <c r="J113">
        <v>9.2799999999999994</v>
      </c>
      <c r="K113">
        <v>129</v>
      </c>
    </row>
    <row r="114" spans="1:11" x14ac:dyDescent="0.3">
      <c r="A114">
        <v>4770</v>
      </c>
      <c r="B114" t="s">
        <v>24</v>
      </c>
      <c r="C114" s="1">
        <v>45602</v>
      </c>
      <c r="D114" t="s">
        <v>38</v>
      </c>
      <c r="E114" t="s">
        <v>39</v>
      </c>
      <c r="F114">
        <v>5</v>
      </c>
      <c r="G114">
        <v>14.39</v>
      </c>
      <c r="H114">
        <v>71.95</v>
      </c>
      <c r="I114">
        <v>2.4500000000000002</v>
      </c>
      <c r="J114">
        <v>69.5</v>
      </c>
      <c r="K114">
        <v>27</v>
      </c>
    </row>
    <row r="115" spans="1:11" x14ac:dyDescent="0.3">
      <c r="A115">
        <v>4608</v>
      </c>
      <c r="B115" t="s">
        <v>26</v>
      </c>
      <c r="C115" s="1">
        <v>45150</v>
      </c>
      <c r="D115" t="s">
        <v>27</v>
      </c>
      <c r="E115" t="s">
        <v>33</v>
      </c>
      <c r="F115">
        <v>1</v>
      </c>
      <c r="G115">
        <v>6.89</v>
      </c>
      <c r="H115">
        <v>6.89</v>
      </c>
      <c r="I115">
        <v>1.03</v>
      </c>
      <c r="J115">
        <v>5.86</v>
      </c>
      <c r="K115">
        <v>281</v>
      </c>
    </row>
    <row r="116" spans="1:11" x14ac:dyDescent="0.3">
      <c r="A116">
        <v>2163</v>
      </c>
      <c r="B116" t="s">
        <v>26</v>
      </c>
      <c r="C116" s="1">
        <v>45694</v>
      </c>
      <c r="D116" t="s">
        <v>45</v>
      </c>
      <c r="E116" t="s">
        <v>48</v>
      </c>
      <c r="F116">
        <v>1</v>
      </c>
      <c r="G116">
        <v>29.21</v>
      </c>
      <c r="H116">
        <v>29.21</v>
      </c>
      <c r="I116">
        <v>0</v>
      </c>
      <c r="J116">
        <v>29.21</v>
      </c>
      <c r="K116">
        <v>311</v>
      </c>
    </row>
    <row r="117" spans="1:11" x14ac:dyDescent="0.3">
      <c r="A117">
        <v>1964</v>
      </c>
      <c r="B117" t="s">
        <v>19</v>
      </c>
      <c r="C117" s="1">
        <v>45322</v>
      </c>
      <c r="D117" t="s">
        <v>35</v>
      </c>
      <c r="E117" t="s">
        <v>18</v>
      </c>
      <c r="F117">
        <v>1</v>
      </c>
      <c r="G117">
        <v>17.010000000000002</v>
      </c>
      <c r="H117">
        <v>17.010000000000002</v>
      </c>
      <c r="I117">
        <v>2.85</v>
      </c>
      <c r="J117">
        <v>14.16</v>
      </c>
      <c r="K117">
        <v>47</v>
      </c>
    </row>
    <row r="118" spans="1:11" x14ac:dyDescent="0.3">
      <c r="A118">
        <v>2104</v>
      </c>
      <c r="B118" t="s">
        <v>11</v>
      </c>
      <c r="C118" s="1">
        <v>45848</v>
      </c>
      <c r="D118" t="s">
        <v>27</v>
      </c>
      <c r="E118" t="s">
        <v>41</v>
      </c>
      <c r="F118">
        <v>4</v>
      </c>
      <c r="G118">
        <v>28.04</v>
      </c>
      <c r="H118">
        <v>112.16</v>
      </c>
      <c r="I118">
        <v>11.22</v>
      </c>
      <c r="J118">
        <v>100.94</v>
      </c>
      <c r="K118">
        <v>149</v>
      </c>
    </row>
    <row r="119" spans="1:11" x14ac:dyDescent="0.3">
      <c r="A119">
        <v>1514</v>
      </c>
      <c r="B119" t="s">
        <v>26</v>
      </c>
      <c r="C119" s="1">
        <v>45812</v>
      </c>
      <c r="D119" t="s">
        <v>45</v>
      </c>
      <c r="E119" t="s">
        <v>25</v>
      </c>
      <c r="F119">
        <v>4</v>
      </c>
      <c r="G119">
        <v>16.98</v>
      </c>
      <c r="H119">
        <v>67.92</v>
      </c>
      <c r="I119">
        <v>3.03</v>
      </c>
      <c r="J119">
        <v>64.89</v>
      </c>
      <c r="K119">
        <v>196</v>
      </c>
    </row>
    <row r="120" spans="1:11" x14ac:dyDescent="0.3">
      <c r="A120">
        <v>6413</v>
      </c>
      <c r="B120" t="s">
        <v>19</v>
      </c>
      <c r="C120" s="1">
        <v>45200</v>
      </c>
      <c r="D120" t="s">
        <v>15</v>
      </c>
      <c r="E120" t="s">
        <v>13</v>
      </c>
      <c r="F120">
        <v>4</v>
      </c>
      <c r="G120">
        <v>10.85</v>
      </c>
      <c r="H120">
        <v>43.4</v>
      </c>
      <c r="I120">
        <v>2.13</v>
      </c>
      <c r="J120">
        <v>41.27</v>
      </c>
      <c r="K120">
        <v>403</v>
      </c>
    </row>
    <row r="121" spans="1:11" x14ac:dyDescent="0.3">
      <c r="A121">
        <v>9423</v>
      </c>
      <c r="B121" t="s">
        <v>30</v>
      </c>
      <c r="C121" s="1">
        <v>45329</v>
      </c>
      <c r="D121" t="s">
        <v>28</v>
      </c>
      <c r="E121" t="s">
        <v>47</v>
      </c>
      <c r="F121">
        <v>2</v>
      </c>
      <c r="G121">
        <v>13.94</v>
      </c>
      <c r="H121">
        <v>27.88</v>
      </c>
      <c r="I121">
        <v>4.18</v>
      </c>
      <c r="J121">
        <v>23.7</v>
      </c>
      <c r="K121">
        <v>247</v>
      </c>
    </row>
    <row r="122" spans="1:11" x14ac:dyDescent="0.3">
      <c r="A122">
        <v>5562</v>
      </c>
      <c r="B122" t="s">
        <v>14</v>
      </c>
      <c r="C122" s="1">
        <v>45664</v>
      </c>
      <c r="D122" t="s">
        <v>38</v>
      </c>
      <c r="E122" t="s">
        <v>32</v>
      </c>
      <c r="F122">
        <v>4</v>
      </c>
      <c r="G122">
        <v>28.04</v>
      </c>
      <c r="H122">
        <v>112.16</v>
      </c>
      <c r="I122">
        <v>0</v>
      </c>
      <c r="J122">
        <v>112.16</v>
      </c>
      <c r="K122">
        <v>445</v>
      </c>
    </row>
    <row r="123" spans="1:11" x14ac:dyDescent="0.3">
      <c r="A123">
        <v>8953</v>
      </c>
      <c r="B123" t="s">
        <v>42</v>
      </c>
      <c r="C123" s="1">
        <v>45311</v>
      </c>
      <c r="D123" t="s">
        <v>28</v>
      </c>
      <c r="E123" t="s">
        <v>32</v>
      </c>
      <c r="F123">
        <v>2</v>
      </c>
      <c r="G123">
        <v>25.81</v>
      </c>
      <c r="H123">
        <v>51.62</v>
      </c>
      <c r="I123">
        <v>7.74</v>
      </c>
      <c r="J123">
        <v>43.88</v>
      </c>
      <c r="K123">
        <v>210</v>
      </c>
    </row>
    <row r="124" spans="1:11" x14ac:dyDescent="0.3">
      <c r="A124">
        <v>9834</v>
      </c>
      <c r="B124" t="s">
        <v>26</v>
      </c>
      <c r="C124" s="1">
        <v>45247</v>
      </c>
      <c r="D124" t="s">
        <v>20</v>
      </c>
      <c r="E124" t="s">
        <v>32</v>
      </c>
      <c r="F124">
        <v>2</v>
      </c>
      <c r="G124">
        <v>15.35</v>
      </c>
      <c r="H124">
        <v>30.7</v>
      </c>
      <c r="I124">
        <v>4.8600000000000003</v>
      </c>
      <c r="J124">
        <v>25.84</v>
      </c>
      <c r="K124">
        <v>18</v>
      </c>
    </row>
    <row r="125" spans="1:11" x14ac:dyDescent="0.3">
      <c r="A125">
        <v>8744</v>
      </c>
      <c r="B125" t="s">
        <v>36</v>
      </c>
      <c r="C125" s="1">
        <v>45333</v>
      </c>
      <c r="D125" t="s">
        <v>15</v>
      </c>
      <c r="E125" t="s">
        <v>33</v>
      </c>
      <c r="F125">
        <v>1</v>
      </c>
      <c r="G125">
        <v>16.239999999999998</v>
      </c>
      <c r="H125">
        <v>16.239999999999998</v>
      </c>
      <c r="I125">
        <v>0</v>
      </c>
      <c r="J125">
        <v>16.239999999999998</v>
      </c>
      <c r="K125">
        <v>233</v>
      </c>
    </row>
    <row r="126" spans="1:11" x14ac:dyDescent="0.3">
      <c r="A126">
        <v>8749</v>
      </c>
      <c r="B126" t="s">
        <v>19</v>
      </c>
      <c r="C126" s="1">
        <v>45772</v>
      </c>
      <c r="D126" t="s">
        <v>20</v>
      </c>
      <c r="E126" t="s">
        <v>41</v>
      </c>
      <c r="F126">
        <v>1</v>
      </c>
      <c r="G126">
        <v>14.61</v>
      </c>
      <c r="H126">
        <v>14.61</v>
      </c>
      <c r="I126">
        <v>2.19</v>
      </c>
      <c r="J126">
        <v>12.42</v>
      </c>
      <c r="K126">
        <v>496</v>
      </c>
    </row>
    <row r="127" spans="1:11" x14ac:dyDescent="0.3">
      <c r="A127">
        <v>7669</v>
      </c>
      <c r="B127" t="s">
        <v>24</v>
      </c>
      <c r="C127" s="1">
        <v>45292</v>
      </c>
      <c r="D127" t="s">
        <v>27</v>
      </c>
      <c r="E127" t="s">
        <v>43</v>
      </c>
      <c r="F127">
        <v>3</v>
      </c>
      <c r="G127">
        <v>25.71</v>
      </c>
      <c r="H127">
        <v>77.13</v>
      </c>
      <c r="I127">
        <v>11.57</v>
      </c>
      <c r="J127">
        <v>65.56</v>
      </c>
      <c r="K127">
        <v>439</v>
      </c>
    </row>
    <row r="128" spans="1:11" x14ac:dyDescent="0.3">
      <c r="A128">
        <v>2545</v>
      </c>
      <c r="B128" t="s">
        <v>26</v>
      </c>
      <c r="C128" s="1">
        <v>45220</v>
      </c>
      <c r="D128" t="s">
        <v>38</v>
      </c>
      <c r="E128" t="s">
        <v>40</v>
      </c>
      <c r="F128">
        <v>5</v>
      </c>
      <c r="G128">
        <v>2.97</v>
      </c>
      <c r="H128">
        <v>14.85</v>
      </c>
      <c r="I128">
        <v>2.97</v>
      </c>
      <c r="J128">
        <v>11.88</v>
      </c>
      <c r="K128">
        <v>323</v>
      </c>
    </row>
    <row r="129" spans="1:11" x14ac:dyDescent="0.3">
      <c r="A129">
        <v>8062</v>
      </c>
      <c r="B129" t="s">
        <v>11</v>
      </c>
      <c r="C129" s="1">
        <v>45420</v>
      </c>
      <c r="D129" t="s">
        <v>20</v>
      </c>
      <c r="E129" t="s">
        <v>48</v>
      </c>
      <c r="F129">
        <v>1</v>
      </c>
      <c r="G129">
        <v>13.86</v>
      </c>
      <c r="H129">
        <v>13.86</v>
      </c>
      <c r="I129">
        <v>1.18</v>
      </c>
      <c r="J129">
        <v>12.68</v>
      </c>
      <c r="K129">
        <v>355</v>
      </c>
    </row>
    <row r="130" spans="1:11" x14ac:dyDescent="0.3">
      <c r="A130">
        <v>7939</v>
      </c>
      <c r="B130" t="s">
        <v>31</v>
      </c>
      <c r="C130" s="1">
        <v>45464</v>
      </c>
      <c r="D130" t="s">
        <v>35</v>
      </c>
      <c r="E130" t="s">
        <v>23</v>
      </c>
      <c r="F130">
        <v>3</v>
      </c>
      <c r="G130">
        <v>13.48</v>
      </c>
      <c r="H130">
        <v>40.44</v>
      </c>
      <c r="I130">
        <v>3.73</v>
      </c>
      <c r="J130">
        <v>36.71</v>
      </c>
      <c r="K130">
        <v>125</v>
      </c>
    </row>
    <row r="131" spans="1:11" x14ac:dyDescent="0.3">
      <c r="A131">
        <v>8651</v>
      </c>
      <c r="B131" t="s">
        <v>19</v>
      </c>
      <c r="C131" s="1">
        <v>45815</v>
      </c>
      <c r="D131" t="s">
        <v>34</v>
      </c>
      <c r="E131" t="s">
        <v>29</v>
      </c>
      <c r="F131">
        <v>1</v>
      </c>
      <c r="G131">
        <v>18.670000000000002</v>
      </c>
      <c r="H131">
        <v>18.670000000000002</v>
      </c>
      <c r="I131">
        <v>1.87</v>
      </c>
      <c r="J131">
        <v>16.8</v>
      </c>
      <c r="K131">
        <v>195</v>
      </c>
    </row>
    <row r="132" spans="1:11" x14ac:dyDescent="0.3">
      <c r="A132">
        <v>1887</v>
      </c>
      <c r="B132" t="s">
        <v>19</v>
      </c>
      <c r="C132" s="1">
        <v>45668</v>
      </c>
      <c r="D132" t="s">
        <v>17</v>
      </c>
      <c r="E132" t="s">
        <v>33</v>
      </c>
      <c r="F132">
        <v>3</v>
      </c>
      <c r="G132">
        <v>14.32</v>
      </c>
      <c r="H132">
        <v>42.96</v>
      </c>
      <c r="I132">
        <v>4.3</v>
      </c>
      <c r="J132">
        <v>38.659999999999997</v>
      </c>
      <c r="K132">
        <v>341</v>
      </c>
    </row>
    <row r="133" spans="1:11" x14ac:dyDescent="0.3">
      <c r="A133">
        <v>2612</v>
      </c>
      <c r="B133" t="s">
        <v>30</v>
      </c>
      <c r="C133" s="1">
        <v>45192</v>
      </c>
      <c r="D133" t="s">
        <v>27</v>
      </c>
      <c r="E133" t="s">
        <v>18</v>
      </c>
      <c r="F133">
        <v>2</v>
      </c>
      <c r="G133">
        <v>3.13</v>
      </c>
      <c r="H133">
        <v>6.26</v>
      </c>
      <c r="I133">
        <v>2.2000000000000002</v>
      </c>
      <c r="J133">
        <v>4.0599999999999996</v>
      </c>
      <c r="K133">
        <v>483</v>
      </c>
    </row>
    <row r="134" spans="1:11" x14ac:dyDescent="0.3">
      <c r="A134">
        <v>7596</v>
      </c>
      <c r="B134" t="s">
        <v>24</v>
      </c>
      <c r="C134" s="1">
        <v>45710</v>
      </c>
      <c r="D134" t="s">
        <v>35</v>
      </c>
      <c r="E134" t="s">
        <v>33</v>
      </c>
      <c r="F134">
        <v>3</v>
      </c>
      <c r="G134">
        <v>6.77</v>
      </c>
      <c r="H134">
        <v>20.309999999999999</v>
      </c>
      <c r="I134">
        <v>1.95</v>
      </c>
      <c r="J134">
        <v>18.36</v>
      </c>
      <c r="K134">
        <v>196</v>
      </c>
    </row>
    <row r="135" spans="1:11" x14ac:dyDescent="0.3">
      <c r="A135">
        <v>6559</v>
      </c>
      <c r="B135" t="s">
        <v>36</v>
      </c>
      <c r="C135" s="1">
        <v>45766</v>
      </c>
      <c r="D135" t="s">
        <v>28</v>
      </c>
      <c r="E135" t="s">
        <v>37</v>
      </c>
      <c r="F135">
        <v>3</v>
      </c>
      <c r="G135">
        <v>1.63</v>
      </c>
      <c r="H135">
        <v>4.8899999999999997</v>
      </c>
      <c r="I135">
        <v>0.73</v>
      </c>
      <c r="J135">
        <v>4.16</v>
      </c>
      <c r="K135">
        <v>424</v>
      </c>
    </row>
    <row r="136" spans="1:11" x14ac:dyDescent="0.3">
      <c r="A136">
        <v>2790</v>
      </c>
      <c r="B136" t="s">
        <v>31</v>
      </c>
      <c r="C136" s="1">
        <v>45338</v>
      </c>
      <c r="D136" t="s">
        <v>28</v>
      </c>
      <c r="E136" t="s">
        <v>40</v>
      </c>
      <c r="F136">
        <v>5</v>
      </c>
      <c r="G136">
        <v>22.6</v>
      </c>
      <c r="H136">
        <v>113</v>
      </c>
      <c r="I136">
        <v>22.6</v>
      </c>
      <c r="J136">
        <v>90.4</v>
      </c>
      <c r="K136">
        <v>426</v>
      </c>
    </row>
    <row r="137" spans="1:11" x14ac:dyDescent="0.3">
      <c r="A137">
        <v>4139</v>
      </c>
      <c r="B137" t="s">
        <v>36</v>
      </c>
      <c r="C137" s="1">
        <v>45292</v>
      </c>
      <c r="D137" t="s">
        <v>17</v>
      </c>
      <c r="E137" t="s">
        <v>44</v>
      </c>
      <c r="F137">
        <v>5</v>
      </c>
      <c r="G137">
        <v>8.26</v>
      </c>
      <c r="H137">
        <v>41.3</v>
      </c>
      <c r="I137">
        <v>0</v>
      </c>
      <c r="J137">
        <v>41.3</v>
      </c>
      <c r="K137">
        <v>386</v>
      </c>
    </row>
    <row r="138" spans="1:11" x14ac:dyDescent="0.3">
      <c r="A138">
        <v>9786</v>
      </c>
      <c r="B138" t="s">
        <v>11</v>
      </c>
      <c r="C138" s="1">
        <v>45493</v>
      </c>
      <c r="D138" t="s">
        <v>27</v>
      </c>
      <c r="E138" t="s">
        <v>40</v>
      </c>
      <c r="F138">
        <v>3</v>
      </c>
      <c r="G138">
        <v>23.86</v>
      </c>
      <c r="H138">
        <v>71.58</v>
      </c>
      <c r="I138">
        <v>0</v>
      </c>
      <c r="J138">
        <v>71.58</v>
      </c>
      <c r="K138">
        <v>17</v>
      </c>
    </row>
    <row r="139" spans="1:11" x14ac:dyDescent="0.3">
      <c r="A139">
        <v>3296</v>
      </c>
      <c r="B139" t="s">
        <v>19</v>
      </c>
      <c r="C139" s="1">
        <v>45472</v>
      </c>
      <c r="D139" t="s">
        <v>15</v>
      </c>
      <c r="E139" t="s">
        <v>37</v>
      </c>
      <c r="F139">
        <v>3</v>
      </c>
      <c r="G139">
        <v>22.67</v>
      </c>
      <c r="H139">
        <v>68.010000000000005</v>
      </c>
      <c r="I139">
        <v>13.6</v>
      </c>
      <c r="J139">
        <v>54.41</v>
      </c>
      <c r="K139">
        <v>89</v>
      </c>
    </row>
    <row r="140" spans="1:11" x14ac:dyDescent="0.3">
      <c r="A140">
        <v>4006</v>
      </c>
      <c r="B140" t="s">
        <v>14</v>
      </c>
      <c r="C140" s="1">
        <v>45361</v>
      </c>
      <c r="D140" t="s">
        <v>22</v>
      </c>
      <c r="E140" t="s">
        <v>46</v>
      </c>
      <c r="F140">
        <v>5</v>
      </c>
      <c r="G140">
        <v>27.48</v>
      </c>
      <c r="H140">
        <v>137.4</v>
      </c>
      <c r="I140">
        <v>20.61</v>
      </c>
      <c r="J140">
        <v>116.79</v>
      </c>
      <c r="K140">
        <v>425</v>
      </c>
    </row>
    <row r="141" spans="1:11" x14ac:dyDescent="0.3">
      <c r="A141">
        <v>8579</v>
      </c>
      <c r="B141" t="s">
        <v>26</v>
      </c>
      <c r="C141" s="1">
        <v>45339</v>
      </c>
      <c r="D141" t="s">
        <v>35</v>
      </c>
      <c r="E141" t="s">
        <v>21</v>
      </c>
      <c r="F141">
        <v>1</v>
      </c>
      <c r="G141">
        <v>14.57</v>
      </c>
      <c r="H141">
        <v>14.57</v>
      </c>
      <c r="I141">
        <v>2.91</v>
      </c>
      <c r="J141">
        <v>11.66</v>
      </c>
      <c r="K141">
        <v>38</v>
      </c>
    </row>
    <row r="142" spans="1:11" x14ac:dyDescent="0.3">
      <c r="A142">
        <v>2235</v>
      </c>
      <c r="B142" t="s">
        <v>24</v>
      </c>
      <c r="C142" s="1">
        <v>45489</v>
      </c>
      <c r="D142" t="s">
        <v>38</v>
      </c>
      <c r="E142" t="s">
        <v>23</v>
      </c>
      <c r="F142">
        <v>1</v>
      </c>
      <c r="G142">
        <v>23.92</v>
      </c>
      <c r="H142">
        <v>23.92</v>
      </c>
      <c r="I142">
        <v>1.49</v>
      </c>
      <c r="J142">
        <v>22.43</v>
      </c>
      <c r="K142">
        <v>7</v>
      </c>
    </row>
    <row r="143" spans="1:11" x14ac:dyDescent="0.3">
      <c r="A143">
        <v>2604</v>
      </c>
      <c r="B143" t="s">
        <v>36</v>
      </c>
      <c r="C143" s="1">
        <v>45184</v>
      </c>
      <c r="D143" t="s">
        <v>27</v>
      </c>
      <c r="E143" t="s">
        <v>13</v>
      </c>
      <c r="F143">
        <v>5</v>
      </c>
      <c r="G143">
        <v>12.04</v>
      </c>
      <c r="H143">
        <v>60.2</v>
      </c>
      <c r="I143">
        <v>3.7</v>
      </c>
      <c r="J143">
        <v>56.5</v>
      </c>
      <c r="K143">
        <v>326</v>
      </c>
    </row>
    <row r="144" spans="1:11" x14ac:dyDescent="0.3">
      <c r="A144">
        <v>9856</v>
      </c>
      <c r="B144" t="s">
        <v>26</v>
      </c>
      <c r="C144" s="1">
        <v>45794</v>
      </c>
      <c r="D144" t="s">
        <v>12</v>
      </c>
      <c r="E144" t="s">
        <v>18</v>
      </c>
      <c r="F144">
        <v>3</v>
      </c>
      <c r="G144">
        <v>27.53</v>
      </c>
      <c r="H144">
        <v>82.59</v>
      </c>
      <c r="I144">
        <v>0</v>
      </c>
      <c r="J144">
        <v>82.59</v>
      </c>
      <c r="K144">
        <v>113</v>
      </c>
    </row>
    <row r="145" spans="1:11" x14ac:dyDescent="0.3">
      <c r="A145">
        <v>1241</v>
      </c>
      <c r="B145" t="s">
        <v>26</v>
      </c>
      <c r="C145" s="1">
        <v>45217</v>
      </c>
      <c r="D145" t="s">
        <v>35</v>
      </c>
      <c r="E145" t="s">
        <v>16</v>
      </c>
      <c r="F145">
        <v>1</v>
      </c>
      <c r="G145">
        <v>5.04</v>
      </c>
      <c r="H145">
        <v>5.04</v>
      </c>
      <c r="I145">
        <v>0.76</v>
      </c>
      <c r="J145">
        <v>4.28</v>
      </c>
      <c r="K145">
        <v>484</v>
      </c>
    </row>
    <row r="146" spans="1:11" x14ac:dyDescent="0.3">
      <c r="A146">
        <v>4872</v>
      </c>
      <c r="B146" t="s">
        <v>26</v>
      </c>
      <c r="C146" s="1">
        <v>45274</v>
      </c>
      <c r="D146" t="s">
        <v>15</v>
      </c>
      <c r="E146" t="s">
        <v>48</v>
      </c>
      <c r="F146">
        <v>2</v>
      </c>
      <c r="G146">
        <v>26.72</v>
      </c>
      <c r="H146">
        <v>53.44</v>
      </c>
      <c r="I146">
        <v>5.34</v>
      </c>
      <c r="J146">
        <v>48.1</v>
      </c>
      <c r="K146">
        <v>69</v>
      </c>
    </row>
    <row r="147" spans="1:11" x14ac:dyDescent="0.3">
      <c r="A147">
        <v>7658</v>
      </c>
      <c r="B147" t="s">
        <v>36</v>
      </c>
      <c r="C147" s="1">
        <v>45522</v>
      </c>
      <c r="D147" t="s">
        <v>27</v>
      </c>
      <c r="E147" t="s">
        <v>18</v>
      </c>
      <c r="F147">
        <v>4</v>
      </c>
      <c r="G147">
        <v>18.02</v>
      </c>
      <c r="H147">
        <v>72.08</v>
      </c>
      <c r="I147">
        <v>7.21</v>
      </c>
      <c r="J147">
        <v>64.87</v>
      </c>
      <c r="K147">
        <v>372</v>
      </c>
    </row>
    <row r="148" spans="1:11" x14ac:dyDescent="0.3">
      <c r="A148">
        <v>8886</v>
      </c>
      <c r="B148" t="s">
        <v>11</v>
      </c>
      <c r="C148" s="1">
        <v>45311</v>
      </c>
      <c r="D148" t="s">
        <v>45</v>
      </c>
      <c r="E148" t="s">
        <v>16</v>
      </c>
      <c r="F148">
        <v>3</v>
      </c>
      <c r="G148">
        <v>1.94</v>
      </c>
      <c r="H148">
        <v>5.82</v>
      </c>
      <c r="I148">
        <v>0.57999999999999996</v>
      </c>
      <c r="J148">
        <v>5.24</v>
      </c>
      <c r="K148">
        <v>189</v>
      </c>
    </row>
    <row r="149" spans="1:11" x14ac:dyDescent="0.3">
      <c r="A149">
        <v>7570</v>
      </c>
      <c r="B149" t="s">
        <v>26</v>
      </c>
      <c r="C149" s="1">
        <v>45845</v>
      </c>
      <c r="D149" t="s">
        <v>17</v>
      </c>
      <c r="E149" t="s">
        <v>23</v>
      </c>
      <c r="F149">
        <v>1</v>
      </c>
      <c r="G149">
        <v>29.44</v>
      </c>
      <c r="H149">
        <v>29.44</v>
      </c>
      <c r="I149">
        <v>2.59</v>
      </c>
      <c r="J149">
        <v>26.85</v>
      </c>
      <c r="K149">
        <v>188</v>
      </c>
    </row>
    <row r="150" spans="1:11" x14ac:dyDescent="0.3">
      <c r="A150">
        <v>1960</v>
      </c>
      <c r="B150" t="s">
        <v>42</v>
      </c>
      <c r="C150" s="1">
        <v>45272</v>
      </c>
      <c r="D150" t="s">
        <v>15</v>
      </c>
      <c r="E150" t="s">
        <v>33</v>
      </c>
      <c r="F150">
        <v>1</v>
      </c>
      <c r="G150">
        <v>20.21</v>
      </c>
      <c r="H150">
        <v>20.21</v>
      </c>
      <c r="I150">
        <v>4.1500000000000004</v>
      </c>
      <c r="J150">
        <v>16.059999999999999</v>
      </c>
      <c r="K150">
        <v>328</v>
      </c>
    </row>
    <row r="151" spans="1:11" x14ac:dyDescent="0.3">
      <c r="A151">
        <v>7209</v>
      </c>
      <c r="B151" t="s">
        <v>42</v>
      </c>
      <c r="C151" s="1">
        <v>45146</v>
      </c>
      <c r="D151" t="s">
        <v>34</v>
      </c>
      <c r="E151" t="s">
        <v>44</v>
      </c>
      <c r="F151">
        <v>1</v>
      </c>
      <c r="G151">
        <v>25.05</v>
      </c>
      <c r="H151">
        <v>25.05</v>
      </c>
      <c r="I151">
        <v>1.86</v>
      </c>
      <c r="J151">
        <v>23.19</v>
      </c>
      <c r="K151">
        <v>283</v>
      </c>
    </row>
    <row r="152" spans="1:11" x14ac:dyDescent="0.3">
      <c r="A152">
        <v>7396</v>
      </c>
      <c r="B152" t="s">
        <v>42</v>
      </c>
      <c r="C152" s="1">
        <v>45350</v>
      </c>
      <c r="D152" t="s">
        <v>22</v>
      </c>
      <c r="E152" t="s">
        <v>41</v>
      </c>
      <c r="F152">
        <v>5</v>
      </c>
      <c r="G152">
        <v>1.07</v>
      </c>
      <c r="H152">
        <v>5.35</v>
      </c>
      <c r="I152">
        <v>1.07</v>
      </c>
      <c r="J152">
        <v>4.28</v>
      </c>
      <c r="K152">
        <v>439</v>
      </c>
    </row>
    <row r="153" spans="1:11" x14ac:dyDescent="0.3">
      <c r="A153">
        <v>8454</v>
      </c>
      <c r="B153" t="s">
        <v>14</v>
      </c>
      <c r="C153" s="1">
        <v>45366</v>
      </c>
      <c r="D153" t="s">
        <v>35</v>
      </c>
      <c r="E153" t="s">
        <v>29</v>
      </c>
      <c r="F153">
        <v>1</v>
      </c>
      <c r="G153">
        <v>20.16</v>
      </c>
      <c r="H153">
        <v>20.16</v>
      </c>
      <c r="I153">
        <v>2.4300000000000002</v>
      </c>
      <c r="J153">
        <v>17.73</v>
      </c>
      <c r="K153">
        <v>13</v>
      </c>
    </row>
    <row r="154" spans="1:11" x14ac:dyDescent="0.3">
      <c r="A154">
        <v>7930</v>
      </c>
      <c r="B154" t="s">
        <v>42</v>
      </c>
      <c r="C154" s="1">
        <v>45686</v>
      </c>
      <c r="D154" t="s">
        <v>28</v>
      </c>
      <c r="E154" t="s">
        <v>21</v>
      </c>
      <c r="F154">
        <v>1</v>
      </c>
      <c r="G154">
        <v>6.04</v>
      </c>
      <c r="H154">
        <v>6.04</v>
      </c>
      <c r="I154">
        <v>0</v>
      </c>
      <c r="J154">
        <v>6.04</v>
      </c>
      <c r="K154">
        <v>26</v>
      </c>
    </row>
    <row r="155" spans="1:11" x14ac:dyDescent="0.3">
      <c r="A155">
        <v>8973</v>
      </c>
      <c r="B155" t="s">
        <v>24</v>
      </c>
      <c r="C155" s="1">
        <v>45265</v>
      </c>
      <c r="D155" t="s">
        <v>38</v>
      </c>
      <c r="E155" t="s">
        <v>48</v>
      </c>
      <c r="F155">
        <v>1</v>
      </c>
      <c r="G155">
        <v>14.8</v>
      </c>
      <c r="H155">
        <v>14.8</v>
      </c>
      <c r="I155">
        <v>3.37</v>
      </c>
      <c r="J155">
        <v>11.43</v>
      </c>
      <c r="K155">
        <v>398</v>
      </c>
    </row>
    <row r="156" spans="1:11" x14ac:dyDescent="0.3">
      <c r="A156">
        <v>4111</v>
      </c>
      <c r="B156" t="s">
        <v>26</v>
      </c>
      <c r="C156" s="1">
        <v>45375</v>
      </c>
      <c r="D156" t="s">
        <v>38</v>
      </c>
      <c r="E156" t="s">
        <v>25</v>
      </c>
      <c r="F156">
        <v>5</v>
      </c>
      <c r="G156">
        <v>2.25</v>
      </c>
      <c r="H156">
        <v>11.25</v>
      </c>
      <c r="I156">
        <v>1.1200000000000001</v>
      </c>
      <c r="J156">
        <v>10.130000000000001</v>
      </c>
      <c r="K156">
        <v>401</v>
      </c>
    </row>
    <row r="157" spans="1:11" x14ac:dyDescent="0.3">
      <c r="A157">
        <v>4566</v>
      </c>
      <c r="B157" t="s">
        <v>31</v>
      </c>
      <c r="C157" s="1">
        <v>45190</v>
      </c>
      <c r="D157" t="s">
        <v>12</v>
      </c>
      <c r="E157" t="s">
        <v>47</v>
      </c>
      <c r="F157">
        <v>4</v>
      </c>
      <c r="G157">
        <v>13.35</v>
      </c>
      <c r="H157">
        <v>53.4</v>
      </c>
      <c r="I157">
        <v>0</v>
      </c>
      <c r="J157">
        <v>53.4</v>
      </c>
      <c r="K157">
        <v>55</v>
      </c>
    </row>
    <row r="158" spans="1:11" x14ac:dyDescent="0.3">
      <c r="A158">
        <v>9883</v>
      </c>
      <c r="B158" t="s">
        <v>26</v>
      </c>
      <c r="C158" s="1">
        <v>45192</v>
      </c>
      <c r="D158" t="s">
        <v>15</v>
      </c>
      <c r="E158" t="s">
        <v>43</v>
      </c>
      <c r="F158">
        <v>3</v>
      </c>
      <c r="G158">
        <v>18.63</v>
      </c>
      <c r="H158">
        <v>55.89</v>
      </c>
      <c r="I158">
        <v>8.3800000000000008</v>
      </c>
      <c r="J158">
        <v>47.51</v>
      </c>
      <c r="K158">
        <v>33</v>
      </c>
    </row>
    <row r="159" spans="1:11" x14ac:dyDescent="0.3">
      <c r="A159">
        <v>6138</v>
      </c>
      <c r="B159" t="s">
        <v>14</v>
      </c>
      <c r="C159" s="1">
        <v>45189</v>
      </c>
      <c r="D159" t="s">
        <v>22</v>
      </c>
      <c r="E159" t="s">
        <v>32</v>
      </c>
      <c r="F159">
        <v>5</v>
      </c>
      <c r="G159">
        <v>16.38</v>
      </c>
      <c r="H159">
        <v>81.900000000000006</v>
      </c>
      <c r="I159">
        <v>4.17</v>
      </c>
      <c r="J159">
        <v>77.73</v>
      </c>
      <c r="K159">
        <v>232</v>
      </c>
    </row>
    <row r="160" spans="1:11" x14ac:dyDescent="0.3">
      <c r="A160">
        <v>1821</v>
      </c>
      <c r="B160" t="s">
        <v>11</v>
      </c>
      <c r="C160" s="1">
        <v>45598</v>
      </c>
      <c r="D160" t="s">
        <v>27</v>
      </c>
      <c r="E160" t="s">
        <v>18</v>
      </c>
      <c r="F160">
        <v>2</v>
      </c>
      <c r="G160">
        <v>13.46</v>
      </c>
      <c r="H160">
        <v>26.92</v>
      </c>
      <c r="I160">
        <v>2.69</v>
      </c>
      <c r="J160">
        <v>24.23</v>
      </c>
      <c r="K160">
        <v>454</v>
      </c>
    </row>
    <row r="161" spans="1:11" x14ac:dyDescent="0.3">
      <c r="A161">
        <v>8811</v>
      </c>
      <c r="B161" t="s">
        <v>36</v>
      </c>
      <c r="C161" s="1">
        <v>45535</v>
      </c>
      <c r="D161" t="s">
        <v>45</v>
      </c>
      <c r="E161" t="s">
        <v>32</v>
      </c>
      <c r="F161">
        <v>4</v>
      </c>
      <c r="G161">
        <v>22.15</v>
      </c>
      <c r="H161">
        <v>88.6</v>
      </c>
      <c r="I161">
        <v>13.29</v>
      </c>
      <c r="J161">
        <v>75.31</v>
      </c>
      <c r="K161">
        <v>160</v>
      </c>
    </row>
    <row r="162" spans="1:11" x14ac:dyDescent="0.3">
      <c r="A162">
        <v>9701</v>
      </c>
      <c r="B162" t="s">
        <v>30</v>
      </c>
      <c r="C162" s="1">
        <v>45267</v>
      </c>
      <c r="D162" t="s">
        <v>22</v>
      </c>
      <c r="E162" t="s">
        <v>41</v>
      </c>
      <c r="F162">
        <v>4</v>
      </c>
      <c r="G162">
        <v>2.94</v>
      </c>
      <c r="H162">
        <v>11.76</v>
      </c>
      <c r="I162">
        <v>2.73</v>
      </c>
      <c r="J162">
        <v>9.0299999999999994</v>
      </c>
      <c r="K162">
        <v>425</v>
      </c>
    </row>
    <row r="163" spans="1:11" x14ac:dyDescent="0.3">
      <c r="A163">
        <v>1931</v>
      </c>
      <c r="B163" t="s">
        <v>36</v>
      </c>
      <c r="C163" s="1">
        <v>45539</v>
      </c>
      <c r="D163" t="s">
        <v>34</v>
      </c>
      <c r="E163" t="s">
        <v>18</v>
      </c>
      <c r="F163">
        <v>1</v>
      </c>
      <c r="G163">
        <v>18</v>
      </c>
      <c r="H163">
        <v>18</v>
      </c>
      <c r="I163">
        <v>0</v>
      </c>
      <c r="J163">
        <v>18</v>
      </c>
      <c r="K163">
        <v>287</v>
      </c>
    </row>
    <row r="164" spans="1:11" x14ac:dyDescent="0.3">
      <c r="A164">
        <v>2312</v>
      </c>
      <c r="B164" t="s">
        <v>11</v>
      </c>
      <c r="C164" s="1">
        <v>45806</v>
      </c>
      <c r="D164" t="s">
        <v>20</v>
      </c>
      <c r="E164" t="s">
        <v>23</v>
      </c>
      <c r="F164">
        <v>4</v>
      </c>
      <c r="G164">
        <v>26.16</v>
      </c>
      <c r="H164">
        <v>104.64</v>
      </c>
      <c r="I164">
        <v>15.7</v>
      </c>
      <c r="J164">
        <v>88.94</v>
      </c>
      <c r="K164">
        <v>369</v>
      </c>
    </row>
    <row r="165" spans="1:11" x14ac:dyDescent="0.3">
      <c r="A165">
        <v>4044</v>
      </c>
      <c r="B165" t="s">
        <v>30</v>
      </c>
      <c r="C165" s="1">
        <v>45198</v>
      </c>
      <c r="D165" t="s">
        <v>22</v>
      </c>
      <c r="E165" t="s">
        <v>48</v>
      </c>
      <c r="F165">
        <v>5</v>
      </c>
      <c r="G165">
        <v>15.7</v>
      </c>
      <c r="H165">
        <v>78.5</v>
      </c>
      <c r="I165">
        <v>15.7</v>
      </c>
      <c r="J165">
        <v>62.8</v>
      </c>
      <c r="K165">
        <v>79</v>
      </c>
    </row>
    <row r="166" spans="1:11" x14ac:dyDescent="0.3">
      <c r="A166">
        <v>2113</v>
      </c>
      <c r="B166" t="s">
        <v>11</v>
      </c>
      <c r="C166" s="1">
        <v>45669</v>
      </c>
      <c r="D166" t="s">
        <v>22</v>
      </c>
      <c r="E166" t="s">
        <v>18</v>
      </c>
      <c r="F166">
        <v>3</v>
      </c>
      <c r="G166">
        <v>4.32</v>
      </c>
      <c r="H166">
        <v>12.96</v>
      </c>
      <c r="I166">
        <v>1.3</v>
      </c>
      <c r="J166">
        <v>11.66</v>
      </c>
      <c r="K166">
        <v>142</v>
      </c>
    </row>
    <row r="167" spans="1:11" x14ac:dyDescent="0.3">
      <c r="A167">
        <v>4853</v>
      </c>
      <c r="B167" t="s">
        <v>14</v>
      </c>
      <c r="C167" s="1">
        <v>45458</v>
      </c>
      <c r="D167" t="s">
        <v>28</v>
      </c>
      <c r="E167" t="s">
        <v>18</v>
      </c>
      <c r="F167">
        <v>1</v>
      </c>
      <c r="G167">
        <v>18.649999999999999</v>
      </c>
      <c r="H167">
        <v>18.649999999999999</v>
      </c>
      <c r="I167">
        <v>1.72</v>
      </c>
      <c r="J167">
        <v>16.93</v>
      </c>
      <c r="K167">
        <v>336</v>
      </c>
    </row>
    <row r="168" spans="1:11" x14ac:dyDescent="0.3">
      <c r="A168">
        <v>2964</v>
      </c>
      <c r="B168" t="s">
        <v>30</v>
      </c>
      <c r="C168" s="1">
        <v>45836</v>
      </c>
      <c r="D168" t="s">
        <v>22</v>
      </c>
      <c r="E168" t="s">
        <v>23</v>
      </c>
      <c r="F168">
        <v>1</v>
      </c>
      <c r="G168">
        <v>6.25</v>
      </c>
      <c r="H168">
        <v>6.25</v>
      </c>
      <c r="I168">
        <v>1.57</v>
      </c>
      <c r="J168">
        <v>4.68</v>
      </c>
      <c r="K168">
        <v>73</v>
      </c>
    </row>
    <row r="169" spans="1:11" x14ac:dyDescent="0.3">
      <c r="A169">
        <v>5033</v>
      </c>
      <c r="B169" t="s">
        <v>31</v>
      </c>
      <c r="C169" s="1">
        <v>45594</v>
      </c>
      <c r="D169" t="s">
        <v>15</v>
      </c>
      <c r="E169" t="s">
        <v>46</v>
      </c>
      <c r="F169">
        <v>2</v>
      </c>
      <c r="G169">
        <v>11.9</v>
      </c>
      <c r="H169">
        <v>23.8</v>
      </c>
      <c r="I169">
        <v>4.76</v>
      </c>
      <c r="J169">
        <v>19.04</v>
      </c>
      <c r="K169">
        <v>232</v>
      </c>
    </row>
    <row r="170" spans="1:11" x14ac:dyDescent="0.3">
      <c r="A170">
        <v>1651</v>
      </c>
      <c r="B170" t="s">
        <v>36</v>
      </c>
      <c r="C170" s="1">
        <v>45626</v>
      </c>
      <c r="D170" t="s">
        <v>35</v>
      </c>
      <c r="E170" t="s">
        <v>21</v>
      </c>
      <c r="F170">
        <v>5</v>
      </c>
      <c r="G170">
        <v>18.28</v>
      </c>
      <c r="H170">
        <v>91.4</v>
      </c>
      <c r="I170">
        <v>18.28</v>
      </c>
      <c r="J170">
        <v>73.12</v>
      </c>
      <c r="K170">
        <v>452</v>
      </c>
    </row>
    <row r="171" spans="1:11" x14ac:dyDescent="0.3">
      <c r="A171">
        <v>2343</v>
      </c>
      <c r="B171" t="s">
        <v>19</v>
      </c>
      <c r="C171" s="1">
        <v>45470</v>
      </c>
      <c r="D171" t="s">
        <v>28</v>
      </c>
      <c r="E171" t="s">
        <v>40</v>
      </c>
      <c r="F171">
        <v>1</v>
      </c>
      <c r="G171">
        <v>8.8800000000000008</v>
      </c>
      <c r="H171">
        <v>8.8800000000000008</v>
      </c>
      <c r="I171">
        <v>0.89</v>
      </c>
      <c r="J171">
        <v>7.99</v>
      </c>
      <c r="K171">
        <v>338</v>
      </c>
    </row>
    <row r="172" spans="1:11" x14ac:dyDescent="0.3">
      <c r="A172">
        <v>9565</v>
      </c>
      <c r="B172" t="s">
        <v>26</v>
      </c>
      <c r="C172" s="1">
        <v>45390</v>
      </c>
      <c r="D172" t="s">
        <v>20</v>
      </c>
      <c r="E172" t="s">
        <v>13</v>
      </c>
      <c r="F172">
        <v>2</v>
      </c>
      <c r="G172">
        <v>22.88</v>
      </c>
      <c r="H172">
        <v>45.76</v>
      </c>
      <c r="I172">
        <v>4.58</v>
      </c>
      <c r="J172">
        <v>41.18</v>
      </c>
      <c r="K172">
        <v>58</v>
      </c>
    </row>
    <row r="173" spans="1:11" x14ac:dyDescent="0.3">
      <c r="A173">
        <v>5272</v>
      </c>
      <c r="B173" t="s">
        <v>11</v>
      </c>
      <c r="C173" s="1">
        <v>45303</v>
      </c>
      <c r="D173" t="s">
        <v>35</v>
      </c>
      <c r="E173" t="s">
        <v>47</v>
      </c>
      <c r="F173">
        <v>5</v>
      </c>
      <c r="G173">
        <v>20.34</v>
      </c>
      <c r="H173">
        <v>101.7</v>
      </c>
      <c r="I173">
        <v>10.17</v>
      </c>
      <c r="J173">
        <v>91.53</v>
      </c>
      <c r="K173">
        <v>23</v>
      </c>
    </row>
    <row r="174" spans="1:11" x14ac:dyDescent="0.3">
      <c r="A174">
        <v>6147</v>
      </c>
      <c r="B174" t="s">
        <v>31</v>
      </c>
      <c r="C174" s="1">
        <v>45330</v>
      </c>
      <c r="D174" t="s">
        <v>12</v>
      </c>
      <c r="E174" t="s">
        <v>44</v>
      </c>
      <c r="F174">
        <v>3</v>
      </c>
      <c r="G174">
        <v>28.4</v>
      </c>
      <c r="H174">
        <v>85.2</v>
      </c>
      <c r="I174">
        <v>12.78</v>
      </c>
      <c r="J174">
        <v>72.42</v>
      </c>
      <c r="K174">
        <v>392</v>
      </c>
    </row>
    <row r="175" spans="1:11" x14ac:dyDescent="0.3">
      <c r="A175">
        <v>5351</v>
      </c>
      <c r="B175" t="s">
        <v>30</v>
      </c>
      <c r="C175" s="1">
        <v>45452</v>
      </c>
      <c r="D175" t="s">
        <v>22</v>
      </c>
      <c r="E175" t="s">
        <v>48</v>
      </c>
      <c r="F175">
        <v>1</v>
      </c>
      <c r="G175">
        <v>15.41</v>
      </c>
      <c r="H175">
        <v>15.41</v>
      </c>
      <c r="I175">
        <v>3.08</v>
      </c>
      <c r="J175">
        <v>12.33</v>
      </c>
      <c r="K175">
        <v>220</v>
      </c>
    </row>
    <row r="176" spans="1:11" x14ac:dyDescent="0.3">
      <c r="A176">
        <v>3144</v>
      </c>
      <c r="B176" t="s">
        <v>24</v>
      </c>
      <c r="C176" s="1">
        <v>45666</v>
      </c>
      <c r="D176" t="s">
        <v>38</v>
      </c>
      <c r="E176" t="s">
        <v>25</v>
      </c>
      <c r="F176">
        <v>5</v>
      </c>
      <c r="G176">
        <v>17.190000000000001</v>
      </c>
      <c r="H176">
        <v>85.95</v>
      </c>
      <c r="I176">
        <v>2.59</v>
      </c>
      <c r="J176">
        <v>83.36</v>
      </c>
      <c r="K176">
        <v>342</v>
      </c>
    </row>
    <row r="177" spans="1:11" x14ac:dyDescent="0.3">
      <c r="A177">
        <v>5915</v>
      </c>
      <c r="B177" t="s">
        <v>31</v>
      </c>
      <c r="C177" s="1">
        <v>45500</v>
      </c>
      <c r="D177" t="s">
        <v>20</v>
      </c>
      <c r="E177" t="s">
        <v>39</v>
      </c>
      <c r="F177">
        <v>4</v>
      </c>
      <c r="G177">
        <v>27.7</v>
      </c>
      <c r="H177">
        <v>110.8</v>
      </c>
      <c r="I177">
        <v>2.72</v>
      </c>
      <c r="J177">
        <v>108.08</v>
      </c>
      <c r="K177">
        <v>441</v>
      </c>
    </row>
    <row r="178" spans="1:11" x14ac:dyDescent="0.3">
      <c r="A178">
        <v>6180</v>
      </c>
      <c r="B178" t="s">
        <v>24</v>
      </c>
      <c r="C178" s="1">
        <v>45866</v>
      </c>
      <c r="D178" t="s">
        <v>27</v>
      </c>
      <c r="E178" t="s">
        <v>16</v>
      </c>
      <c r="F178">
        <v>3</v>
      </c>
      <c r="G178">
        <v>4.33</v>
      </c>
      <c r="H178">
        <v>12.99</v>
      </c>
      <c r="I178">
        <v>2.6</v>
      </c>
      <c r="J178">
        <v>10.39</v>
      </c>
      <c r="K178">
        <v>10</v>
      </c>
    </row>
    <row r="179" spans="1:11" x14ac:dyDescent="0.3">
      <c r="A179">
        <v>2188</v>
      </c>
      <c r="B179" t="s">
        <v>26</v>
      </c>
      <c r="C179" s="1">
        <v>45152</v>
      </c>
      <c r="D179" t="s">
        <v>22</v>
      </c>
      <c r="E179" t="s">
        <v>43</v>
      </c>
      <c r="F179">
        <v>4</v>
      </c>
      <c r="G179">
        <v>25.48</v>
      </c>
      <c r="H179">
        <v>101.92</v>
      </c>
      <c r="I179">
        <v>2.6</v>
      </c>
      <c r="J179">
        <v>99.32</v>
      </c>
      <c r="K179">
        <v>124</v>
      </c>
    </row>
    <row r="180" spans="1:11" x14ac:dyDescent="0.3">
      <c r="A180">
        <v>8508</v>
      </c>
      <c r="B180" t="s">
        <v>11</v>
      </c>
      <c r="C180" s="1">
        <v>45627</v>
      </c>
      <c r="D180" t="s">
        <v>20</v>
      </c>
      <c r="E180" t="s">
        <v>37</v>
      </c>
      <c r="F180">
        <v>3</v>
      </c>
      <c r="G180">
        <v>7.42</v>
      </c>
      <c r="H180">
        <v>22.26</v>
      </c>
      <c r="I180">
        <v>3.04</v>
      </c>
      <c r="J180">
        <v>19.22</v>
      </c>
      <c r="K180">
        <v>398</v>
      </c>
    </row>
    <row r="181" spans="1:11" x14ac:dyDescent="0.3">
      <c r="A181">
        <v>2638</v>
      </c>
      <c r="B181" t="s">
        <v>11</v>
      </c>
      <c r="C181" s="1">
        <v>45201</v>
      </c>
      <c r="D181" t="s">
        <v>38</v>
      </c>
      <c r="E181" t="s">
        <v>46</v>
      </c>
      <c r="F181">
        <v>2</v>
      </c>
      <c r="G181">
        <v>27.26</v>
      </c>
      <c r="H181">
        <v>54.52</v>
      </c>
      <c r="I181">
        <v>0</v>
      </c>
      <c r="J181">
        <v>54.52</v>
      </c>
      <c r="K181">
        <v>178</v>
      </c>
    </row>
    <row r="182" spans="1:11" x14ac:dyDescent="0.3">
      <c r="A182">
        <v>9808</v>
      </c>
      <c r="B182" t="s">
        <v>19</v>
      </c>
      <c r="C182" s="1">
        <v>45310</v>
      </c>
      <c r="D182" t="s">
        <v>17</v>
      </c>
      <c r="E182" t="s">
        <v>48</v>
      </c>
      <c r="F182">
        <v>2</v>
      </c>
      <c r="G182">
        <v>8.41</v>
      </c>
      <c r="H182">
        <v>16.82</v>
      </c>
      <c r="I182">
        <v>0</v>
      </c>
      <c r="J182">
        <v>16.82</v>
      </c>
      <c r="K182">
        <v>88</v>
      </c>
    </row>
    <row r="183" spans="1:11" x14ac:dyDescent="0.3">
      <c r="A183">
        <v>9288</v>
      </c>
      <c r="B183" t="s">
        <v>11</v>
      </c>
      <c r="C183" s="1">
        <v>45350</v>
      </c>
      <c r="D183" t="s">
        <v>34</v>
      </c>
      <c r="E183" t="s">
        <v>47</v>
      </c>
      <c r="F183">
        <v>4</v>
      </c>
      <c r="G183">
        <v>22.87</v>
      </c>
      <c r="H183">
        <v>91.48</v>
      </c>
      <c r="I183">
        <v>0</v>
      </c>
      <c r="J183">
        <v>91.48</v>
      </c>
      <c r="K183">
        <v>389</v>
      </c>
    </row>
    <row r="184" spans="1:11" x14ac:dyDescent="0.3">
      <c r="A184">
        <v>3170</v>
      </c>
      <c r="B184" t="s">
        <v>36</v>
      </c>
      <c r="C184" s="1">
        <v>45869</v>
      </c>
      <c r="D184" t="s">
        <v>27</v>
      </c>
      <c r="E184" t="s">
        <v>21</v>
      </c>
      <c r="F184">
        <v>2</v>
      </c>
      <c r="G184">
        <v>13.74</v>
      </c>
      <c r="H184">
        <v>27.48</v>
      </c>
      <c r="I184">
        <v>0</v>
      </c>
      <c r="J184">
        <v>27.48</v>
      </c>
      <c r="K184">
        <v>240</v>
      </c>
    </row>
    <row r="185" spans="1:11" x14ac:dyDescent="0.3">
      <c r="A185">
        <v>6718</v>
      </c>
      <c r="B185" t="s">
        <v>30</v>
      </c>
      <c r="C185" s="1">
        <v>45829</v>
      </c>
      <c r="D185" t="s">
        <v>35</v>
      </c>
      <c r="E185" t="s">
        <v>40</v>
      </c>
      <c r="F185">
        <v>3</v>
      </c>
      <c r="G185">
        <v>15.7</v>
      </c>
      <c r="H185">
        <v>47.1</v>
      </c>
      <c r="I185">
        <v>4.71</v>
      </c>
      <c r="J185">
        <v>42.39</v>
      </c>
      <c r="K185">
        <v>158</v>
      </c>
    </row>
    <row r="186" spans="1:11" x14ac:dyDescent="0.3">
      <c r="A186">
        <v>2127</v>
      </c>
      <c r="B186" t="s">
        <v>31</v>
      </c>
      <c r="C186" s="1">
        <v>45827</v>
      </c>
      <c r="D186" t="s">
        <v>12</v>
      </c>
      <c r="E186" t="s">
        <v>23</v>
      </c>
      <c r="F186">
        <v>3</v>
      </c>
      <c r="G186">
        <v>3.22</v>
      </c>
      <c r="H186">
        <v>9.66</v>
      </c>
      <c r="I186">
        <v>3.38</v>
      </c>
      <c r="J186">
        <v>6.28</v>
      </c>
      <c r="K186">
        <v>442</v>
      </c>
    </row>
    <row r="187" spans="1:11" x14ac:dyDescent="0.3">
      <c r="A187">
        <v>5002</v>
      </c>
      <c r="B187" t="s">
        <v>24</v>
      </c>
      <c r="C187" s="1">
        <v>45432</v>
      </c>
      <c r="D187" t="s">
        <v>45</v>
      </c>
      <c r="E187" t="s">
        <v>18</v>
      </c>
      <c r="F187">
        <v>1</v>
      </c>
      <c r="G187">
        <v>14.03</v>
      </c>
      <c r="H187">
        <v>14.03</v>
      </c>
      <c r="I187">
        <v>2.1</v>
      </c>
      <c r="J187">
        <v>11.93</v>
      </c>
      <c r="K187">
        <v>414</v>
      </c>
    </row>
    <row r="188" spans="1:11" x14ac:dyDescent="0.3">
      <c r="A188">
        <v>5669</v>
      </c>
      <c r="B188" t="s">
        <v>26</v>
      </c>
      <c r="C188" s="1">
        <v>45267</v>
      </c>
      <c r="D188" t="s">
        <v>38</v>
      </c>
      <c r="E188" t="s">
        <v>41</v>
      </c>
      <c r="F188">
        <v>1</v>
      </c>
      <c r="G188">
        <v>14.06</v>
      </c>
      <c r="H188">
        <v>14.06</v>
      </c>
      <c r="I188">
        <v>0</v>
      </c>
      <c r="J188">
        <v>14.06</v>
      </c>
      <c r="K188">
        <v>415</v>
      </c>
    </row>
    <row r="189" spans="1:11" x14ac:dyDescent="0.3">
      <c r="A189">
        <v>8179</v>
      </c>
      <c r="B189" t="s">
        <v>11</v>
      </c>
      <c r="C189" s="1">
        <v>45792</v>
      </c>
      <c r="D189" t="s">
        <v>38</v>
      </c>
      <c r="E189" t="s">
        <v>29</v>
      </c>
      <c r="F189">
        <v>1</v>
      </c>
      <c r="G189">
        <v>8.17</v>
      </c>
      <c r="H189">
        <v>8.17</v>
      </c>
      <c r="I189">
        <v>3.09</v>
      </c>
      <c r="J189">
        <v>5.08</v>
      </c>
      <c r="K189">
        <v>224</v>
      </c>
    </row>
    <row r="190" spans="1:11" x14ac:dyDescent="0.3">
      <c r="A190">
        <v>9900</v>
      </c>
      <c r="B190" t="s">
        <v>19</v>
      </c>
      <c r="C190" s="1">
        <v>45691</v>
      </c>
      <c r="D190" t="s">
        <v>22</v>
      </c>
      <c r="E190" t="s">
        <v>23</v>
      </c>
      <c r="F190">
        <v>3</v>
      </c>
      <c r="G190">
        <v>12.23</v>
      </c>
      <c r="H190">
        <v>36.69</v>
      </c>
      <c r="I190">
        <v>0</v>
      </c>
      <c r="J190">
        <v>36.69</v>
      </c>
      <c r="K190">
        <v>396</v>
      </c>
    </row>
    <row r="191" spans="1:11" x14ac:dyDescent="0.3">
      <c r="A191">
        <v>5956</v>
      </c>
      <c r="B191" t="s">
        <v>31</v>
      </c>
      <c r="C191" s="1">
        <v>45620</v>
      </c>
      <c r="D191" t="s">
        <v>27</v>
      </c>
      <c r="E191" t="s">
        <v>21</v>
      </c>
      <c r="F191">
        <v>1</v>
      </c>
      <c r="G191">
        <v>10.55</v>
      </c>
      <c r="H191">
        <v>10.55</v>
      </c>
      <c r="I191">
        <v>1.58</v>
      </c>
      <c r="J191">
        <v>8.9700000000000006</v>
      </c>
      <c r="K191">
        <v>285</v>
      </c>
    </row>
    <row r="192" spans="1:11" x14ac:dyDescent="0.3">
      <c r="A192">
        <v>9666</v>
      </c>
      <c r="B192" t="s">
        <v>30</v>
      </c>
      <c r="C192" s="1">
        <v>45151</v>
      </c>
      <c r="D192" t="s">
        <v>27</v>
      </c>
      <c r="E192" t="s">
        <v>41</v>
      </c>
      <c r="F192">
        <v>3</v>
      </c>
      <c r="G192">
        <v>3.35</v>
      </c>
      <c r="H192">
        <v>10.050000000000001</v>
      </c>
      <c r="I192">
        <v>1.51</v>
      </c>
      <c r="J192">
        <v>8.5399999999999991</v>
      </c>
      <c r="K192">
        <v>339</v>
      </c>
    </row>
    <row r="193" spans="1:11" x14ac:dyDescent="0.3">
      <c r="A193">
        <v>5905</v>
      </c>
      <c r="B193" t="s">
        <v>30</v>
      </c>
      <c r="C193" s="1">
        <v>45868</v>
      </c>
      <c r="D193" t="s">
        <v>27</v>
      </c>
      <c r="E193" t="s">
        <v>32</v>
      </c>
      <c r="F193">
        <v>2</v>
      </c>
      <c r="G193">
        <v>18.25</v>
      </c>
      <c r="H193">
        <v>36.5</v>
      </c>
      <c r="I193">
        <v>5.47</v>
      </c>
      <c r="J193">
        <v>31.03</v>
      </c>
      <c r="K193">
        <v>480</v>
      </c>
    </row>
    <row r="194" spans="1:11" x14ac:dyDescent="0.3">
      <c r="A194">
        <v>2697</v>
      </c>
      <c r="B194" t="s">
        <v>14</v>
      </c>
      <c r="C194" s="1">
        <v>45874</v>
      </c>
      <c r="D194" t="s">
        <v>20</v>
      </c>
      <c r="E194" t="s">
        <v>21</v>
      </c>
      <c r="F194">
        <v>2</v>
      </c>
      <c r="G194">
        <v>20.420000000000002</v>
      </c>
      <c r="H194">
        <v>40.840000000000003</v>
      </c>
      <c r="I194">
        <v>0</v>
      </c>
      <c r="J194">
        <v>40.840000000000003</v>
      </c>
      <c r="K194">
        <v>424</v>
      </c>
    </row>
    <row r="195" spans="1:11" x14ac:dyDescent="0.3">
      <c r="A195">
        <v>3200</v>
      </c>
      <c r="B195" t="s">
        <v>24</v>
      </c>
      <c r="C195" s="1">
        <v>45350</v>
      </c>
      <c r="D195" t="s">
        <v>38</v>
      </c>
      <c r="E195" t="s">
        <v>23</v>
      </c>
      <c r="F195">
        <v>1</v>
      </c>
      <c r="G195">
        <v>11.51</v>
      </c>
      <c r="H195">
        <v>11.51</v>
      </c>
      <c r="I195">
        <v>1.73</v>
      </c>
      <c r="J195">
        <v>9.7799999999999994</v>
      </c>
      <c r="K195">
        <v>92</v>
      </c>
    </row>
    <row r="196" spans="1:11" x14ac:dyDescent="0.3">
      <c r="A196">
        <v>2891</v>
      </c>
      <c r="B196" t="s">
        <v>26</v>
      </c>
      <c r="C196" s="1">
        <v>45836</v>
      </c>
      <c r="D196" t="s">
        <v>17</v>
      </c>
      <c r="E196" t="s">
        <v>25</v>
      </c>
      <c r="F196">
        <v>2</v>
      </c>
      <c r="G196">
        <v>5.48</v>
      </c>
      <c r="H196">
        <v>10.96</v>
      </c>
      <c r="I196">
        <v>4.08</v>
      </c>
      <c r="J196">
        <v>6.88</v>
      </c>
      <c r="K196">
        <v>151</v>
      </c>
    </row>
    <row r="197" spans="1:11" x14ac:dyDescent="0.3">
      <c r="A197">
        <v>2753</v>
      </c>
      <c r="B197" t="s">
        <v>14</v>
      </c>
      <c r="C197" s="1">
        <v>45721</v>
      </c>
      <c r="D197" t="s">
        <v>12</v>
      </c>
      <c r="E197" t="s">
        <v>21</v>
      </c>
      <c r="F197">
        <v>5</v>
      </c>
      <c r="G197">
        <v>4.79</v>
      </c>
      <c r="H197">
        <v>23.95</v>
      </c>
      <c r="I197">
        <v>4.79</v>
      </c>
      <c r="J197">
        <v>19.16</v>
      </c>
      <c r="K197">
        <v>192</v>
      </c>
    </row>
    <row r="198" spans="1:11" x14ac:dyDescent="0.3">
      <c r="A198">
        <v>3546</v>
      </c>
      <c r="B198" t="s">
        <v>19</v>
      </c>
      <c r="C198" s="1">
        <v>45356</v>
      </c>
      <c r="D198" t="s">
        <v>28</v>
      </c>
      <c r="E198" t="s">
        <v>29</v>
      </c>
      <c r="F198">
        <v>4</v>
      </c>
      <c r="G198">
        <v>2.2599999999999998</v>
      </c>
      <c r="H198">
        <v>9.0399999999999991</v>
      </c>
      <c r="I198">
        <v>0.9</v>
      </c>
      <c r="J198">
        <v>8.14</v>
      </c>
      <c r="K198">
        <v>186</v>
      </c>
    </row>
    <row r="199" spans="1:11" x14ac:dyDescent="0.3">
      <c r="A199">
        <v>5616</v>
      </c>
      <c r="B199" t="s">
        <v>30</v>
      </c>
      <c r="C199" s="1">
        <v>45614</v>
      </c>
      <c r="D199" t="s">
        <v>45</v>
      </c>
      <c r="E199" t="s">
        <v>25</v>
      </c>
      <c r="F199">
        <v>5</v>
      </c>
      <c r="G199">
        <v>7.93</v>
      </c>
      <c r="H199">
        <v>39.65</v>
      </c>
      <c r="I199">
        <v>7.93</v>
      </c>
      <c r="J199">
        <v>31.72</v>
      </c>
      <c r="K199">
        <v>494</v>
      </c>
    </row>
    <row r="200" spans="1:11" x14ac:dyDescent="0.3">
      <c r="A200">
        <v>4450</v>
      </c>
      <c r="B200" t="s">
        <v>36</v>
      </c>
      <c r="C200" s="1">
        <v>45702</v>
      </c>
      <c r="D200" t="s">
        <v>27</v>
      </c>
      <c r="E200" t="s">
        <v>33</v>
      </c>
      <c r="F200">
        <v>4</v>
      </c>
      <c r="G200">
        <v>23.3</v>
      </c>
      <c r="H200">
        <v>93.2</v>
      </c>
      <c r="I200">
        <v>3.11</v>
      </c>
      <c r="J200">
        <v>90.09</v>
      </c>
      <c r="K200">
        <v>398</v>
      </c>
    </row>
    <row r="201" spans="1:11" x14ac:dyDescent="0.3">
      <c r="A201">
        <v>6617</v>
      </c>
      <c r="B201" t="s">
        <v>19</v>
      </c>
      <c r="C201" s="1">
        <v>45303</v>
      </c>
      <c r="D201" t="s">
        <v>17</v>
      </c>
      <c r="E201" t="s">
        <v>41</v>
      </c>
      <c r="F201">
        <v>3</v>
      </c>
      <c r="G201">
        <v>2.5</v>
      </c>
      <c r="H201">
        <v>7.5</v>
      </c>
      <c r="I201">
        <v>4.74</v>
      </c>
      <c r="J201">
        <v>2.76</v>
      </c>
      <c r="K201">
        <v>246</v>
      </c>
    </row>
    <row r="202" spans="1:11" x14ac:dyDescent="0.3">
      <c r="A202">
        <v>5325</v>
      </c>
      <c r="B202" t="s">
        <v>14</v>
      </c>
      <c r="C202" s="1">
        <v>45537</v>
      </c>
      <c r="D202" t="s">
        <v>15</v>
      </c>
      <c r="E202" t="s">
        <v>37</v>
      </c>
      <c r="F202">
        <v>1</v>
      </c>
      <c r="G202">
        <v>23.12</v>
      </c>
      <c r="H202">
        <v>23.12</v>
      </c>
      <c r="I202">
        <v>1.59</v>
      </c>
      <c r="J202">
        <v>21.53</v>
      </c>
      <c r="K202">
        <v>139</v>
      </c>
    </row>
    <row r="203" spans="1:11" x14ac:dyDescent="0.3">
      <c r="A203">
        <v>9004</v>
      </c>
      <c r="B203" t="s">
        <v>24</v>
      </c>
      <c r="C203" s="1">
        <v>45340</v>
      </c>
      <c r="D203" t="s">
        <v>15</v>
      </c>
      <c r="E203" t="s">
        <v>25</v>
      </c>
      <c r="F203">
        <v>4</v>
      </c>
      <c r="G203">
        <v>26.64</v>
      </c>
      <c r="H203">
        <v>106.56</v>
      </c>
      <c r="I203">
        <v>10.66</v>
      </c>
      <c r="J203">
        <v>95.9</v>
      </c>
      <c r="K203">
        <v>476</v>
      </c>
    </row>
    <row r="204" spans="1:11" x14ac:dyDescent="0.3">
      <c r="A204">
        <v>1832</v>
      </c>
      <c r="B204" t="s">
        <v>31</v>
      </c>
      <c r="C204" s="1">
        <v>45216</v>
      </c>
      <c r="D204" t="s">
        <v>20</v>
      </c>
      <c r="E204" t="s">
        <v>46</v>
      </c>
      <c r="F204">
        <v>3</v>
      </c>
      <c r="G204">
        <v>7.83</v>
      </c>
      <c r="H204">
        <v>23.49</v>
      </c>
      <c r="I204">
        <v>4.7</v>
      </c>
      <c r="J204">
        <v>18.79</v>
      </c>
      <c r="K204">
        <v>41</v>
      </c>
    </row>
    <row r="205" spans="1:11" x14ac:dyDescent="0.3">
      <c r="A205">
        <v>7939</v>
      </c>
      <c r="B205" t="s">
        <v>31</v>
      </c>
      <c r="C205" s="1">
        <v>45789</v>
      </c>
      <c r="D205" t="s">
        <v>22</v>
      </c>
      <c r="E205" t="s">
        <v>48</v>
      </c>
      <c r="F205">
        <v>3</v>
      </c>
      <c r="G205">
        <v>23.94</v>
      </c>
      <c r="H205">
        <v>71.819999999999993</v>
      </c>
      <c r="I205">
        <v>10.77</v>
      </c>
      <c r="J205">
        <v>61.05</v>
      </c>
      <c r="K205">
        <v>70</v>
      </c>
    </row>
    <row r="206" spans="1:11" x14ac:dyDescent="0.3">
      <c r="A206">
        <v>5533</v>
      </c>
      <c r="B206" t="s">
        <v>26</v>
      </c>
      <c r="C206" s="1">
        <v>45179</v>
      </c>
      <c r="D206" t="s">
        <v>34</v>
      </c>
      <c r="E206" t="s">
        <v>47</v>
      </c>
      <c r="F206">
        <v>4</v>
      </c>
      <c r="G206">
        <v>18.84</v>
      </c>
      <c r="H206">
        <v>75.36</v>
      </c>
      <c r="I206">
        <v>2.02</v>
      </c>
      <c r="J206">
        <v>73.34</v>
      </c>
      <c r="K206">
        <v>463</v>
      </c>
    </row>
    <row r="207" spans="1:11" x14ac:dyDescent="0.3">
      <c r="A207">
        <v>1058</v>
      </c>
      <c r="B207" t="s">
        <v>19</v>
      </c>
      <c r="C207" s="1">
        <v>45404</v>
      </c>
      <c r="D207" t="s">
        <v>38</v>
      </c>
      <c r="E207" t="s">
        <v>46</v>
      </c>
      <c r="F207">
        <v>4</v>
      </c>
      <c r="G207">
        <v>4.21</v>
      </c>
      <c r="H207">
        <v>16.84</v>
      </c>
      <c r="I207">
        <v>2.5299999999999998</v>
      </c>
      <c r="J207">
        <v>14.31</v>
      </c>
      <c r="K207">
        <v>147</v>
      </c>
    </row>
    <row r="208" spans="1:11" x14ac:dyDescent="0.3">
      <c r="A208">
        <v>3143</v>
      </c>
      <c r="B208" t="s">
        <v>11</v>
      </c>
      <c r="C208" s="1">
        <v>45639</v>
      </c>
      <c r="D208" t="s">
        <v>12</v>
      </c>
      <c r="E208" t="s">
        <v>25</v>
      </c>
      <c r="F208">
        <v>4</v>
      </c>
      <c r="G208">
        <v>19.52</v>
      </c>
      <c r="H208">
        <v>78.08</v>
      </c>
      <c r="I208">
        <v>1.44</v>
      </c>
      <c r="J208">
        <v>76.64</v>
      </c>
      <c r="K208">
        <v>318</v>
      </c>
    </row>
    <row r="209" spans="1:11" x14ac:dyDescent="0.3">
      <c r="A209">
        <v>5291</v>
      </c>
      <c r="B209" t="s">
        <v>26</v>
      </c>
      <c r="C209" s="1">
        <v>45270</v>
      </c>
      <c r="D209" t="s">
        <v>28</v>
      </c>
      <c r="E209" t="s">
        <v>18</v>
      </c>
      <c r="F209">
        <v>1</v>
      </c>
      <c r="G209">
        <v>19.32</v>
      </c>
      <c r="H209">
        <v>19.32</v>
      </c>
      <c r="I209">
        <v>0</v>
      </c>
      <c r="J209">
        <v>19.32</v>
      </c>
      <c r="K209">
        <v>294</v>
      </c>
    </row>
    <row r="210" spans="1:11" x14ac:dyDescent="0.3">
      <c r="A210">
        <v>8239</v>
      </c>
      <c r="B210" t="s">
        <v>19</v>
      </c>
      <c r="C210" s="1">
        <v>45573</v>
      </c>
      <c r="D210" t="s">
        <v>35</v>
      </c>
      <c r="E210" t="s">
        <v>16</v>
      </c>
      <c r="F210">
        <v>1</v>
      </c>
      <c r="G210">
        <v>18.82</v>
      </c>
      <c r="H210">
        <v>18.82</v>
      </c>
      <c r="I210">
        <v>3.76</v>
      </c>
      <c r="J210">
        <v>15.06</v>
      </c>
      <c r="K210">
        <v>123</v>
      </c>
    </row>
    <row r="211" spans="1:11" x14ac:dyDescent="0.3">
      <c r="A211">
        <v>8007</v>
      </c>
      <c r="B211" t="s">
        <v>11</v>
      </c>
      <c r="C211" s="1">
        <v>45580</v>
      </c>
      <c r="D211" t="s">
        <v>38</v>
      </c>
      <c r="E211" t="s">
        <v>23</v>
      </c>
      <c r="F211">
        <v>1</v>
      </c>
      <c r="G211">
        <v>28.64</v>
      </c>
      <c r="H211">
        <v>28.64</v>
      </c>
      <c r="I211">
        <v>2.86</v>
      </c>
      <c r="J211">
        <v>25.78</v>
      </c>
      <c r="K211">
        <v>278</v>
      </c>
    </row>
    <row r="212" spans="1:11" x14ac:dyDescent="0.3">
      <c r="A212">
        <v>1158</v>
      </c>
      <c r="B212" t="s">
        <v>26</v>
      </c>
      <c r="C212" s="1">
        <v>45231</v>
      </c>
      <c r="D212" t="s">
        <v>12</v>
      </c>
      <c r="E212" t="s">
        <v>32</v>
      </c>
      <c r="F212">
        <v>3</v>
      </c>
      <c r="G212">
        <v>8.35</v>
      </c>
      <c r="H212">
        <v>25.05</v>
      </c>
      <c r="I212">
        <v>2.38</v>
      </c>
      <c r="J212">
        <v>22.67</v>
      </c>
      <c r="K212">
        <v>8</v>
      </c>
    </row>
    <row r="213" spans="1:11" x14ac:dyDescent="0.3">
      <c r="A213">
        <v>2232</v>
      </c>
      <c r="B213" t="s">
        <v>11</v>
      </c>
      <c r="C213" s="1">
        <v>45830</v>
      </c>
      <c r="D213" t="s">
        <v>28</v>
      </c>
      <c r="E213" t="s">
        <v>21</v>
      </c>
      <c r="F213">
        <v>2</v>
      </c>
      <c r="G213">
        <v>2.2799999999999998</v>
      </c>
      <c r="H213">
        <v>4.5599999999999996</v>
      </c>
      <c r="I213">
        <v>0</v>
      </c>
      <c r="J213">
        <v>4.5599999999999996</v>
      </c>
      <c r="K213">
        <v>279</v>
      </c>
    </row>
    <row r="214" spans="1:11" x14ac:dyDescent="0.3">
      <c r="A214">
        <v>3442</v>
      </c>
      <c r="B214" t="s">
        <v>19</v>
      </c>
      <c r="C214" s="1">
        <v>45568</v>
      </c>
      <c r="D214" t="s">
        <v>27</v>
      </c>
      <c r="E214" t="s">
        <v>33</v>
      </c>
      <c r="F214">
        <v>4</v>
      </c>
      <c r="G214">
        <v>19.309999999999999</v>
      </c>
      <c r="H214">
        <v>77.239999999999995</v>
      </c>
      <c r="I214">
        <v>3.86</v>
      </c>
      <c r="J214">
        <v>73.38</v>
      </c>
      <c r="K214">
        <v>415</v>
      </c>
    </row>
    <row r="215" spans="1:11" x14ac:dyDescent="0.3">
      <c r="A215">
        <v>1590</v>
      </c>
      <c r="B215" t="s">
        <v>26</v>
      </c>
      <c r="C215" s="1">
        <v>45793</v>
      </c>
      <c r="D215" t="s">
        <v>12</v>
      </c>
      <c r="E215" t="s">
        <v>37</v>
      </c>
      <c r="F215">
        <v>2</v>
      </c>
      <c r="G215">
        <v>2.2599999999999998</v>
      </c>
      <c r="H215">
        <v>4.5199999999999996</v>
      </c>
      <c r="I215">
        <v>0.68</v>
      </c>
      <c r="J215">
        <v>3.84</v>
      </c>
      <c r="K215">
        <v>102</v>
      </c>
    </row>
    <row r="216" spans="1:11" x14ac:dyDescent="0.3">
      <c r="A216">
        <v>7049</v>
      </c>
      <c r="B216" t="s">
        <v>30</v>
      </c>
      <c r="C216" s="1">
        <v>45597</v>
      </c>
      <c r="D216" t="s">
        <v>38</v>
      </c>
      <c r="E216" t="s">
        <v>32</v>
      </c>
      <c r="F216">
        <v>5</v>
      </c>
      <c r="G216">
        <v>14.72</v>
      </c>
      <c r="H216">
        <v>73.599999999999994</v>
      </c>
      <c r="I216">
        <v>11.04</v>
      </c>
      <c r="J216">
        <v>62.56</v>
      </c>
      <c r="K216">
        <v>18</v>
      </c>
    </row>
    <row r="217" spans="1:11" x14ac:dyDescent="0.3">
      <c r="A217">
        <v>3426</v>
      </c>
      <c r="B217" t="s">
        <v>36</v>
      </c>
      <c r="C217" s="1">
        <v>45478</v>
      </c>
      <c r="D217" t="s">
        <v>12</v>
      </c>
      <c r="E217" t="s">
        <v>21</v>
      </c>
      <c r="F217">
        <v>3</v>
      </c>
      <c r="G217">
        <v>4.5999999999999996</v>
      </c>
      <c r="H217">
        <v>13.8</v>
      </c>
      <c r="I217">
        <v>1.38</v>
      </c>
      <c r="J217">
        <v>12.42</v>
      </c>
      <c r="K217">
        <v>188</v>
      </c>
    </row>
    <row r="218" spans="1:11" x14ac:dyDescent="0.3">
      <c r="A218">
        <v>3088</v>
      </c>
      <c r="B218" t="s">
        <v>26</v>
      </c>
      <c r="C218" s="1">
        <v>45177</v>
      </c>
      <c r="D218" t="s">
        <v>20</v>
      </c>
      <c r="E218" t="s">
        <v>21</v>
      </c>
      <c r="F218">
        <v>2</v>
      </c>
      <c r="G218">
        <v>15.38</v>
      </c>
      <c r="H218">
        <v>30.76</v>
      </c>
      <c r="I218">
        <v>2.0699999999999998</v>
      </c>
      <c r="J218">
        <v>28.69</v>
      </c>
      <c r="K218">
        <v>254</v>
      </c>
    </row>
    <row r="219" spans="1:11" x14ac:dyDescent="0.3">
      <c r="A219">
        <v>6050</v>
      </c>
      <c r="B219" t="s">
        <v>11</v>
      </c>
      <c r="C219" s="1">
        <v>45428</v>
      </c>
      <c r="D219" t="s">
        <v>20</v>
      </c>
      <c r="E219" t="s">
        <v>43</v>
      </c>
      <c r="F219">
        <v>4</v>
      </c>
      <c r="G219">
        <v>18.46</v>
      </c>
      <c r="H219">
        <v>73.84</v>
      </c>
      <c r="I219">
        <v>2.1800000000000002</v>
      </c>
      <c r="J219">
        <v>71.66</v>
      </c>
      <c r="K219">
        <v>421</v>
      </c>
    </row>
    <row r="220" spans="1:11" x14ac:dyDescent="0.3">
      <c r="A220">
        <v>1653</v>
      </c>
      <c r="B220" t="s">
        <v>11</v>
      </c>
      <c r="C220" s="1">
        <v>45843</v>
      </c>
      <c r="D220" t="s">
        <v>15</v>
      </c>
      <c r="E220" t="s">
        <v>21</v>
      </c>
      <c r="F220">
        <v>3</v>
      </c>
      <c r="G220">
        <v>9.8800000000000008</v>
      </c>
      <c r="H220">
        <v>29.64</v>
      </c>
      <c r="I220">
        <v>5.93</v>
      </c>
      <c r="J220">
        <v>23.71</v>
      </c>
      <c r="K220">
        <v>308</v>
      </c>
    </row>
    <row r="221" spans="1:11" x14ac:dyDescent="0.3">
      <c r="A221">
        <v>6862</v>
      </c>
      <c r="B221" t="s">
        <v>26</v>
      </c>
      <c r="C221" s="1">
        <v>45308</v>
      </c>
      <c r="D221" t="s">
        <v>22</v>
      </c>
      <c r="E221" t="s">
        <v>33</v>
      </c>
      <c r="F221">
        <v>1</v>
      </c>
      <c r="G221">
        <v>22.07</v>
      </c>
      <c r="H221">
        <v>22.07</v>
      </c>
      <c r="I221">
        <v>4.99</v>
      </c>
      <c r="J221">
        <v>17.079999999999998</v>
      </c>
      <c r="K221">
        <v>466</v>
      </c>
    </row>
    <row r="222" spans="1:11" x14ac:dyDescent="0.3">
      <c r="A222">
        <v>5088</v>
      </c>
      <c r="B222" t="s">
        <v>30</v>
      </c>
      <c r="C222" s="1">
        <v>45663</v>
      </c>
      <c r="D222" t="s">
        <v>27</v>
      </c>
      <c r="E222" t="s">
        <v>40</v>
      </c>
      <c r="F222">
        <v>1</v>
      </c>
      <c r="G222">
        <v>20.45</v>
      </c>
      <c r="H222">
        <v>20.45</v>
      </c>
      <c r="I222">
        <v>4.2</v>
      </c>
      <c r="J222">
        <v>16.25</v>
      </c>
      <c r="K222">
        <v>207</v>
      </c>
    </row>
    <row r="223" spans="1:11" x14ac:dyDescent="0.3">
      <c r="A223">
        <v>2684</v>
      </c>
      <c r="B223" t="s">
        <v>19</v>
      </c>
      <c r="C223" s="1">
        <v>45419</v>
      </c>
      <c r="D223" t="s">
        <v>12</v>
      </c>
      <c r="E223" t="s">
        <v>41</v>
      </c>
      <c r="F223">
        <v>5</v>
      </c>
      <c r="G223">
        <v>20.65</v>
      </c>
      <c r="H223">
        <v>103.25</v>
      </c>
      <c r="I223">
        <v>20.65</v>
      </c>
      <c r="J223">
        <v>82.6</v>
      </c>
      <c r="K223">
        <v>224</v>
      </c>
    </row>
    <row r="224" spans="1:11" x14ac:dyDescent="0.3">
      <c r="A224">
        <v>7658</v>
      </c>
      <c r="B224" t="s">
        <v>11</v>
      </c>
      <c r="C224" s="1">
        <v>45627</v>
      </c>
      <c r="D224" t="s">
        <v>17</v>
      </c>
      <c r="E224" t="s">
        <v>23</v>
      </c>
      <c r="F224">
        <v>3</v>
      </c>
      <c r="G224">
        <v>12.09</v>
      </c>
      <c r="H224">
        <v>36.270000000000003</v>
      </c>
      <c r="I224">
        <v>1.61</v>
      </c>
      <c r="J224">
        <v>34.659999999999997</v>
      </c>
      <c r="K224">
        <v>290</v>
      </c>
    </row>
    <row r="225" spans="1:11" x14ac:dyDescent="0.3">
      <c r="A225">
        <v>3532</v>
      </c>
      <c r="B225" t="s">
        <v>26</v>
      </c>
      <c r="C225" s="1">
        <v>45864</v>
      </c>
      <c r="D225" t="s">
        <v>22</v>
      </c>
      <c r="E225" t="s">
        <v>23</v>
      </c>
      <c r="F225">
        <v>4</v>
      </c>
      <c r="G225">
        <v>23.12</v>
      </c>
      <c r="H225">
        <v>92.48</v>
      </c>
      <c r="I225">
        <v>2.4700000000000002</v>
      </c>
      <c r="J225">
        <v>90.01</v>
      </c>
      <c r="K225">
        <v>293</v>
      </c>
    </row>
    <row r="226" spans="1:11" x14ac:dyDescent="0.3">
      <c r="A226">
        <v>4878</v>
      </c>
      <c r="B226" t="s">
        <v>36</v>
      </c>
      <c r="C226" s="1">
        <v>45816</v>
      </c>
      <c r="D226" t="s">
        <v>27</v>
      </c>
      <c r="E226" t="s">
        <v>13</v>
      </c>
      <c r="F226">
        <v>2</v>
      </c>
      <c r="G226">
        <v>28.85</v>
      </c>
      <c r="H226">
        <v>57.7</v>
      </c>
      <c r="I226">
        <v>5.77</v>
      </c>
      <c r="J226">
        <v>51.93</v>
      </c>
      <c r="K226">
        <v>13</v>
      </c>
    </row>
    <row r="227" spans="1:11" x14ac:dyDescent="0.3">
      <c r="A227">
        <v>3662</v>
      </c>
      <c r="B227" t="s">
        <v>14</v>
      </c>
      <c r="C227" s="1">
        <v>45766</v>
      </c>
      <c r="D227" t="s">
        <v>20</v>
      </c>
      <c r="E227" t="s">
        <v>18</v>
      </c>
      <c r="F227">
        <v>1</v>
      </c>
      <c r="G227">
        <v>8.58</v>
      </c>
      <c r="H227">
        <v>8.58</v>
      </c>
      <c r="I227">
        <v>1.72</v>
      </c>
      <c r="J227">
        <v>6.86</v>
      </c>
      <c r="K227">
        <v>133</v>
      </c>
    </row>
    <row r="228" spans="1:11" x14ac:dyDescent="0.3">
      <c r="A228">
        <v>3900</v>
      </c>
      <c r="B228" t="s">
        <v>30</v>
      </c>
      <c r="C228" s="1">
        <v>45829</v>
      </c>
      <c r="D228" t="s">
        <v>45</v>
      </c>
      <c r="E228" t="s">
        <v>44</v>
      </c>
      <c r="F228">
        <v>1</v>
      </c>
      <c r="G228">
        <v>4.93</v>
      </c>
      <c r="H228">
        <v>4.93</v>
      </c>
      <c r="I228">
        <v>0.99</v>
      </c>
      <c r="J228">
        <v>3.94</v>
      </c>
      <c r="K228">
        <v>37</v>
      </c>
    </row>
    <row r="229" spans="1:11" x14ac:dyDescent="0.3">
      <c r="A229">
        <v>7755</v>
      </c>
      <c r="B229" t="s">
        <v>26</v>
      </c>
      <c r="C229" s="1">
        <v>45164</v>
      </c>
      <c r="D229" t="s">
        <v>15</v>
      </c>
      <c r="E229" t="s">
        <v>21</v>
      </c>
      <c r="F229">
        <v>3</v>
      </c>
      <c r="G229">
        <v>21.57</v>
      </c>
      <c r="H229">
        <v>64.709999999999994</v>
      </c>
      <c r="I229">
        <v>9.7100000000000009</v>
      </c>
      <c r="J229">
        <v>55</v>
      </c>
      <c r="K229">
        <v>281</v>
      </c>
    </row>
    <row r="230" spans="1:11" x14ac:dyDescent="0.3">
      <c r="A230">
        <v>3938</v>
      </c>
      <c r="B230" t="s">
        <v>19</v>
      </c>
      <c r="C230" s="1">
        <v>45717</v>
      </c>
      <c r="D230" t="s">
        <v>27</v>
      </c>
      <c r="E230" t="s">
        <v>29</v>
      </c>
      <c r="F230">
        <v>3</v>
      </c>
      <c r="G230">
        <v>15.74</v>
      </c>
      <c r="H230">
        <v>47.22</v>
      </c>
      <c r="I230">
        <v>9.44</v>
      </c>
      <c r="J230">
        <v>37.78</v>
      </c>
      <c r="K230">
        <v>62</v>
      </c>
    </row>
    <row r="231" spans="1:11" x14ac:dyDescent="0.3">
      <c r="A231">
        <v>6442</v>
      </c>
      <c r="B231" t="s">
        <v>42</v>
      </c>
      <c r="C231" s="1">
        <v>45752</v>
      </c>
      <c r="D231" t="s">
        <v>45</v>
      </c>
      <c r="E231" t="s">
        <v>39</v>
      </c>
      <c r="F231">
        <v>3</v>
      </c>
      <c r="G231">
        <v>17.059999999999999</v>
      </c>
      <c r="H231">
        <v>51.18</v>
      </c>
      <c r="I231">
        <v>1.52</v>
      </c>
      <c r="J231">
        <v>49.66</v>
      </c>
      <c r="K231">
        <v>188</v>
      </c>
    </row>
    <row r="232" spans="1:11" x14ac:dyDescent="0.3">
      <c r="A232">
        <v>7745</v>
      </c>
      <c r="B232" t="s">
        <v>11</v>
      </c>
      <c r="C232" s="1">
        <v>45768</v>
      </c>
      <c r="D232" t="s">
        <v>15</v>
      </c>
      <c r="E232" t="s">
        <v>37</v>
      </c>
      <c r="F232">
        <v>4</v>
      </c>
      <c r="G232">
        <v>29.98</v>
      </c>
      <c r="H232">
        <v>119.92</v>
      </c>
      <c r="I232">
        <v>2.64</v>
      </c>
      <c r="J232">
        <v>117.28</v>
      </c>
      <c r="K232">
        <v>368</v>
      </c>
    </row>
    <row r="233" spans="1:11" x14ac:dyDescent="0.3">
      <c r="A233">
        <v>5065</v>
      </c>
      <c r="B233" t="s">
        <v>24</v>
      </c>
      <c r="C233" s="1">
        <v>45352</v>
      </c>
      <c r="D233" t="s">
        <v>28</v>
      </c>
      <c r="E233" t="s">
        <v>43</v>
      </c>
      <c r="F233">
        <v>2</v>
      </c>
      <c r="G233">
        <v>29.19</v>
      </c>
      <c r="H233">
        <v>58.38</v>
      </c>
      <c r="I233">
        <v>5.84</v>
      </c>
      <c r="J233">
        <v>52.54</v>
      </c>
      <c r="K233">
        <v>328</v>
      </c>
    </row>
    <row r="234" spans="1:11" x14ac:dyDescent="0.3">
      <c r="A234">
        <v>3608</v>
      </c>
      <c r="B234" t="s">
        <v>26</v>
      </c>
      <c r="C234" s="1">
        <v>45756</v>
      </c>
      <c r="D234" t="s">
        <v>27</v>
      </c>
      <c r="E234" t="s">
        <v>46</v>
      </c>
      <c r="F234">
        <v>3</v>
      </c>
      <c r="G234">
        <v>4.71</v>
      </c>
      <c r="H234">
        <v>14.13</v>
      </c>
      <c r="I234">
        <v>2.83</v>
      </c>
      <c r="J234">
        <v>11.3</v>
      </c>
      <c r="K234">
        <v>424</v>
      </c>
    </row>
    <row r="235" spans="1:11" x14ac:dyDescent="0.3">
      <c r="A235">
        <v>2771</v>
      </c>
      <c r="B235" t="s">
        <v>24</v>
      </c>
      <c r="C235" s="1">
        <v>45442</v>
      </c>
      <c r="D235" t="s">
        <v>38</v>
      </c>
      <c r="E235" t="s">
        <v>40</v>
      </c>
      <c r="F235">
        <v>1</v>
      </c>
      <c r="G235">
        <v>16.010000000000002</v>
      </c>
      <c r="H235">
        <v>16.010000000000002</v>
      </c>
      <c r="I235">
        <v>3.2</v>
      </c>
      <c r="J235">
        <v>12.81</v>
      </c>
      <c r="K235">
        <v>155</v>
      </c>
    </row>
    <row r="236" spans="1:11" x14ac:dyDescent="0.3">
      <c r="A236">
        <v>1634</v>
      </c>
      <c r="B236" t="s">
        <v>36</v>
      </c>
      <c r="C236" s="1">
        <v>45811</v>
      </c>
      <c r="D236" t="s">
        <v>17</v>
      </c>
      <c r="E236" t="s">
        <v>23</v>
      </c>
      <c r="F236">
        <v>5</v>
      </c>
      <c r="G236">
        <v>26.94</v>
      </c>
      <c r="H236">
        <v>134.69999999999999</v>
      </c>
      <c r="I236">
        <v>20.2</v>
      </c>
      <c r="J236">
        <v>114.5</v>
      </c>
      <c r="K236">
        <v>433</v>
      </c>
    </row>
    <row r="237" spans="1:11" x14ac:dyDescent="0.3">
      <c r="A237">
        <v>8711</v>
      </c>
      <c r="B237" t="s">
        <v>42</v>
      </c>
      <c r="C237" s="1">
        <v>45317</v>
      </c>
      <c r="D237" t="s">
        <v>27</v>
      </c>
      <c r="E237" t="s">
        <v>18</v>
      </c>
      <c r="F237">
        <v>3</v>
      </c>
      <c r="G237">
        <v>4.62</v>
      </c>
      <c r="H237">
        <v>13.86</v>
      </c>
      <c r="I237">
        <v>3.56</v>
      </c>
      <c r="J237">
        <v>10.3</v>
      </c>
      <c r="K237">
        <v>155</v>
      </c>
    </row>
    <row r="238" spans="1:11" x14ac:dyDescent="0.3">
      <c r="A238">
        <v>4269</v>
      </c>
      <c r="B238" t="s">
        <v>19</v>
      </c>
      <c r="C238" s="1">
        <v>45779</v>
      </c>
      <c r="D238" t="s">
        <v>34</v>
      </c>
      <c r="E238" t="s">
        <v>21</v>
      </c>
      <c r="F238">
        <v>5</v>
      </c>
      <c r="G238">
        <v>2.1800000000000002</v>
      </c>
      <c r="H238">
        <v>10.9</v>
      </c>
      <c r="I238">
        <v>1.18</v>
      </c>
      <c r="J238">
        <v>9.7200000000000006</v>
      </c>
      <c r="K238">
        <v>442</v>
      </c>
    </row>
    <row r="239" spans="1:11" x14ac:dyDescent="0.3">
      <c r="A239">
        <v>8541</v>
      </c>
      <c r="B239" t="s">
        <v>30</v>
      </c>
      <c r="C239" s="1">
        <v>45416</v>
      </c>
      <c r="D239" t="s">
        <v>27</v>
      </c>
      <c r="E239" t="s">
        <v>44</v>
      </c>
      <c r="F239">
        <v>5</v>
      </c>
      <c r="G239">
        <v>13.07</v>
      </c>
      <c r="H239">
        <v>65.349999999999994</v>
      </c>
      <c r="I239">
        <v>6.54</v>
      </c>
      <c r="J239">
        <v>58.81</v>
      </c>
      <c r="K239">
        <v>327</v>
      </c>
    </row>
    <row r="240" spans="1:11" x14ac:dyDescent="0.3">
      <c r="A240">
        <v>6000</v>
      </c>
      <c r="B240" t="s">
        <v>14</v>
      </c>
      <c r="C240" s="1">
        <v>45782</v>
      </c>
      <c r="D240" t="s">
        <v>35</v>
      </c>
      <c r="E240" t="s">
        <v>37</v>
      </c>
      <c r="F240">
        <v>4</v>
      </c>
      <c r="G240">
        <v>8.09</v>
      </c>
      <c r="H240">
        <v>32.36</v>
      </c>
      <c r="I240">
        <v>4.8499999999999996</v>
      </c>
      <c r="J240">
        <v>27.51</v>
      </c>
      <c r="K240">
        <v>413</v>
      </c>
    </row>
    <row r="241" spans="1:11" x14ac:dyDescent="0.3">
      <c r="A241">
        <v>4728</v>
      </c>
      <c r="B241" t="s">
        <v>26</v>
      </c>
      <c r="C241" s="1">
        <v>45318</v>
      </c>
      <c r="D241" t="s">
        <v>15</v>
      </c>
      <c r="E241" t="s">
        <v>40</v>
      </c>
      <c r="F241">
        <v>2</v>
      </c>
      <c r="G241">
        <v>13.74</v>
      </c>
      <c r="H241">
        <v>27.48</v>
      </c>
      <c r="I241">
        <v>5.5</v>
      </c>
      <c r="J241">
        <v>21.98</v>
      </c>
      <c r="K241">
        <v>247</v>
      </c>
    </row>
    <row r="242" spans="1:11" x14ac:dyDescent="0.3">
      <c r="A242">
        <v>1387</v>
      </c>
      <c r="B242" t="s">
        <v>36</v>
      </c>
      <c r="C242" s="1">
        <v>45657</v>
      </c>
      <c r="D242" t="s">
        <v>28</v>
      </c>
      <c r="E242" t="s">
        <v>41</v>
      </c>
      <c r="F242">
        <v>3</v>
      </c>
      <c r="G242">
        <v>25.97</v>
      </c>
      <c r="H242">
        <v>77.91</v>
      </c>
      <c r="I242">
        <v>7.79</v>
      </c>
      <c r="J242">
        <v>70.12</v>
      </c>
      <c r="K242">
        <v>163</v>
      </c>
    </row>
    <row r="243" spans="1:11" x14ac:dyDescent="0.3">
      <c r="A243">
        <v>4164</v>
      </c>
      <c r="B243" t="s">
        <v>19</v>
      </c>
      <c r="C243" s="1">
        <v>45454</v>
      </c>
      <c r="D243" t="s">
        <v>22</v>
      </c>
      <c r="E243" t="s">
        <v>46</v>
      </c>
      <c r="F243">
        <v>5</v>
      </c>
      <c r="G243">
        <v>4.07</v>
      </c>
      <c r="H243">
        <v>20.350000000000001</v>
      </c>
      <c r="I243">
        <v>2.0699999999999998</v>
      </c>
      <c r="J243">
        <v>18.28</v>
      </c>
      <c r="K243">
        <v>123</v>
      </c>
    </row>
    <row r="244" spans="1:11" x14ac:dyDescent="0.3">
      <c r="A244">
        <v>6378</v>
      </c>
      <c r="B244" t="s">
        <v>42</v>
      </c>
      <c r="C244" s="1">
        <v>45361</v>
      </c>
      <c r="D244" t="s">
        <v>34</v>
      </c>
      <c r="E244" t="s">
        <v>48</v>
      </c>
      <c r="F244">
        <v>1</v>
      </c>
      <c r="G244">
        <v>9.41</v>
      </c>
      <c r="H244">
        <v>9.41</v>
      </c>
      <c r="I244">
        <v>1.88</v>
      </c>
      <c r="J244">
        <v>7.53</v>
      </c>
      <c r="K244">
        <v>196</v>
      </c>
    </row>
    <row r="245" spans="1:11" x14ac:dyDescent="0.3">
      <c r="A245">
        <v>2137</v>
      </c>
      <c r="B245" t="s">
        <v>19</v>
      </c>
      <c r="C245" s="1">
        <v>45745</v>
      </c>
      <c r="D245" t="s">
        <v>22</v>
      </c>
      <c r="E245" t="s">
        <v>21</v>
      </c>
      <c r="F245">
        <v>2</v>
      </c>
      <c r="G245">
        <v>23.12</v>
      </c>
      <c r="H245">
        <v>46.24</v>
      </c>
      <c r="I245">
        <v>4.62</v>
      </c>
      <c r="J245">
        <v>41.62</v>
      </c>
      <c r="K245">
        <v>255</v>
      </c>
    </row>
    <row r="246" spans="1:11" x14ac:dyDescent="0.3">
      <c r="A246">
        <v>5573</v>
      </c>
      <c r="B246" t="s">
        <v>30</v>
      </c>
      <c r="C246" s="1">
        <v>45417</v>
      </c>
      <c r="D246" t="s">
        <v>45</v>
      </c>
      <c r="E246" t="s">
        <v>39</v>
      </c>
      <c r="F246">
        <v>1</v>
      </c>
      <c r="G246">
        <v>28.4</v>
      </c>
      <c r="H246">
        <v>28.4</v>
      </c>
      <c r="I246">
        <v>5.68</v>
      </c>
      <c r="J246">
        <v>22.72</v>
      </c>
      <c r="K246">
        <v>258</v>
      </c>
    </row>
    <row r="247" spans="1:11" x14ac:dyDescent="0.3">
      <c r="A247">
        <v>9346</v>
      </c>
      <c r="B247" t="s">
        <v>42</v>
      </c>
      <c r="C247" s="1">
        <v>45455</v>
      </c>
      <c r="D247" t="s">
        <v>28</v>
      </c>
      <c r="E247" t="s">
        <v>23</v>
      </c>
      <c r="F247">
        <v>1</v>
      </c>
      <c r="G247">
        <v>2.46</v>
      </c>
      <c r="H247">
        <v>2.46</v>
      </c>
      <c r="I247">
        <v>0.37</v>
      </c>
      <c r="J247">
        <v>2.09</v>
      </c>
      <c r="K247">
        <v>253</v>
      </c>
    </row>
    <row r="248" spans="1:11" x14ac:dyDescent="0.3">
      <c r="A248">
        <v>9785</v>
      </c>
      <c r="B248" t="s">
        <v>14</v>
      </c>
      <c r="C248" s="1">
        <v>45402</v>
      </c>
      <c r="D248" t="s">
        <v>12</v>
      </c>
      <c r="E248" t="s">
        <v>48</v>
      </c>
      <c r="F248">
        <v>4</v>
      </c>
      <c r="G248">
        <v>4.87</v>
      </c>
      <c r="H248">
        <v>19.48</v>
      </c>
      <c r="I248">
        <v>1.95</v>
      </c>
      <c r="J248">
        <v>17.53</v>
      </c>
      <c r="K248">
        <v>135</v>
      </c>
    </row>
    <row r="249" spans="1:11" x14ac:dyDescent="0.3">
      <c r="A249">
        <v>1452</v>
      </c>
      <c r="B249" t="s">
        <v>36</v>
      </c>
      <c r="C249" s="1">
        <v>45234</v>
      </c>
      <c r="D249" t="s">
        <v>12</v>
      </c>
      <c r="E249" t="s">
        <v>32</v>
      </c>
      <c r="F249">
        <v>1</v>
      </c>
      <c r="G249">
        <v>17.53</v>
      </c>
      <c r="H249">
        <v>17.53</v>
      </c>
      <c r="I249">
        <v>2.15</v>
      </c>
      <c r="J249">
        <v>15.38</v>
      </c>
      <c r="K249">
        <v>99</v>
      </c>
    </row>
    <row r="250" spans="1:11" x14ac:dyDescent="0.3">
      <c r="A250">
        <v>5279</v>
      </c>
      <c r="B250" t="s">
        <v>24</v>
      </c>
      <c r="C250" s="1">
        <v>45283</v>
      </c>
      <c r="D250" t="s">
        <v>38</v>
      </c>
      <c r="E250" t="s">
        <v>33</v>
      </c>
      <c r="F250">
        <v>5</v>
      </c>
      <c r="G250">
        <v>9.1</v>
      </c>
      <c r="H250">
        <v>45.5</v>
      </c>
      <c r="I250">
        <v>9.1</v>
      </c>
      <c r="J250">
        <v>36.4</v>
      </c>
      <c r="K250">
        <v>319</v>
      </c>
    </row>
    <row r="251" spans="1:11" x14ac:dyDescent="0.3">
      <c r="A251">
        <v>5349</v>
      </c>
      <c r="B251" t="s">
        <v>11</v>
      </c>
      <c r="C251" s="1">
        <v>45174</v>
      </c>
      <c r="D251" t="s">
        <v>20</v>
      </c>
      <c r="E251" t="s">
        <v>23</v>
      </c>
      <c r="F251">
        <v>3</v>
      </c>
      <c r="G251">
        <v>17.170000000000002</v>
      </c>
      <c r="H251">
        <v>51.51</v>
      </c>
      <c r="I251">
        <v>10.3</v>
      </c>
      <c r="J251">
        <v>41.21</v>
      </c>
      <c r="K251">
        <v>187</v>
      </c>
    </row>
    <row r="252" spans="1:11" x14ac:dyDescent="0.3">
      <c r="A252">
        <v>2776</v>
      </c>
      <c r="B252" t="s">
        <v>14</v>
      </c>
      <c r="C252" s="1">
        <v>45608</v>
      </c>
      <c r="D252" t="s">
        <v>20</v>
      </c>
      <c r="E252" t="s">
        <v>46</v>
      </c>
      <c r="F252">
        <v>1</v>
      </c>
      <c r="G252">
        <v>2.2999999999999998</v>
      </c>
      <c r="H252">
        <v>2.2999999999999998</v>
      </c>
      <c r="I252">
        <v>0.23</v>
      </c>
      <c r="J252">
        <v>2.0699999999999998</v>
      </c>
      <c r="K252">
        <v>70</v>
      </c>
    </row>
    <row r="253" spans="1:11" x14ac:dyDescent="0.3">
      <c r="A253">
        <v>8119</v>
      </c>
      <c r="B253" t="s">
        <v>14</v>
      </c>
      <c r="C253" s="1">
        <v>45413</v>
      </c>
      <c r="D253" t="s">
        <v>45</v>
      </c>
      <c r="E253" t="s">
        <v>41</v>
      </c>
      <c r="F253">
        <v>5</v>
      </c>
      <c r="G253">
        <v>26.89</v>
      </c>
      <c r="H253">
        <v>134.44999999999999</v>
      </c>
      <c r="I253">
        <v>2.27</v>
      </c>
      <c r="J253">
        <v>132.18</v>
      </c>
      <c r="K253">
        <v>71</v>
      </c>
    </row>
    <row r="254" spans="1:11" x14ac:dyDescent="0.3">
      <c r="A254">
        <v>6139</v>
      </c>
      <c r="B254" t="s">
        <v>24</v>
      </c>
      <c r="C254" s="1">
        <v>45483</v>
      </c>
      <c r="D254" t="s">
        <v>28</v>
      </c>
      <c r="E254" t="s">
        <v>37</v>
      </c>
      <c r="F254">
        <v>5</v>
      </c>
      <c r="G254">
        <v>10.74</v>
      </c>
      <c r="H254">
        <v>53.7</v>
      </c>
      <c r="I254">
        <v>0</v>
      </c>
      <c r="J254">
        <v>53.7</v>
      </c>
      <c r="K254">
        <v>424</v>
      </c>
    </row>
    <row r="255" spans="1:11" x14ac:dyDescent="0.3">
      <c r="A255">
        <v>9379</v>
      </c>
      <c r="B255" t="s">
        <v>30</v>
      </c>
      <c r="C255" s="1">
        <v>45234</v>
      </c>
      <c r="D255" t="s">
        <v>45</v>
      </c>
      <c r="E255" t="s">
        <v>39</v>
      </c>
      <c r="F255">
        <v>3</v>
      </c>
      <c r="G255">
        <v>10.6</v>
      </c>
      <c r="H255">
        <v>31.8</v>
      </c>
      <c r="I255">
        <v>2.23</v>
      </c>
      <c r="J255">
        <v>29.57</v>
      </c>
      <c r="K255">
        <v>56</v>
      </c>
    </row>
    <row r="256" spans="1:11" x14ac:dyDescent="0.3">
      <c r="A256">
        <v>7311</v>
      </c>
      <c r="B256" t="s">
        <v>31</v>
      </c>
      <c r="C256" s="1">
        <v>45843</v>
      </c>
      <c r="D256" t="s">
        <v>28</v>
      </c>
      <c r="E256" t="s">
        <v>47</v>
      </c>
      <c r="F256">
        <v>3</v>
      </c>
      <c r="G256">
        <v>29.04</v>
      </c>
      <c r="H256">
        <v>87.12</v>
      </c>
      <c r="I256">
        <v>0</v>
      </c>
      <c r="J256">
        <v>87.12</v>
      </c>
      <c r="K256">
        <v>400</v>
      </c>
    </row>
    <row r="257" spans="1:11" x14ac:dyDescent="0.3">
      <c r="A257">
        <v>4114</v>
      </c>
      <c r="B257" t="s">
        <v>31</v>
      </c>
      <c r="C257" s="1">
        <v>45342</v>
      </c>
      <c r="D257" t="s">
        <v>28</v>
      </c>
      <c r="E257" t="s">
        <v>47</v>
      </c>
      <c r="F257">
        <v>2</v>
      </c>
      <c r="G257">
        <v>16.190000000000001</v>
      </c>
      <c r="H257">
        <v>32.380000000000003</v>
      </c>
      <c r="I257">
        <v>6.48</v>
      </c>
      <c r="J257">
        <v>25.9</v>
      </c>
      <c r="K257">
        <v>369</v>
      </c>
    </row>
    <row r="258" spans="1:11" x14ac:dyDescent="0.3">
      <c r="A258">
        <v>1727</v>
      </c>
      <c r="B258" t="s">
        <v>42</v>
      </c>
      <c r="C258" s="1">
        <v>45695</v>
      </c>
      <c r="D258" t="s">
        <v>12</v>
      </c>
      <c r="E258" t="s">
        <v>48</v>
      </c>
      <c r="F258">
        <v>2</v>
      </c>
      <c r="G258">
        <v>1.54</v>
      </c>
      <c r="H258">
        <v>3.08</v>
      </c>
      <c r="I258">
        <v>0.62</v>
      </c>
      <c r="J258">
        <v>2.46</v>
      </c>
      <c r="K258">
        <v>160</v>
      </c>
    </row>
    <row r="259" spans="1:11" x14ac:dyDescent="0.3">
      <c r="A259">
        <v>8144</v>
      </c>
      <c r="B259" t="s">
        <v>24</v>
      </c>
      <c r="C259" s="1">
        <v>45146</v>
      </c>
      <c r="D259" t="s">
        <v>17</v>
      </c>
      <c r="E259" t="s">
        <v>16</v>
      </c>
      <c r="F259">
        <v>5</v>
      </c>
      <c r="G259">
        <v>23.46</v>
      </c>
      <c r="H259">
        <v>117.3</v>
      </c>
      <c r="I259">
        <v>0</v>
      </c>
      <c r="J259">
        <v>117.3</v>
      </c>
      <c r="K259">
        <v>471</v>
      </c>
    </row>
    <row r="260" spans="1:11" x14ac:dyDescent="0.3">
      <c r="A260">
        <v>9518</v>
      </c>
      <c r="B260" t="s">
        <v>31</v>
      </c>
      <c r="C260" s="1">
        <v>45863</v>
      </c>
      <c r="D260" t="s">
        <v>34</v>
      </c>
      <c r="E260" t="s">
        <v>46</v>
      </c>
      <c r="F260">
        <v>2</v>
      </c>
      <c r="G260">
        <v>17.260000000000002</v>
      </c>
      <c r="H260">
        <v>34.520000000000003</v>
      </c>
      <c r="I260">
        <v>2.5099999999999998</v>
      </c>
      <c r="J260">
        <v>32.01</v>
      </c>
      <c r="K260">
        <v>339</v>
      </c>
    </row>
    <row r="261" spans="1:11" x14ac:dyDescent="0.3">
      <c r="A261">
        <v>9821</v>
      </c>
      <c r="B261" t="s">
        <v>19</v>
      </c>
      <c r="C261" s="1">
        <v>45678</v>
      </c>
      <c r="D261" t="s">
        <v>45</v>
      </c>
      <c r="E261" t="s">
        <v>18</v>
      </c>
      <c r="F261">
        <v>3</v>
      </c>
      <c r="G261">
        <v>16.829999999999998</v>
      </c>
      <c r="H261">
        <v>50.49</v>
      </c>
      <c r="I261">
        <v>2.94</v>
      </c>
      <c r="J261">
        <v>47.55</v>
      </c>
      <c r="K261">
        <v>346</v>
      </c>
    </row>
    <row r="262" spans="1:11" x14ac:dyDescent="0.3">
      <c r="A262">
        <v>4228</v>
      </c>
      <c r="B262" t="s">
        <v>42</v>
      </c>
      <c r="C262" s="1">
        <v>45427</v>
      </c>
      <c r="D262" t="s">
        <v>35</v>
      </c>
      <c r="E262" t="s">
        <v>18</v>
      </c>
      <c r="F262">
        <v>3</v>
      </c>
      <c r="G262">
        <v>7.51</v>
      </c>
      <c r="H262">
        <v>22.53</v>
      </c>
      <c r="I262">
        <v>3.38</v>
      </c>
      <c r="J262">
        <v>19.149999999999999</v>
      </c>
      <c r="K262">
        <v>498</v>
      </c>
    </row>
    <row r="263" spans="1:11" x14ac:dyDescent="0.3">
      <c r="A263">
        <v>8066</v>
      </c>
      <c r="B263" t="s">
        <v>42</v>
      </c>
      <c r="C263" s="1">
        <v>45199</v>
      </c>
      <c r="D263" t="s">
        <v>45</v>
      </c>
      <c r="E263" t="s">
        <v>21</v>
      </c>
      <c r="F263">
        <v>4</v>
      </c>
      <c r="G263">
        <v>11.11</v>
      </c>
      <c r="H263">
        <v>44.44</v>
      </c>
      <c r="I263">
        <v>6.67</v>
      </c>
      <c r="J263">
        <v>37.770000000000003</v>
      </c>
      <c r="K263">
        <v>478</v>
      </c>
    </row>
    <row r="264" spans="1:11" x14ac:dyDescent="0.3">
      <c r="A264">
        <v>6409</v>
      </c>
      <c r="B264" t="s">
        <v>11</v>
      </c>
      <c r="C264" s="1">
        <v>45629</v>
      </c>
      <c r="D264" t="s">
        <v>28</v>
      </c>
      <c r="E264" t="s">
        <v>18</v>
      </c>
      <c r="F264">
        <v>4</v>
      </c>
      <c r="G264">
        <v>26.97</v>
      </c>
      <c r="H264">
        <v>107.88</v>
      </c>
      <c r="I264">
        <v>21.58</v>
      </c>
      <c r="J264">
        <v>86.3</v>
      </c>
      <c r="K264">
        <v>202</v>
      </c>
    </row>
    <row r="265" spans="1:11" x14ac:dyDescent="0.3">
      <c r="A265">
        <v>6143</v>
      </c>
      <c r="B265" t="s">
        <v>30</v>
      </c>
      <c r="C265" s="1">
        <v>45660</v>
      </c>
      <c r="D265" t="s">
        <v>12</v>
      </c>
      <c r="E265" t="s">
        <v>37</v>
      </c>
      <c r="F265">
        <v>1</v>
      </c>
      <c r="G265">
        <v>11.03</v>
      </c>
      <c r="H265">
        <v>11.03</v>
      </c>
      <c r="I265">
        <v>0</v>
      </c>
      <c r="J265">
        <v>11.03</v>
      </c>
      <c r="K265">
        <v>226</v>
      </c>
    </row>
    <row r="266" spans="1:11" x14ac:dyDescent="0.3">
      <c r="A266">
        <v>3041</v>
      </c>
      <c r="B266" t="s">
        <v>26</v>
      </c>
      <c r="C266" s="1">
        <v>45704</v>
      </c>
      <c r="D266" t="s">
        <v>17</v>
      </c>
      <c r="E266" t="s">
        <v>44</v>
      </c>
      <c r="F266">
        <v>5</v>
      </c>
      <c r="G266">
        <v>8.85</v>
      </c>
      <c r="H266">
        <v>44.25</v>
      </c>
      <c r="I266">
        <v>8.85</v>
      </c>
      <c r="J266">
        <v>35.4</v>
      </c>
      <c r="K266">
        <v>287</v>
      </c>
    </row>
    <row r="267" spans="1:11" x14ac:dyDescent="0.3">
      <c r="A267">
        <v>5920</v>
      </c>
      <c r="B267" t="s">
        <v>11</v>
      </c>
      <c r="C267" s="1">
        <v>45538</v>
      </c>
      <c r="D267" t="s">
        <v>28</v>
      </c>
      <c r="E267" t="s">
        <v>25</v>
      </c>
      <c r="F267">
        <v>2</v>
      </c>
      <c r="G267">
        <v>2.46</v>
      </c>
      <c r="H267">
        <v>4.92</v>
      </c>
      <c r="I267">
        <v>0</v>
      </c>
      <c r="J267">
        <v>4.92</v>
      </c>
      <c r="K267">
        <v>463</v>
      </c>
    </row>
    <row r="268" spans="1:11" x14ac:dyDescent="0.3">
      <c r="A268">
        <v>6067</v>
      </c>
      <c r="B268" t="s">
        <v>42</v>
      </c>
      <c r="C268" s="1">
        <v>45662</v>
      </c>
      <c r="D268" t="s">
        <v>12</v>
      </c>
      <c r="E268" t="s">
        <v>48</v>
      </c>
      <c r="F268">
        <v>4</v>
      </c>
      <c r="G268">
        <v>10.57</v>
      </c>
      <c r="H268">
        <v>42.28</v>
      </c>
      <c r="I268">
        <v>0</v>
      </c>
      <c r="J268">
        <v>42.28</v>
      </c>
      <c r="K268">
        <v>241</v>
      </c>
    </row>
    <row r="269" spans="1:11" x14ac:dyDescent="0.3">
      <c r="A269">
        <v>7691</v>
      </c>
      <c r="B269" t="s">
        <v>19</v>
      </c>
      <c r="C269" s="1">
        <v>45398</v>
      </c>
      <c r="D269" t="s">
        <v>12</v>
      </c>
      <c r="E269" t="s">
        <v>18</v>
      </c>
      <c r="F269">
        <v>2</v>
      </c>
      <c r="G269">
        <v>12.79</v>
      </c>
      <c r="H269">
        <v>25.58</v>
      </c>
      <c r="I269">
        <v>2.56</v>
      </c>
      <c r="J269">
        <v>23.02</v>
      </c>
      <c r="K269">
        <v>478</v>
      </c>
    </row>
    <row r="270" spans="1:11" x14ac:dyDescent="0.3">
      <c r="A270">
        <v>7592</v>
      </c>
      <c r="B270" t="s">
        <v>42</v>
      </c>
      <c r="C270" s="1">
        <v>45686</v>
      </c>
      <c r="D270" t="s">
        <v>35</v>
      </c>
      <c r="E270" t="s">
        <v>21</v>
      </c>
      <c r="F270">
        <v>3</v>
      </c>
      <c r="G270">
        <v>19.72</v>
      </c>
      <c r="H270">
        <v>59.16</v>
      </c>
      <c r="I270">
        <v>0</v>
      </c>
      <c r="J270">
        <v>59.16</v>
      </c>
      <c r="K270">
        <v>464</v>
      </c>
    </row>
    <row r="271" spans="1:11" x14ac:dyDescent="0.3">
      <c r="A271">
        <v>5844</v>
      </c>
      <c r="B271" t="s">
        <v>42</v>
      </c>
      <c r="C271" s="1">
        <v>45575</v>
      </c>
      <c r="D271" t="s">
        <v>38</v>
      </c>
      <c r="E271" t="s">
        <v>40</v>
      </c>
      <c r="F271">
        <v>2</v>
      </c>
      <c r="G271">
        <v>13.11</v>
      </c>
      <c r="H271">
        <v>26.22</v>
      </c>
      <c r="I271">
        <v>4.99</v>
      </c>
      <c r="J271">
        <v>21.23</v>
      </c>
      <c r="K271">
        <v>428</v>
      </c>
    </row>
    <row r="272" spans="1:11" x14ac:dyDescent="0.3">
      <c r="A272">
        <v>3085</v>
      </c>
      <c r="B272" t="s">
        <v>24</v>
      </c>
      <c r="C272" s="1">
        <v>45294</v>
      </c>
      <c r="D272" t="s">
        <v>45</v>
      </c>
      <c r="E272" t="s">
        <v>29</v>
      </c>
      <c r="F272">
        <v>3</v>
      </c>
      <c r="G272">
        <v>26.42</v>
      </c>
      <c r="H272">
        <v>79.260000000000005</v>
      </c>
      <c r="I272">
        <v>3.41</v>
      </c>
      <c r="J272">
        <v>75.849999999999994</v>
      </c>
      <c r="K272">
        <v>4</v>
      </c>
    </row>
    <row r="273" spans="1:11" x14ac:dyDescent="0.3">
      <c r="A273">
        <v>7888</v>
      </c>
      <c r="B273" t="s">
        <v>36</v>
      </c>
      <c r="C273" s="1">
        <v>45661</v>
      </c>
      <c r="D273" t="s">
        <v>35</v>
      </c>
      <c r="E273" t="s">
        <v>33</v>
      </c>
      <c r="F273">
        <v>5</v>
      </c>
      <c r="G273">
        <v>16.2</v>
      </c>
      <c r="H273">
        <v>81</v>
      </c>
      <c r="I273">
        <v>2.87</v>
      </c>
      <c r="J273">
        <v>78.13</v>
      </c>
      <c r="K273">
        <v>455</v>
      </c>
    </row>
    <row r="274" spans="1:11" x14ac:dyDescent="0.3">
      <c r="A274">
        <v>7211</v>
      </c>
      <c r="B274" t="s">
        <v>42</v>
      </c>
      <c r="C274" s="1">
        <v>45671</v>
      </c>
      <c r="D274" t="s">
        <v>15</v>
      </c>
      <c r="E274" t="s">
        <v>21</v>
      </c>
      <c r="F274">
        <v>2</v>
      </c>
      <c r="G274">
        <v>22.19</v>
      </c>
      <c r="H274">
        <v>44.38</v>
      </c>
      <c r="I274">
        <v>0</v>
      </c>
      <c r="J274">
        <v>44.38</v>
      </c>
      <c r="K274">
        <v>331</v>
      </c>
    </row>
    <row r="275" spans="1:11" x14ac:dyDescent="0.3">
      <c r="A275">
        <v>3851</v>
      </c>
      <c r="B275" t="s">
        <v>19</v>
      </c>
      <c r="C275" s="1">
        <v>45623</v>
      </c>
      <c r="D275" t="s">
        <v>12</v>
      </c>
      <c r="E275" t="s">
        <v>21</v>
      </c>
      <c r="F275">
        <v>3</v>
      </c>
      <c r="G275">
        <v>17.46</v>
      </c>
      <c r="H275">
        <v>52.38</v>
      </c>
      <c r="I275">
        <v>10.48</v>
      </c>
      <c r="J275">
        <v>41.9</v>
      </c>
      <c r="K275">
        <v>387</v>
      </c>
    </row>
    <row r="276" spans="1:11" x14ac:dyDescent="0.3">
      <c r="A276">
        <v>5930</v>
      </c>
      <c r="B276" t="s">
        <v>24</v>
      </c>
      <c r="C276" s="1">
        <v>45460</v>
      </c>
      <c r="D276" t="s">
        <v>20</v>
      </c>
      <c r="E276" t="s">
        <v>46</v>
      </c>
      <c r="F276">
        <v>3</v>
      </c>
      <c r="G276">
        <v>3.51</v>
      </c>
      <c r="H276">
        <v>10.53</v>
      </c>
      <c r="I276">
        <v>2.11</v>
      </c>
      <c r="J276">
        <v>8.42</v>
      </c>
      <c r="K276">
        <v>342</v>
      </c>
    </row>
    <row r="277" spans="1:11" x14ac:dyDescent="0.3">
      <c r="A277">
        <v>9977</v>
      </c>
      <c r="B277" t="s">
        <v>19</v>
      </c>
      <c r="C277" s="1">
        <v>45792</v>
      </c>
      <c r="D277" t="s">
        <v>45</v>
      </c>
      <c r="E277" t="s">
        <v>21</v>
      </c>
      <c r="F277">
        <v>2</v>
      </c>
      <c r="G277">
        <v>1.19</v>
      </c>
      <c r="H277">
        <v>2.38</v>
      </c>
      <c r="I277">
        <v>0.24</v>
      </c>
      <c r="J277">
        <v>2.14</v>
      </c>
      <c r="K277">
        <v>196</v>
      </c>
    </row>
    <row r="278" spans="1:11" x14ac:dyDescent="0.3">
      <c r="A278">
        <v>1006</v>
      </c>
      <c r="B278" t="s">
        <v>30</v>
      </c>
      <c r="C278" s="1">
        <v>45381</v>
      </c>
      <c r="D278" t="s">
        <v>22</v>
      </c>
      <c r="E278" t="s">
        <v>37</v>
      </c>
      <c r="F278">
        <v>5</v>
      </c>
      <c r="G278">
        <v>21.95</v>
      </c>
      <c r="H278">
        <v>109.75</v>
      </c>
      <c r="I278">
        <v>0</v>
      </c>
      <c r="J278">
        <v>109.75</v>
      </c>
      <c r="K278">
        <v>5</v>
      </c>
    </row>
    <row r="279" spans="1:11" x14ac:dyDescent="0.3">
      <c r="A279">
        <v>5700</v>
      </c>
      <c r="B279" t="s">
        <v>36</v>
      </c>
      <c r="C279" s="1">
        <v>45308</v>
      </c>
      <c r="D279" t="s">
        <v>17</v>
      </c>
      <c r="E279" t="s">
        <v>40</v>
      </c>
      <c r="F279">
        <v>1</v>
      </c>
      <c r="G279">
        <v>14.49</v>
      </c>
      <c r="H279">
        <v>14.49</v>
      </c>
      <c r="I279">
        <v>0</v>
      </c>
      <c r="J279">
        <v>14.49</v>
      </c>
      <c r="K279">
        <v>81</v>
      </c>
    </row>
    <row r="280" spans="1:11" x14ac:dyDescent="0.3">
      <c r="A280">
        <v>8043</v>
      </c>
      <c r="B280" t="s">
        <v>14</v>
      </c>
      <c r="C280" s="1">
        <v>45755</v>
      </c>
      <c r="D280" t="s">
        <v>35</v>
      </c>
      <c r="E280" t="s">
        <v>48</v>
      </c>
      <c r="F280">
        <v>3</v>
      </c>
      <c r="G280">
        <v>11.65</v>
      </c>
      <c r="H280">
        <v>34.950000000000003</v>
      </c>
      <c r="I280">
        <v>6.99</v>
      </c>
      <c r="J280">
        <v>27.96</v>
      </c>
      <c r="K280">
        <v>113</v>
      </c>
    </row>
    <row r="281" spans="1:11" x14ac:dyDescent="0.3">
      <c r="A281">
        <v>6279</v>
      </c>
      <c r="B281" t="s">
        <v>26</v>
      </c>
      <c r="C281" s="1">
        <v>45506</v>
      </c>
      <c r="D281" t="s">
        <v>34</v>
      </c>
      <c r="E281" t="s">
        <v>33</v>
      </c>
      <c r="F281">
        <v>5</v>
      </c>
      <c r="G281">
        <v>11.83</v>
      </c>
      <c r="H281">
        <v>59.15</v>
      </c>
      <c r="I281">
        <v>4.21</v>
      </c>
      <c r="J281">
        <v>54.94</v>
      </c>
      <c r="K281">
        <v>359</v>
      </c>
    </row>
    <row r="282" spans="1:11" x14ac:dyDescent="0.3">
      <c r="A282">
        <v>8238</v>
      </c>
      <c r="B282" t="s">
        <v>42</v>
      </c>
      <c r="C282" s="1">
        <v>45488</v>
      </c>
      <c r="D282" t="s">
        <v>17</v>
      </c>
      <c r="E282" t="s">
        <v>43</v>
      </c>
      <c r="F282">
        <v>5</v>
      </c>
      <c r="G282">
        <v>13.95</v>
      </c>
      <c r="H282">
        <v>69.75</v>
      </c>
      <c r="I282">
        <v>4.67</v>
      </c>
      <c r="J282">
        <v>65.08</v>
      </c>
      <c r="K282">
        <v>360</v>
      </c>
    </row>
    <row r="283" spans="1:11" x14ac:dyDescent="0.3">
      <c r="A283">
        <v>4501</v>
      </c>
      <c r="B283" t="s">
        <v>11</v>
      </c>
      <c r="C283" s="1">
        <v>45542</v>
      </c>
      <c r="D283" t="s">
        <v>12</v>
      </c>
      <c r="E283" t="s">
        <v>18</v>
      </c>
      <c r="F283">
        <v>5</v>
      </c>
      <c r="G283">
        <v>6.85</v>
      </c>
      <c r="H283">
        <v>34.25</v>
      </c>
      <c r="I283">
        <v>6.85</v>
      </c>
      <c r="J283">
        <v>27.4</v>
      </c>
      <c r="K283">
        <v>274</v>
      </c>
    </row>
    <row r="284" spans="1:11" x14ac:dyDescent="0.3">
      <c r="A284">
        <v>8752</v>
      </c>
      <c r="B284" t="s">
        <v>36</v>
      </c>
      <c r="C284" s="1">
        <v>45761</v>
      </c>
      <c r="D284" t="s">
        <v>38</v>
      </c>
      <c r="E284" t="s">
        <v>33</v>
      </c>
      <c r="F284">
        <v>1</v>
      </c>
      <c r="G284">
        <v>20.72</v>
      </c>
      <c r="H284">
        <v>20.72</v>
      </c>
      <c r="I284">
        <v>4.5999999999999996</v>
      </c>
      <c r="J284">
        <v>16.12</v>
      </c>
      <c r="K284">
        <v>367</v>
      </c>
    </row>
    <row r="285" spans="1:11" x14ac:dyDescent="0.3">
      <c r="A285">
        <v>3780</v>
      </c>
      <c r="B285" t="s">
        <v>26</v>
      </c>
      <c r="C285" s="1">
        <v>45656</v>
      </c>
      <c r="D285" t="s">
        <v>12</v>
      </c>
      <c r="E285" t="s">
        <v>33</v>
      </c>
      <c r="F285">
        <v>2</v>
      </c>
      <c r="G285">
        <v>15.87</v>
      </c>
      <c r="H285">
        <v>31.74</v>
      </c>
      <c r="I285">
        <v>2.85</v>
      </c>
      <c r="J285">
        <v>28.89</v>
      </c>
      <c r="K285">
        <v>233</v>
      </c>
    </row>
    <row r="286" spans="1:11" x14ac:dyDescent="0.3">
      <c r="A286">
        <v>2389</v>
      </c>
      <c r="B286" t="s">
        <v>30</v>
      </c>
      <c r="C286" s="1">
        <v>45365</v>
      </c>
      <c r="D286" t="s">
        <v>12</v>
      </c>
      <c r="E286" t="s">
        <v>32</v>
      </c>
      <c r="F286">
        <v>3</v>
      </c>
      <c r="G286">
        <v>24.67</v>
      </c>
      <c r="H286">
        <v>74.010000000000005</v>
      </c>
      <c r="I286">
        <v>1.29</v>
      </c>
      <c r="J286">
        <v>72.72</v>
      </c>
      <c r="K286">
        <v>381</v>
      </c>
    </row>
    <row r="287" spans="1:11" x14ac:dyDescent="0.3">
      <c r="A287">
        <v>9445</v>
      </c>
      <c r="C287" s="1">
        <v>45660</v>
      </c>
      <c r="D287" t="s">
        <v>22</v>
      </c>
      <c r="E287" t="s">
        <v>43</v>
      </c>
      <c r="F287">
        <v>5</v>
      </c>
      <c r="G287">
        <v>29.82</v>
      </c>
      <c r="H287">
        <v>149.1</v>
      </c>
      <c r="I287">
        <v>14.91</v>
      </c>
      <c r="J287">
        <v>134.19</v>
      </c>
      <c r="K287">
        <v>478</v>
      </c>
    </row>
    <row r="288" spans="1:11" x14ac:dyDescent="0.3">
      <c r="A288">
        <v>6491</v>
      </c>
      <c r="B288" t="s">
        <v>31</v>
      </c>
      <c r="C288" s="1">
        <v>45217</v>
      </c>
      <c r="D288" t="s">
        <v>35</v>
      </c>
      <c r="E288" t="s">
        <v>16</v>
      </c>
      <c r="F288">
        <v>2</v>
      </c>
      <c r="G288">
        <v>23.29</v>
      </c>
      <c r="H288">
        <v>46.58</v>
      </c>
      <c r="I288">
        <v>6.99</v>
      </c>
      <c r="J288">
        <v>39.590000000000003</v>
      </c>
      <c r="K288">
        <v>392</v>
      </c>
    </row>
    <row r="289" spans="1:11" x14ac:dyDescent="0.3">
      <c r="A289">
        <v>4848</v>
      </c>
      <c r="B289" t="s">
        <v>24</v>
      </c>
      <c r="C289" s="1">
        <v>45667</v>
      </c>
      <c r="D289" t="s">
        <v>45</v>
      </c>
      <c r="E289" t="s">
        <v>32</v>
      </c>
      <c r="F289">
        <v>4</v>
      </c>
      <c r="G289">
        <v>3.32</v>
      </c>
      <c r="H289">
        <v>13.28</v>
      </c>
      <c r="I289">
        <v>0</v>
      </c>
      <c r="J289">
        <v>13.28</v>
      </c>
      <c r="K289">
        <v>493</v>
      </c>
    </row>
    <row r="290" spans="1:11" x14ac:dyDescent="0.3">
      <c r="A290">
        <v>6085</v>
      </c>
      <c r="B290" t="s">
        <v>36</v>
      </c>
      <c r="C290" s="1">
        <v>45319</v>
      </c>
      <c r="D290" t="s">
        <v>15</v>
      </c>
      <c r="E290" t="s">
        <v>29</v>
      </c>
      <c r="F290">
        <v>5</v>
      </c>
      <c r="G290">
        <v>12.39</v>
      </c>
      <c r="H290">
        <v>61.95</v>
      </c>
      <c r="I290">
        <v>4.0199999999999996</v>
      </c>
      <c r="J290">
        <v>57.93</v>
      </c>
      <c r="K290">
        <v>65</v>
      </c>
    </row>
    <row r="291" spans="1:11" x14ac:dyDescent="0.3">
      <c r="A291">
        <v>4262</v>
      </c>
      <c r="B291" t="s">
        <v>30</v>
      </c>
      <c r="C291" s="1">
        <v>45259</v>
      </c>
      <c r="D291" t="s">
        <v>45</v>
      </c>
      <c r="E291" t="s">
        <v>18</v>
      </c>
      <c r="F291">
        <v>4</v>
      </c>
      <c r="G291">
        <v>16.420000000000002</v>
      </c>
      <c r="H291">
        <v>65.680000000000007</v>
      </c>
      <c r="I291">
        <v>13.14</v>
      </c>
      <c r="J291">
        <v>52.54</v>
      </c>
      <c r="K291">
        <v>421</v>
      </c>
    </row>
    <row r="292" spans="1:11" x14ac:dyDescent="0.3">
      <c r="A292">
        <v>1400</v>
      </c>
      <c r="B292" t="s">
        <v>26</v>
      </c>
      <c r="C292" s="1">
        <v>45180</v>
      </c>
      <c r="D292" t="s">
        <v>22</v>
      </c>
      <c r="E292" t="s">
        <v>41</v>
      </c>
      <c r="F292">
        <v>3</v>
      </c>
      <c r="G292">
        <v>6.46</v>
      </c>
      <c r="H292">
        <v>19.38</v>
      </c>
      <c r="I292">
        <v>4.24</v>
      </c>
      <c r="J292">
        <v>15.14</v>
      </c>
      <c r="K292">
        <v>448</v>
      </c>
    </row>
    <row r="293" spans="1:11" x14ac:dyDescent="0.3">
      <c r="A293">
        <v>5011</v>
      </c>
      <c r="B293" t="s">
        <v>24</v>
      </c>
      <c r="C293" s="1">
        <v>45514</v>
      </c>
      <c r="D293" t="s">
        <v>28</v>
      </c>
      <c r="E293" t="s">
        <v>39</v>
      </c>
      <c r="F293">
        <v>2</v>
      </c>
      <c r="G293">
        <v>6.97</v>
      </c>
      <c r="H293">
        <v>13.94</v>
      </c>
      <c r="I293">
        <v>1.39</v>
      </c>
      <c r="J293">
        <v>12.55</v>
      </c>
      <c r="K293">
        <v>51</v>
      </c>
    </row>
    <row r="294" spans="1:11" x14ac:dyDescent="0.3">
      <c r="A294">
        <v>2193</v>
      </c>
      <c r="B294" t="s">
        <v>31</v>
      </c>
      <c r="C294" s="1">
        <v>45498</v>
      </c>
      <c r="D294" t="s">
        <v>17</v>
      </c>
      <c r="E294" t="s">
        <v>40</v>
      </c>
      <c r="F294">
        <v>4</v>
      </c>
      <c r="G294">
        <v>13.72</v>
      </c>
      <c r="H294">
        <v>54.88</v>
      </c>
      <c r="I294">
        <v>1.56</v>
      </c>
      <c r="J294">
        <v>53.32</v>
      </c>
      <c r="K294">
        <v>276</v>
      </c>
    </row>
    <row r="295" spans="1:11" x14ac:dyDescent="0.3">
      <c r="A295">
        <v>7790</v>
      </c>
      <c r="B295" t="s">
        <v>30</v>
      </c>
      <c r="C295" s="1">
        <v>45833</v>
      </c>
      <c r="D295" t="s">
        <v>17</v>
      </c>
      <c r="E295" t="s">
        <v>21</v>
      </c>
      <c r="F295">
        <v>5</v>
      </c>
      <c r="G295">
        <v>18.329999999999998</v>
      </c>
      <c r="H295">
        <v>91.65</v>
      </c>
      <c r="I295">
        <v>18.329999999999998</v>
      </c>
      <c r="J295">
        <v>73.319999999999993</v>
      </c>
      <c r="K295">
        <v>344</v>
      </c>
    </row>
    <row r="296" spans="1:11" x14ac:dyDescent="0.3">
      <c r="A296">
        <v>4185</v>
      </c>
      <c r="B296" t="s">
        <v>30</v>
      </c>
      <c r="C296" s="1">
        <v>45702</v>
      </c>
      <c r="D296" t="s">
        <v>34</v>
      </c>
      <c r="E296" t="s">
        <v>46</v>
      </c>
      <c r="F296">
        <v>2</v>
      </c>
      <c r="G296">
        <v>12.98</v>
      </c>
      <c r="H296">
        <v>25.96</v>
      </c>
      <c r="I296">
        <v>4.79</v>
      </c>
      <c r="J296">
        <v>21.17</v>
      </c>
      <c r="K296">
        <v>140</v>
      </c>
    </row>
    <row r="297" spans="1:11" x14ac:dyDescent="0.3">
      <c r="A297">
        <v>7291</v>
      </c>
      <c r="B297" t="s">
        <v>19</v>
      </c>
      <c r="C297" s="1">
        <v>45528</v>
      </c>
      <c r="D297" t="s">
        <v>27</v>
      </c>
      <c r="E297" t="s">
        <v>16</v>
      </c>
      <c r="F297">
        <v>5</v>
      </c>
      <c r="G297">
        <v>15.36</v>
      </c>
      <c r="H297">
        <v>76.8</v>
      </c>
      <c r="I297">
        <v>0</v>
      </c>
      <c r="J297">
        <v>76.8</v>
      </c>
      <c r="K297">
        <v>497</v>
      </c>
    </row>
    <row r="298" spans="1:11" x14ac:dyDescent="0.3">
      <c r="A298">
        <v>7547</v>
      </c>
      <c r="B298" t="s">
        <v>24</v>
      </c>
      <c r="C298" s="1">
        <v>45334</v>
      </c>
      <c r="D298" t="s">
        <v>38</v>
      </c>
      <c r="E298" t="s">
        <v>21</v>
      </c>
      <c r="F298">
        <v>4</v>
      </c>
      <c r="G298">
        <v>12.83</v>
      </c>
      <c r="H298">
        <v>51.32</v>
      </c>
      <c r="I298">
        <v>10.26</v>
      </c>
      <c r="J298">
        <v>41.06</v>
      </c>
      <c r="K298">
        <v>153</v>
      </c>
    </row>
    <row r="299" spans="1:11" x14ac:dyDescent="0.3">
      <c r="A299">
        <v>3417</v>
      </c>
      <c r="B299" t="s">
        <v>14</v>
      </c>
      <c r="C299" s="1">
        <v>45654</v>
      </c>
      <c r="D299" t="s">
        <v>45</v>
      </c>
      <c r="E299" t="s">
        <v>25</v>
      </c>
      <c r="F299">
        <v>2</v>
      </c>
      <c r="G299">
        <v>9.7100000000000009</v>
      </c>
      <c r="H299">
        <v>19.420000000000002</v>
      </c>
      <c r="I299">
        <v>1.94</v>
      </c>
      <c r="J299">
        <v>17.48</v>
      </c>
      <c r="K299">
        <v>362</v>
      </c>
    </row>
    <row r="300" spans="1:11" x14ac:dyDescent="0.3">
      <c r="A300">
        <v>1090</v>
      </c>
      <c r="B300" t="s">
        <v>31</v>
      </c>
      <c r="C300" s="1">
        <v>45838</v>
      </c>
      <c r="D300" t="s">
        <v>38</v>
      </c>
      <c r="E300" t="s">
        <v>16</v>
      </c>
      <c r="F300">
        <v>4</v>
      </c>
      <c r="G300">
        <v>17.149999999999999</v>
      </c>
      <c r="H300">
        <v>68.599999999999994</v>
      </c>
      <c r="I300">
        <v>13.72</v>
      </c>
      <c r="J300">
        <v>54.88</v>
      </c>
      <c r="K300">
        <v>68</v>
      </c>
    </row>
    <row r="301" spans="1:11" x14ac:dyDescent="0.3">
      <c r="A301">
        <v>2746</v>
      </c>
      <c r="B301" t="s">
        <v>30</v>
      </c>
      <c r="C301" s="1">
        <v>45749</v>
      </c>
      <c r="D301" t="s">
        <v>17</v>
      </c>
      <c r="E301" t="s">
        <v>21</v>
      </c>
      <c r="F301">
        <v>1</v>
      </c>
      <c r="G301">
        <v>27.73</v>
      </c>
      <c r="H301">
        <v>27.73</v>
      </c>
      <c r="I301">
        <v>3.14</v>
      </c>
      <c r="J301">
        <v>24.59</v>
      </c>
      <c r="K301">
        <v>433</v>
      </c>
    </row>
    <row r="302" spans="1:11" x14ac:dyDescent="0.3">
      <c r="A302">
        <v>7965</v>
      </c>
      <c r="B302" t="s">
        <v>42</v>
      </c>
      <c r="C302" s="1">
        <v>45314</v>
      </c>
      <c r="D302" t="s">
        <v>12</v>
      </c>
      <c r="E302" t="s">
        <v>13</v>
      </c>
      <c r="F302">
        <v>4</v>
      </c>
      <c r="G302">
        <v>20.53</v>
      </c>
      <c r="H302">
        <v>82.12</v>
      </c>
      <c r="I302">
        <v>1.75</v>
      </c>
      <c r="J302">
        <v>80.37</v>
      </c>
      <c r="K302">
        <v>308</v>
      </c>
    </row>
    <row r="303" spans="1:11" x14ac:dyDescent="0.3">
      <c r="A303">
        <v>3881</v>
      </c>
      <c r="B303" t="s">
        <v>14</v>
      </c>
      <c r="C303" s="1">
        <v>45769</v>
      </c>
      <c r="D303" t="s">
        <v>17</v>
      </c>
      <c r="E303" t="s">
        <v>47</v>
      </c>
      <c r="F303">
        <v>2</v>
      </c>
      <c r="G303">
        <v>26.2</v>
      </c>
      <c r="H303">
        <v>52.4</v>
      </c>
      <c r="I303">
        <v>1.85</v>
      </c>
      <c r="J303">
        <v>50.55</v>
      </c>
      <c r="K303">
        <v>170</v>
      </c>
    </row>
    <row r="304" spans="1:11" x14ac:dyDescent="0.3">
      <c r="A304">
        <v>9486</v>
      </c>
      <c r="B304" t="s">
        <v>42</v>
      </c>
      <c r="C304" s="1">
        <v>45505</v>
      </c>
      <c r="D304" t="s">
        <v>15</v>
      </c>
      <c r="E304" t="s">
        <v>47</v>
      </c>
      <c r="F304">
        <v>2</v>
      </c>
      <c r="G304">
        <v>21.16</v>
      </c>
      <c r="H304">
        <v>42.32</v>
      </c>
      <c r="I304">
        <v>4.2300000000000004</v>
      </c>
      <c r="J304">
        <v>38.090000000000003</v>
      </c>
      <c r="K304">
        <v>360</v>
      </c>
    </row>
    <row r="305" spans="1:11" x14ac:dyDescent="0.3">
      <c r="A305">
        <v>1822</v>
      </c>
      <c r="B305" t="s">
        <v>42</v>
      </c>
      <c r="C305" s="1">
        <v>45577</v>
      </c>
      <c r="D305" t="s">
        <v>38</v>
      </c>
      <c r="E305" t="s">
        <v>21</v>
      </c>
      <c r="F305">
        <v>3</v>
      </c>
      <c r="G305">
        <v>12.03</v>
      </c>
      <c r="H305">
        <v>36.090000000000003</v>
      </c>
      <c r="I305">
        <v>5.41</v>
      </c>
      <c r="J305">
        <v>30.68</v>
      </c>
      <c r="K305">
        <v>273</v>
      </c>
    </row>
    <row r="306" spans="1:11" x14ac:dyDescent="0.3">
      <c r="A306">
        <v>5082</v>
      </c>
      <c r="B306" t="s">
        <v>30</v>
      </c>
      <c r="C306" s="1">
        <v>45857</v>
      </c>
      <c r="D306" t="s">
        <v>22</v>
      </c>
      <c r="E306" t="s">
        <v>46</v>
      </c>
      <c r="F306">
        <v>4</v>
      </c>
      <c r="G306">
        <v>14.5</v>
      </c>
      <c r="H306">
        <v>58</v>
      </c>
      <c r="I306">
        <v>8.6999999999999993</v>
      </c>
      <c r="J306">
        <v>49.3</v>
      </c>
      <c r="K306">
        <v>411</v>
      </c>
    </row>
    <row r="307" spans="1:11" x14ac:dyDescent="0.3">
      <c r="A307">
        <v>2988</v>
      </c>
      <c r="B307" t="s">
        <v>42</v>
      </c>
      <c r="C307" s="1">
        <v>45499</v>
      </c>
      <c r="D307" t="s">
        <v>22</v>
      </c>
      <c r="E307" t="s">
        <v>21</v>
      </c>
      <c r="F307">
        <v>4</v>
      </c>
      <c r="G307">
        <v>2.3199999999999998</v>
      </c>
      <c r="H307">
        <v>9.2799999999999994</v>
      </c>
      <c r="I307">
        <v>0</v>
      </c>
      <c r="J307">
        <v>9.2799999999999994</v>
      </c>
      <c r="K307">
        <v>442</v>
      </c>
    </row>
    <row r="308" spans="1:11" x14ac:dyDescent="0.3">
      <c r="A308">
        <v>3184</v>
      </c>
      <c r="B308" t="s">
        <v>19</v>
      </c>
      <c r="C308" s="1">
        <v>45767</v>
      </c>
      <c r="D308" t="s">
        <v>12</v>
      </c>
      <c r="E308" t="s">
        <v>13</v>
      </c>
      <c r="F308">
        <v>5</v>
      </c>
      <c r="G308">
        <v>28.1</v>
      </c>
      <c r="H308">
        <v>140.5</v>
      </c>
      <c r="I308">
        <v>21.07</v>
      </c>
      <c r="J308">
        <v>119.43</v>
      </c>
      <c r="K308">
        <v>296</v>
      </c>
    </row>
    <row r="309" spans="1:11" x14ac:dyDescent="0.3">
      <c r="A309">
        <v>8612</v>
      </c>
      <c r="B309" t="s">
        <v>19</v>
      </c>
      <c r="C309" s="1">
        <v>45663</v>
      </c>
      <c r="D309" t="s">
        <v>17</v>
      </c>
      <c r="E309" t="s">
        <v>21</v>
      </c>
      <c r="F309">
        <v>2</v>
      </c>
      <c r="G309">
        <v>12.01</v>
      </c>
      <c r="H309">
        <v>24.02</v>
      </c>
      <c r="I309">
        <v>2.4</v>
      </c>
      <c r="J309">
        <v>21.62</v>
      </c>
      <c r="K309">
        <v>426</v>
      </c>
    </row>
    <row r="310" spans="1:11" x14ac:dyDescent="0.3">
      <c r="A310">
        <v>9702</v>
      </c>
      <c r="B310" t="s">
        <v>14</v>
      </c>
      <c r="C310" s="1">
        <v>45579</v>
      </c>
      <c r="D310" t="s">
        <v>27</v>
      </c>
      <c r="E310" t="s">
        <v>21</v>
      </c>
      <c r="F310">
        <v>3</v>
      </c>
      <c r="G310">
        <v>23.13</v>
      </c>
      <c r="H310">
        <v>69.39</v>
      </c>
      <c r="I310">
        <v>6.94</v>
      </c>
      <c r="J310">
        <v>62.45</v>
      </c>
      <c r="K310">
        <v>250</v>
      </c>
    </row>
    <row r="311" spans="1:11" x14ac:dyDescent="0.3">
      <c r="A311">
        <v>6198</v>
      </c>
      <c r="B311" t="s">
        <v>19</v>
      </c>
      <c r="C311" s="1">
        <v>45731</v>
      </c>
      <c r="D311" t="s">
        <v>22</v>
      </c>
      <c r="E311" t="s">
        <v>29</v>
      </c>
      <c r="F311">
        <v>2</v>
      </c>
      <c r="G311">
        <v>21.88</v>
      </c>
      <c r="H311">
        <v>43.76</v>
      </c>
      <c r="I311">
        <v>4.96</v>
      </c>
      <c r="J311">
        <v>38.799999999999997</v>
      </c>
      <c r="K311">
        <v>250</v>
      </c>
    </row>
    <row r="312" spans="1:11" x14ac:dyDescent="0.3">
      <c r="A312">
        <v>8251</v>
      </c>
      <c r="B312" t="s">
        <v>31</v>
      </c>
      <c r="C312" s="1">
        <v>45620</v>
      </c>
      <c r="D312" t="s">
        <v>38</v>
      </c>
      <c r="E312" t="s">
        <v>40</v>
      </c>
      <c r="F312">
        <v>1</v>
      </c>
      <c r="G312">
        <v>28.4</v>
      </c>
      <c r="H312">
        <v>28.4</v>
      </c>
      <c r="I312">
        <v>2.65</v>
      </c>
      <c r="J312">
        <v>25.75</v>
      </c>
      <c r="K312">
        <v>342</v>
      </c>
    </row>
    <row r="313" spans="1:11" x14ac:dyDescent="0.3">
      <c r="A313">
        <v>9270</v>
      </c>
      <c r="B313" t="s">
        <v>42</v>
      </c>
      <c r="C313" s="1">
        <v>45476</v>
      </c>
      <c r="D313" t="s">
        <v>15</v>
      </c>
      <c r="E313" t="s">
        <v>41</v>
      </c>
      <c r="F313">
        <v>1</v>
      </c>
      <c r="G313">
        <v>7.33</v>
      </c>
      <c r="H313">
        <v>7.33</v>
      </c>
      <c r="I313">
        <v>3.47</v>
      </c>
      <c r="J313">
        <v>3.86</v>
      </c>
      <c r="K313">
        <v>233</v>
      </c>
    </row>
    <row r="314" spans="1:11" x14ac:dyDescent="0.3">
      <c r="A314">
        <v>9976</v>
      </c>
      <c r="B314" t="s">
        <v>26</v>
      </c>
      <c r="C314" s="1">
        <v>45491</v>
      </c>
      <c r="D314" t="s">
        <v>27</v>
      </c>
      <c r="E314" t="s">
        <v>47</v>
      </c>
      <c r="F314">
        <v>1</v>
      </c>
      <c r="G314">
        <v>1.18</v>
      </c>
      <c r="H314">
        <v>1.18</v>
      </c>
      <c r="I314">
        <v>1.07</v>
      </c>
      <c r="J314">
        <v>0.11</v>
      </c>
      <c r="K314">
        <v>282</v>
      </c>
    </row>
    <row r="315" spans="1:11" x14ac:dyDescent="0.3">
      <c r="A315">
        <v>3607</v>
      </c>
      <c r="B315" t="s">
        <v>30</v>
      </c>
      <c r="C315" s="1">
        <v>45722</v>
      </c>
      <c r="D315" t="s">
        <v>38</v>
      </c>
      <c r="E315" t="s">
        <v>37</v>
      </c>
      <c r="F315">
        <v>1</v>
      </c>
      <c r="G315">
        <v>15.55</v>
      </c>
      <c r="H315">
        <v>15.55</v>
      </c>
      <c r="I315">
        <v>3.11</v>
      </c>
      <c r="J315">
        <v>12.44</v>
      </c>
      <c r="K315">
        <v>357</v>
      </c>
    </row>
    <row r="316" spans="1:11" x14ac:dyDescent="0.3">
      <c r="A316">
        <v>8777</v>
      </c>
      <c r="B316" t="s">
        <v>11</v>
      </c>
      <c r="C316" s="1">
        <v>45494</v>
      </c>
      <c r="D316" t="s">
        <v>15</v>
      </c>
      <c r="E316" t="s">
        <v>46</v>
      </c>
      <c r="F316">
        <v>2</v>
      </c>
      <c r="G316">
        <v>7.98</v>
      </c>
      <c r="H316">
        <v>15.96</v>
      </c>
      <c r="I316">
        <v>2.39</v>
      </c>
      <c r="J316">
        <v>13.57</v>
      </c>
      <c r="K316">
        <v>317</v>
      </c>
    </row>
    <row r="317" spans="1:11" x14ac:dyDescent="0.3">
      <c r="A317">
        <v>5246</v>
      </c>
      <c r="B317" t="s">
        <v>30</v>
      </c>
      <c r="C317" s="1">
        <v>45728</v>
      </c>
      <c r="D317" t="s">
        <v>20</v>
      </c>
      <c r="E317" t="s">
        <v>43</v>
      </c>
      <c r="F317">
        <v>3</v>
      </c>
      <c r="G317">
        <v>28.81</v>
      </c>
      <c r="H317">
        <v>86.43</v>
      </c>
      <c r="I317">
        <v>0</v>
      </c>
      <c r="J317">
        <v>86.43</v>
      </c>
      <c r="K317">
        <v>235</v>
      </c>
    </row>
    <row r="318" spans="1:11" x14ac:dyDescent="0.3">
      <c r="A318">
        <v>5050</v>
      </c>
      <c r="B318" t="s">
        <v>42</v>
      </c>
      <c r="C318" s="1">
        <v>45797</v>
      </c>
      <c r="D318" t="s">
        <v>35</v>
      </c>
      <c r="E318" t="s">
        <v>43</v>
      </c>
      <c r="F318">
        <v>1</v>
      </c>
      <c r="G318">
        <v>3.7</v>
      </c>
      <c r="H318">
        <v>3.7</v>
      </c>
      <c r="I318">
        <v>2.9</v>
      </c>
      <c r="J318">
        <v>0.8</v>
      </c>
      <c r="K318">
        <v>194</v>
      </c>
    </row>
    <row r="319" spans="1:11" x14ac:dyDescent="0.3">
      <c r="A319">
        <v>5543</v>
      </c>
      <c r="B319" t="s">
        <v>31</v>
      </c>
      <c r="C319" s="1">
        <v>45739</v>
      </c>
      <c r="D319" t="s">
        <v>34</v>
      </c>
      <c r="E319" t="s">
        <v>43</v>
      </c>
      <c r="F319">
        <v>4</v>
      </c>
      <c r="G319">
        <v>25.5</v>
      </c>
      <c r="H319">
        <v>102</v>
      </c>
      <c r="I319">
        <v>4.91</v>
      </c>
      <c r="J319">
        <v>97.09</v>
      </c>
      <c r="K319">
        <v>330</v>
      </c>
    </row>
    <row r="320" spans="1:11" x14ac:dyDescent="0.3">
      <c r="A320">
        <v>9540</v>
      </c>
      <c r="B320" t="s">
        <v>11</v>
      </c>
      <c r="C320" s="1">
        <v>45521</v>
      </c>
      <c r="D320" t="s">
        <v>38</v>
      </c>
      <c r="E320" t="s">
        <v>40</v>
      </c>
      <c r="F320">
        <v>2</v>
      </c>
      <c r="G320">
        <v>7.12</v>
      </c>
      <c r="H320">
        <v>14.24</v>
      </c>
      <c r="I320">
        <v>2.14</v>
      </c>
      <c r="J320">
        <v>12.1</v>
      </c>
      <c r="K320">
        <v>444</v>
      </c>
    </row>
    <row r="321" spans="1:11" x14ac:dyDescent="0.3">
      <c r="A321">
        <v>4919</v>
      </c>
      <c r="B321" t="s">
        <v>31</v>
      </c>
      <c r="C321" s="1">
        <v>45358</v>
      </c>
      <c r="D321" t="s">
        <v>15</v>
      </c>
      <c r="E321" t="s">
        <v>13</v>
      </c>
      <c r="F321">
        <v>5</v>
      </c>
      <c r="G321">
        <v>17.329999999999998</v>
      </c>
      <c r="H321">
        <v>86.65</v>
      </c>
      <c r="I321">
        <v>13</v>
      </c>
      <c r="J321">
        <v>73.650000000000006</v>
      </c>
      <c r="K321">
        <v>16</v>
      </c>
    </row>
    <row r="322" spans="1:11" x14ac:dyDescent="0.3">
      <c r="A322">
        <v>8206</v>
      </c>
      <c r="B322" t="s">
        <v>31</v>
      </c>
      <c r="C322" s="1">
        <v>45205</v>
      </c>
      <c r="D322" t="s">
        <v>17</v>
      </c>
      <c r="E322" t="s">
        <v>41</v>
      </c>
      <c r="F322">
        <v>4</v>
      </c>
      <c r="G322">
        <v>27.93</v>
      </c>
      <c r="H322">
        <v>111.72</v>
      </c>
      <c r="I322">
        <v>1.96</v>
      </c>
      <c r="J322">
        <v>109.76</v>
      </c>
      <c r="K322">
        <v>153</v>
      </c>
    </row>
    <row r="323" spans="1:11" x14ac:dyDescent="0.3">
      <c r="A323">
        <v>5681</v>
      </c>
      <c r="B323" t="s">
        <v>24</v>
      </c>
      <c r="C323" s="1">
        <v>45327</v>
      </c>
      <c r="D323" t="s">
        <v>27</v>
      </c>
      <c r="E323" t="s">
        <v>18</v>
      </c>
      <c r="F323">
        <v>3</v>
      </c>
      <c r="G323">
        <v>12.12</v>
      </c>
      <c r="H323">
        <v>36.36</v>
      </c>
      <c r="I323">
        <v>0</v>
      </c>
      <c r="J323">
        <v>36.36</v>
      </c>
      <c r="K323">
        <v>378</v>
      </c>
    </row>
    <row r="324" spans="1:11" x14ac:dyDescent="0.3">
      <c r="A324">
        <v>5451</v>
      </c>
      <c r="B324" t="s">
        <v>11</v>
      </c>
      <c r="C324" s="1">
        <v>45405</v>
      </c>
      <c r="D324" t="s">
        <v>38</v>
      </c>
      <c r="E324" t="s">
        <v>23</v>
      </c>
      <c r="F324">
        <v>1</v>
      </c>
      <c r="G324">
        <v>3.82</v>
      </c>
      <c r="H324">
        <v>3.82</v>
      </c>
      <c r="I324">
        <v>0.56999999999999995</v>
      </c>
      <c r="J324">
        <v>3.25</v>
      </c>
      <c r="K324">
        <v>118</v>
      </c>
    </row>
    <row r="325" spans="1:11" x14ac:dyDescent="0.3">
      <c r="A325">
        <v>6238</v>
      </c>
      <c r="B325" t="s">
        <v>24</v>
      </c>
      <c r="C325" s="1">
        <v>45838</v>
      </c>
      <c r="D325" t="s">
        <v>22</v>
      </c>
      <c r="E325" t="s">
        <v>39</v>
      </c>
      <c r="F325">
        <v>3</v>
      </c>
      <c r="G325">
        <v>23.71</v>
      </c>
      <c r="H325">
        <v>71.13</v>
      </c>
      <c r="I325">
        <v>14.23</v>
      </c>
      <c r="J325">
        <v>56.9</v>
      </c>
      <c r="K325">
        <v>230</v>
      </c>
    </row>
    <row r="326" spans="1:11" x14ac:dyDescent="0.3">
      <c r="A326">
        <v>9849</v>
      </c>
      <c r="B326" t="s">
        <v>36</v>
      </c>
      <c r="C326" s="1">
        <v>45207</v>
      </c>
      <c r="D326" t="s">
        <v>38</v>
      </c>
      <c r="E326" t="s">
        <v>32</v>
      </c>
      <c r="F326">
        <v>4</v>
      </c>
      <c r="G326">
        <v>6.38</v>
      </c>
      <c r="H326">
        <v>25.52</v>
      </c>
      <c r="I326">
        <v>4.09</v>
      </c>
      <c r="J326">
        <v>21.43</v>
      </c>
      <c r="K326">
        <v>299</v>
      </c>
    </row>
    <row r="327" spans="1:11" x14ac:dyDescent="0.3">
      <c r="A327">
        <v>3267</v>
      </c>
      <c r="B327" t="s">
        <v>30</v>
      </c>
      <c r="C327" s="1">
        <v>45262</v>
      </c>
      <c r="D327" t="s">
        <v>17</v>
      </c>
      <c r="E327" t="s">
        <v>43</v>
      </c>
      <c r="F327">
        <v>1</v>
      </c>
      <c r="G327">
        <v>8.76</v>
      </c>
      <c r="H327">
        <v>8.76</v>
      </c>
      <c r="I327">
        <v>0</v>
      </c>
      <c r="J327">
        <v>8.76</v>
      </c>
      <c r="K327">
        <v>194</v>
      </c>
    </row>
    <row r="328" spans="1:11" x14ac:dyDescent="0.3">
      <c r="A328">
        <v>4788</v>
      </c>
      <c r="B328" t="s">
        <v>24</v>
      </c>
      <c r="C328" s="1">
        <v>45442</v>
      </c>
      <c r="D328" t="s">
        <v>22</v>
      </c>
      <c r="E328" t="s">
        <v>23</v>
      </c>
      <c r="F328">
        <v>1</v>
      </c>
      <c r="G328">
        <v>3.64</v>
      </c>
      <c r="H328">
        <v>3.64</v>
      </c>
      <c r="I328">
        <v>0.36</v>
      </c>
      <c r="J328">
        <v>3.28</v>
      </c>
      <c r="K328">
        <v>482</v>
      </c>
    </row>
    <row r="329" spans="1:11" x14ac:dyDescent="0.3">
      <c r="A329">
        <v>3503</v>
      </c>
      <c r="B329" t="s">
        <v>36</v>
      </c>
      <c r="C329" s="1">
        <v>45693</v>
      </c>
      <c r="D329" t="s">
        <v>35</v>
      </c>
      <c r="E329" t="s">
        <v>48</v>
      </c>
      <c r="F329">
        <v>2</v>
      </c>
      <c r="G329">
        <v>3.52</v>
      </c>
      <c r="H329">
        <v>7.04</v>
      </c>
      <c r="I329">
        <v>3.22</v>
      </c>
      <c r="J329">
        <v>3.82</v>
      </c>
      <c r="K329">
        <v>220</v>
      </c>
    </row>
    <row r="330" spans="1:11" x14ac:dyDescent="0.3">
      <c r="A330">
        <v>4505</v>
      </c>
      <c r="B330" t="s">
        <v>24</v>
      </c>
      <c r="C330" s="1">
        <v>45194</v>
      </c>
      <c r="D330" t="s">
        <v>15</v>
      </c>
      <c r="E330" t="s">
        <v>39</v>
      </c>
      <c r="F330">
        <v>1</v>
      </c>
      <c r="G330">
        <v>11.25</v>
      </c>
      <c r="H330">
        <v>11.25</v>
      </c>
      <c r="I330">
        <v>1.1200000000000001</v>
      </c>
      <c r="J330">
        <v>10.130000000000001</v>
      </c>
      <c r="K330">
        <v>47</v>
      </c>
    </row>
    <row r="331" spans="1:11" x14ac:dyDescent="0.3">
      <c r="A331">
        <v>7797</v>
      </c>
      <c r="B331" t="s">
        <v>31</v>
      </c>
      <c r="C331" s="1">
        <v>45461</v>
      </c>
      <c r="D331" t="s">
        <v>35</v>
      </c>
      <c r="E331" t="s">
        <v>16</v>
      </c>
      <c r="F331">
        <v>4</v>
      </c>
      <c r="G331">
        <v>23.59</v>
      </c>
      <c r="H331">
        <v>94.36</v>
      </c>
      <c r="I331">
        <v>3.08</v>
      </c>
      <c r="J331">
        <v>91.28</v>
      </c>
      <c r="K331">
        <v>371</v>
      </c>
    </row>
    <row r="332" spans="1:11" x14ac:dyDescent="0.3">
      <c r="A332">
        <v>6421</v>
      </c>
      <c r="B332" t="s">
        <v>24</v>
      </c>
      <c r="C332" s="1">
        <v>45566</v>
      </c>
      <c r="D332" t="s">
        <v>34</v>
      </c>
      <c r="E332" t="s">
        <v>41</v>
      </c>
      <c r="F332">
        <v>3</v>
      </c>
      <c r="G332">
        <v>9.7200000000000006</v>
      </c>
      <c r="H332">
        <v>29.16</v>
      </c>
      <c r="I332">
        <v>1.67</v>
      </c>
      <c r="J332">
        <v>27.49</v>
      </c>
      <c r="K332">
        <v>252</v>
      </c>
    </row>
    <row r="333" spans="1:11" x14ac:dyDescent="0.3">
      <c r="A333">
        <v>8633</v>
      </c>
      <c r="B333" t="s">
        <v>30</v>
      </c>
      <c r="C333" s="1">
        <v>45467</v>
      </c>
      <c r="D333" t="s">
        <v>20</v>
      </c>
      <c r="E333" t="s">
        <v>37</v>
      </c>
      <c r="F333">
        <v>4</v>
      </c>
      <c r="G333">
        <v>23.69</v>
      </c>
      <c r="H333">
        <v>94.76</v>
      </c>
      <c r="I333">
        <v>18.95</v>
      </c>
      <c r="J333">
        <v>75.81</v>
      </c>
      <c r="K333">
        <v>184</v>
      </c>
    </row>
    <row r="334" spans="1:11" x14ac:dyDescent="0.3">
      <c r="A334">
        <v>2020</v>
      </c>
      <c r="B334" t="s">
        <v>26</v>
      </c>
      <c r="C334" s="1">
        <v>45305</v>
      </c>
      <c r="D334" t="s">
        <v>28</v>
      </c>
      <c r="E334" t="s">
        <v>44</v>
      </c>
      <c r="F334">
        <v>4</v>
      </c>
      <c r="G334">
        <v>4.09</v>
      </c>
      <c r="H334">
        <v>16.36</v>
      </c>
      <c r="I334">
        <v>1.64</v>
      </c>
      <c r="J334">
        <v>14.72</v>
      </c>
      <c r="K334">
        <v>155</v>
      </c>
    </row>
    <row r="335" spans="1:11" x14ac:dyDescent="0.3">
      <c r="A335">
        <v>7883</v>
      </c>
      <c r="B335" t="s">
        <v>36</v>
      </c>
      <c r="C335" s="1">
        <v>45447</v>
      </c>
      <c r="D335" t="s">
        <v>28</v>
      </c>
      <c r="E335" t="s">
        <v>32</v>
      </c>
      <c r="F335">
        <v>3</v>
      </c>
      <c r="G335">
        <v>13.76</v>
      </c>
      <c r="H335">
        <v>41.28</v>
      </c>
      <c r="I335">
        <v>6.19</v>
      </c>
      <c r="J335">
        <v>35.090000000000003</v>
      </c>
      <c r="K335">
        <v>220</v>
      </c>
    </row>
    <row r="336" spans="1:11" x14ac:dyDescent="0.3">
      <c r="A336">
        <v>1320</v>
      </c>
      <c r="B336" t="s">
        <v>36</v>
      </c>
      <c r="C336" s="1">
        <v>45810</v>
      </c>
      <c r="D336" t="s">
        <v>28</v>
      </c>
      <c r="E336" t="s">
        <v>44</v>
      </c>
      <c r="F336">
        <v>4</v>
      </c>
      <c r="G336">
        <v>10.1</v>
      </c>
      <c r="H336">
        <v>40.4</v>
      </c>
      <c r="I336">
        <v>6.06</v>
      </c>
      <c r="J336">
        <v>34.340000000000003</v>
      </c>
      <c r="K336">
        <v>493</v>
      </c>
    </row>
    <row r="337" spans="1:11" x14ac:dyDescent="0.3">
      <c r="A337">
        <v>7232</v>
      </c>
      <c r="B337" t="s">
        <v>30</v>
      </c>
      <c r="C337" s="1">
        <v>45515</v>
      </c>
      <c r="D337" t="s">
        <v>27</v>
      </c>
      <c r="E337" t="s">
        <v>47</v>
      </c>
      <c r="F337">
        <v>5</v>
      </c>
      <c r="G337">
        <v>23.67</v>
      </c>
      <c r="H337">
        <v>118.35</v>
      </c>
      <c r="I337">
        <v>17.75</v>
      </c>
      <c r="J337">
        <v>100.6</v>
      </c>
      <c r="K337">
        <v>166</v>
      </c>
    </row>
    <row r="338" spans="1:11" x14ac:dyDescent="0.3">
      <c r="A338">
        <v>1096</v>
      </c>
      <c r="B338" t="s">
        <v>24</v>
      </c>
      <c r="C338" s="1">
        <v>45418</v>
      </c>
      <c r="D338" t="s">
        <v>22</v>
      </c>
      <c r="E338" t="s">
        <v>48</v>
      </c>
      <c r="F338">
        <v>5</v>
      </c>
      <c r="G338">
        <v>6.78</v>
      </c>
      <c r="H338">
        <v>33.9</v>
      </c>
      <c r="I338">
        <v>0</v>
      </c>
      <c r="J338">
        <v>33.9</v>
      </c>
      <c r="K338">
        <v>279</v>
      </c>
    </row>
    <row r="339" spans="1:11" x14ac:dyDescent="0.3">
      <c r="A339">
        <v>5892</v>
      </c>
      <c r="B339" t="s">
        <v>14</v>
      </c>
      <c r="C339" s="1">
        <v>45730</v>
      </c>
      <c r="D339" t="s">
        <v>12</v>
      </c>
      <c r="E339" t="s">
        <v>33</v>
      </c>
      <c r="F339">
        <v>2</v>
      </c>
      <c r="G339">
        <v>13.71</v>
      </c>
      <c r="H339">
        <v>27.42</v>
      </c>
      <c r="I339">
        <v>2.74</v>
      </c>
      <c r="J339">
        <v>24.68</v>
      </c>
      <c r="K339">
        <v>149</v>
      </c>
    </row>
    <row r="340" spans="1:11" x14ac:dyDescent="0.3">
      <c r="A340">
        <v>7389</v>
      </c>
      <c r="B340" t="s">
        <v>26</v>
      </c>
      <c r="C340" s="1">
        <v>45807</v>
      </c>
      <c r="D340" t="s">
        <v>34</v>
      </c>
      <c r="E340" t="s">
        <v>37</v>
      </c>
      <c r="F340">
        <v>2</v>
      </c>
      <c r="G340">
        <v>8.32</v>
      </c>
      <c r="H340">
        <v>16.64</v>
      </c>
      <c r="I340">
        <v>1.66</v>
      </c>
      <c r="J340">
        <v>14.98</v>
      </c>
      <c r="K340">
        <v>78</v>
      </c>
    </row>
    <row r="341" spans="1:11" x14ac:dyDescent="0.3">
      <c r="A341">
        <v>7865</v>
      </c>
      <c r="B341" t="s">
        <v>11</v>
      </c>
      <c r="C341" s="1">
        <v>45563</v>
      </c>
      <c r="D341" t="s">
        <v>45</v>
      </c>
      <c r="E341" t="s">
        <v>47</v>
      </c>
      <c r="F341">
        <v>5</v>
      </c>
      <c r="G341">
        <v>12.61</v>
      </c>
      <c r="H341">
        <v>63.05</v>
      </c>
      <c r="I341">
        <v>1.1499999999999999</v>
      </c>
      <c r="J341">
        <v>61.9</v>
      </c>
      <c r="K341">
        <v>259</v>
      </c>
    </row>
    <row r="342" spans="1:11" x14ac:dyDescent="0.3">
      <c r="A342">
        <v>9947</v>
      </c>
      <c r="B342" t="s">
        <v>36</v>
      </c>
      <c r="C342" s="1">
        <v>45766</v>
      </c>
      <c r="D342" t="s">
        <v>38</v>
      </c>
      <c r="E342" t="s">
        <v>43</v>
      </c>
      <c r="F342">
        <v>1</v>
      </c>
      <c r="G342">
        <v>23.29</v>
      </c>
      <c r="H342">
        <v>23.29</v>
      </c>
      <c r="I342">
        <v>4.66</v>
      </c>
      <c r="J342">
        <v>18.63</v>
      </c>
      <c r="K342">
        <v>336</v>
      </c>
    </row>
    <row r="343" spans="1:11" x14ac:dyDescent="0.3">
      <c r="A343">
        <v>4613</v>
      </c>
      <c r="B343" t="s">
        <v>31</v>
      </c>
      <c r="C343" s="1">
        <v>45524</v>
      </c>
      <c r="D343" t="s">
        <v>28</v>
      </c>
      <c r="E343" t="s">
        <v>32</v>
      </c>
      <c r="F343">
        <v>3</v>
      </c>
      <c r="G343">
        <v>29</v>
      </c>
      <c r="H343">
        <v>87</v>
      </c>
      <c r="I343">
        <v>1.39</v>
      </c>
      <c r="J343">
        <v>85.61</v>
      </c>
      <c r="K343">
        <v>220</v>
      </c>
    </row>
    <row r="344" spans="1:11" x14ac:dyDescent="0.3">
      <c r="A344">
        <v>4595</v>
      </c>
      <c r="B344" t="s">
        <v>42</v>
      </c>
      <c r="C344" s="1">
        <v>45356</v>
      </c>
      <c r="D344" t="s">
        <v>38</v>
      </c>
      <c r="E344" t="s">
        <v>46</v>
      </c>
      <c r="F344">
        <v>5</v>
      </c>
      <c r="G344">
        <v>17.829999999999998</v>
      </c>
      <c r="H344">
        <v>89.15</v>
      </c>
      <c r="I344">
        <v>8.92</v>
      </c>
      <c r="J344">
        <v>80.23</v>
      </c>
      <c r="K344">
        <v>294</v>
      </c>
    </row>
    <row r="345" spans="1:11" x14ac:dyDescent="0.3">
      <c r="A345">
        <v>8140</v>
      </c>
      <c r="B345" t="s">
        <v>36</v>
      </c>
      <c r="C345" s="1">
        <v>45522</v>
      </c>
      <c r="D345" t="s">
        <v>20</v>
      </c>
      <c r="E345" t="s">
        <v>33</v>
      </c>
      <c r="F345">
        <v>5</v>
      </c>
      <c r="G345">
        <v>21.01</v>
      </c>
      <c r="H345">
        <v>105.05</v>
      </c>
      <c r="I345">
        <v>2.93</v>
      </c>
      <c r="J345">
        <v>102.12</v>
      </c>
      <c r="K345">
        <v>77</v>
      </c>
    </row>
    <row r="346" spans="1:11" x14ac:dyDescent="0.3">
      <c r="A346">
        <v>1475</v>
      </c>
      <c r="B346" t="s">
        <v>30</v>
      </c>
      <c r="C346" s="1">
        <v>45447</v>
      </c>
      <c r="D346" t="s">
        <v>20</v>
      </c>
      <c r="E346" t="s">
        <v>43</v>
      </c>
      <c r="F346">
        <v>1</v>
      </c>
      <c r="G346">
        <v>25.1</v>
      </c>
      <c r="H346">
        <v>25.1</v>
      </c>
      <c r="I346">
        <v>3.77</v>
      </c>
      <c r="J346">
        <v>21.33</v>
      </c>
      <c r="K346">
        <v>373</v>
      </c>
    </row>
    <row r="347" spans="1:11" x14ac:dyDescent="0.3">
      <c r="A347">
        <v>6507</v>
      </c>
      <c r="B347" t="s">
        <v>30</v>
      </c>
      <c r="C347" s="1">
        <v>45664</v>
      </c>
      <c r="D347" t="s">
        <v>22</v>
      </c>
      <c r="E347" t="s">
        <v>33</v>
      </c>
      <c r="F347">
        <v>2</v>
      </c>
      <c r="G347">
        <v>16.100000000000001</v>
      </c>
      <c r="H347">
        <v>32.200000000000003</v>
      </c>
      <c r="I347">
        <v>2.75</v>
      </c>
      <c r="J347">
        <v>29.45</v>
      </c>
      <c r="K347">
        <v>178</v>
      </c>
    </row>
    <row r="348" spans="1:11" x14ac:dyDescent="0.3">
      <c r="A348">
        <v>7624</v>
      </c>
      <c r="B348" t="s">
        <v>26</v>
      </c>
      <c r="C348" s="1">
        <v>45707</v>
      </c>
      <c r="D348" t="s">
        <v>22</v>
      </c>
      <c r="E348" t="s">
        <v>43</v>
      </c>
      <c r="F348">
        <v>3</v>
      </c>
      <c r="G348">
        <v>2.29</v>
      </c>
      <c r="H348">
        <v>6.87</v>
      </c>
      <c r="I348">
        <v>4.4000000000000004</v>
      </c>
      <c r="J348">
        <v>2.4700000000000002</v>
      </c>
      <c r="K348">
        <v>363</v>
      </c>
    </row>
    <row r="349" spans="1:11" x14ac:dyDescent="0.3">
      <c r="A349">
        <v>3704</v>
      </c>
      <c r="B349" t="s">
        <v>11</v>
      </c>
      <c r="C349" s="1">
        <v>45797</v>
      </c>
      <c r="D349" t="s">
        <v>27</v>
      </c>
      <c r="E349" t="s">
        <v>29</v>
      </c>
      <c r="F349">
        <v>2</v>
      </c>
      <c r="G349">
        <v>15.95</v>
      </c>
      <c r="H349">
        <v>31.9</v>
      </c>
      <c r="I349">
        <v>4.78</v>
      </c>
      <c r="J349">
        <v>27.12</v>
      </c>
      <c r="K349">
        <v>282</v>
      </c>
    </row>
    <row r="350" spans="1:11" x14ac:dyDescent="0.3">
      <c r="A350">
        <v>8657</v>
      </c>
      <c r="B350" t="s">
        <v>14</v>
      </c>
      <c r="C350" s="1">
        <v>45859</v>
      </c>
      <c r="D350" t="s">
        <v>20</v>
      </c>
      <c r="E350" t="s">
        <v>33</v>
      </c>
      <c r="F350">
        <v>2</v>
      </c>
      <c r="G350">
        <v>24.12</v>
      </c>
      <c r="H350">
        <v>48.24</v>
      </c>
      <c r="I350">
        <v>9.65</v>
      </c>
      <c r="J350">
        <v>38.590000000000003</v>
      </c>
      <c r="K350">
        <v>322</v>
      </c>
    </row>
    <row r="351" spans="1:11" x14ac:dyDescent="0.3">
      <c r="A351">
        <v>3091</v>
      </c>
      <c r="B351" t="s">
        <v>24</v>
      </c>
      <c r="C351" s="1">
        <v>45628</v>
      </c>
      <c r="D351" t="s">
        <v>20</v>
      </c>
      <c r="E351" t="s">
        <v>39</v>
      </c>
      <c r="F351">
        <v>5</v>
      </c>
      <c r="G351">
        <v>26.6</v>
      </c>
      <c r="H351">
        <v>133</v>
      </c>
      <c r="I351">
        <v>13.3</v>
      </c>
      <c r="J351">
        <v>119.7</v>
      </c>
      <c r="K351">
        <v>230</v>
      </c>
    </row>
    <row r="352" spans="1:11" x14ac:dyDescent="0.3">
      <c r="A352">
        <v>9751</v>
      </c>
      <c r="B352" t="s">
        <v>31</v>
      </c>
      <c r="C352" s="1">
        <v>45165</v>
      </c>
      <c r="D352" t="s">
        <v>17</v>
      </c>
      <c r="E352" t="s">
        <v>44</v>
      </c>
      <c r="F352">
        <v>3</v>
      </c>
      <c r="G352">
        <v>22.81</v>
      </c>
      <c r="H352">
        <v>68.430000000000007</v>
      </c>
      <c r="I352">
        <v>1.41</v>
      </c>
      <c r="J352">
        <v>67.02</v>
      </c>
      <c r="K352">
        <v>414</v>
      </c>
    </row>
    <row r="353" spans="1:11" x14ac:dyDescent="0.3">
      <c r="A353">
        <v>7455</v>
      </c>
      <c r="B353" t="s">
        <v>14</v>
      </c>
      <c r="C353" s="1">
        <v>45604</v>
      </c>
      <c r="D353" t="s">
        <v>34</v>
      </c>
      <c r="E353" t="s">
        <v>23</v>
      </c>
      <c r="F353">
        <v>3</v>
      </c>
      <c r="G353">
        <v>6.71</v>
      </c>
      <c r="H353">
        <v>20.13</v>
      </c>
      <c r="I353">
        <v>0</v>
      </c>
      <c r="J353">
        <v>20.13</v>
      </c>
      <c r="K353">
        <v>58</v>
      </c>
    </row>
    <row r="354" spans="1:11" x14ac:dyDescent="0.3">
      <c r="A354">
        <v>1444</v>
      </c>
      <c r="B354" t="s">
        <v>26</v>
      </c>
      <c r="C354" s="1">
        <v>45210</v>
      </c>
      <c r="D354" t="s">
        <v>38</v>
      </c>
      <c r="E354" t="s">
        <v>21</v>
      </c>
      <c r="F354">
        <v>5</v>
      </c>
      <c r="G354">
        <v>12.26</v>
      </c>
      <c r="H354">
        <v>61.3</v>
      </c>
      <c r="I354">
        <v>9.19</v>
      </c>
      <c r="J354">
        <v>52.11</v>
      </c>
      <c r="K354">
        <v>200</v>
      </c>
    </row>
    <row r="355" spans="1:11" x14ac:dyDescent="0.3">
      <c r="A355">
        <v>8022</v>
      </c>
      <c r="B355" t="s">
        <v>36</v>
      </c>
      <c r="C355" s="1">
        <v>45250</v>
      </c>
      <c r="D355" t="s">
        <v>45</v>
      </c>
      <c r="E355" t="s">
        <v>29</v>
      </c>
      <c r="F355">
        <v>3</v>
      </c>
      <c r="G355">
        <v>27.63</v>
      </c>
      <c r="H355">
        <v>82.89</v>
      </c>
      <c r="I355">
        <v>0</v>
      </c>
      <c r="J355">
        <v>82.89</v>
      </c>
      <c r="K355">
        <v>302</v>
      </c>
    </row>
    <row r="356" spans="1:11" x14ac:dyDescent="0.3">
      <c r="A356">
        <v>8564</v>
      </c>
      <c r="B356" t="s">
        <v>19</v>
      </c>
      <c r="C356" s="1">
        <v>45286</v>
      </c>
      <c r="D356" t="s">
        <v>22</v>
      </c>
      <c r="E356" t="s">
        <v>48</v>
      </c>
      <c r="F356">
        <v>2</v>
      </c>
      <c r="G356">
        <v>9.85</v>
      </c>
      <c r="H356">
        <v>19.7</v>
      </c>
      <c r="I356">
        <v>0</v>
      </c>
      <c r="J356">
        <v>19.7</v>
      </c>
      <c r="K356">
        <v>93</v>
      </c>
    </row>
    <row r="357" spans="1:11" x14ac:dyDescent="0.3">
      <c r="A357">
        <v>1823</v>
      </c>
      <c r="B357" t="s">
        <v>19</v>
      </c>
      <c r="C357" s="1">
        <v>45347</v>
      </c>
      <c r="D357" t="s">
        <v>38</v>
      </c>
      <c r="E357" t="s">
        <v>32</v>
      </c>
      <c r="F357">
        <v>4</v>
      </c>
      <c r="G357">
        <v>18.29</v>
      </c>
      <c r="H357">
        <v>73.16</v>
      </c>
      <c r="I357">
        <v>7.32</v>
      </c>
      <c r="J357">
        <v>65.84</v>
      </c>
      <c r="K357">
        <v>294</v>
      </c>
    </row>
    <row r="358" spans="1:11" x14ac:dyDescent="0.3">
      <c r="A358">
        <v>7211</v>
      </c>
      <c r="B358" t="s">
        <v>19</v>
      </c>
      <c r="C358" s="1">
        <v>45399</v>
      </c>
      <c r="D358" t="s">
        <v>45</v>
      </c>
      <c r="E358" t="s">
        <v>18</v>
      </c>
      <c r="F358">
        <v>2</v>
      </c>
      <c r="G358">
        <v>17.079999999999998</v>
      </c>
      <c r="H358">
        <v>34.159999999999997</v>
      </c>
      <c r="I358">
        <v>6.83</v>
      </c>
      <c r="J358">
        <v>27.33</v>
      </c>
      <c r="K358">
        <v>250</v>
      </c>
    </row>
    <row r="359" spans="1:11" x14ac:dyDescent="0.3">
      <c r="A359">
        <v>4467</v>
      </c>
      <c r="B359" t="s">
        <v>19</v>
      </c>
      <c r="C359" s="1">
        <v>45498</v>
      </c>
      <c r="D359" t="s">
        <v>22</v>
      </c>
      <c r="E359" t="s">
        <v>33</v>
      </c>
      <c r="F359">
        <v>5</v>
      </c>
      <c r="G359">
        <v>2.54</v>
      </c>
      <c r="H359">
        <v>12.7</v>
      </c>
      <c r="I359">
        <v>1.27</v>
      </c>
      <c r="J359">
        <v>11.43</v>
      </c>
      <c r="K359">
        <v>183</v>
      </c>
    </row>
    <row r="360" spans="1:11" x14ac:dyDescent="0.3">
      <c r="A360">
        <v>6355</v>
      </c>
      <c r="B360" t="s">
        <v>19</v>
      </c>
      <c r="C360" s="1">
        <v>45407</v>
      </c>
      <c r="D360" t="s">
        <v>17</v>
      </c>
      <c r="E360" t="s">
        <v>32</v>
      </c>
      <c r="F360">
        <v>5</v>
      </c>
      <c r="G360">
        <v>15.65</v>
      </c>
      <c r="H360">
        <v>78.25</v>
      </c>
      <c r="I360">
        <v>0</v>
      </c>
      <c r="J360">
        <v>78.25</v>
      </c>
      <c r="K360">
        <v>253</v>
      </c>
    </row>
    <row r="361" spans="1:11" x14ac:dyDescent="0.3">
      <c r="A361">
        <v>7211</v>
      </c>
      <c r="B361" t="s">
        <v>26</v>
      </c>
      <c r="C361" s="1">
        <v>45361</v>
      </c>
      <c r="D361" t="s">
        <v>20</v>
      </c>
      <c r="E361" t="s">
        <v>33</v>
      </c>
      <c r="F361">
        <v>4</v>
      </c>
      <c r="G361">
        <v>5.84</v>
      </c>
      <c r="H361">
        <v>23.36</v>
      </c>
      <c r="I361">
        <v>4.67</v>
      </c>
      <c r="J361">
        <v>18.690000000000001</v>
      </c>
      <c r="K361">
        <v>289</v>
      </c>
    </row>
    <row r="362" spans="1:11" x14ac:dyDescent="0.3">
      <c r="A362">
        <v>7906</v>
      </c>
      <c r="B362" t="s">
        <v>30</v>
      </c>
      <c r="C362" s="1">
        <v>45340</v>
      </c>
      <c r="D362" t="s">
        <v>12</v>
      </c>
      <c r="E362" t="s">
        <v>13</v>
      </c>
      <c r="F362">
        <v>2</v>
      </c>
      <c r="G362">
        <v>16.579999999999998</v>
      </c>
      <c r="H362">
        <v>33.159999999999997</v>
      </c>
      <c r="I362">
        <v>3.97</v>
      </c>
      <c r="J362">
        <v>29.19</v>
      </c>
      <c r="K362">
        <v>86</v>
      </c>
    </row>
    <row r="363" spans="1:11" x14ac:dyDescent="0.3">
      <c r="A363">
        <v>2341</v>
      </c>
      <c r="B363" t="s">
        <v>26</v>
      </c>
      <c r="C363" s="1">
        <v>45510</v>
      </c>
      <c r="D363" t="s">
        <v>38</v>
      </c>
      <c r="E363" t="s">
        <v>46</v>
      </c>
      <c r="F363">
        <v>1</v>
      </c>
      <c r="G363">
        <v>17.600000000000001</v>
      </c>
      <c r="H363">
        <v>17.600000000000001</v>
      </c>
      <c r="I363">
        <v>4.29</v>
      </c>
      <c r="J363">
        <v>13.31</v>
      </c>
      <c r="K363">
        <v>137</v>
      </c>
    </row>
    <row r="364" spans="1:11" x14ac:dyDescent="0.3">
      <c r="A364">
        <v>1317</v>
      </c>
      <c r="B364" t="s">
        <v>31</v>
      </c>
      <c r="C364" s="1">
        <v>45726</v>
      </c>
      <c r="D364" t="s">
        <v>45</v>
      </c>
      <c r="E364" t="s">
        <v>18</v>
      </c>
      <c r="F364">
        <v>2</v>
      </c>
      <c r="G364">
        <v>29.69</v>
      </c>
      <c r="H364">
        <v>59.38</v>
      </c>
      <c r="I364">
        <v>8.91</v>
      </c>
      <c r="J364">
        <v>50.47</v>
      </c>
      <c r="K364">
        <v>52</v>
      </c>
    </row>
    <row r="365" spans="1:11" x14ac:dyDescent="0.3">
      <c r="A365">
        <v>9837</v>
      </c>
      <c r="B365" t="s">
        <v>31</v>
      </c>
      <c r="C365" s="1">
        <v>45185</v>
      </c>
      <c r="D365" t="s">
        <v>45</v>
      </c>
      <c r="E365" t="s">
        <v>13</v>
      </c>
      <c r="F365">
        <v>3</v>
      </c>
      <c r="G365">
        <v>25.99</v>
      </c>
      <c r="H365">
        <v>77.97</v>
      </c>
      <c r="I365">
        <v>4.0999999999999996</v>
      </c>
      <c r="J365">
        <v>73.87</v>
      </c>
      <c r="K365">
        <v>44</v>
      </c>
    </row>
    <row r="366" spans="1:11" x14ac:dyDescent="0.3">
      <c r="A366">
        <v>6733</v>
      </c>
      <c r="B366" t="s">
        <v>42</v>
      </c>
      <c r="C366" s="1">
        <v>45319</v>
      </c>
      <c r="D366" t="s">
        <v>17</v>
      </c>
      <c r="E366" t="s">
        <v>23</v>
      </c>
      <c r="F366">
        <v>5</v>
      </c>
      <c r="G366">
        <v>19.34</v>
      </c>
      <c r="H366">
        <v>96.7</v>
      </c>
      <c r="I366">
        <v>19.34</v>
      </c>
      <c r="J366">
        <v>77.36</v>
      </c>
      <c r="K366">
        <v>84</v>
      </c>
    </row>
    <row r="367" spans="1:11" x14ac:dyDescent="0.3">
      <c r="A367">
        <v>2124</v>
      </c>
      <c r="B367" t="s">
        <v>42</v>
      </c>
      <c r="C367" s="1">
        <v>45751</v>
      </c>
      <c r="D367" t="s">
        <v>12</v>
      </c>
      <c r="E367" t="s">
        <v>23</v>
      </c>
      <c r="F367">
        <v>5</v>
      </c>
      <c r="G367">
        <v>9.14</v>
      </c>
      <c r="H367">
        <v>45.7</v>
      </c>
      <c r="I367">
        <v>6.86</v>
      </c>
      <c r="J367">
        <v>38.840000000000003</v>
      </c>
      <c r="K367">
        <v>275</v>
      </c>
    </row>
    <row r="368" spans="1:11" x14ac:dyDescent="0.3">
      <c r="A368">
        <v>1659</v>
      </c>
      <c r="B368" t="s">
        <v>30</v>
      </c>
      <c r="C368" s="1">
        <v>45730</v>
      </c>
      <c r="D368" t="s">
        <v>35</v>
      </c>
      <c r="E368" t="s">
        <v>13</v>
      </c>
      <c r="F368">
        <v>5</v>
      </c>
      <c r="G368">
        <v>29.57</v>
      </c>
      <c r="H368">
        <v>147.85</v>
      </c>
      <c r="I368">
        <v>29.57</v>
      </c>
      <c r="J368">
        <v>118.28</v>
      </c>
      <c r="K368">
        <v>347</v>
      </c>
    </row>
    <row r="369" spans="1:11" x14ac:dyDescent="0.3">
      <c r="A369">
        <v>1508</v>
      </c>
      <c r="B369" t="s">
        <v>24</v>
      </c>
      <c r="C369" s="1">
        <v>45337</v>
      </c>
      <c r="D369" t="s">
        <v>12</v>
      </c>
      <c r="E369" t="s">
        <v>13</v>
      </c>
      <c r="F369">
        <v>2</v>
      </c>
      <c r="G369">
        <v>21.33</v>
      </c>
      <c r="H369">
        <v>42.66</v>
      </c>
      <c r="I369">
        <v>8.5299999999999994</v>
      </c>
      <c r="J369">
        <v>34.130000000000003</v>
      </c>
      <c r="K369">
        <v>67</v>
      </c>
    </row>
    <row r="370" spans="1:11" x14ac:dyDescent="0.3">
      <c r="A370">
        <v>4266</v>
      </c>
      <c r="B370" t="s">
        <v>36</v>
      </c>
      <c r="C370" s="1">
        <v>45796</v>
      </c>
      <c r="D370" t="s">
        <v>17</v>
      </c>
      <c r="E370" t="s">
        <v>32</v>
      </c>
      <c r="F370">
        <v>4</v>
      </c>
      <c r="G370">
        <v>5.1100000000000003</v>
      </c>
      <c r="H370">
        <v>20.440000000000001</v>
      </c>
      <c r="I370">
        <v>0</v>
      </c>
      <c r="J370">
        <v>20.440000000000001</v>
      </c>
      <c r="K370">
        <v>323</v>
      </c>
    </row>
    <row r="371" spans="1:11" x14ac:dyDescent="0.3">
      <c r="A371">
        <v>1333</v>
      </c>
      <c r="B371" t="s">
        <v>24</v>
      </c>
      <c r="C371" s="1">
        <v>45627</v>
      </c>
      <c r="D371" t="s">
        <v>20</v>
      </c>
      <c r="E371" t="s">
        <v>33</v>
      </c>
      <c r="F371">
        <v>1</v>
      </c>
      <c r="G371">
        <v>19.37</v>
      </c>
      <c r="H371">
        <v>19.37</v>
      </c>
      <c r="I371">
        <v>1.94</v>
      </c>
      <c r="J371">
        <v>17.43</v>
      </c>
      <c r="K371">
        <v>450</v>
      </c>
    </row>
    <row r="372" spans="1:11" x14ac:dyDescent="0.3">
      <c r="A372">
        <v>3496</v>
      </c>
      <c r="B372" t="s">
        <v>14</v>
      </c>
      <c r="C372" s="1">
        <v>45330</v>
      </c>
      <c r="D372" t="s">
        <v>35</v>
      </c>
      <c r="E372" t="s">
        <v>23</v>
      </c>
      <c r="F372">
        <v>4</v>
      </c>
      <c r="G372">
        <v>28.55</v>
      </c>
      <c r="H372">
        <v>114.2</v>
      </c>
      <c r="I372">
        <v>0</v>
      </c>
      <c r="J372">
        <v>114.2</v>
      </c>
      <c r="K372">
        <v>167</v>
      </c>
    </row>
    <row r="373" spans="1:11" x14ac:dyDescent="0.3">
      <c r="A373">
        <v>3068</v>
      </c>
      <c r="B373" t="s">
        <v>11</v>
      </c>
      <c r="C373" s="1">
        <v>45512</v>
      </c>
      <c r="D373" t="s">
        <v>45</v>
      </c>
      <c r="E373" t="s">
        <v>23</v>
      </c>
      <c r="F373">
        <v>1</v>
      </c>
      <c r="G373">
        <v>24.06</v>
      </c>
      <c r="H373">
        <v>24.06</v>
      </c>
      <c r="I373">
        <v>2.41</v>
      </c>
      <c r="J373">
        <v>21.65</v>
      </c>
      <c r="K373">
        <v>203</v>
      </c>
    </row>
    <row r="374" spans="1:11" x14ac:dyDescent="0.3">
      <c r="A374">
        <v>2874</v>
      </c>
      <c r="B374" t="s">
        <v>42</v>
      </c>
      <c r="C374" s="1">
        <v>45583</v>
      </c>
      <c r="D374" t="s">
        <v>45</v>
      </c>
      <c r="E374" t="s">
        <v>13</v>
      </c>
      <c r="F374">
        <v>3</v>
      </c>
      <c r="G374">
        <v>25.01</v>
      </c>
      <c r="H374">
        <v>75.03</v>
      </c>
      <c r="I374">
        <v>4.41</v>
      </c>
      <c r="J374">
        <v>70.62</v>
      </c>
      <c r="K374">
        <v>172</v>
      </c>
    </row>
    <row r="375" spans="1:11" x14ac:dyDescent="0.3">
      <c r="A375">
        <v>4571</v>
      </c>
      <c r="B375" t="s">
        <v>36</v>
      </c>
      <c r="C375" s="1">
        <v>45506</v>
      </c>
      <c r="D375" t="s">
        <v>27</v>
      </c>
      <c r="E375" t="s">
        <v>40</v>
      </c>
      <c r="F375">
        <v>1</v>
      </c>
      <c r="G375">
        <v>3.88</v>
      </c>
      <c r="H375">
        <v>3.88</v>
      </c>
      <c r="I375">
        <v>1.5</v>
      </c>
      <c r="J375">
        <v>2.38</v>
      </c>
      <c r="K375">
        <v>401</v>
      </c>
    </row>
    <row r="376" spans="1:11" x14ac:dyDescent="0.3">
      <c r="A376">
        <v>5198</v>
      </c>
      <c r="B376" t="s">
        <v>19</v>
      </c>
      <c r="C376" s="1">
        <v>45740</v>
      </c>
      <c r="D376" t="s">
        <v>45</v>
      </c>
      <c r="E376" t="s">
        <v>33</v>
      </c>
      <c r="F376">
        <v>1</v>
      </c>
      <c r="G376">
        <v>29.75</v>
      </c>
      <c r="H376">
        <v>29.75</v>
      </c>
      <c r="I376">
        <v>0</v>
      </c>
      <c r="J376">
        <v>29.75</v>
      </c>
      <c r="K376">
        <v>219</v>
      </c>
    </row>
    <row r="377" spans="1:11" x14ac:dyDescent="0.3">
      <c r="A377">
        <v>7043</v>
      </c>
      <c r="B377" t="s">
        <v>19</v>
      </c>
      <c r="C377" s="1">
        <v>45275</v>
      </c>
      <c r="D377" t="s">
        <v>27</v>
      </c>
      <c r="E377" t="s">
        <v>37</v>
      </c>
      <c r="F377">
        <v>2</v>
      </c>
      <c r="G377">
        <v>26.35</v>
      </c>
      <c r="H377">
        <v>52.7</v>
      </c>
      <c r="I377">
        <v>3.62</v>
      </c>
      <c r="J377">
        <v>49.08</v>
      </c>
      <c r="K377">
        <v>448</v>
      </c>
    </row>
    <row r="378" spans="1:11" x14ac:dyDescent="0.3">
      <c r="A378">
        <v>2876</v>
      </c>
      <c r="B378" t="s">
        <v>30</v>
      </c>
      <c r="C378" s="1">
        <v>45749</v>
      </c>
      <c r="D378" t="s">
        <v>15</v>
      </c>
      <c r="E378" t="s">
        <v>23</v>
      </c>
      <c r="F378">
        <v>2</v>
      </c>
      <c r="G378">
        <v>2.4900000000000002</v>
      </c>
      <c r="H378">
        <v>4.9800000000000004</v>
      </c>
      <c r="I378">
        <v>0</v>
      </c>
      <c r="J378">
        <v>4.9800000000000004</v>
      </c>
      <c r="K378">
        <v>320</v>
      </c>
    </row>
    <row r="379" spans="1:11" x14ac:dyDescent="0.3">
      <c r="A379">
        <v>3683</v>
      </c>
      <c r="B379" t="s">
        <v>42</v>
      </c>
      <c r="C379" s="1">
        <v>45386</v>
      </c>
      <c r="D379" t="s">
        <v>20</v>
      </c>
      <c r="E379" t="s">
        <v>43</v>
      </c>
      <c r="F379">
        <v>1</v>
      </c>
      <c r="G379">
        <v>1.02</v>
      </c>
      <c r="H379">
        <v>1.02</v>
      </c>
      <c r="I379">
        <v>0.2</v>
      </c>
      <c r="J379">
        <v>0.82</v>
      </c>
      <c r="K379">
        <v>244</v>
      </c>
    </row>
    <row r="380" spans="1:11" x14ac:dyDescent="0.3">
      <c r="A380">
        <v>2771</v>
      </c>
      <c r="B380" t="s">
        <v>42</v>
      </c>
      <c r="C380" s="1">
        <v>45594</v>
      </c>
      <c r="D380" t="s">
        <v>38</v>
      </c>
      <c r="E380" t="s">
        <v>33</v>
      </c>
      <c r="F380">
        <v>1</v>
      </c>
      <c r="G380">
        <v>1.22</v>
      </c>
      <c r="H380">
        <v>1.22</v>
      </c>
      <c r="I380">
        <v>0.12</v>
      </c>
      <c r="J380">
        <v>1.1000000000000001</v>
      </c>
      <c r="K380">
        <v>175</v>
      </c>
    </row>
    <row r="381" spans="1:11" x14ac:dyDescent="0.3">
      <c r="A381">
        <v>1420</v>
      </c>
      <c r="B381" t="s">
        <v>19</v>
      </c>
      <c r="C381" s="1">
        <v>45866</v>
      </c>
      <c r="D381" t="s">
        <v>45</v>
      </c>
      <c r="E381" t="s">
        <v>43</v>
      </c>
      <c r="F381">
        <v>2</v>
      </c>
      <c r="G381">
        <v>12.1</v>
      </c>
      <c r="H381">
        <v>24.2</v>
      </c>
      <c r="I381">
        <v>2.25</v>
      </c>
      <c r="J381">
        <v>21.95</v>
      </c>
      <c r="K381">
        <v>374</v>
      </c>
    </row>
    <row r="382" spans="1:11" x14ac:dyDescent="0.3">
      <c r="A382">
        <v>6111</v>
      </c>
      <c r="B382" t="s">
        <v>30</v>
      </c>
      <c r="C382" s="1">
        <v>45592</v>
      </c>
      <c r="D382" t="s">
        <v>34</v>
      </c>
      <c r="E382" t="s">
        <v>32</v>
      </c>
      <c r="F382">
        <v>2</v>
      </c>
      <c r="G382">
        <v>19.600000000000001</v>
      </c>
      <c r="H382">
        <v>39.200000000000003</v>
      </c>
      <c r="I382">
        <v>3.12</v>
      </c>
      <c r="J382">
        <v>36.08</v>
      </c>
      <c r="K382">
        <v>346</v>
      </c>
    </row>
    <row r="383" spans="1:11" x14ac:dyDescent="0.3">
      <c r="A383">
        <v>7149</v>
      </c>
      <c r="B383" t="s">
        <v>31</v>
      </c>
      <c r="C383" s="1">
        <v>45453</v>
      </c>
      <c r="D383" t="s">
        <v>28</v>
      </c>
      <c r="E383" t="s">
        <v>29</v>
      </c>
      <c r="F383">
        <v>4</v>
      </c>
      <c r="G383">
        <v>11.17</v>
      </c>
      <c r="H383">
        <v>44.68</v>
      </c>
      <c r="I383">
        <v>4.47</v>
      </c>
      <c r="J383">
        <v>40.21</v>
      </c>
      <c r="K383">
        <v>109</v>
      </c>
    </row>
    <row r="384" spans="1:11" x14ac:dyDescent="0.3">
      <c r="A384">
        <v>4249</v>
      </c>
      <c r="B384" t="s">
        <v>26</v>
      </c>
      <c r="C384" s="1">
        <v>45204</v>
      </c>
      <c r="D384" t="s">
        <v>17</v>
      </c>
      <c r="E384" t="s">
        <v>43</v>
      </c>
      <c r="F384">
        <v>1</v>
      </c>
      <c r="G384">
        <v>5.05</v>
      </c>
      <c r="H384">
        <v>5.05</v>
      </c>
      <c r="I384">
        <v>0.76</v>
      </c>
      <c r="J384">
        <v>4.29</v>
      </c>
      <c r="K384">
        <v>63</v>
      </c>
    </row>
    <row r="385" spans="1:11" x14ac:dyDescent="0.3">
      <c r="A385">
        <v>4978</v>
      </c>
      <c r="B385" t="s">
        <v>24</v>
      </c>
      <c r="C385" s="1">
        <v>45224</v>
      </c>
      <c r="D385" t="s">
        <v>22</v>
      </c>
      <c r="E385" t="s">
        <v>41</v>
      </c>
      <c r="F385">
        <v>2</v>
      </c>
      <c r="G385">
        <v>9.02</v>
      </c>
      <c r="H385">
        <v>18.04</v>
      </c>
      <c r="I385">
        <v>3.4</v>
      </c>
      <c r="J385">
        <v>14.64</v>
      </c>
      <c r="K385">
        <v>43</v>
      </c>
    </row>
    <row r="386" spans="1:11" x14ac:dyDescent="0.3">
      <c r="A386">
        <v>5941</v>
      </c>
      <c r="B386" t="s">
        <v>30</v>
      </c>
      <c r="C386" s="1">
        <v>45805</v>
      </c>
      <c r="D386" t="s">
        <v>12</v>
      </c>
      <c r="E386" t="s">
        <v>37</v>
      </c>
      <c r="F386">
        <v>2</v>
      </c>
      <c r="G386">
        <v>16</v>
      </c>
      <c r="H386">
        <v>32</v>
      </c>
      <c r="I386">
        <v>0</v>
      </c>
      <c r="J386">
        <v>32</v>
      </c>
      <c r="K386">
        <v>260</v>
      </c>
    </row>
    <row r="387" spans="1:11" x14ac:dyDescent="0.3">
      <c r="A387">
        <v>2983</v>
      </c>
      <c r="C387" s="1">
        <v>45763</v>
      </c>
      <c r="D387" t="s">
        <v>35</v>
      </c>
      <c r="E387" t="s">
        <v>40</v>
      </c>
      <c r="F387">
        <v>2</v>
      </c>
      <c r="G387">
        <v>15.34</v>
      </c>
      <c r="H387">
        <v>30.68</v>
      </c>
      <c r="I387">
        <v>3.07</v>
      </c>
      <c r="J387">
        <v>27.61</v>
      </c>
      <c r="K387">
        <v>57</v>
      </c>
    </row>
    <row r="388" spans="1:11" x14ac:dyDescent="0.3">
      <c r="A388">
        <v>1672</v>
      </c>
      <c r="B388" t="s">
        <v>11</v>
      </c>
      <c r="C388" s="1">
        <v>45414</v>
      </c>
      <c r="D388" t="s">
        <v>38</v>
      </c>
      <c r="E388" t="s">
        <v>39</v>
      </c>
      <c r="F388">
        <v>3</v>
      </c>
      <c r="G388">
        <v>28.07</v>
      </c>
      <c r="H388">
        <v>84.21</v>
      </c>
      <c r="I388">
        <v>2.68</v>
      </c>
      <c r="J388">
        <v>81.53</v>
      </c>
      <c r="K388">
        <v>67</v>
      </c>
    </row>
    <row r="389" spans="1:11" x14ac:dyDescent="0.3">
      <c r="A389">
        <v>9728</v>
      </c>
      <c r="B389" t="s">
        <v>14</v>
      </c>
      <c r="C389" s="1">
        <v>45477</v>
      </c>
      <c r="D389" t="s">
        <v>27</v>
      </c>
      <c r="E389" t="s">
        <v>29</v>
      </c>
      <c r="F389">
        <v>4</v>
      </c>
      <c r="G389">
        <v>28.67</v>
      </c>
      <c r="H389">
        <v>114.68</v>
      </c>
      <c r="I389">
        <v>3.35</v>
      </c>
      <c r="J389">
        <v>111.33</v>
      </c>
      <c r="K389">
        <v>394</v>
      </c>
    </row>
    <row r="390" spans="1:11" x14ac:dyDescent="0.3">
      <c r="A390">
        <v>7071</v>
      </c>
      <c r="B390" t="s">
        <v>31</v>
      </c>
      <c r="C390" s="1">
        <v>45198</v>
      </c>
      <c r="D390" t="s">
        <v>35</v>
      </c>
      <c r="E390" t="s">
        <v>44</v>
      </c>
      <c r="F390">
        <v>1</v>
      </c>
      <c r="G390">
        <v>27.74</v>
      </c>
      <c r="H390">
        <v>27.74</v>
      </c>
      <c r="I390">
        <v>2.15</v>
      </c>
      <c r="J390">
        <v>25.59</v>
      </c>
      <c r="K390">
        <v>485</v>
      </c>
    </row>
    <row r="391" spans="1:11" x14ac:dyDescent="0.3">
      <c r="A391">
        <v>9289</v>
      </c>
      <c r="C391" s="1">
        <v>45647</v>
      </c>
      <c r="D391" t="s">
        <v>20</v>
      </c>
      <c r="E391" t="s">
        <v>16</v>
      </c>
      <c r="F391">
        <v>4</v>
      </c>
      <c r="G391">
        <v>3.38</v>
      </c>
      <c r="H391">
        <v>13.52</v>
      </c>
      <c r="I391">
        <v>2.0299999999999998</v>
      </c>
      <c r="J391">
        <v>11.49</v>
      </c>
      <c r="K391">
        <v>274</v>
      </c>
    </row>
    <row r="392" spans="1:11" x14ac:dyDescent="0.3">
      <c r="A392">
        <v>6590</v>
      </c>
      <c r="B392" t="s">
        <v>11</v>
      </c>
      <c r="C392" s="1">
        <v>45154</v>
      </c>
      <c r="D392" t="s">
        <v>35</v>
      </c>
      <c r="E392" t="s">
        <v>43</v>
      </c>
      <c r="F392">
        <v>5</v>
      </c>
      <c r="G392">
        <v>27.7</v>
      </c>
      <c r="H392">
        <v>138.5</v>
      </c>
      <c r="I392">
        <v>2.31</v>
      </c>
      <c r="J392">
        <v>136.19</v>
      </c>
      <c r="K392">
        <v>498</v>
      </c>
    </row>
    <row r="393" spans="1:11" x14ac:dyDescent="0.3">
      <c r="A393">
        <v>7882</v>
      </c>
      <c r="B393" t="s">
        <v>11</v>
      </c>
      <c r="C393" s="1">
        <v>45783</v>
      </c>
      <c r="D393" t="s">
        <v>35</v>
      </c>
      <c r="E393" t="s">
        <v>16</v>
      </c>
      <c r="F393">
        <v>2</v>
      </c>
      <c r="G393">
        <v>2.67</v>
      </c>
      <c r="H393">
        <v>5.34</v>
      </c>
      <c r="I393">
        <v>2.81</v>
      </c>
      <c r="J393">
        <v>2.5299999999999998</v>
      </c>
      <c r="K393">
        <v>44</v>
      </c>
    </row>
    <row r="394" spans="1:11" x14ac:dyDescent="0.3">
      <c r="A394">
        <v>9031</v>
      </c>
      <c r="B394" t="s">
        <v>31</v>
      </c>
      <c r="C394" s="1">
        <v>45226</v>
      </c>
      <c r="D394" t="s">
        <v>35</v>
      </c>
      <c r="E394" t="s">
        <v>29</v>
      </c>
      <c r="F394">
        <v>1</v>
      </c>
      <c r="G394">
        <v>1.36</v>
      </c>
      <c r="H394">
        <v>1.36</v>
      </c>
      <c r="I394">
        <v>0.27</v>
      </c>
      <c r="J394">
        <v>1.0900000000000001</v>
      </c>
      <c r="K394">
        <v>70</v>
      </c>
    </row>
    <row r="395" spans="1:11" x14ac:dyDescent="0.3">
      <c r="A395">
        <v>8102</v>
      </c>
      <c r="B395" t="s">
        <v>26</v>
      </c>
      <c r="C395" s="1">
        <v>45426</v>
      </c>
      <c r="D395" t="s">
        <v>22</v>
      </c>
      <c r="E395" t="s">
        <v>46</v>
      </c>
      <c r="F395">
        <v>5</v>
      </c>
      <c r="G395">
        <v>23.7</v>
      </c>
      <c r="H395">
        <v>118.5</v>
      </c>
      <c r="I395">
        <v>23.7</v>
      </c>
      <c r="J395">
        <v>94.8</v>
      </c>
      <c r="K395">
        <v>369</v>
      </c>
    </row>
    <row r="396" spans="1:11" x14ac:dyDescent="0.3">
      <c r="A396">
        <v>8532</v>
      </c>
      <c r="B396" t="s">
        <v>36</v>
      </c>
      <c r="C396" s="1">
        <v>45694</v>
      </c>
      <c r="D396" t="s">
        <v>34</v>
      </c>
      <c r="E396" t="s">
        <v>13</v>
      </c>
      <c r="F396">
        <v>1</v>
      </c>
      <c r="G396">
        <v>23.36</v>
      </c>
      <c r="H396">
        <v>23.36</v>
      </c>
      <c r="I396">
        <v>2.34</v>
      </c>
      <c r="J396">
        <v>21.02</v>
      </c>
      <c r="K396">
        <v>15</v>
      </c>
    </row>
    <row r="397" spans="1:11" x14ac:dyDescent="0.3">
      <c r="A397">
        <v>3506</v>
      </c>
      <c r="B397" t="s">
        <v>30</v>
      </c>
      <c r="C397" s="1">
        <v>45483</v>
      </c>
      <c r="D397" t="s">
        <v>38</v>
      </c>
      <c r="E397" t="s">
        <v>43</v>
      </c>
      <c r="F397">
        <v>3</v>
      </c>
      <c r="G397">
        <v>21.65</v>
      </c>
      <c r="H397">
        <v>64.95</v>
      </c>
      <c r="I397">
        <v>6.5</v>
      </c>
      <c r="J397">
        <v>58.45</v>
      </c>
      <c r="K397">
        <v>295</v>
      </c>
    </row>
    <row r="398" spans="1:11" x14ac:dyDescent="0.3">
      <c r="A398">
        <v>3885</v>
      </c>
      <c r="B398" t="s">
        <v>26</v>
      </c>
      <c r="C398" s="1">
        <v>45714</v>
      </c>
      <c r="D398" t="s">
        <v>38</v>
      </c>
      <c r="E398" t="s">
        <v>23</v>
      </c>
      <c r="F398">
        <v>1</v>
      </c>
      <c r="G398">
        <v>15.48</v>
      </c>
      <c r="H398">
        <v>15.48</v>
      </c>
      <c r="I398">
        <v>2.3199999999999998</v>
      </c>
      <c r="J398">
        <v>13.16</v>
      </c>
      <c r="K398">
        <v>290</v>
      </c>
    </row>
    <row r="399" spans="1:11" x14ac:dyDescent="0.3">
      <c r="A399">
        <v>9548</v>
      </c>
      <c r="B399" t="s">
        <v>19</v>
      </c>
      <c r="C399" s="1">
        <v>45650</v>
      </c>
      <c r="D399" t="s">
        <v>35</v>
      </c>
      <c r="E399" t="s">
        <v>48</v>
      </c>
      <c r="F399">
        <v>5</v>
      </c>
      <c r="G399">
        <v>20.54</v>
      </c>
      <c r="H399">
        <v>102.7</v>
      </c>
      <c r="I399">
        <v>0</v>
      </c>
      <c r="J399">
        <v>102.7</v>
      </c>
      <c r="K399">
        <v>59</v>
      </c>
    </row>
    <row r="400" spans="1:11" x14ac:dyDescent="0.3">
      <c r="A400">
        <v>5425</v>
      </c>
      <c r="B400" t="s">
        <v>14</v>
      </c>
      <c r="C400" s="1">
        <v>45623</v>
      </c>
      <c r="D400" t="s">
        <v>12</v>
      </c>
      <c r="E400" t="s">
        <v>40</v>
      </c>
      <c r="F400">
        <v>1</v>
      </c>
      <c r="G400">
        <v>8.08</v>
      </c>
      <c r="H400">
        <v>8.08</v>
      </c>
      <c r="I400">
        <v>0.81</v>
      </c>
      <c r="J400">
        <v>7.27</v>
      </c>
      <c r="K400">
        <v>241</v>
      </c>
    </row>
    <row r="401" spans="1:11" x14ac:dyDescent="0.3">
      <c r="A401">
        <v>9817</v>
      </c>
      <c r="B401" t="s">
        <v>19</v>
      </c>
      <c r="C401" s="1">
        <v>45746</v>
      </c>
      <c r="D401" t="s">
        <v>34</v>
      </c>
      <c r="E401" t="s">
        <v>40</v>
      </c>
      <c r="F401">
        <v>5</v>
      </c>
      <c r="G401">
        <v>24.28</v>
      </c>
      <c r="H401">
        <v>121.4</v>
      </c>
      <c r="I401">
        <v>24.28</v>
      </c>
      <c r="J401">
        <v>97.12</v>
      </c>
      <c r="K401">
        <v>365</v>
      </c>
    </row>
    <row r="402" spans="1:11" x14ac:dyDescent="0.3">
      <c r="A402">
        <v>8921</v>
      </c>
      <c r="B402" t="s">
        <v>36</v>
      </c>
      <c r="C402" s="1">
        <v>45506</v>
      </c>
      <c r="D402" t="s">
        <v>17</v>
      </c>
      <c r="E402" t="s">
        <v>16</v>
      </c>
      <c r="F402">
        <v>3</v>
      </c>
      <c r="G402">
        <v>8.86</v>
      </c>
      <c r="H402">
        <v>26.58</v>
      </c>
      <c r="I402">
        <v>3.01</v>
      </c>
      <c r="J402">
        <v>23.57</v>
      </c>
      <c r="K402">
        <v>39</v>
      </c>
    </row>
    <row r="403" spans="1:11" x14ac:dyDescent="0.3">
      <c r="A403">
        <v>8136</v>
      </c>
      <c r="B403" t="s">
        <v>31</v>
      </c>
      <c r="C403" s="1">
        <v>45786</v>
      </c>
      <c r="D403" t="s">
        <v>34</v>
      </c>
      <c r="E403" t="s">
        <v>25</v>
      </c>
      <c r="F403">
        <v>5</v>
      </c>
      <c r="G403">
        <v>29.45</v>
      </c>
      <c r="H403">
        <v>147.25</v>
      </c>
      <c r="I403">
        <v>4.51</v>
      </c>
      <c r="J403">
        <v>142.74</v>
      </c>
      <c r="K403">
        <v>488</v>
      </c>
    </row>
    <row r="404" spans="1:11" x14ac:dyDescent="0.3">
      <c r="A404">
        <v>5397</v>
      </c>
      <c r="B404" t="s">
        <v>30</v>
      </c>
      <c r="C404" s="1">
        <v>45395</v>
      </c>
      <c r="D404" t="s">
        <v>35</v>
      </c>
      <c r="E404" t="s">
        <v>21</v>
      </c>
      <c r="F404">
        <v>1</v>
      </c>
      <c r="G404">
        <v>17.03</v>
      </c>
      <c r="H404">
        <v>17.03</v>
      </c>
      <c r="I404">
        <v>3.41</v>
      </c>
      <c r="J404">
        <v>13.62</v>
      </c>
      <c r="K404">
        <v>4</v>
      </c>
    </row>
    <row r="405" spans="1:11" x14ac:dyDescent="0.3">
      <c r="A405">
        <v>5022</v>
      </c>
      <c r="B405" t="s">
        <v>30</v>
      </c>
      <c r="C405" s="1">
        <v>45790</v>
      </c>
      <c r="D405" t="s">
        <v>28</v>
      </c>
      <c r="E405" t="s">
        <v>37</v>
      </c>
      <c r="F405">
        <v>5</v>
      </c>
      <c r="G405">
        <v>8.02</v>
      </c>
      <c r="H405">
        <v>40.1</v>
      </c>
      <c r="I405">
        <v>8.02</v>
      </c>
      <c r="J405">
        <v>32.08</v>
      </c>
      <c r="K405">
        <v>188</v>
      </c>
    </row>
    <row r="406" spans="1:11" x14ac:dyDescent="0.3">
      <c r="A406">
        <v>2419</v>
      </c>
      <c r="B406" t="s">
        <v>14</v>
      </c>
      <c r="C406" s="1">
        <v>45361</v>
      </c>
      <c r="D406" t="s">
        <v>17</v>
      </c>
      <c r="E406" t="s">
        <v>41</v>
      </c>
      <c r="F406">
        <v>1</v>
      </c>
      <c r="G406">
        <v>28.03</v>
      </c>
      <c r="H406">
        <v>28.03</v>
      </c>
      <c r="I406">
        <v>2.39</v>
      </c>
      <c r="J406">
        <v>25.64</v>
      </c>
      <c r="K406">
        <v>12</v>
      </c>
    </row>
    <row r="407" spans="1:11" x14ac:dyDescent="0.3">
      <c r="A407">
        <v>8385</v>
      </c>
      <c r="B407" t="s">
        <v>31</v>
      </c>
      <c r="C407" s="1">
        <v>45334</v>
      </c>
      <c r="D407" t="s">
        <v>22</v>
      </c>
      <c r="E407" t="s">
        <v>39</v>
      </c>
      <c r="F407">
        <v>4</v>
      </c>
      <c r="G407">
        <v>25.61</v>
      </c>
      <c r="H407">
        <v>102.44</v>
      </c>
      <c r="I407">
        <v>1.82</v>
      </c>
      <c r="J407">
        <v>100.62</v>
      </c>
      <c r="K407">
        <v>372</v>
      </c>
    </row>
    <row r="408" spans="1:11" x14ac:dyDescent="0.3">
      <c r="A408">
        <v>8613</v>
      </c>
      <c r="B408" t="s">
        <v>42</v>
      </c>
      <c r="C408" s="1">
        <v>45587</v>
      </c>
      <c r="D408" t="s">
        <v>20</v>
      </c>
      <c r="E408" t="s">
        <v>47</v>
      </c>
      <c r="F408">
        <v>1</v>
      </c>
      <c r="G408">
        <v>29.19</v>
      </c>
      <c r="H408">
        <v>29.19</v>
      </c>
      <c r="I408">
        <v>1.18</v>
      </c>
      <c r="J408">
        <v>28.01</v>
      </c>
      <c r="K408">
        <v>72</v>
      </c>
    </row>
    <row r="409" spans="1:11" x14ac:dyDescent="0.3">
      <c r="A409">
        <v>7209</v>
      </c>
      <c r="B409" t="s">
        <v>42</v>
      </c>
      <c r="C409" s="1">
        <v>45406</v>
      </c>
      <c r="D409" t="s">
        <v>38</v>
      </c>
      <c r="E409" t="s">
        <v>16</v>
      </c>
      <c r="F409">
        <v>3</v>
      </c>
      <c r="G409">
        <v>14.29</v>
      </c>
      <c r="H409">
        <v>42.87</v>
      </c>
      <c r="I409">
        <v>1.38</v>
      </c>
      <c r="J409">
        <v>41.49</v>
      </c>
      <c r="K409">
        <v>382</v>
      </c>
    </row>
    <row r="410" spans="1:11" x14ac:dyDescent="0.3">
      <c r="A410">
        <v>1470</v>
      </c>
      <c r="B410" t="s">
        <v>19</v>
      </c>
      <c r="C410" s="1">
        <v>45528</v>
      </c>
      <c r="D410" t="s">
        <v>27</v>
      </c>
      <c r="E410" t="s">
        <v>32</v>
      </c>
      <c r="F410">
        <v>1</v>
      </c>
      <c r="G410">
        <v>18.149999999999999</v>
      </c>
      <c r="H410">
        <v>18.149999999999999</v>
      </c>
      <c r="I410">
        <v>0</v>
      </c>
      <c r="J410">
        <v>18.149999999999999</v>
      </c>
      <c r="K410">
        <v>31</v>
      </c>
    </row>
    <row r="411" spans="1:11" x14ac:dyDescent="0.3">
      <c r="A411">
        <v>6325</v>
      </c>
      <c r="B411" t="s">
        <v>19</v>
      </c>
      <c r="C411" s="1">
        <v>45286</v>
      </c>
      <c r="D411" t="s">
        <v>17</v>
      </c>
      <c r="E411" t="s">
        <v>37</v>
      </c>
      <c r="F411">
        <v>3</v>
      </c>
      <c r="G411">
        <v>25.67</v>
      </c>
      <c r="H411">
        <v>77.010000000000005</v>
      </c>
      <c r="I411">
        <v>0</v>
      </c>
      <c r="J411">
        <v>77.010000000000005</v>
      </c>
      <c r="K411">
        <v>474</v>
      </c>
    </row>
    <row r="412" spans="1:11" x14ac:dyDescent="0.3">
      <c r="A412">
        <v>8988</v>
      </c>
      <c r="B412" t="s">
        <v>36</v>
      </c>
      <c r="C412" s="1">
        <v>45309</v>
      </c>
      <c r="D412" t="s">
        <v>22</v>
      </c>
      <c r="E412" t="s">
        <v>33</v>
      </c>
      <c r="F412">
        <v>3</v>
      </c>
      <c r="G412">
        <v>7.76</v>
      </c>
      <c r="H412">
        <v>23.28</v>
      </c>
      <c r="I412">
        <v>4.66</v>
      </c>
      <c r="J412">
        <v>18.62</v>
      </c>
      <c r="K412">
        <v>483</v>
      </c>
    </row>
    <row r="413" spans="1:11" x14ac:dyDescent="0.3">
      <c r="A413">
        <v>6813</v>
      </c>
      <c r="B413" t="s">
        <v>11</v>
      </c>
      <c r="C413" s="1">
        <v>45764</v>
      </c>
      <c r="D413" t="s">
        <v>34</v>
      </c>
      <c r="E413" t="s">
        <v>48</v>
      </c>
      <c r="F413">
        <v>2</v>
      </c>
      <c r="G413">
        <v>14.03</v>
      </c>
      <c r="H413">
        <v>28.06</v>
      </c>
      <c r="I413">
        <v>3.14</v>
      </c>
      <c r="J413">
        <v>24.92</v>
      </c>
      <c r="K413">
        <v>160</v>
      </c>
    </row>
    <row r="414" spans="1:11" x14ac:dyDescent="0.3">
      <c r="A414">
        <v>5232</v>
      </c>
      <c r="B414" t="s">
        <v>42</v>
      </c>
      <c r="C414" s="1">
        <v>45409</v>
      </c>
      <c r="D414" t="s">
        <v>45</v>
      </c>
      <c r="E414" t="s">
        <v>37</v>
      </c>
      <c r="F414">
        <v>4</v>
      </c>
      <c r="G414">
        <v>8.68</v>
      </c>
      <c r="H414">
        <v>34.72</v>
      </c>
      <c r="I414">
        <v>6.94</v>
      </c>
      <c r="J414">
        <v>27.78</v>
      </c>
      <c r="K414">
        <v>61</v>
      </c>
    </row>
    <row r="415" spans="1:11" x14ac:dyDescent="0.3">
      <c r="A415">
        <v>5581</v>
      </c>
      <c r="B415" t="s">
        <v>30</v>
      </c>
      <c r="C415" s="1">
        <v>45828</v>
      </c>
      <c r="D415" t="s">
        <v>28</v>
      </c>
      <c r="E415" t="s">
        <v>40</v>
      </c>
      <c r="F415">
        <v>2</v>
      </c>
      <c r="G415">
        <v>25.23</v>
      </c>
      <c r="H415">
        <v>50.46</v>
      </c>
      <c r="I415">
        <v>3.84</v>
      </c>
      <c r="J415">
        <v>46.62</v>
      </c>
      <c r="K415">
        <v>167</v>
      </c>
    </row>
    <row r="416" spans="1:11" x14ac:dyDescent="0.3">
      <c r="A416">
        <v>5526</v>
      </c>
      <c r="B416" t="s">
        <v>36</v>
      </c>
      <c r="C416" s="1">
        <v>45576</v>
      </c>
      <c r="D416" t="s">
        <v>20</v>
      </c>
      <c r="E416" t="s">
        <v>46</v>
      </c>
      <c r="F416">
        <v>1</v>
      </c>
      <c r="G416">
        <v>20.63</v>
      </c>
      <c r="H416">
        <v>20.63</v>
      </c>
      <c r="I416">
        <v>4.8099999999999996</v>
      </c>
      <c r="J416">
        <v>15.82</v>
      </c>
      <c r="K416">
        <v>133</v>
      </c>
    </row>
    <row r="417" spans="1:11" x14ac:dyDescent="0.3">
      <c r="A417">
        <v>1166</v>
      </c>
      <c r="B417" t="s">
        <v>26</v>
      </c>
      <c r="C417" s="1">
        <v>45546</v>
      </c>
      <c r="D417" t="s">
        <v>38</v>
      </c>
      <c r="E417" t="s">
        <v>18</v>
      </c>
      <c r="F417">
        <v>2</v>
      </c>
      <c r="G417">
        <v>3.74</v>
      </c>
      <c r="H417">
        <v>7.48</v>
      </c>
      <c r="I417">
        <v>1.05</v>
      </c>
      <c r="J417">
        <v>6.43</v>
      </c>
      <c r="K417">
        <v>52</v>
      </c>
    </row>
    <row r="418" spans="1:11" x14ac:dyDescent="0.3">
      <c r="A418">
        <v>4130</v>
      </c>
      <c r="B418" t="s">
        <v>42</v>
      </c>
      <c r="C418" s="1">
        <v>45211</v>
      </c>
      <c r="D418" t="s">
        <v>34</v>
      </c>
      <c r="E418" t="s">
        <v>44</v>
      </c>
      <c r="F418">
        <v>4</v>
      </c>
      <c r="G418">
        <v>11.78</v>
      </c>
      <c r="H418">
        <v>47.12</v>
      </c>
      <c r="I418">
        <v>3.34</v>
      </c>
      <c r="J418">
        <v>43.78</v>
      </c>
      <c r="K418">
        <v>322</v>
      </c>
    </row>
    <row r="419" spans="1:11" x14ac:dyDescent="0.3">
      <c r="A419">
        <v>4954</v>
      </c>
      <c r="B419" t="s">
        <v>11</v>
      </c>
      <c r="C419" s="1">
        <v>45704</v>
      </c>
      <c r="D419" t="s">
        <v>12</v>
      </c>
      <c r="E419" t="s">
        <v>43</v>
      </c>
      <c r="F419">
        <v>2</v>
      </c>
      <c r="G419">
        <v>27.16</v>
      </c>
      <c r="H419">
        <v>54.32</v>
      </c>
      <c r="I419">
        <v>4.62</v>
      </c>
      <c r="J419">
        <v>49.7</v>
      </c>
      <c r="K419">
        <v>227</v>
      </c>
    </row>
    <row r="420" spans="1:11" x14ac:dyDescent="0.3">
      <c r="A420">
        <v>7658</v>
      </c>
      <c r="C420" s="1">
        <v>45524</v>
      </c>
      <c r="D420" t="s">
        <v>15</v>
      </c>
      <c r="E420" t="s">
        <v>40</v>
      </c>
      <c r="F420">
        <v>4</v>
      </c>
      <c r="G420">
        <v>2.46</v>
      </c>
      <c r="H420">
        <v>9.84</v>
      </c>
      <c r="I420">
        <v>0</v>
      </c>
      <c r="J420">
        <v>9.84</v>
      </c>
      <c r="K420">
        <v>473</v>
      </c>
    </row>
    <row r="421" spans="1:11" x14ac:dyDescent="0.3">
      <c r="A421">
        <v>4937</v>
      </c>
      <c r="B421" t="s">
        <v>24</v>
      </c>
      <c r="C421" s="1">
        <v>45681</v>
      </c>
      <c r="D421" t="s">
        <v>45</v>
      </c>
      <c r="E421" t="s">
        <v>39</v>
      </c>
      <c r="F421">
        <v>4</v>
      </c>
      <c r="G421">
        <v>20.8</v>
      </c>
      <c r="H421">
        <v>83.2</v>
      </c>
      <c r="I421">
        <v>16.64</v>
      </c>
      <c r="J421">
        <v>66.56</v>
      </c>
      <c r="K421">
        <v>88</v>
      </c>
    </row>
    <row r="422" spans="1:11" x14ac:dyDescent="0.3">
      <c r="A422">
        <v>8800</v>
      </c>
      <c r="B422" t="s">
        <v>19</v>
      </c>
      <c r="C422" s="1">
        <v>45646</v>
      </c>
      <c r="D422" t="s">
        <v>35</v>
      </c>
      <c r="E422" t="s">
        <v>13</v>
      </c>
      <c r="F422">
        <v>4</v>
      </c>
      <c r="G422">
        <v>26.61</v>
      </c>
      <c r="H422">
        <v>106.44</v>
      </c>
      <c r="I422">
        <v>0</v>
      </c>
      <c r="J422">
        <v>106.44</v>
      </c>
      <c r="K422">
        <v>17</v>
      </c>
    </row>
    <row r="423" spans="1:11" x14ac:dyDescent="0.3">
      <c r="A423">
        <v>9041</v>
      </c>
      <c r="B423" t="s">
        <v>30</v>
      </c>
      <c r="C423" s="1">
        <v>45493</v>
      </c>
      <c r="D423" t="s">
        <v>45</v>
      </c>
      <c r="E423" t="s">
        <v>16</v>
      </c>
      <c r="F423">
        <v>5</v>
      </c>
      <c r="G423">
        <v>14.88</v>
      </c>
      <c r="H423">
        <v>74.400000000000006</v>
      </c>
      <c r="I423">
        <v>7.44</v>
      </c>
      <c r="J423">
        <v>66.959999999999994</v>
      </c>
      <c r="K423">
        <v>44</v>
      </c>
    </row>
    <row r="424" spans="1:11" x14ac:dyDescent="0.3">
      <c r="A424">
        <v>1282</v>
      </c>
      <c r="B424" t="s">
        <v>19</v>
      </c>
      <c r="C424" s="1">
        <v>45217</v>
      </c>
      <c r="D424" t="s">
        <v>20</v>
      </c>
      <c r="E424" t="s">
        <v>44</v>
      </c>
      <c r="F424">
        <v>5</v>
      </c>
      <c r="G424">
        <v>8.2200000000000006</v>
      </c>
      <c r="H424">
        <v>41.1</v>
      </c>
      <c r="I424">
        <v>4.1100000000000003</v>
      </c>
      <c r="J424">
        <v>36.99</v>
      </c>
      <c r="K424">
        <v>410</v>
      </c>
    </row>
    <row r="425" spans="1:11" x14ac:dyDescent="0.3">
      <c r="A425">
        <v>5820</v>
      </c>
      <c r="B425" t="s">
        <v>36</v>
      </c>
      <c r="C425" s="1">
        <v>45317</v>
      </c>
      <c r="D425" t="s">
        <v>45</v>
      </c>
      <c r="E425" t="s">
        <v>18</v>
      </c>
      <c r="F425">
        <v>4</v>
      </c>
      <c r="G425">
        <v>10.97</v>
      </c>
      <c r="H425">
        <v>43.88</v>
      </c>
      <c r="I425">
        <v>4.3899999999999997</v>
      </c>
      <c r="J425">
        <v>39.49</v>
      </c>
      <c r="K425">
        <v>289</v>
      </c>
    </row>
    <row r="426" spans="1:11" x14ac:dyDescent="0.3">
      <c r="A426">
        <v>7625</v>
      </c>
      <c r="B426" t="s">
        <v>30</v>
      </c>
      <c r="C426" s="1">
        <v>45682</v>
      </c>
      <c r="D426" t="s">
        <v>34</v>
      </c>
      <c r="E426" t="s">
        <v>39</v>
      </c>
      <c r="F426">
        <v>3</v>
      </c>
      <c r="G426">
        <v>18.309999999999999</v>
      </c>
      <c r="H426">
        <v>54.93</v>
      </c>
      <c r="I426">
        <v>4.2300000000000004</v>
      </c>
      <c r="J426">
        <v>50.7</v>
      </c>
      <c r="K426">
        <v>15</v>
      </c>
    </row>
    <row r="427" spans="1:11" x14ac:dyDescent="0.3">
      <c r="A427">
        <v>4986</v>
      </c>
      <c r="B427" t="s">
        <v>26</v>
      </c>
      <c r="C427" s="1">
        <v>45382</v>
      </c>
      <c r="D427" t="s">
        <v>38</v>
      </c>
      <c r="E427" t="s">
        <v>23</v>
      </c>
      <c r="F427">
        <v>5</v>
      </c>
      <c r="G427">
        <v>29.98</v>
      </c>
      <c r="H427">
        <v>149.9</v>
      </c>
      <c r="I427">
        <v>1.99</v>
      </c>
      <c r="J427">
        <v>147.91</v>
      </c>
      <c r="K427">
        <v>498</v>
      </c>
    </row>
    <row r="428" spans="1:11" x14ac:dyDescent="0.3">
      <c r="A428">
        <v>7046</v>
      </c>
      <c r="B428" t="s">
        <v>42</v>
      </c>
      <c r="C428" s="1">
        <v>45512</v>
      </c>
      <c r="D428" t="s">
        <v>35</v>
      </c>
      <c r="E428" t="s">
        <v>18</v>
      </c>
      <c r="F428">
        <v>1</v>
      </c>
      <c r="G428">
        <v>23.15</v>
      </c>
      <c r="H428">
        <v>23.15</v>
      </c>
      <c r="I428">
        <v>4.3899999999999997</v>
      </c>
      <c r="J428">
        <v>18.760000000000002</v>
      </c>
      <c r="K428">
        <v>485</v>
      </c>
    </row>
    <row r="429" spans="1:11" x14ac:dyDescent="0.3">
      <c r="A429">
        <v>9698</v>
      </c>
      <c r="B429" t="s">
        <v>24</v>
      </c>
      <c r="C429" s="1">
        <v>45412</v>
      </c>
      <c r="D429" t="s">
        <v>22</v>
      </c>
      <c r="E429" t="s">
        <v>29</v>
      </c>
      <c r="F429">
        <v>2</v>
      </c>
      <c r="G429">
        <v>7.85</v>
      </c>
      <c r="H429">
        <v>15.7</v>
      </c>
      <c r="I429">
        <v>1.1100000000000001</v>
      </c>
      <c r="J429">
        <v>14.59</v>
      </c>
      <c r="K429">
        <v>162</v>
      </c>
    </row>
    <row r="430" spans="1:11" x14ac:dyDescent="0.3">
      <c r="A430">
        <v>7971</v>
      </c>
      <c r="B430" t="s">
        <v>36</v>
      </c>
      <c r="C430" s="1">
        <v>45724</v>
      </c>
      <c r="D430" t="s">
        <v>28</v>
      </c>
      <c r="E430" t="s">
        <v>41</v>
      </c>
      <c r="F430">
        <v>5</v>
      </c>
      <c r="G430">
        <v>28.49</v>
      </c>
      <c r="H430">
        <v>142.44999999999999</v>
      </c>
      <c r="I430">
        <v>2.2400000000000002</v>
      </c>
      <c r="J430">
        <v>140.21</v>
      </c>
      <c r="K430">
        <v>428</v>
      </c>
    </row>
    <row r="431" spans="1:11" x14ac:dyDescent="0.3">
      <c r="A431">
        <v>6419</v>
      </c>
      <c r="B431" t="s">
        <v>26</v>
      </c>
      <c r="C431" s="1">
        <v>45418</v>
      </c>
      <c r="D431" t="s">
        <v>12</v>
      </c>
      <c r="E431" t="s">
        <v>43</v>
      </c>
      <c r="F431">
        <v>1</v>
      </c>
      <c r="G431">
        <v>7.74</v>
      </c>
      <c r="H431">
        <v>7.74</v>
      </c>
      <c r="I431">
        <v>2.91</v>
      </c>
      <c r="J431">
        <v>4.83</v>
      </c>
      <c r="K431">
        <v>112</v>
      </c>
    </row>
    <row r="432" spans="1:11" x14ac:dyDescent="0.3">
      <c r="A432">
        <v>8434</v>
      </c>
      <c r="B432" t="s">
        <v>36</v>
      </c>
      <c r="C432" s="1">
        <v>45355</v>
      </c>
      <c r="D432" t="s">
        <v>28</v>
      </c>
      <c r="E432" t="s">
        <v>44</v>
      </c>
      <c r="F432">
        <v>2</v>
      </c>
      <c r="G432">
        <v>10.87</v>
      </c>
      <c r="H432">
        <v>21.74</v>
      </c>
      <c r="I432">
        <v>1.0900000000000001</v>
      </c>
      <c r="J432">
        <v>20.65</v>
      </c>
      <c r="K432">
        <v>90</v>
      </c>
    </row>
    <row r="433" spans="1:11" x14ac:dyDescent="0.3">
      <c r="A433">
        <v>6023</v>
      </c>
      <c r="B433" t="s">
        <v>19</v>
      </c>
      <c r="C433" s="1">
        <v>45340</v>
      </c>
      <c r="D433" t="s">
        <v>15</v>
      </c>
      <c r="E433" t="s">
        <v>46</v>
      </c>
      <c r="F433">
        <v>3</v>
      </c>
      <c r="G433">
        <v>28.85</v>
      </c>
      <c r="H433">
        <v>86.55</v>
      </c>
      <c r="I433">
        <v>1.4</v>
      </c>
      <c r="J433">
        <v>85.15</v>
      </c>
      <c r="K433">
        <v>191</v>
      </c>
    </row>
    <row r="434" spans="1:11" x14ac:dyDescent="0.3">
      <c r="A434">
        <v>4777</v>
      </c>
      <c r="B434" t="s">
        <v>30</v>
      </c>
      <c r="C434" s="1">
        <v>45238</v>
      </c>
      <c r="D434" t="s">
        <v>22</v>
      </c>
      <c r="E434" t="s">
        <v>41</v>
      </c>
      <c r="F434">
        <v>2</v>
      </c>
      <c r="G434">
        <v>22.23</v>
      </c>
      <c r="H434">
        <v>44.46</v>
      </c>
      <c r="I434">
        <v>0</v>
      </c>
      <c r="J434">
        <v>44.46</v>
      </c>
      <c r="K434">
        <v>223</v>
      </c>
    </row>
    <row r="435" spans="1:11" x14ac:dyDescent="0.3">
      <c r="A435">
        <v>4155</v>
      </c>
      <c r="B435" t="s">
        <v>36</v>
      </c>
      <c r="C435" s="1">
        <v>45390</v>
      </c>
      <c r="D435" t="s">
        <v>34</v>
      </c>
      <c r="E435" t="s">
        <v>18</v>
      </c>
      <c r="F435">
        <v>5</v>
      </c>
      <c r="G435">
        <v>23.81</v>
      </c>
      <c r="H435">
        <v>119.05</v>
      </c>
      <c r="I435">
        <v>11.91</v>
      </c>
      <c r="J435">
        <v>107.14</v>
      </c>
      <c r="K435">
        <v>114</v>
      </c>
    </row>
    <row r="436" spans="1:11" x14ac:dyDescent="0.3">
      <c r="A436">
        <v>2958</v>
      </c>
      <c r="B436" t="s">
        <v>30</v>
      </c>
      <c r="C436" s="1">
        <v>45722</v>
      </c>
      <c r="D436" t="s">
        <v>35</v>
      </c>
      <c r="E436" t="s">
        <v>41</v>
      </c>
      <c r="F436">
        <v>2</v>
      </c>
      <c r="G436">
        <v>22.13</v>
      </c>
      <c r="H436">
        <v>44.26</v>
      </c>
      <c r="I436">
        <v>1.1299999999999999</v>
      </c>
      <c r="J436">
        <v>43.13</v>
      </c>
      <c r="K436">
        <v>485</v>
      </c>
    </row>
    <row r="437" spans="1:11" x14ac:dyDescent="0.3">
      <c r="A437">
        <v>9779</v>
      </c>
      <c r="B437" t="s">
        <v>36</v>
      </c>
      <c r="C437" s="1">
        <v>45737</v>
      </c>
      <c r="D437" t="s">
        <v>28</v>
      </c>
      <c r="E437" t="s">
        <v>25</v>
      </c>
      <c r="F437">
        <v>5</v>
      </c>
      <c r="G437">
        <v>4.01</v>
      </c>
      <c r="H437">
        <v>20.05</v>
      </c>
      <c r="I437">
        <v>3.01</v>
      </c>
      <c r="J437">
        <v>17.04</v>
      </c>
      <c r="K437">
        <v>254</v>
      </c>
    </row>
    <row r="438" spans="1:11" x14ac:dyDescent="0.3">
      <c r="A438">
        <v>4033</v>
      </c>
      <c r="B438" t="s">
        <v>11</v>
      </c>
      <c r="C438" s="1">
        <v>45293</v>
      </c>
      <c r="D438" t="s">
        <v>17</v>
      </c>
      <c r="E438" t="s">
        <v>23</v>
      </c>
      <c r="F438">
        <v>3</v>
      </c>
      <c r="G438">
        <v>5.86</v>
      </c>
      <c r="H438">
        <v>17.579999999999998</v>
      </c>
      <c r="I438">
        <v>0</v>
      </c>
      <c r="J438">
        <v>17.579999999999998</v>
      </c>
      <c r="K438">
        <v>453</v>
      </c>
    </row>
    <row r="439" spans="1:11" x14ac:dyDescent="0.3">
      <c r="A439">
        <v>4545</v>
      </c>
      <c r="B439" t="s">
        <v>36</v>
      </c>
      <c r="C439" s="1">
        <v>45718</v>
      </c>
      <c r="D439" t="s">
        <v>45</v>
      </c>
      <c r="E439" t="s">
        <v>39</v>
      </c>
      <c r="F439">
        <v>3</v>
      </c>
      <c r="G439">
        <v>7.07</v>
      </c>
      <c r="H439">
        <v>21.21</v>
      </c>
      <c r="I439">
        <v>3.18</v>
      </c>
      <c r="J439">
        <v>18.03</v>
      </c>
      <c r="K439">
        <v>354</v>
      </c>
    </row>
    <row r="440" spans="1:11" x14ac:dyDescent="0.3">
      <c r="A440">
        <v>8933</v>
      </c>
      <c r="B440" t="s">
        <v>30</v>
      </c>
      <c r="C440" s="1">
        <v>45359</v>
      </c>
      <c r="D440" t="s">
        <v>15</v>
      </c>
      <c r="E440" t="s">
        <v>39</v>
      </c>
      <c r="F440">
        <v>1</v>
      </c>
      <c r="G440">
        <v>12.18</v>
      </c>
      <c r="H440">
        <v>12.18</v>
      </c>
      <c r="I440">
        <v>2.44</v>
      </c>
      <c r="J440">
        <v>9.74</v>
      </c>
      <c r="K440">
        <v>375</v>
      </c>
    </row>
    <row r="441" spans="1:11" x14ac:dyDescent="0.3">
      <c r="A441">
        <v>9595</v>
      </c>
      <c r="B441" t="s">
        <v>24</v>
      </c>
      <c r="C441" s="1">
        <v>45608</v>
      </c>
      <c r="D441" t="s">
        <v>45</v>
      </c>
      <c r="E441" t="s">
        <v>32</v>
      </c>
      <c r="F441">
        <v>3</v>
      </c>
      <c r="G441">
        <v>16.82</v>
      </c>
      <c r="H441">
        <v>50.46</v>
      </c>
      <c r="I441">
        <v>3.6</v>
      </c>
      <c r="J441">
        <v>46.86</v>
      </c>
      <c r="K441">
        <v>51</v>
      </c>
    </row>
    <row r="442" spans="1:11" x14ac:dyDescent="0.3">
      <c r="A442">
        <v>5636</v>
      </c>
      <c r="B442" t="s">
        <v>42</v>
      </c>
      <c r="C442" s="1">
        <v>45223</v>
      </c>
      <c r="D442" t="s">
        <v>34</v>
      </c>
      <c r="E442" t="s">
        <v>33</v>
      </c>
      <c r="F442">
        <v>1</v>
      </c>
      <c r="G442">
        <v>24.17</v>
      </c>
      <c r="H442">
        <v>24.17</v>
      </c>
      <c r="I442">
        <v>2.27</v>
      </c>
      <c r="J442">
        <v>21.9</v>
      </c>
      <c r="K442">
        <v>17</v>
      </c>
    </row>
    <row r="443" spans="1:11" x14ac:dyDescent="0.3">
      <c r="A443">
        <v>4180</v>
      </c>
      <c r="B443" t="s">
        <v>11</v>
      </c>
      <c r="C443" s="1">
        <v>45375</v>
      </c>
      <c r="D443" t="s">
        <v>15</v>
      </c>
      <c r="E443" t="s">
        <v>21</v>
      </c>
      <c r="F443">
        <v>2</v>
      </c>
      <c r="G443">
        <v>26.74</v>
      </c>
      <c r="H443">
        <v>53.48</v>
      </c>
      <c r="I443">
        <v>4.7699999999999996</v>
      </c>
      <c r="J443">
        <v>48.71</v>
      </c>
      <c r="K443">
        <v>82</v>
      </c>
    </row>
    <row r="444" spans="1:11" x14ac:dyDescent="0.3">
      <c r="A444">
        <v>4727</v>
      </c>
      <c r="B444" t="s">
        <v>11</v>
      </c>
      <c r="C444" s="1">
        <v>45425</v>
      </c>
      <c r="D444" t="s">
        <v>22</v>
      </c>
      <c r="E444" t="s">
        <v>47</v>
      </c>
      <c r="F444">
        <v>1</v>
      </c>
      <c r="G444">
        <v>13.5</v>
      </c>
      <c r="H444">
        <v>13.5</v>
      </c>
      <c r="I444">
        <v>4.5599999999999996</v>
      </c>
      <c r="J444">
        <v>8.94</v>
      </c>
      <c r="K444">
        <v>334</v>
      </c>
    </row>
    <row r="445" spans="1:11" x14ac:dyDescent="0.3">
      <c r="A445">
        <v>3939</v>
      </c>
      <c r="B445" t="s">
        <v>19</v>
      </c>
      <c r="C445" s="1">
        <v>45379</v>
      </c>
      <c r="D445" t="s">
        <v>12</v>
      </c>
      <c r="E445" t="s">
        <v>48</v>
      </c>
      <c r="F445">
        <v>3</v>
      </c>
      <c r="G445">
        <v>6.95</v>
      </c>
      <c r="H445">
        <v>20.85</v>
      </c>
      <c r="I445">
        <v>0</v>
      </c>
      <c r="J445">
        <v>20.85</v>
      </c>
      <c r="K445">
        <v>97</v>
      </c>
    </row>
    <row r="446" spans="1:11" x14ac:dyDescent="0.3">
      <c r="A446">
        <v>1231</v>
      </c>
      <c r="B446" t="s">
        <v>14</v>
      </c>
      <c r="C446" s="1">
        <v>45694</v>
      </c>
      <c r="D446" t="s">
        <v>38</v>
      </c>
      <c r="E446" t="s">
        <v>13</v>
      </c>
      <c r="F446">
        <v>3</v>
      </c>
      <c r="G446">
        <v>9.61</v>
      </c>
      <c r="H446">
        <v>28.83</v>
      </c>
      <c r="I446">
        <v>2.88</v>
      </c>
      <c r="J446">
        <v>25.95</v>
      </c>
      <c r="K446">
        <v>49</v>
      </c>
    </row>
    <row r="447" spans="1:11" x14ac:dyDescent="0.3">
      <c r="A447">
        <v>9751</v>
      </c>
      <c r="B447" t="s">
        <v>14</v>
      </c>
      <c r="C447" s="1">
        <v>45243</v>
      </c>
      <c r="D447" t="s">
        <v>45</v>
      </c>
      <c r="E447" t="s">
        <v>41</v>
      </c>
      <c r="F447">
        <v>1</v>
      </c>
      <c r="G447">
        <v>11.45</v>
      </c>
      <c r="H447">
        <v>11.45</v>
      </c>
      <c r="I447">
        <v>1.72</v>
      </c>
      <c r="J447">
        <v>9.73</v>
      </c>
      <c r="K447">
        <v>218</v>
      </c>
    </row>
    <row r="448" spans="1:11" x14ac:dyDescent="0.3">
      <c r="A448">
        <v>5494</v>
      </c>
      <c r="B448" t="s">
        <v>26</v>
      </c>
      <c r="C448" s="1">
        <v>45180</v>
      </c>
      <c r="D448" t="s">
        <v>17</v>
      </c>
      <c r="E448" t="s">
        <v>48</v>
      </c>
      <c r="F448">
        <v>1</v>
      </c>
      <c r="G448">
        <v>6.99</v>
      </c>
      <c r="H448">
        <v>6.99</v>
      </c>
      <c r="I448">
        <v>2.89</v>
      </c>
      <c r="J448">
        <v>4.0999999999999996</v>
      </c>
      <c r="K448">
        <v>326</v>
      </c>
    </row>
    <row r="449" spans="1:11" x14ac:dyDescent="0.3">
      <c r="A449">
        <v>1893</v>
      </c>
      <c r="B449" t="s">
        <v>11</v>
      </c>
      <c r="C449" s="1">
        <v>45574</v>
      </c>
      <c r="D449" t="s">
        <v>35</v>
      </c>
      <c r="E449" t="s">
        <v>32</v>
      </c>
      <c r="F449">
        <v>4</v>
      </c>
      <c r="G449">
        <v>15.17</v>
      </c>
      <c r="H449">
        <v>60.68</v>
      </c>
      <c r="I449">
        <v>3.57</v>
      </c>
      <c r="J449">
        <v>57.11</v>
      </c>
      <c r="K449">
        <v>338</v>
      </c>
    </row>
    <row r="450" spans="1:11" x14ac:dyDescent="0.3">
      <c r="A450">
        <v>5786</v>
      </c>
      <c r="B450" t="s">
        <v>24</v>
      </c>
      <c r="C450" s="1">
        <v>45686</v>
      </c>
      <c r="D450" t="s">
        <v>34</v>
      </c>
      <c r="E450" t="s">
        <v>23</v>
      </c>
      <c r="F450">
        <v>4</v>
      </c>
      <c r="G450">
        <v>11.7</v>
      </c>
      <c r="H450">
        <v>46.8</v>
      </c>
      <c r="I450">
        <v>7.02</v>
      </c>
      <c r="J450">
        <v>39.78</v>
      </c>
      <c r="K450">
        <v>228</v>
      </c>
    </row>
    <row r="451" spans="1:11" x14ac:dyDescent="0.3">
      <c r="A451">
        <v>3068</v>
      </c>
      <c r="B451" t="s">
        <v>26</v>
      </c>
      <c r="C451" s="1">
        <v>45640</v>
      </c>
      <c r="D451" t="s">
        <v>45</v>
      </c>
      <c r="E451" t="s">
        <v>13</v>
      </c>
      <c r="F451">
        <v>2</v>
      </c>
      <c r="G451">
        <v>25.27</v>
      </c>
      <c r="H451">
        <v>50.54</v>
      </c>
      <c r="I451">
        <v>10.11</v>
      </c>
      <c r="J451">
        <v>40.43</v>
      </c>
      <c r="K451">
        <v>288</v>
      </c>
    </row>
    <row r="452" spans="1:11" x14ac:dyDescent="0.3">
      <c r="A452">
        <v>9042</v>
      </c>
      <c r="B452" t="s">
        <v>11</v>
      </c>
      <c r="C452" s="1">
        <v>45224</v>
      </c>
      <c r="D452" t="s">
        <v>15</v>
      </c>
      <c r="E452" t="s">
        <v>23</v>
      </c>
      <c r="F452">
        <v>5</v>
      </c>
      <c r="G452">
        <v>13</v>
      </c>
      <c r="H452">
        <v>65</v>
      </c>
      <c r="I452">
        <v>1.24</v>
      </c>
      <c r="J452">
        <v>63.76</v>
      </c>
      <c r="K452">
        <v>387</v>
      </c>
    </row>
    <row r="453" spans="1:11" x14ac:dyDescent="0.3">
      <c r="A453">
        <v>1200</v>
      </c>
      <c r="B453" t="s">
        <v>24</v>
      </c>
      <c r="C453" s="1">
        <v>45590</v>
      </c>
      <c r="D453" t="s">
        <v>38</v>
      </c>
      <c r="E453" t="s">
        <v>16</v>
      </c>
      <c r="F453">
        <v>5</v>
      </c>
      <c r="G453">
        <v>20.91</v>
      </c>
      <c r="H453">
        <v>104.55</v>
      </c>
      <c r="I453">
        <v>4.53</v>
      </c>
      <c r="J453">
        <v>100.02</v>
      </c>
      <c r="K453">
        <v>479</v>
      </c>
    </row>
    <row r="454" spans="1:11" x14ac:dyDescent="0.3">
      <c r="A454">
        <v>5658</v>
      </c>
      <c r="B454" t="s">
        <v>26</v>
      </c>
      <c r="C454" s="1">
        <v>45509</v>
      </c>
      <c r="D454" t="s">
        <v>35</v>
      </c>
      <c r="E454" t="s">
        <v>43</v>
      </c>
      <c r="F454">
        <v>4</v>
      </c>
      <c r="G454">
        <v>27.17</v>
      </c>
      <c r="H454">
        <v>108.68</v>
      </c>
      <c r="I454">
        <v>3.28</v>
      </c>
      <c r="J454">
        <v>105.4</v>
      </c>
      <c r="K454">
        <v>365</v>
      </c>
    </row>
    <row r="455" spans="1:11" x14ac:dyDescent="0.3">
      <c r="A455">
        <v>8843</v>
      </c>
      <c r="B455" t="s">
        <v>14</v>
      </c>
      <c r="C455" s="1">
        <v>45487</v>
      </c>
      <c r="D455" t="s">
        <v>28</v>
      </c>
      <c r="E455" t="s">
        <v>41</v>
      </c>
      <c r="F455">
        <v>1</v>
      </c>
      <c r="G455">
        <v>28.52</v>
      </c>
      <c r="H455">
        <v>28.52</v>
      </c>
      <c r="I455">
        <v>5.7</v>
      </c>
      <c r="J455">
        <v>22.82</v>
      </c>
      <c r="K455">
        <v>229</v>
      </c>
    </row>
    <row r="456" spans="1:11" x14ac:dyDescent="0.3">
      <c r="A456">
        <v>6582</v>
      </c>
      <c r="B456" t="s">
        <v>42</v>
      </c>
      <c r="C456" s="1">
        <v>45288</v>
      </c>
      <c r="D456" t="s">
        <v>17</v>
      </c>
      <c r="E456" t="s">
        <v>41</v>
      </c>
      <c r="F456">
        <v>1</v>
      </c>
      <c r="G456">
        <v>13.27</v>
      </c>
      <c r="H456">
        <v>13.27</v>
      </c>
      <c r="I456">
        <v>2.65</v>
      </c>
      <c r="J456">
        <v>10.62</v>
      </c>
      <c r="K456">
        <v>349</v>
      </c>
    </row>
    <row r="457" spans="1:11" x14ac:dyDescent="0.3">
      <c r="A457">
        <v>1841</v>
      </c>
      <c r="B457" t="s">
        <v>19</v>
      </c>
      <c r="C457" s="1">
        <v>45341</v>
      </c>
      <c r="D457" t="s">
        <v>28</v>
      </c>
      <c r="E457" t="s">
        <v>13</v>
      </c>
      <c r="F457">
        <v>3</v>
      </c>
      <c r="G457">
        <v>27.4</v>
      </c>
      <c r="H457">
        <v>82.2</v>
      </c>
      <c r="I457">
        <v>2.5499999999999998</v>
      </c>
      <c r="J457">
        <v>79.650000000000006</v>
      </c>
      <c r="K457">
        <v>468</v>
      </c>
    </row>
    <row r="458" spans="1:11" x14ac:dyDescent="0.3">
      <c r="A458">
        <v>8827</v>
      </c>
      <c r="B458" t="s">
        <v>24</v>
      </c>
      <c r="C458" s="1">
        <v>45233</v>
      </c>
      <c r="D458" t="s">
        <v>38</v>
      </c>
      <c r="E458" t="s">
        <v>21</v>
      </c>
      <c r="F458">
        <v>3</v>
      </c>
      <c r="G458">
        <v>16.059999999999999</v>
      </c>
      <c r="H458">
        <v>48.18</v>
      </c>
      <c r="I458">
        <v>0</v>
      </c>
      <c r="J458">
        <v>48.18</v>
      </c>
      <c r="K458">
        <v>469</v>
      </c>
    </row>
    <row r="459" spans="1:11" x14ac:dyDescent="0.3">
      <c r="A459">
        <v>2070</v>
      </c>
      <c r="B459" t="s">
        <v>14</v>
      </c>
      <c r="C459" s="1">
        <v>45456</v>
      </c>
      <c r="D459" t="s">
        <v>20</v>
      </c>
      <c r="E459" t="s">
        <v>48</v>
      </c>
      <c r="F459">
        <v>4</v>
      </c>
      <c r="G459">
        <v>5.33</v>
      </c>
      <c r="H459">
        <v>21.32</v>
      </c>
      <c r="I459">
        <v>3.25</v>
      </c>
      <c r="J459">
        <v>18.07</v>
      </c>
      <c r="K459">
        <v>290</v>
      </c>
    </row>
    <row r="460" spans="1:11" x14ac:dyDescent="0.3">
      <c r="A460">
        <v>9056</v>
      </c>
      <c r="B460" t="s">
        <v>11</v>
      </c>
      <c r="C460" s="1">
        <v>45202</v>
      </c>
      <c r="D460" t="s">
        <v>35</v>
      </c>
      <c r="E460" t="s">
        <v>18</v>
      </c>
      <c r="F460">
        <v>3</v>
      </c>
      <c r="G460">
        <v>26.45</v>
      </c>
      <c r="H460">
        <v>79.349999999999994</v>
      </c>
      <c r="I460">
        <v>0</v>
      </c>
      <c r="J460">
        <v>79.349999999999994</v>
      </c>
      <c r="K460">
        <v>135</v>
      </c>
    </row>
    <row r="461" spans="1:11" x14ac:dyDescent="0.3">
      <c r="A461">
        <v>1878</v>
      </c>
      <c r="B461" t="s">
        <v>26</v>
      </c>
      <c r="C461" s="1">
        <v>45262</v>
      </c>
      <c r="D461" t="s">
        <v>28</v>
      </c>
      <c r="E461" t="s">
        <v>47</v>
      </c>
      <c r="F461">
        <v>1</v>
      </c>
      <c r="G461">
        <v>5.98</v>
      </c>
      <c r="H461">
        <v>5.98</v>
      </c>
      <c r="I461">
        <v>3.43</v>
      </c>
      <c r="J461">
        <v>2.5499999999999998</v>
      </c>
      <c r="K461">
        <v>206</v>
      </c>
    </row>
    <row r="462" spans="1:11" x14ac:dyDescent="0.3">
      <c r="A462">
        <v>3444</v>
      </c>
      <c r="B462" t="s">
        <v>24</v>
      </c>
      <c r="C462" s="1">
        <v>45775</v>
      </c>
      <c r="D462" t="s">
        <v>12</v>
      </c>
      <c r="E462" t="s">
        <v>32</v>
      </c>
      <c r="F462">
        <v>3</v>
      </c>
      <c r="G462">
        <v>21.01</v>
      </c>
      <c r="H462">
        <v>63.03</v>
      </c>
      <c r="I462">
        <v>9.4499999999999993</v>
      </c>
      <c r="J462">
        <v>53.58</v>
      </c>
      <c r="K462">
        <v>25</v>
      </c>
    </row>
    <row r="463" spans="1:11" x14ac:dyDescent="0.3">
      <c r="A463">
        <v>5978</v>
      </c>
      <c r="B463" t="s">
        <v>36</v>
      </c>
      <c r="C463" s="1">
        <v>45211</v>
      </c>
      <c r="D463" t="s">
        <v>12</v>
      </c>
      <c r="E463" t="s">
        <v>21</v>
      </c>
      <c r="F463">
        <v>3</v>
      </c>
      <c r="G463">
        <v>10.01</v>
      </c>
      <c r="H463">
        <v>30.03</v>
      </c>
      <c r="I463">
        <v>0</v>
      </c>
      <c r="J463">
        <v>30.03</v>
      </c>
      <c r="K463">
        <v>431</v>
      </c>
    </row>
    <row r="464" spans="1:11" x14ac:dyDescent="0.3">
      <c r="A464">
        <v>5066</v>
      </c>
      <c r="B464" t="s">
        <v>11</v>
      </c>
      <c r="C464" s="1">
        <v>45237</v>
      </c>
      <c r="D464" t="s">
        <v>17</v>
      </c>
      <c r="E464" t="s">
        <v>41</v>
      </c>
      <c r="F464">
        <v>3</v>
      </c>
      <c r="G464">
        <v>29.24</v>
      </c>
      <c r="H464">
        <v>87.72</v>
      </c>
      <c r="I464">
        <v>13.16</v>
      </c>
      <c r="J464">
        <v>74.56</v>
      </c>
      <c r="K464">
        <v>226</v>
      </c>
    </row>
    <row r="465" spans="1:11" x14ac:dyDescent="0.3">
      <c r="A465">
        <v>7818</v>
      </c>
      <c r="B465" t="s">
        <v>24</v>
      </c>
      <c r="C465" s="1">
        <v>45615</v>
      </c>
      <c r="D465" t="s">
        <v>28</v>
      </c>
      <c r="E465" t="s">
        <v>43</v>
      </c>
      <c r="F465">
        <v>2</v>
      </c>
      <c r="G465">
        <v>13.8</v>
      </c>
      <c r="H465">
        <v>27.6</v>
      </c>
      <c r="I465">
        <v>0</v>
      </c>
      <c r="J465">
        <v>27.6</v>
      </c>
      <c r="K465">
        <v>467</v>
      </c>
    </row>
    <row r="466" spans="1:11" x14ac:dyDescent="0.3">
      <c r="A466">
        <v>4697</v>
      </c>
      <c r="B466" t="s">
        <v>26</v>
      </c>
      <c r="C466" s="1">
        <v>45747</v>
      </c>
      <c r="D466" t="s">
        <v>38</v>
      </c>
      <c r="E466" t="s">
        <v>23</v>
      </c>
      <c r="F466">
        <v>1</v>
      </c>
      <c r="G466">
        <v>15.93</v>
      </c>
      <c r="H466">
        <v>15.93</v>
      </c>
      <c r="I466">
        <v>2.39</v>
      </c>
      <c r="J466">
        <v>13.54</v>
      </c>
      <c r="K466">
        <v>81</v>
      </c>
    </row>
    <row r="467" spans="1:11" x14ac:dyDescent="0.3">
      <c r="A467">
        <v>9561</v>
      </c>
      <c r="B467" t="s">
        <v>14</v>
      </c>
      <c r="C467" s="1">
        <v>45440</v>
      </c>
      <c r="D467" t="s">
        <v>20</v>
      </c>
      <c r="E467" t="s">
        <v>41</v>
      </c>
      <c r="F467">
        <v>5</v>
      </c>
      <c r="G467">
        <v>26.49</v>
      </c>
      <c r="H467">
        <v>132.44999999999999</v>
      </c>
      <c r="I467">
        <v>26.49</v>
      </c>
      <c r="J467">
        <v>105.96</v>
      </c>
      <c r="K467">
        <v>14</v>
      </c>
    </row>
    <row r="468" spans="1:11" x14ac:dyDescent="0.3">
      <c r="A468">
        <v>8381</v>
      </c>
      <c r="B468" t="s">
        <v>42</v>
      </c>
      <c r="C468" s="1">
        <v>45850</v>
      </c>
      <c r="D468" t="s">
        <v>12</v>
      </c>
      <c r="E468" t="s">
        <v>25</v>
      </c>
      <c r="F468">
        <v>1</v>
      </c>
      <c r="G468">
        <v>14.23</v>
      </c>
      <c r="H468">
        <v>14.23</v>
      </c>
      <c r="I468">
        <v>0</v>
      </c>
      <c r="J468">
        <v>14.23</v>
      </c>
      <c r="K468">
        <v>470</v>
      </c>
    </row>
    <row r="469" spans="1:11" x14ac:dyDescent="0.3">
      <c r="A469">
        <v>8253</v>
      </c>
      <c r="B469" t="s">
        <v>42</v>
      </c>
      <c r="C469" s="1">
        <v>45375</v>
      </c>
      <c r="D469" t="s">
        <v>35</v>
      </c>
      <c r="E469" t="s">
        <v>23</v>
      </c>
      <c r="F469">
        <v>4</v>
      </c>
      <c r="G469">
        <v>15.64</v>
      </c>
      <c r="H469">
        <v>62.56</v>
      </c>
      <c r="I469">
        <v>0</v>
      </c>
      <c r="J469">
        <v>62.56</v>
      </c>
      <c r="K469">
        <v>325</v>
      </c>
    </row>
    <row r="470" spans="1:11" x14ac:dyDescent="0.3">
      <c r="A470">
        <v>8025</v>
      </c>
      <c r="B470" t="s">
        <v>31</v>
      </c>
      <c r="C470" s="1">
        <v>45382</v>
      </c>
      <c r="D470" t="s">
        <v>17</v>
      </c>
      <c r="E470" t="s">
        <v>23</v>
      </c>
      <c r="F470">
        <v>4</v>
      </c>
      <c r="G470">
        <v>18.22</v>
      </c>
      <c r="H470">
        <v>72.88</v>
      </c>
      <c r="I470">
        <v>3.21</v>
      </c>
      <c r="J470">
        <v>69.67</v>
      </c>
      <c r="K470">
        <v>90</v>
      </c>
    </row>
    <row r="471" spans="1:11" x14ac:dyDescent="0.3">
      <c r="A471">
        <v>1986</v>
      </c>
      <c r="B471" t="s">
        <v>36</v>
      </c>
      <c r="C471" s="1">
        <v>45618</v>
      </c>
      <c r="D471" t="s">
        <v>34</v>
      </c>
      <c r="E471" t="s">
        <v>13</v>
      </c>
      <c r="F471">
        <v>1</v>
      </c>
      <c r="G471">
        <v>9.26</v>
      </c>
      <c r="H471">
        <v>9.26</v>
      </c>
      <c r="I471">
        <v>1.85</v>
      </c>
      <c r="J471">
        <v>7.41</v>
      </c>
      <c r="K471">
        <v>197</v>
      </c>
    </row>
    <row r="472" spans="1:11" x14ac:dyDescent="0.3">
      <c r="A472">
        <v>2625</v>
      </c>
      <c r="B472" t="s">
        <v>42</v>
      </c>
      <c r="C472" s="1">
        <v>45737</v>
      </c>
      <c r="D472" t="s">
        <v>17</v>
      </c>
      <c r="E472" t="s">
        <v>25</v>
      </c>
      <c r="F472">
        <v>2</v>
      </c>
      <c r="G472">
        <v>8.7899999999999991</v>
      </c>
      <c r="H472">
        <v>17.579999999999998</v>
      </c>
      <c r="I472">
        <v>0</v>
      </c>
      <c r="J472">
        <v>17.579999999999998</v>
      </c>
      <c r="K472">
        <v>209</v>
      </c>
    </row>
    <row r="473" spans="1:11" x14ac:dyDescent="0.3">
      <c r="A473">
        <v>4404</v>
      </c>
      <c r="B473" t="s">
        <v>31</v>
      </c>
      <c r="C473" s="1">
        <v>45630</v>
      </c>
      <c r="D473" t="s">
        <v>45</v>
      </c>
      <c r="E473" t="s">
        <v>41</v>
      </c>
      <c r="F473">
        <v>2</v>
      </c>
      <c r="G473">
        <v>18.420000000000002</v>
      </c>
      <c r="H473">
        <v>36.840000000000003</v>
      </c>
      <c r="I473">
        <v>5.53</v>
      </c>
      <c r="J473">
        <v>31.31</v>
      </c>
      <c r="K473">
        <v>4</v>
      </c>
    </row>
    <row r="474" spans="1:11" x14ac:dyDescent="0.3">
      <c r="A474">
        <v>4457</v>
      </c>
      <c r="B474" t="s">
        <v>30</v>
      </c>
      <c r="C474" s="1">
        <v>45350</v>
      </c>
      <c r="D474" t="s">
        <v>27</v>
      </c>
      <c r="E474" t="s">
        <v>13</v>
      </c>
      <c r="F474">
        <v>4</v>
      </c>
      <c r="G474">
        <v>26.96</v>
      </c>
      <c r="H474">
        <v>107.84</v>
      </c>
      <c r="I474">
        <v>10.78</v>
      </c>
      <c r="J474">
        <v>97.06</v>
      </c>
      <c r="K474">
        <v>436</v>
      </c>
    </row>
    <row r="475" spans="1:11" x14ac:dyDescent="0.3">
      <c r="A475">
        <v>2330</v>
      </c>
      <c r="B475" t="s">
        <v>30</v>
      </c>
      <c r="C475" s="1">
        <v>45266</v>
      </c>
      <c r="D475" t="s">
        <v>17</v>
      </c>
      <c r="E475" t="s">
        <v>33</v>
      </c>
      <c r="F475">
        <v>3</v>
      </c>
      <c r="G475">
        <v>20.63</v>
      </c>
      <c r="H475">
        <v>61.89</v>
      </c>
      <c r="I475">
        <v>1.41</v>
      </c>
      <c r="J475">
        <v>60.48</v>
      </c>
      <c r="K475">
        <v>422</v>
      </c>
    </row>
    <row r="476" spans="1:11" x14ac:dyDescent="0.3">
      <c r="A476">
        <v>4929</v>
      </c>
      <c r="B476" t="s">
        <v>14</v>
      </c>
      <c r="C476" s="1">
        <v>45280</v>
      </c>
      <c r="D476" t="s">
        <v>27</v>
      </c>
      <c r="E476" t="s">
        <v>23</v>
      </c>
      <c r="F476">
        <v>5</v>
      </c>
      <c r="G476">
        <v>19.760000000000002</v>
      </c>
      <c r="H476">
        <v>98.8</v>
      </c>
      <c r="I476">
        <v>14.82</v>
      </c>
      <c r="J476">
        <v>83.98</v>
      </c>
      <c r="K476">
        <v>311</v>
      </c>
    </row>
    <row r="477" spans="1:11" x14ac:dyDescent="0.3">
      <c r="A477">
        <v>2229</v>
      </c>
      <c r="B477" t="s">
        <v>11</v>
      </c>
      <c r="C477" s="1">
        <v>45266</v>
      </c>
      <c r="D477" t="s">
        <v>45</v>
      </c>
      <c r="E477" t="s">
        <v>43</v>
      </c>
      <c r="F477">
        <v>3</v>
      </c>
      <c r="G477">
        <v>29.65</v>
      </c>
      <c r="H477">
        <v>88.95</v>
      </c>
      <c r="I477">
        <v>13.34</v>
      </c>
      <c r="J477">
        <v>75.61</v>
      </c>
      <c r="K477">
        <v>327</v>
      </c>
    </row>
    <row r="478" spans="1:11" x14ac:dyDescent="0.3">
      <c r="A478">
        <v>1043</v>
      </c>
      <c r="B478" t="s">
        <v>30</v>
      </c>
      <c r="C478" s="1">
        <v>45462</v>
      </c>
      <c r="D478" t="s">
        <v>27</v>
      </c>
      <c r="E478" t="s">
        <v>37</v>
      </c>
      <c r="F478">
        <v>2</v>
      </c>
      <c r="G478">
        <v>5.34</v>
      </c>
      <c r="H478">
        <v>10.68</v>
      </c>
      <c r="I478">
        <v>4.22</v>
      </c>
      <c r="J478">
        <v>6.46</v>
      </c>
      <c r="K478">
        <v>391</v>
      </c>
    </row>
    <row r="479" spans="1:11" x14ac:dyDescent="0.3">
      <c r="A479">
        <v>8381</v>
      </c>
      <c r="B479" t="s">
        <v>24</v>
      </c>
      <c r="C479" s="1">
        <v>45680</v>
      </c>
      <c r="D479" t="s">
        <v>27</v>
      </c>
      <c r="E479" t="s">
        <v>21</v>
      </c>
      <c r="F479">
        <v>2</v>
      </c>
      <c r="G479">
        <v>21.91</v>
      </c>
      <c r="H479">
        <v>43.82</v>
      </c>
      <c r="I479">
        <v>6.57</v>
      </c>
      <c r="J479">
        <v>37.25</v>
      </c>
      <c r="K479">
        <v>335</v>
      </c>
    </row>
    <row r="480" spans="1:11" x14ac:dyDescent="0.3">
      <c r="A480">
        <v>8699</v>
      </c>
      <c r="B480" t="s">
        <v>30</v>
      </c>
      <c r="C480" s="1">
        <v>45371</v>
      </c>
      <c r="D480" t="s">
        <v>20</v>
      </c>
      <c r="E480" t="s">
        <v>32</v>
      </c>
      <c r="F480">
        <v>4</v>
      </c>
      <c r="G480">
        <v>22.36</v>
      </c>
      <c r="H480">
        <v>89.44</v>
      </c>
      <c r="I480">
        <v>13.42</v>
      </c>
      <c r="J480">
        <v>76.02</v>
      </c>
      <c r="K480">
        <v>298</v>
      </c>
    </row>
    <row r="481" spans="1:11" x14ac:dyDescent="0.3">
      <c r="A481">
        <v>1534</v>
      </c>
      <c r="B481" t="s">
        <v>42</v>
      </c>
      <c r="C481" s="1">
        <v>45324</v>
      </c>
      <c r="D481" t="s">
        <v>27</v>
      </c>
      <c r="E481" t="s">
        <v>18</v>
      </c>
      <c r="F481">
        <v>4</v>
      </c>
      <c r="G481">
        <v>27.28</v>
      </c>
      <c r="H481">
        <v>109.12</v>
      </c>
      <c r="I481">
        <v>2.2000000000000002</v>
      </c>
      <c r="J481">
        <v>106.92</v>
      </c>
      <c r="K481">
        <v>343</v>
      </c>
    </row>
    <row r="482" spans="1:11" x14ac:dyDescent="0.3">
      <c r="A482">
        <v>5720</v>
      </c>
      <c r="B482" t="s">
        <v>19</v>
      </c>
      <c r="C482" s="1">
        <v>45694</v>
      </c>
      <c r="D482" t="s">
        <v>27</v>
      </c>
      <c r="E482" t="s">
        <v>18</v>
      </c>
      <c r="F482">
        <v>2</v>
      </c>
      <c r="G482">
        <v>9.51</v>
      </c>
      <c r="H482">
        <v>19.02</v>
      </c>
      <c r="I482">
        <v>0</v>
      </c>
      <c r="J482">
        <v>19.02</v>
      </c>
      <c r="K482">
        <v>241</v>
      </c>
    </row>
    <row r="483" spans="1:11" x14ac:dyDescent="0.3">
      <c r="A483">
        <v>5632</v>
      </c>
      <c r="B483" t="s">
        <v>30</v>
      </c>
      <c r="C483" s="1">
        <v>45691</v>
      </c>
      <c r="D483" t="s">
        <v>38</v>
      </c>
      <c r="E483" t="s">
        <v>29</v>
      </c>
      <c r="F483">
        <v>3</v>
      </c>
      <c r="G483">
        <v>19.97</v>
      </c>
      <c r="H483">
        <v>59.91</v>
      </c>
      <c r="I483">
        <v>11.98</v>
      </c>
      <c r="J483">
        <v>47.93</v>
      </c>
      <c r="K483">
        <v>113</v>
      </c>
    </row>
    <row r="484" spans="1:11" x14ac:dyDescent="0.3">
      <c r="A484">
        <v>8438</v>
      </c>
      <c r="B484" t="s">
        <v>30</v>
      </c>
      <c r="C484" s="1">
        <v>45200</v>
      </c>
      <c r="D484" t="s">
        <v>20</v>
      </c>
      <c r="E484" t="s">
        <v>21</v>
      </c>
      <c r="F484">
        <v>3</v>
      </c>
      <c r="G484">
        <v>8.5500000000000007</v>
      </c>
      <c r="H484">
        <v>25.65</v>
      </c>
      <c r="I484">
        <v>2.88</v>
      </c>
      <c r="J484">
        <v>22.77</v>
      </c>
      <c r="K484">
        <v>150</v>
      </c>
    </row>
    <row r="485" spans="1:11" x14ac:dyDescent="0.3">
      <c r="A485">
        <v>4824</v>
      </c>
      <c r="B485" t="s">
        <v>11</v>
      </c>
      <c r="C485" s="1">
        <v>45862</v>
      </c>
      <c r="D485" t="s">
        <v>45</v>
      </c>
      <c r="E485" t="s">
        <v>44</v>
      </c>
      <c r="F485">
        <v>5</v>
      </c>
      <c r="G485">
        <v>4.46</v>
      </c>
      <c r="H485">
        <v>22.3</v>
      </c>
      <c r="I485">
        <v>2.19</v>
      </c>
      <c r="J485">
        <v>20.11</v>
      </c>
      <c r="K485">
        <v>348</v>
      </c>
    </row>
    <row r="486" spans="1:11" x14ac:dyDescent="0.3">
      <c r="A486">
        <v>5334</v>
      </c>
      <c r="B486" t="s">
        <v>31</v>
      </c>
      <c r="C486" s="1">
        <v>45756</v>
      </c>
      <c r="D486" t="s">
        <v>34</v>
      </c>
      <c r="E486" t="s">
        <v>41</v>
      </c>
      <c r="F486">
        <v>2</v>
      </c>
      <c r="G486">
        <v>10.93</v>
      </c>
      <c r="H486">
        <v>21.86</v>
      </c>
      <c r="I486">
        <v>4.37</v>
      </c>
      <c r="J486">
        <v>17.489999999999998</v>
      </c>
      <c r="K486">
        <v>291</v>
      </c>
    </row>
    <row r="487" spans="1:11" x14ac:dyDescent="0.3">
      <c r="A487">
        <v>4241</v>
      </c>
      <c r="B487" t="s">
        <v>36</v>
      </c>
      <c r="C487" s="1">
        <v>45475</v>
      </c>
      <c r="D487" t="s">
        <v>34</v>
      </c>
      <c r="E487" t="s">
        <v>43</v>
      </c>
      <c r="F487">
        <v>4</v>
      </c>
      <c r="G487">
        <v>10.64</v>
      </c>
      <c r="H487">
        <v>42.56</v>
      </c>
      <c r="I487">
        <v>0</v>
      </c>
      <c r="J487">
        <v>42.56</v>
      </c>
      <c r="K487">
        <v>90</v>
      </c>
    </row>
    <row r="488" spans="1:11" x14ac:dyDescent="0.3">
      <c r="A488">
        <v>2880</v>
      </c>
      <c r="B488" t="s">
        <v>31</v>
      </c>
      <c r="C488" s="1">
        <v>45567</v>
      </c>
      <c r="D488" t="s">
        <v>12</v>
      </c>
      <c r="E488" t="s">
        <v>33</v>
      </c>
      <c r="F488">
        <v>3</v>
      </c>
      <c r="G488">
        <v>7.06</v>
      </c>
      <c r="H488">
        <v>21.18</v>
      </c>
      <c r="I488">
        <v>4.0599999999999996</v>
      </c>
      <c r="J488">
        <v>17.12</v>
      </c>
      <c r="K488">
        <v>396</v>
      </c>
    </row>
    <row r="489" spans="1:11" x14ac:dyDescent="0.3">
      <c r="A489">
        <v>4683</v>
      </c>
      <c r="B489" t="s">
        <v>26</v>
      </c>
      <c r="C489" s="1">
        <v>45648</v>
      </c>
      <c r="D489" t="s">
        <v>15</v>
      </c>
      <c r="E489" t="s">
        <v>41</v>
      </c>
      <c r="F489">
        <v>5</v>
      </c>
      <c r="G489">
        <v>13.57</v>
      </c>
      <c r="H489">
        <v>67.849999999999994</v>
      </c>
      <c r="I489">
        <v>6.79</v>
      </c>
      <c r="J489">
        <v>61.06</v>
      </c>
      <c r="K489">
        <v>219</v>
      </c>
    </row>
    <row r="490" spans="1:11" x14ac:dyDescent="0.3">
      <c r="A490">
        <v>3441</v>
      </c>
      <c r="B490" t="s">
        <v>26</v>
      </c>
      <c r="C490" s="1">
        <v>45850</v>
      </c>
      <c r="D490" t="s">
        <v>20</v>
      </c>
      <c r="E490" t="s">
        <v>39</v>
      </c>
      <c r="F490">
        <v>1</v>
      </c>
      <c r="G490">
        <v>16.47</v>
      </c>
      <c r="H490">
        <v>16.47</v>
      </c>
      <c r="I490">
        <v>4.57</v>
      </c>
      <c r="J490">
        <v>11.9</v>
      </c>
      <c r="K490">
        <v>374</v>
      </c>
    </row>
    <row r="491" spans="1:11" x14ac:dyDescent="0.3">
      <c r="A491">
        <v>5352</v>
      </c>
      <c r="B491" t="s">
        <v>14</v>
      </c>
      <c r="C491" s="1">
        <v>45787</v>
      </c>
      <c r="D491" t="s">
        <v>17</v>
      </c>
      <c r="E491" t="s">
        <v>39</v>
      </c>
      <c r="F491">
        <v>1</v>
      </c>
      <c r="G491">
        <v>19.16</v>
      </c>
      <c r="H491">
        <v>19.16</v>
      </c>
      <c r="I491">
        <v>0</v>
      </c>
      <c r="J491">
        <v>19.16</v>
      </c>
      <c r="K491">
        <v>127</v>
      </c>
    </row>
    <row r="492" spans="1:11" x14ac:dyDescent="0.3">
      <c r="A492">
        <v>3330</v>
      </c>
      <c r="B492" t="s">
        <v>36</v>
      </c>
      <c r="C492" s="1">
        <v>45200</v>
      </c>
      <c r="D492" t="s">
        <v>35</v>
      </c>
      <c r="E492" t="s">
        <v>41</v>
      </c>
      <c r="F492">
        <v>1</v>
      </c>
      <c r="G492">
        <v>12.11</v>
      </c>
      <c r="H492">
        <v>12.11</v>
      </c>
      <c r="I492">
        <v>2.42</v>
      </c>
      <c r="J492">
        <v>9.69</v>
      </c>
      <c r="K492">
        <v>301</v>
      </c>
    </row>
    <row r="493" spans="1:11" x14ac:dyDescent="0.3">
      <c r="A493">
        <v>1977</v>
      </c>
      <c r="B493" t="s">
        <v>11</v>
      </c>
      <c r="C493" s="1">
        <v>45273</v>
      </c>
      <c r="D493" t="s">
        <v>12</v>
      </c>
      <c r="E493" t="s">
        <v>37</v>
      </c>
      <c r="F493">
        <v>3</v>
      </c>
      <c r="G493">
        <v>14.21</v>
      </c>
      <c r="H493">
        <v>42.63</v>
      </c>
      <c r="I493">
        <v>4.26</v>
      </c>
      <c r="J493">
        <v>38.369999999999997</v>
      </c>
      <c r="K493">
        <v>266</v>
      </c>
    </row>
    <row r="494" spans="1:11" x14ac:dyDescent="0.3">
      <c r="A494">
        <v>6039</v>
      </c>
      <c r="B494" t="s">
        <v>19</v>
      </c>
      <c r="C494" s="1">
        <v>45607</v>
      </c>
      <c r="D494" t="s">
        <v>22</v>
      </c>
      <c r="E494" t="s">
        <v>47</v>
      </c>
      <c r="F494">
        <v>3</v>
      </c>
      <c r="G494">
        <v>22.74</v>
      </c>
      <c r="H494">
        <v>68.22</v>
      </c>
      <c r="I494">
        <v>1.91</v>
      </c>
      <c r="J494">
        <v>66.31</v>
      </c>
      <c r="K494">
        <v>84</v>
      </c>
    </row>
    <row r="495" spans="1:11" x14ac:dyDescent="0.3">
      <c r="A495">
        <v>5728</v>
      </c>
      <c r="B495" t="s">
        <v>19</v>
      </c>
      <c r="C495" s="1">
        <v>45486</v>
      </c>
      <c r="D495" t="s">
        <v>17</v>
      </c>
      <c r="E495" t="s">
        <v>39</v>
      </c>
      <c r="F495">
        <v>5</v>
      </c>
      <c r="G495">
        <v>15.62</v>
      </c>
      <c r="H495">
        <v>78.099999999999994</v>
      </c>
      <c r="I495">
        <v>0</v>
      </c>
      <c r="J495">
        <v>78.099999999999994</v>
      </c>
      <c r="K495">
        <v>63</v>
      </c>
    </row>
    <row r="496" spans="1:11" x14ac:dyDescent="0.3">
      <c r="A496">
        <v>3037</v>
      </c>
      <c r="B496" t="s">
        <v>31</v>
      </c>
      <c r="C496" s="1">
        <v>45509</v>
      </c>
      <c r="D496" t="s">
        <v>20</v>
      </c>
      <c r="E496" t="s">
        <v>13</v>
      </c>
      <c r="F496">
        <v>5</v>
      </c>
      <c r="G496">
        <v>19.059999999999999</v>
      </c>
      <c r="H496">
        <v>95.3</v>
      </c>
      <c r="I496">
        <v>0</v>
      </c>
      <c r="J496">
        <v>95.3</v>
      </c>
      <c r="K496">
        <v>304</v>
      </c>
    </row>
    <row r="497" spans="1:11" x14ac:dyDescent="0.3">
      <c r="A497">
        <v>5982</v>
      </c>
      <c r="B497" t="s">
        <v>11</v>
      </c>
      <c r="C497" s="1">
        <v>45688</v>
      </c>
      <c r="D497" t="s">
        <v>27</v>
      </c>
      <c r="E497" t="s">
        <v>39</v>
      </c>
      <c r="F497">
        <v>1</v>
      </c>
      <c r="G497">
        <v>20.99</v>
      </c>
      <c r="H497">
        <v>20.99</v>
      </c>
      <c r="I497">
        <v>2.1</v>
      </c>
      <c r="J497">
        <v>18.89</v>
      </c>
      <c r="K497">
        <v>213</v>
      </c>
    </row>
    <row r="498" spans="1:11" x14ac:dyDescent="0.3">
      <c r="A498">
        <v>7594</v>
      </c>
      <c r="B498" t="s">
        <v>11</v>
      </c>
      <c r="C498" s="1">
        <v>45356</v>
      </c>
      <c r="D498" t="s">
        <v>38</v>
      </c>
      <c r="E498" t="s">
        <v>13</v>
      </c>
      <c r="F498">
        <v>4</v>
      </c>
      <c r="G498">
        <v>21.34</v>
      </c>
      <c r="H498">
        <v>85.36</v>
      </c>
      <c r="I498">
        <v>12.8</v>
      </c>
      <c r="J498">
        <v>72.56</v>
      </c>
      <c r="K498">
        <v>105</v>
      </c>
    </row>
    <row r="499" spans="1:11" x14ac:dyDescent="0.3">
      <c r="A499">
        <v>9199</v>
      </c>
      <c r="B499" t="s">
        <v>24</v>
      </c>
      <c r="C499" s="1">
        <v>45564</v>
      </c>
      <c r="D499" t="s">
        <v>27</v>
      </c>
      <c r="E499" t="s">
        <v>48</v>
      </c>
      <c r="F499">
        <v>5</v>
      </c>
      <c r="G499">
        <v>8.82</v>
      </c>
      <c r="H499">
        <v>44.1</v>
      </c>
      <c r="I499">
        <v>4.41</v>
      </c>
      <c r="J499">
        <v>39.69</v>
      </c>
      <c r="K499">
        <v>310</v>
      </c>
    </row>
    <row r="500" spans="1:11" x14ac:dyDescent="0.3">
      <c r="A500">
        <v>9090</v>
      </c>
      <c r="B500" t="s">
        <v>11</v>
      </c>
      <c r="C500" s="1">
        <v>45485</v>
      </c>
      <c r="D500" t="s">
        <v>38</v>
      </c>
      <c r="E500" t="s">
        <v>48</v>
      </c>
      <c r="F500">
        <v>3</v>
      </c>
      <c r="G500">
        <v>4.3</v>
      </c>
      <c r="H500">
        <v>12.9</v>
      </c>
      <c r="I500">
        <v>2.58</v>
      </c>
      <c r="J500">
        <v>10.32</v>
      </c>
      <c r="K500">
        <v>54</v>
      </c>
    </row>
    <row r="501" spans="1:11" x14ac:dyDescent="0.3">
      <c r="A501">
        <v>2317</v>
      </c>
      <c r="B501" t="s">
        <v>42</v>
      </c>
      <c r="C501" s="1">
        <v>45609</v>
      </c>
      <c r="D501" t="s">
        <v>35</v>
      </c>
      <c r="E501" t="s">
        <v>46</v>
      </c>
      <c r="F501">
        <v>2</v>
      </c>
      <c r="G501">
        <v>11.37</v>
      </c>
      <c r="H501">
        <v>22.74</v>
      </c>
      <c r="I501">
        <v>4.55</v>
      </c>
      <c r="J501">
        <v>18.190000000000001</v>
      </c>
      <c r="K501">
        <v>209</v>
      </c>
    </row>
    <row r="502" spans="1:11" x14ac:dyDescent="0.3">
      <c r="A502">
        <v>1653</v>
      </c>
      <c r="B502" t="s">
        <v>31</v>
      </c>
      <c r="C502" s="1">
        <v>45835</v>
      </c>
      <c r="D502" t="s">
        <v>38</v>
      </c>
      <c r="E502" t="s">
        <v>47</v>
      </c>
      <c r="F502">
        <v>2</v>
      </c>
      <c r="G502">
        <v>20.95</v>
      </c>
      <c r="H502">
        <v>41.9</v>
      </c>
      <c r="I502">
        <v>8.3800000000000008</v>
      </c>
      <c r="J502">
        <v>33.520000000000003</v>
      </c>
      <c r="K502">
        <v>246</v>
      </c>
    </row>
    <row r="503" spans="1:11" x14ac:dyDescent="0.3">
      <c r="A503">
        <v>8078</v>
      </c>
      <c r="B503" t="s">
        <v>31</v>
      </c>
      <c r="C503" s="1">
        <v>45715</v>
      </c>
      <c r="D503" t="s">
        <v>12</v>
      </c>
      <c r="E503" t="s">
        <v>43</v>
      </c>
      <c r="F503">
        <v>1</v>
      </c>
      <c r="G503">
        <v>25.21</v>
      </c>
      <c r="H503">
        <v>25.21</v>
      </c>
      <c r="I503">
        <v>5.04</v>
      </c>
      <c r="J503">
        <v>20.170000000000002</v>
      </c>
      <c r="K503">
        <v>342</v>
      </c>
    </row>
    <row r="504" spans="1:11" x14ac:dyDescent="0.3">
      <c r="A504">
        <v>6280</v>
      </c>
      <c r="B504" t="s">
        <v>11</v>
      </c>
      <c r="C504" s="1">
        <v>45613</v>
      </c>
      <c r="D504" t="s">
        <v>38</v>
      </c>
      <c r="E504" t="s">
        <v>43</v>
      </c>
      <c r="F504">
        <v>1</v>
      </c>
      <c r="G504">
        <v>27.23</v>
      </c>
      <c r="H504">
        <v>27.23</v>
      </c>
      <c r="I504">
        <v>2.72</v>
      </c>
      <c r="J504">
        <v>24.51</v>
      </c>
      <c r="K504">
        <v>329</v>
      </c>
    </row>
    <row r="505" spans="1:11" x14ac:dyDescent="0.3">
      <c r="A505">
        <v>5102</v>
      </c>
      <c r="B505" t="s">
        <v>30</v>
      </c>
      <c r="C505" s="1">
        <v>45165</v>
      </c>
      <c r="D505" t="s">
        <v>35</v>
      </c>
      <c r="E505" t="s">
        <v>33</v>
      </c>
      <c r="F505">
        <v>1</v>
      </c>
      <c r="G505">
        <v>3.88</v>
      </c>
      <c r="H505">
        <v>3.88</v>
      </c>
      <c r="I505">
        <v>0.57999999999999996</v>
      </c>
      <c r="J505">
        <v>3.3</v>
      </c>
      <c r="K505">
        <v>89</v>
      </c>
    </row>
    <row r="506" spans="1:11" x14ac:dyDescent="0.3">
      <c r="A506">
        <v>2496</v>
      </c>
      <c r="B506" t="s">
        <v>36</v>
      </c>
      <c r="C506" s="1">
        <v>45322</v>
      </c>
      <c r="D506" t="s">
        <v>27</v>
      </c>
      <c r="E506" t="s">
        <v>21</v>
      </c>
      <c r="F506">
        <v>4</v>
      </c>
      <c r="G506">
        <v>22.41</v>
      </c>
      <c r="H506">
        <v>89.64</v>
      </c>
      <c r="I506">
        <v>4.41</v>
      </c>
      <c r="J506">
        <v>85.23</v>
      </c>
      <c r="K506">
        <v>48</v>
      </c>
    </row>
    <row r="507" spans="1:11" x14ac:dyDescent="0.3">
      <c r="A507">
        <v>1339</v>
      </c>
      <c r="B507" t="s">
        <v>19</v>
      </c>
      <c r="C507" s="1">
        <v>45739</v>
      </c>
      <c r="D507" t="s">
        <v>22</v>
      </c>
      <c r="E507" t="s">
        <v>23</v>
      </c>
      <c r="F507">
        <v>4</v>
      </c>
      <c r="G507">
        <v>28.69</v>
      </c>
      <c r="H507">
        <v>114.76</v>
      </c>
      <c r="I507">
        <v>17.21</v>
      </c>
      <c r="J507">
        <v>97.55</v>
      </c>
      <c r="K507">
        <v>137</v>
      </c>
    </row>
    <row r="508" spans="1:11" x14ac:dyDescent="0.3">
      <c r="A508">
        <v>5415</v>
      </c>
      <c r="B508" t="s">
        <v>36</v>
      </c>
      <c r="C508" s="1">
        <v>45592</v>
      </c>
      <c r="D508" t="s">
        <v>34</v>
      </c>
      <c r="E508" t="s">
        <v>48</v>
      </c>
      <c r="F508">
        <v>4</v>
      </c>
      <c r="G508">
        <v>12.6</v>
      </c>
      <c r="H508">
        <v>50.4</v>
      </c>
      <c r="I508">
        <v>5.04</v>
      </c>
      <c r="J508">
        <v>45.36</v>
      </c>
      <c r="K508">
        <v>233</v>
      </c>
    </row>
    <row r="509" spans="1:11" x14ac:dyDescent="0.3">
      <c r="A509">
        <v>1659</v>
      </c>
      <c r="B509" t="s">
        <v>26</v>
      </c>
      <c r="C509" s="1">
        <v>45737</v>
      </c>
      <c r="D509" t="s">
        <v>20</v>
      </c>
      <c r="E509" t="s">
        <v>29</v>
      </c>
      <c r="F509">
        <v>1</v>
      </c>
      <c r="G509">
        <v>4.83</v>
      </c>
      <c r="H509">
        <v>4.83</v>
      </c>
      <c r="I509">
        <v>0.97</v>
      </c>
      <c r="J509">
        <v>3.86</v>
      </c>
      <c r="K509">
        <v>371</v>
      </c>
    </row>
    <row r="510" spans="1:11" x14ac:dyDescent="0.3">
      <c r="A510">
        <v>3870</v>
      </c>
      <c r="B510" t="s">
        <v>11</v>
      </c>
      <c r="C510" s="1">
        <v>45510</v>
      </c>
      <c r="D510" t="s">
        <v>20</v>
      </c>
      <c r="E510" t="s">
        <v>47</v>
      </c>
      <c r="F510">
        <v>5</v>
      </c>
      <c r="G510">
        <v>20.66</v>
      </c>
      <c r="H510">
        <v>103.3</v>
      </c>
      <c r="I510">
        <v>15.49</v>
      </c>
      <c r="J510">
        <v>87.81</v>
      </c>
      <c r="K510">
        <v>92</v>
      </c>
    </row>
    <row r="511" spans="1:11" x14ac:dyDescent="0.3">
      <c r="A511">
        <v>9502</v>
      </c>
      <c r="B511" t="s">
        <v>31</v>
      </c>
      <c r="C511" s="1">
        <v>45651</v>
      </c>
      <c r="D511" t="s">
        <v>27</v>
      </c>
      <c r="E511" t="s">
        <v>41</v>
      </c>
      <c r="F511">
        <v>4</v>
      </c>
      <c r="G511">
        <v>27.68</v>
      </c>
      <c r="H511">
        <v>110.72</v>
      </c>
      <c r="I511">
        <v>11.07</v>
      </c>
      <c r="J511">
        <v>99.65</v>
      </c>
      <c r="K511">
        <v>57</v>
      </c>
    </row>
    <row r="512" spans="1:11" x14ac:dyDescent="0.3">
      <c r="A512">
        <v>8245</v>
      </c>
      <c r="B512" t="s">
        <v>31</v>
      </c>
      <c r="C512" s="1">
        <v>45856</v>
      </c>
      <c r="D512" t="s">
        <v>15</v>
      </c>
      <c r="E512" t="s">
        <v>13</v>
      </c>
      <c r="F512">
        <v>3</v>
      </c>
      <c r="G512">
        <v>1.35</v>
      </c>
      <c r="H512">
        <v>4.05</v>
      </c>
      <c r="I512">
        <v>0</v>
      </c>
      <c r="J512">
        <v>4.05</v>
      </c>
      <c r="K512">
        <v>444</v>
      </c>
    </row>
    <row r="513" spans="1:11" x14ac:dyDescent="0.3">
      <c r="A513">
        <v>5557</v>
      </c>
      <c r="B513" t="s">
        <v>36</v>
      </c>
      <c r="C513" s="1">
        <v>45285</v>
      </c>
      <c r="D513" t="s">
        <v>38</v>
      </c>
      <c r="E513" t="s">
        <v>46</v>
      </c>
      <c r="F513">
        <v>5</v>
      </c>
      <c r="G513">
        <v>3.75</v>
      </c>
      <c r="H513">
        <v>18.75</v>
      </c>
      <c r="I513">
        <v>1.88</v>
      </c>
      <c r="J513">
        <v>16.87</v>
      </c>
      <c r="K513">
        <v>338</v>
      </c>
    </row>
    <row r="514" spans="1:11" x14ac:dyDescent="0.3">
      <c r="A514">
        <v>8141</v>
      </c>
      <c r="B514" t="s">
        <v>36</v>
      </c>
      <c r="C514" s="1">
        <v>45638</v>
      </c>
      <c r="D514" t="s">
        <v>27</v>
      </c>
      <c r="E514" t="s">
        <v>32</v>
      </c>
      <c r="F514">
        <v>2</v>
      </c>
      <c r="G514">
        <v>25.32</v>
      </c>
      <c r="H514">
        <v>50.64</v>
      </c>
      <c r="I514">
        <v>3.57</v>
      </c>
      <c r="J514">
        <v>47.07</v>
      </c>
      <c r="K514">
        <v>285</v>
      </c>
    </row>
    <row r="515" spans="1:11" x14ac:dyDescent="0.3">
      <c r="A515">
        <v>9056</v>
      </c>
      <c r="B515" t="s">
        <v>19</v>
      </c>
      <c r="C515" s="1">
        <v>45215</v>
      </c>
      <c r="D515" t="s">
        <v>38</v>
      </c>
      <c r="E515" t="s">
        <v>47</v>
      </c>
      <c r="F515">
        <v>4</v>
      </c>
      <c r="G515">
        <v>26.2</v>
      </c>
      <c r="H515">
        <v>104.8</v>
      </c>
      <c r="I515">
        <v>15.72</v>
      </c>
      <c r="J515">
        <v>89.08</v>
      </c>
      <c r="K515">
        <v>38</v>
      </c>
    </row>
    <row r="516" spans="1:11" x14ac:dyDescent="0.3">
      <c r="A516">
        <v>8700</v>
      </c>
      <c r="B516" t="s">
        <v>42</v>
      </c>
      <c r="C516" s="1">
        <v>45415</v>
      </c>
      <c r="D516" t="s">
        <v>22</v>
      </c>
      <c r="E516" t="s">
        <v>13</v>
      </c>
      <c r="F516">
        <v>1</v>
      </c>
      <c r="G516">
        <v>15.69</v>
      </c>
      <c r="H516">
        <v>15.69</v>
      </c>
      <c r="I516">
        <v>1.57</v>
      </c>
      <c r="J516">
        <v>14.12</v>
      </c>
      <c r="K516">
        <v>281</v>
      </c>
    </row>
    <row r="517" spans="1:11" x14ac:dyDescent="0.3">
      <c r="A517">
        <v>7690</v>
      </c>
      <c r="B517" t="s">
        <v>42</v>
      </c>
      <c r="C517" s="1">
        <v>45403</v>
      </c>
      <c r="D517" t="s">
        <v>15</v>
      </c>
      <c r="E517" t="s">
        <v>33</v>
      </c>
      <c r="F517">
        <v>4</v>
      </c>
      <c r="G517">
        <v>24.23</v>
      </c>
      <c r="H517">
        <v>96.92</v>
      </c>
      <c r="I517">
        <v>9.69</v>
      </c>
      <c r="J517">
        <v>87.23</v>
      </c>
      <c r="K517">
        <v>229</v>
      </c>
    </row>
    <row r="518" spans="1:11" x14ac:dyDescent="0.3">
      <c r="A518">
        <v>6260</v>
      </c>
      <c r="B518" t="s">
        <v>26</v>
      </c>
      <c r="C518" s="1">
        <v>45665</v>
      </c>
      <c r="D518" t="s">
        <v>22</v>
      </c>
      <c r="E518" t="s">
        <v>48</v>
      </c>
      <c r="F518">
        <v>4</v>
      </c>
      <c r="G518">
        <v>22.6</v>
      </c>
      <c r="H518">
        <v>90.4</v>
      </c>
      <c r="I518">
        <v>9.0399999999999991</v>
      </c>
      <c r="J518">
        <v>81.36</v>
      </c>
      <c r="K518">
        <v>9</v>
      </c>
    </row>
    <row r="519" spans="1:11" x14ac:dyDescent="0.3">
      <c r="A519">
        <v>2713</v>
      </c>
      <c r="B519" t="s">
        <v>24</v>
      </c>
      <c r="C519" s="1">
        <v>45811</v>
      </c>
      <c r="D519" t="s">
        <v>12</v>
      </c>
      <c r="E519" t="s">
        <v>18</v>
      </c>
      <c r="F519">
        <v>5</v>
      </c>
      <c r="G519">
        <v>0.99</v>
      </c>
      <c r="H519">
        <v>4.95</v>
      </c>
      <c r="I519">
        <v>3.25</v>
      </c>
      <c r="J519">
        <v>1.7</v>
      </c>
      <c r="K519">
        <v>46</v>
      </c>
    </row>
    <row r="520" spans="1:11" x14ac:dyDescent="0.3">
      <c r="A520">
        <v>3634</v>
      </c>
      <c r="B520" t="s">
        <v>26</v>
      </c>
      <c r="C520" s="1">
        <v>45401</v>
      </c>
      <c r="D520" t="s">
        <v>22</v>
      </c>
      <c r="E520" t="s">
        <v>23</v>
      </c>
      <c r="F520">
        <v>1</v>
      </c>
      <c r="G520">
        <v>24.67</v>
      </c>
      <c r="H520">
        <v>24.67</v>
      </c>
      <c r="I520">
        <v>3.7</v>
      </c>
      <c r="J520">
        <v>20.97</v>
      </c>
      <c r="K520">
        <v>432</v>
      </c>
    </row>
    <row r="521" spans="1:11" x14ac:dyDescent="0.3">
      <c r="A521">
        <v>7744</v>
      </c>
      <c r="B521" t="s">
        <v>14</v>
      </c>
      <c r="C521" s="1">
        <v>45683</v>
      </c>
      <c r="D521" t="s">
        <v>28</v>
      </c>
      <c r="E521" t="s">
        <v>47</v>
      </c>
      <c r="F521">
        <v>3</v>
      </c>
      <c r="G521">
        <v>21.75</v>
      </c>
      <c r="H521">
        <v>65.25</v>
      </c>
      <c r="I521">
        <v>0</v>
      </c>
      <c r="J521">
        <v>65.25</v>
      </c>
      <c r="K521">
        <v>58</v>
      </c>
    </row>
    <row r="522" spans="1:11" x14ac:dyDescent="0.3">
      <c r="A522">
        <v>9117</v>
      </c>
      <c r="B522" t="s">
        <v>42</v>
      </c>
      <c r="C522" s="1">
        <v>45368</v>
      </c>
      <c r="D522" t="s">
        <v>12</v>
      </c>
      <c r="E522" t="s">
        <v>21</v>
      </c>
      <c r="F522">
        <v>3</v>
      </c>
      <c r="G522">
        <v>25.06</v>
      </c>
      <c r="H522">
        <v>75.180000000000007</v>
      </c>
      <c r="I522">
        <v>3.09</v>
      </c>
      <c r="J522">
        <v>72.09</v>
      </c>
      <c r="K522">
        <v>493</v>
      </c>
    </row>
    <row r="523" spans="1:11" x14ac:dyDescent="0.3">
      <c r="A523">
        <v>7561</v>
      </c>
      <c r="B523" t="s">
        <v>11</v>
      </c>
      <c r="C523" s="1">
        <v>45776</v>
      </c>
      <c r="D523" t="s">
        <v>12</v>
      </c>
      <c r="E523" t="s">
        <v>29</v>
      </c>
      <c r="F523">
        <v>4</v>
      </c>
      <c r="G523">
        <v>5.0599999999999996</v>
      </c>
      <c r="H523">
        <v>20.239999999999998</v>
      </c>
      <c r="I523">
        <v>2.02</v>
      </c>
      <c r="J523">
        <v>18.22</v>
      </c>
      <c r="K523">
        <v>367</v>
      </c>
    </row>
    <row r="524" spans="1:11" x14ac:dyDescent="0.3">
      <c r="A524">
        <v>1601</v>
      </c>
      <c r="B524" t="s">
        <v>42</v>
      </c>
      <c r="C524" s="1">
        <v>45498</v>
      </c>
      <c r="D524" t="s">
        <v>17</v>
      </c>
      <c r="E524" t="s">
        <v>48</v>
      </c>
      <c r="F524">
        <v>4</v>
      </c>
      <c r="G524">
        <v>7.24</v>
      </c>
      <c r="H524">
        <v>28.96</v>
      </c>
      <c r="I524">
        <v>0</v>
      </c>
      <c r="J524">
        <v>28.96</v>
      </c>
      <c r="K524">
        <v>422</v>
      </c>
    </row>
    <row r="525" spans="1:11" x14ac:dyDescent="0.3">
      <c r="A525">
        <v>2442</v>
      </c>
      <c r="B525" t="s">
        <v>36</v>
      </c>
      <c r="C525" s="1">
        <v>45389</v>
      </c>
      <c r="D525" t="s">
        <v>15</v>
      </c>
      <c r="E525" t="s">
        <v>16</v>
      </c>
      <c r="F525">
        <v>1</v>
      </c>
      <c r="G525">
        <v>27.86</v>
      </c>
      <c r="H525">
        <v>27.86</v>
      </c>
      <c r="I525">
        <v>2.79</v>
      </c>
      <c r="J525">
        <v>25.07</v>
      </c>
      <c r="K525">
        <v>428</v>
      </c>
    </row>
    <row r="526" spans="1:11" x14ac:dyDescent="0.3">
      <c r="A526">
        <v>5135</v>
      </c>
      <c r="B526" t="s">
        <v>26</v>
      </c>
      <c r="C526" s="1">
        <v>45396</v>
      </c>
      <c r="D526" t="s">
        <v>27</v>
      </c>
      <c r="E526" t="s">
        <v>46</v>
      </c>
      <c r="F526">
        <v>2</v>
      </c>
      <c r="G526">
        <v>28.94</v>
      </c>
      <c r="H526">
        <v>57.88</v>
      </c>
      <c r="I526">
        <v>4.74</v>
      </c>
      <c r="J526">
        <v>53.14</v>
      </c>
      <c r="K526">
        <v>2</v>
      </c>
    </row>
    <row r="527" spans="1:11" x14ac:dyDescent="0.3">
      <c r="A527">
        <v>2899</v>
      </c>
      <c r="B527" t="s">
        <v>26</v>
      </c>
      <c r="C527" s="1">
        <v>45745</v>
      </c>
      <c r="D527" t="s">
        <v>38</v>
      </c>
      <c r="E527" t="s">
        <v>29</v>
      </c>
      <c r="F527">
        <v>5</v>
      </c>
      <c r="G527">
        <v>6.03</v>
      </c>
      <c r="H527">
        <v>30.15</v>
      </c>
      <c r="I527">
        <v>2.5499999999999998</v>
      </c>
      <c r="J527">
        <v>27.6</v>
      </c>
      <c r="K527">
        <v>417</v>
      </c>
    </row>
    <row r="528" spans="1:11" x14ac:dyDescent="0.3">
      <c r="A528">
        <v>7622</v>
      </c>
      <c r="B528" t="s">
        <v>36</v>
      </c>
      <c r="C528" s="1">
        <v>45816</v>
      </c>
      <c r="D528" t="s">
        <v>38</v>
      </c>
      <c r="E528" t="s">
        <v>32</v>
      </c>
      <c r="F528">
        <v>4</v>
      </c>
      <c r="G528">
        <v>29.4</v>
      </c>
      <c r="H528">
        <v>117.6</v>
      </c>
      <c r="I528">
        <v>17.64</v>
      </c>
      <c r="J528">
        <v>99.96</v>
      </c>
      <c r="K528">
        <v>468</v>
      </c>
    </row>
    <row r="529" spans="1:11" x14ac:dyDescent="0.3">
      <c r="A529">
        <v>9431</v>
      </c>
      <c r="B529" t="s">
        <v>24</v>
      </c>
      <c r="C529" s="1">
        <v>45785</v>
      </c>
      <c r="D529" t="s">
        <v>22</v>
      </c>
      <c r="E529" t="s">
        <v>37</v>
      </c>
      <c r="F529">
        <v>4</v>
      </c>
      <c r="G529">
        <v>24.33</v>
      </c>
      <c r="H529">
        <v>97.32</v>
      </c>
      <c r="I529">
        <v>3.8</v>
      </c>
      <c r="J529">
        <v>93.52</v>
      </c>
      <c r="K529">
        <v>70</v>
      </c>
    </row>
    <row r="530" spans="1:11" x14ac:dyDescent="0.3">
      <c r="A530">
        <v>1018</v>
      </c>
      <c r="B530" t="s">
        <v>14</v>
      </c>
      <c r="C530" s="1">
        <v>45655</v>
      </c>
      <c r="D530" t="s">
        <v>35</v>
      </c>
      <c r="E530" t="s">
        <v>18</v>
      </c>
      <c r="F530">
        <v>3</v>
      </c>
      <c r="G530">
        <v>21.63</v>
      </c>
      <c r="H530">
        <v>64.89</v>
      </c>
      <c r="I530">
        <v>12.98</v>
      </c>
      <c r="J530">
        <v>51.91</v>
      </c>
      <c r="K530">
        <v>478</v>
      </c>
    </row>
    <row r="531" spans="1:11" x14ac:dyDescent="0.3">
      <c r="A531">
        <v>9889</v>
      </c>
      <c r="B531" t="s">
        <v>42</v>
      </c>
      <c r="C531" s="1">
        <v>45503</v>
      </c>
      <c r="D531" t="s">
        <v>28</v>
      </c>
      <c r="E531" t="s">
        <v>37</v>
      </c>
      <c r="F531">
        <v>3</v>
      </c>
      <c r="G531">
        <v>27.7</v>
      </c>
      <c r="H531">
        <v>83.1</v>
      </c>
      <c r="I531">
        <v>3.17</v>
      </c>
      <c r="J531">
        <v>79.930000000000007</v>
      </c>
      <c r="K531">
        <v>67</v>
      </c>
    </row>
    <row r="532" spans="1:11" x14ac:dyDescent="0.3">
      <c r="A532">
        <v>7770</v>
      </c>
      <c r="B532" t="s">
        <v>36</v>
      </c>
      <c r="C532" s="1">
        <v>45187</v>
      </c>
      <c r="D532" t="s">
        <v>15</v>
      </c>
      <c r="E532" t="s">
        <v>23</v>
      </c>
      <c r="F532">
        <v>5</v>
      </c>
      <c r="G532">
        <v>14.92</v>
      </c>
      <c r="H532">
        <v>74.599999999999994</v>
      </c>
      <c r="I532">
        <v>0</v>
      </c>
      <c r="J532">
        <v>74.599999999999994</v>
      </c>
      <c r="K532">
        <v>292</v>
      </c>
    </row>
    <row r="533" spans="1:11" x14ac:dyDescent="0.3">
      <c r="A533">
        <v>4073</v>
      </c>
      <c r="B533" t="s">
        <v>14</v>
      </c>
      <c r="C533" s="1">
        <v>45547</v>
      </c>
      <c r="D533" t="s">
        <v>35</v>
      </c>
      <c r="E533" t="s">
        <v>16</v>
      </c>
      <c r="F533">
        <v>1</v>
      </c>
      <c r="G533">
        <v>16.149999999999999</v>
      </c>
      <c r="H533">
        <v>16.149999999999999</v>
      </c>
      <c r="I533">
        <v>3.23</v>
      </c>
      <c r="J533">
        <v>12.92</v>
      </c>
      <c r="K533">
        <v>12</v>
      </c>
    </row>
    <row r="534" spans="1:11" x14ac:dyDescent="0.3">
      <c r="A534">
        <v>6927</v>
      </c>
      <c r="B534" t="s">
        <v>31</v>
      </c>
      <c r="C534" s="1">
        <v>45628</v>
      </c>
      <c r="D534" t="s">
        <v>27</v>
      </c>
      <c r="E534" t="s">
        <v>40</v>
      </c>
      <c r="F534">
        <v>2</v>
      </c>
      <c r="G534">
        <v>8.73</v>
      </c>
      <c r="H534">
        <v>17.46</v>
      </c>
      <c r="I534">
        <v>2.62</v>
      </c>
      <c r="J534">
        <v>14.84</v>
      </c>
      <c r="K534">
        <v>402</v>
      </c>
    </row>
    <row r="535" spans="1:11" x14ac:dyDescent="0.3">
      <c r="A535">
        <v>9167</v>
      </c>
      <c r="B535" t="s">
        <v>30</v>
      </c>
      <c r="C535" s="1">
        <v>45630</v>
      </c>
      <c r="D535" t="s">
        <v>34</v>
      </c>
      <c r="E535" t="s">
        <v>40</v>
      </c>
      <c r="F535">
        <v>3</v>
      </c>
      <c r="G535">
        <v>6.91</v>
      </c>
      <c r="H535">
        <v>20.73</v>
      </c>
      <c r="I535">
        <v>3.11</v>
      </c>
      <c r="J535">
        <v>17.62</v>
      </c>
      <c r="K535">
        <v>277</v>
      </c>
    </row>
    <row r="536" spans="1:11" x14ac:dyDescent="0.3">
      <c r="A536">
        <v>8242</v>
      </c>
      <c r="B536" t="s">
        <v>26</v>
      </c>
      <c r="C536" s="1">
        <v>45735</v>
      </c>
      <c r="D536" t="s">
        <v>15</v>
      </c>
      <c r="E536" t="s">
        <v>18</v>
      </c>
      <c r="F536">
        <v>2</v>
      </c>
      <c r="G536">
        <v>22.52</v>
      </c>
      <c r="H536">
        <v>45.04</v>
      </c>
      <c r="I536">
        <v>9.01</v>
      </c>
      <c r="J536">
        <v>36.03</v>
      </c>
      <c r="K536">
        <v>287</v>
      </c>
    </row>
    <row r="537" spans="1:11" x14ac:dyDescent="0.3">
      <c r="A537">
        <v>1845</v>
      </c>
      <c r="B537" t="s">
        <v>14</v>
      </c>
      <c r="C537" s="1">
        <v>45303</v>
      </c>
      <c r="D537" t="s">
        <v>35</v>
      </c>
      <c r="E537" t="s">
        <v>40</v>
      </c>
      <c r="F537">
        <v>4</v>
      </c>
      <c r="G537">
        <v>12.23</v>
      </c>
      <c r="H537">
        <v>48.92</v>
      </c>
      <c r="I537">
        <v>1.22</v>
      </c>
      <c r="J537">
        <v>47.7</v>
      </c>
      <c r="K537">
        <v>489</v>
      </c>
    </row>
    <row r="538" spans="1:11" x14ac:dyDescent="0.3">
      <c r="A538">
        <v>5375</v>
      </c>
      <c r="B538" t="s">
        <v>30</v>
      </c>
      <c r="C538" s="1">
        <v>45571</v>
      </c>
      <c r="D538" t="s">
        <v>17</v>
      </c>
      <c r="E538" t="s">
        <v>33</v>
      </c>
      <c r="F538">
        <v>2</v>
      </c>
      <c r="G538">
        <v>27.42</v>
      </c>
      <c r="H538">
        <v>54.84</v>
      </c>
      <c r="I538">
        <v>3.19</v>
      </c>
      <c r="J538">
        <v>51.65</v>
      </c>
      <c r="K538">
        <v>360</v>
      </c>
    </row>
    <row r="539" spans="1:11" x14ac:dyDescent="0.3">
      <c r="A539">
        <v>3146</v>
      </c>
      <c r="B539" t="s">
        <v>42</v>
      </c>
      <c r="C539" s="1">
        <v>45865</v>
      </c>
      <c r="D539" t="s">
        <v>17</v>
      </c>
      <c r="E539" t="s">
        <v>37</v>
      </c>
      <c r="F539">
        <v>4</v>
      </c>
      <c r="G539">
        <v>6.14</v>
      </c>
      <c r="H539">
        <v>24.56</v>
      </c>
      <c r="I539">
        <v>4.91</v>
      </c>
      <c r="J539">
        <v>19.649999999999999</v>
      </c>
      <c r="K539">
        <v>349</v>
      </c>
    </row>
    <row r="540" spans="1:11" x14ac:dyDescent="0.3">
      <c r="A540">
        <v>5719</v>
      </c>
      <c r="B540" t="s">
        <v>19</v>
      </c>
      <c r="C540" s="1">
        <v>45485</v>
      </c>
      <c r="D540" t="s">
        <v>38</v>
      </c>
      <c r="E540" t="s">
        <v>48</v>
      </c>
      <c r="F540">
        <v>4</v>
      </c>
      <c r="G540">
        <v>2.17</v>
      </c>
      <c r="H540">
        <v>8.68</v>
      </c>
      <c r="I540">
        <v>1.74</v>
      </c>
      <c r="J540">
        <v>6.94</v>
      </c>
      <c r="K540">
        <v>142</v>
      </c>
    </row>
    <row r="541" spans="1:11" x14ac:dyDescent="0.3">
      <c r="A541">
        <v>8941</v>
      </c>
      <c r="B541" t="s">
        <v>19</v>
      </c>
      <c r="C541" s="1">
        <v>45239</v>
      </c>
      <c r="D541" t="s">
        <v>28</v>
      </c>
      <c r="E541" t="s">
        <v>13</v>
      </c>
      <c r="F541">
        <v>1</v>
      </c>
      <c r="G541">
        <v>10.58</v>
      </c>
      <c r="H541">
        <v>10.58</v>
      </c>
      <c r="I541">
        <v>1.61</v>
      </c>
      <c r="J541">
        <v>8.9700000000000006</v>
      </c>
      <c r="K541">
        <v>363</v>
      </c>
    </row>
    <row r="542" spans="1:11" x14ac:dyDescent="0.3">
      <c r="A542">
        <v>1472</v>
      </c>
      <c r="C542" s="1">
        <v>45634</v>
      </c>
      <c r="D542" t="s">
        <v>28</v>
      </c>
      <c r="E542" t="s">
        <v>40</v>
      </c>
      <c r="F542">
        <v>5</v>
      </c>
      <c r="G542">
        <v>25.44</v>
      </c>
      <c r="H542">
        <v>127.2</v>
      </c>
      <c r="I542">
        <v>3.2</v>
      </c>
      <c r="J542">
        <v>124</v>
      </c>
      <c r="K542">
        <v>154</v>
      </c>
    </row>
    <row r="543" spans="1:11" x14ac:dyDescent="0.3">
      <c r="A543">
        <v>4920</v>
      </c>
      <c r="B543" t="s">
        <v>11</v>
      </c>
      <c r="C543" s="1">
        <v>45696</v>
      </c>
      <c r="D543" t="s">
        <v>22</v>
      </c>
      <c r="E543" t="s">
        <v>46</v>
      </c>
      <c r="F543">
        <v>2</v>
      </c>
      <c r="G543">
        <v>28.74</v>
      </c>
      <c r="H543">
        <v>57.48</v>
      </c>
      <c r="I543">
        <v>1.64</v>
      </c>
      <c r="J543">
        <v>55.84</v>
      </c>
      <c r="K543">
        <v>266</v>
      </c>
    </row>
    <row r="544" spans="1:11" x14ac:dyDescent="0.3">
      <c r="A544">
        <v>3594</v>
      </c>
      <c r="B544" t="s">
        <v>14</v>
      </c>
      <c r="C544" s="1">
        <v>45386</v>
      </c>
      <c r="D544" t="s">
        <v>38</v>
      </c>
      <c r="E544" t="s">
        <v>32</v>
      </c>
      <c r="F544">
        <v>1</v>
      </c>
      <c r="G544">
        <v>11.12</v>
      </c>
      <c r="H544">
        <v>11.12</v>
      </c>
      <c r="I544">
        <v>0</v>
      </c>
      <c r="J544">
        <v>11.12</v>
      </c>
      <c r="K544">
        <v>452</v>
      </c>
    </row>
    <row r="545" spans="1:11" x14ac:dyDescent="0.3">
      <c r="A545">
        <v>1224</v>
      </c>
      <c r="B545" t="s">
        <v>36</v>
      </c>
      <c r="C545" s="1">
        <v>45573</v>
      </c>
      <c r="D545" t="s">
        <v>22</v>
      </c>
      <c r="E545" t="s">
        <v>23</v>
      </c>
      <c r="F545">
        <v>3</v>
      </c>
      <c r="G545">
        <v>7.32</v>
      </c>
      <c r="H545">
        <v>21.96</v>
      </c>
      <c r="I545">
        <v>4.29</v>
      </c>
      <c r="J545">
        <v>17.670000000000002</v>
      </c>
      <c r="K545">
        <v>385</v>
      </c>
    </row>
    <row r="546" spans="1:11" x14ac:dyDescent="0.3">
      <c r="A546">
        <v>7684</v>
      </c>
      <c r="B546" t="s">
        <v>31</v>
      </c>
      <c r="C546" s="1">
        <v>45217</v>
      </c>
      <c r="D546" t="s">
        <v>15</v>
      </c>
      <c r="E546" t="s">
        <v>23</v>
      </c>
      <c r="F546">
        <v>4</v>
      </c>
      <c r="G546">
        <v>7.96</v>
      </c>
      <c r="H546">
        <v>31.84</v>
      </c>
      <c r="I546">
        <v>3.73</v>
      </c>
      <c r="J546">
        <v>28.11</v>
      </c>
      <c r="K546">
        <v>328</v>
      </c>
    </row>
    <row r="547" spans="1:11" x14ac:dyDescent="0.3">
      <c r="A547">
        <v>4681</v>
      </c>
      <c r="B547" t="s">
        <v>36</v>
      </c>
      <c r="C547" s="1">
        <v>45798</v>
      </c>
      <c r="D547" t="s">
        <v>20</v>
      </c>
      <c r="E547" t="s">
        <v>48</v>
      </c>
      <c r="F547">
        <v>4</v>
      </c>
      <c r="G547">
        <v>8.43</v>
      </c>
      <c r="H547">
        <v>33.72</v>
      </c>
      <c r="I547">
        <v>4.6500000000000004</v>
      </c>
      <c r="J547">
        <v>29.07</v>
      </c>
      <c r="K547">
        <v>370</v>
      </c>
    </row>
    <row r="548" spans="1:11" x14ac:dyDescent="0.3">
      <c r="A548">
        <v>2858</v>
      </c>
      <c r="B548" t="s">
        <v>36</v>
      </c>
      <c r="C548" s="1">
        <v>45503</v>
      </c>
      <c r="D548" t="s">
        <v>38</v>
      </c>
      <c r="E548" t="s">
        <v>46</v>
      </c>
      <c r="F548">
        <v>4</v>
      </c>
      <c r="G548">
        <v>15.11</v>
      </c>
      <c r="H548">
        <v>60.44</v>
      </c>
      <c r="I548">
        <v>9.07</v>
      </c>
      <c r="J548">
        <v>51.37</v>
      </c>
      <c r="K548">
        <v>151</v>
      </c>
    </row>
    <row r="549" spans="1:11" x14ac:dyDescent="0.3">
      <c r="A549">
        <v>2924</v>
      </c>
      <c r="B549" t="s">
        <v>14</v>
      </c>
      <c r="C549" s="1">
        <v>45648</v>
      </c>
      <c r="D549" t="s">
        <v>15</v>
      </c>
      <c r="E549" t="s">
        <v>48</v>
      </c>
      <c r="F549">
        <v>2</v>
      </c>
      <c r="G549">
        <v>29.17</v>
      </c>
      <c r="H549">
        <v>58.34</v>
      </c>
      <c r="I549">
        <v>0</v>
      </c>
      <c r="J549">
        <v>58.34</v>
      </c>
      <c r="K549">
        <v>395</v>
      </c>
    </row>
    <row r="550" spans="1:11" x14ac:dyDescent="0.3">
      <c r="A550">
        <v>3522</v>
      </c>
      <c r="B550" t="s">
        <v>11</v>
      </c>
      <c r="C550" s="1">
        <v>45532</v>
      </c>
      <c r="D550" t="s">
        <v>17</v>
      </c>
      <c r="E550" t="s">
        <v>44</v>
      </c>
      <c r="F550">
        <v>4</v>
      </c>
      <c r="G550">
        <v>25.22</v>
      </c>
      <c r="H550">
        <v>100.88</v>
      </c>
      <c r="I550">
        <v>0</v>
      </c>
      <c r="J550">
        <v>100.88</v>
      </c>
      <c r="K550">
        <v>105</v>
      </c>
    </row>
    <row r="551" spans="1:11" x14ac:dyDescent="0.3">
      <c r="A551">
        <v>5781</v>
      </c>
      <c r="B551" t="s">
        <v>11</v>
      </c>
      <c r="C551" s="1">
        <v>45540</v>
      </c>
      <c r="D551" t="s">
        <v>27</v>
      </c>
      <c r="E551" t="s">
        <v>41</v>
      </c>
      <c r="F551">
        <v>1</v>
      </c>
      <c r="G551">
        <v>14.31</v>
      </c>
      <c r="H551">
        <v>14.31</v>
      </c>
      <c r="I551">
        <v>1.29</v>
      </c>
      <c r="J551">
        <v>13.02</v>
      </c>
      <c r="K551">
        <v>169</v>
      </c>
    </row>
    <row r="552" spans="1:11" x14ac:dyDescent="0.3">
      <c r="A552">
        <v>5479</v>
      </c>
      <c r="B552" t="s">
        <v>19</v>
      </c>
      <c r="C552" s="1">
        <v>45467</v>
      </c>
      <c r="D552" t="s">
        <v>35</v>
      </c>
      <c r="E552" t="s">
        <v>18</v>
      </c>
      <c r="F552">
        <v>1</v>
      </c>
      <c r="G552">
        <v>17.66</v>
      </c>
      <c r="H552">
        <v>17.66</v>
      </c>
      <c r="I552">
        <v>1.77</v>
      </c>
      <c r="J552">
        <v>15.89</v>
      </c>
      <c r="K552">
        <v>116</v>
      </c>
    </row>
    <row r="553" spans="1:11" x14ac:dyDescent="0.3">
      <c r="A553">
        <v>8905</v>
      </c>
      <c r="B553" t="s">
        <v>24</v>
      </c>
      <c r="C553" s="1">
        <v>45511</v>
      </c>
      <c r="D553" t="s">
        <v>45</v>
      </c>
      <c r="E553" t="s">
        <v>32</v>
      </c>
      <c r="F553">
        <v>4</v>
      </c>
      <c r="G553">
        <v>10.17</v>
      </c>
      <c r="H553">
        <v>40.68</v>
      </c>
      <c r="I553">
        <v>1.02</v>
      </c>
      <c r="J553">
        <v>39.659999999999997</v>
      </c>
      <c r="K553">
        <v>199</v>
      </c>
    </row>
    <row r="554" spans="1:11" x14ac:dyDescent="0.3">
      <c r="A554">
        <v>4993</v>
      </c>
      <c r="B554" t="s">
        <v>11</v>
      </c>
      <c r="C554" s="1">
        <v>45499</v>
      </c>
      <c r="D554" t="s">
        <v>28</v>
      </c>
      <c r="E554" t="s">
        <v>40</v>
      </c>
      <c r="F554">
        <v>1</v>
      </c>
      <c r="G554">
        <v>11.36</v>
      </c>
      <c r="H554">
        <v>11.36</v>
      </c>
      <c r="I554">
        <v>1.7</v>
      </c>
      <c r="J554">
        <v>9.66</v>
      </c>
      <c r="K554">
        <v>257</v>
      </c>
    </row>
    <row r="555" spans="1:11" x14ac:dyDescent="0.3">
      <c r="A555">
        <v>3369</v>
      </c>
      <c r="B555" t="s">
        <v>30</v>
      </c>
      <c r="C555" s="1">
        <v>45442</v>
      </c>
      <c r="D555" t="s">
        <v>28</v>
      </c>
      <c r="E555" t="s">
        <v>43</v>
      </c>
      <c r="F555">
        <v>3</v>
      </c>
      <c r="G555">
        <v>23.18</v>
      </c>
      <c r="H555">
        <v>69.540000000000006</v>
      </c>
      <c r="I555">
        <v>6.95</v>
      </c>
      <c r="J555">
        <v>62.59</v>
      </c>
      <c r="K555">
        <v>224</v>
      </c>
    </row>
    <row r="556" spans="1:11" x14ac:dyDescent="0.3">
      <c r="A556">
        <v>4122</v>
      </c>
      <c r="B556" t="s">
        <v>31</v>
      </c>
      <c r="C556" s="1">
        <v>45861</v>
      </c>
      <c r="D556" t="s">
        <v>45</v>
      </c>
      <c r="E556" t="s">
        <v>29</v>
      </c>
      <c r="F556">
        <v>5</v>
      </c>
      <c r="G556">
        <v>7.37</v>
      </c>
      <c r="H556">
        <v>36.85</v>
      </c>
      <c r="I556">
        <v>2.1800000000000002</v>
      </c>
      <c r="J556">
        <v>34.67</v>
      </c>
      <c r="K556">
        <v>382</v>
      </c>
    </row>
    <row r="557" spans="1:11" x14ac:dyDescent="0.3">
      <c r="A557">
        <v>9327</v>
      </c>
      <c r="B557" t="s">
        <v>19</v>
      </c>
      <c r="C557" s="1">
        <v>45724</v>
      </c>
      <c r="D557" t="s">
        <v>35</v>
      </c>
      <c r="E557" t="s">
        <v>23</v>
      </c>
      <c r="F557">
        <v>1</v>
      </c>
      <c r="G557">
        <v>17.04</v>
      </c>
      <c r="H557">
        <v>17.04</v>
      </c>
      <c r="I557">
        <v>1.17</v>
      </c>
      <c r="J557">
        <v>15.87</v>
      </c>
      <c r="K557">
        <v>284</v>
      </c>
    </row>
    <row r="558" spans="1:11" x14ac:dyDescent="0.3">
      <c r="A558">
        <v>3236</v>
      </c>
      <c r="B558" t="s">
        <v>24</v>
      </c>
      <c r="C558" s="1">
        <v>45816</v>
      </c>
      <c r="D558" t="s">
        <v>38</v>
      </c>
      <c r="E558" t="s">
        <v>18</v>
      </c>
      <c r="F558">
        <v>1</v>
      </c>
      <c r="G558">
        <v>9.83</v>
      </c>
      <c r="H558">
        <v>9.83</v>
      </c>
      <c r="I558">
        <v>1.97</v>
      </c>
      <c r="J558">
        <v>7.86</v>
      </c>
      <c r="K558">
        <v>383</v>
      </c>
    </row>
    <row r="559" spans="1:11" x14ac:dyDescent="0.3">
      <c r="A559">
        <v>2143</v>
      </c>
      <c r="B559" t="s">
        <v>24</v>
      </c>
      <c r="C559" s="1">
        <v>45359</v>
      </c>
      <c r="D559" t="s">
        <v>27</v>
      </c>
      <c r="E559" t="s">
        <v>46</v>
      </c>
      <c r="F559">
        <v>2</v>
      </c>
      <c r="G559">
        <v>5.66</v>
      </c>
      <c r="H559">
        <v>11.32</v>
      </c>
      <c r="I559">
        <v>2.2599999999999998</v>
      </c>
      <c r="J559">
        <v>9.06</v>
      </c>
      <c r="K559">
        <v>113</v>
      </c>
    </row>
    <row r="560" spans="1:11" x14ac:dyDescent="0.3">
      <c r="A560">
        <v>7798</v>
      </c>
      <c r="B560" t="s">
        <v>11</v>
      </c>
      <c r="C560" s="1">
        <v>45408</v>
      </c>
      <c r="D560" t="s">
        <v>34</v>
      </c>
      <c r="E560" t="s">
        <v>40</v>
      </c>
      <c r="F560">
        <v>5</v>
      </c>
      <c r="G560">
        <v>14.37</v>
      </c>
      <c r="H560">
        <v>71.849999999999994</v>
      </c>
      <c r="I560">
        <v>10.78</v>
      </c>
      <c r="J560">
        <v>61.07</v>
      </c>
      <c r="K560">
        <v>281</v>
      </c>
    </row>
    <row r="561" spans="1:11" x14ac:dyDescent="0.3">
      <c r="A561">
        <v>9318</v>
      </c>
      <c r="B561" t="s">
        <v>11</v>
      </c>
      <c r="C561" s="1">
        <v>45352</v>
      </c>
      <c r="D561" t="s">
        <v>35</v>
      </c>
      <c r="E561" t="s">
        <v>48</v>
      </c>
      <c r="F561">
        <v>2</v>
      </c>
      <c r="G561">
        <v>22.03</v>
      </c>
      <c r="H561">
        <v>44.06</v>
      </c>
      <c r="I561">
        <v>6.61</v>
      </c>
      <c r="J561">
        <v>37.450000000000003</v>
      </c>
      <c r="K561">
        <v>249</v>
      </c>
    </row>
    <row r="562" spans="1:11" x14ac:dyDescent="0.3">
      <c r="A562">
        <v>1042</v>
      </c>
      <c r="B562" t="s">
        <v>19</v>
      </c>
      <c r="C562" s="1">
        <v>45364</v>
      </c>
      <c r="D562" t="s">
        <v>27</v>
      </c>
      <c r="E562" t="s">
        <v>25</v>
      </c>
      <c r="F562">
        <v>1</v>
      </c>
      <c r="G562">
        <v>9.26</v>
      </c>
      <c r="H562">
        <v>9.26</v>
      </c>
      <c r="I562">
        <v>1.39</v>
      </c>
      <c r="J562">
        <v>7.87</v>
      </c>
      <c r="K562">
        <v>35</v>
      </c>
    </row>
    <row r="563" spans="1:11" x14ac:dyDescent="0.3">
      <c r="A563">
        <v>5891</v>
      </c>
      <c r="B563" t="s">
        <v>26</v>
      </c>
      <c r="C563" s="1">
        <v>45795</v>
      </c>
      <c r="D563" t="s">
        <v>45</v>
      </c>
      <c r="E563" t="s">
        <v>21</v>
      </c>
      <c r="F563">
        <v>5</v>
      </c>
      <c r="G563">
        <v>20.11</v>
      </c>
      <c r="H563">
        <v>100.55</v>
      </c>
      <c r="I563">
        <v>3.27</v>
      </c>
      <c r="J563">
        <v>97.28</v>
      </c>
      <c r="K563">
        <v>355</v>
      </c>
    </row>
    <row r="564" spans="1:11" x14ac:dyDescent="0.3">
      <c r="A564">
        <v>9022</v>
      </c>
      <c r="B564" t="s">
        <v>36</v>
      </c>
      <c r="C564" s="1">
        <v>45817</v>
      </c>
      <c r="D564" t="s">
        <v>20</v>
      </c>
      <c r="E564" t="s">
        <v>29</v>
      </c>
      <c r="F564">
        <v>1</v>
      </c>
      <c r="G564">
        <v>10.07</v>
      </c>
      <c r="H564">
        <v>10.07</v>
      </c>
      <c r="I564">
        <v>0</v>
      </c>
      <c r="J564">
        <v>10.07</v>
      </c>
      <c r="K564">
        <v>402</v>
      </c>
    </row>
    <row r="565" spans="1:11" x14ac:dyDescent="0.3">
      <c r="A565">
        <v>3434</v>
      </c>
      <c r="B565" t="s">
        <v>24</v>
      </c>
      <c r="C565" s="1">
        <v>45491</v>
      </c>
      <c r="D565" t="s">
        <v>35</v>
      </c>
      <c r="E565" t="s">
        <v>23</v>
      </c>
      <c r="F565">
        <v>2</v>
      </c>
      <c r="G565">
        <v>20.7</v>
      </c>
      <c r="H565">
        <v>41.4</v>
      </c>
      <c r="I565">
        <v>4.1399999999999997</v>
      </c>
      <c r="J565">
        <v>37.26</v>
      </c>
      <c r="K565">
        <v>169</v>
      </c>
    </row>
    <row r="566" spans="1:11" x14ac:dyDescent="0.3">
      <c r="A566">
        <v>9824</v>
      </c>
      <c r="B566" t="s">
        <v>26</v>
      </c>
      <c r="C566" s="1">
        <v>45521</v>
      </c>
      <c r="D566" t="s">
        <v>22</v>
      </c>
      <c r="E566" t="s">
        <v>37</v>
      </c>
      <c r="F566">
        <v>4</v>
      </c>
      <c r="G566">
        <v>16.989999999999998</v>
      </c>
      <c r="H566">
        <v>67.959999999999994</v>
      </c>
      <c r="I566">
        <v>10.19</v>
      </c>
      <c r="J566">
        <v>57.77</v>
      </c>
      <c r="K566">
        <v>89</v>
      </c>
    </row>
    <row r="567" spans="1:11" x14ac:dyDescent="0.3">
      <c r="A567">
        <v>6654</v>
      </c>
      <c r="B567" t="s">
        <v>19</v>
      </c>
      <c r="C567" s="1">
        <v>45403</v>
      </c>
      <c r="D567" t="s">
        <v>38</v>
      </c>
      <c r="E567" t="s">
        <v>44</v>
      </c>
      <c r="F567">
        <v>3</v>
      </c>
      <c r="G567">
        <v>22.26</v>
      </c>
      <c r="H567">
        <v>66.78</v>
      </c>
      <c r="I567">
        <v>0</v>
      </c>
      <c r="J567">
        <v>66.78</v>
      </c>
      <c r="K567">
        <v>320</v>
      </c>
    </row>
    <row r="568" spans="1:11" x14ac:dyDescent="0.3">
      <c r="A568">
        <v>9903</v>
      </c>
      <c r="B568" t="s">
        <v>11</v>
      </c>
      <c r="C568" s="1">
        <v>45437</v>
      </c>
      <c r="D568" t="s">
        <v>12</v>
      </c>
      <c r="E568" t="s">
        <v>46</v>
      </c>
      <c r="F568">
        <v>1</v>
      </c>
      <c r="G568">
        <v>24.56</v>
      </c>
      <c r="H568">
        <v>24.56</v>
      </c>
      <c r="I568">
        <v>1.85</v>
      </c>
      <c r="J568">
        <v>22.71</v>
      </c>
      <c r="K568">
        <v>296</v>
      </c>
    </row>
    <row r="569" spans="1:11" x14ac:dyDescent="0.3">
      <c r="A569">
        <v>8460</v>
      </c>
      <c r="B569" t="s">
        <v>31</v>
      </c>
      <c r="C569" s="1">
        <v>45869</v>
      </c>
      <c r="D569" t="s">
        <v>38</v>
      </c>
      <c r="E569" t="s">
        <v>13</v>
      </c>
      <c r="F569">
        <v>5</v>
      </c>
      <c r="G569">
        <v>26.92</v>
      </c>
      <c r="H569">
        <v>134.6</v>
      </c>
      <c r="I569">
        <v>0</v>
      </c>
      <c r="J569">
        <v>134.6</v>
      </c>
      <c r="K569">
        <v>276</v>
      </c>
    </row>
    <row r="570" spans="1:11" x14ac:dyDescent="0.3">
      <c r="A570">
        <v>6272</v>
      </c>
      <c r="B570" t="s">
        <v>19</v>
      </c>
      <c r="C570" s="1">
        <v>45820</v>
      </c>
      <c r="D570" t="s">
        <v>22</v>
      </c>
      <c r="E570" t="s">
        <v>32</v>
      </c>
      <c r="F570">
        <v>2</v>
      </c>
      <c r="G570">
        <v>26.84</v>
      </c>
      <c r="H570">
        <v>53.68</v>
      </c>
      <c r="I570">
        <v>10.74</v>
      </c>
      <c r="J570">
        <v>42.94</v>
      </c>
      <c r="K570">
        <v>301</v>
      </c>
    </row>
    <row r="571" spans="1:11" x14ac:dyDescent="0.3">
      <c r="A571">
        <v>4090</v>
      </c>
      <c r="B571" t="s">
        <v>26</v>
      </c>
      <c r="C571" s="1">
        <v>45686</v>
      </c>
      <c r="D571" t="s">
        <v>38</v>
      </c>
      <c r="E571" t="s">
        <v>46</v>
      </c>
      <c r="F571">
        <v>1</v>
      </c>
      <c r="G571">
        <v>12.5</v>
      </c>
      <c r="H571">
        <v>12.5</v>
      </c>
      <c r="I571">
        <v>0</v>
      </c>
      <c r="J571">
        <v>12.5</v>
      </c>
      <c r="K571">
        <v>257</v>
      </c>
    </row>
    <row r="572" spans="1:11" x14ac:dyDescent="0.3">
      <c r="A572">
        <v>4912</v>
      </c>
      <c r="B572" t="s">
        <v>42</v>
      </c>
      <c r="C572" s="1">
        <v>45589</v>
      </c>
      <c r="D572" t="s">
        <v>28</v>
      </c>
      <c r="E572" t="s">
        <v>29</v>
      </c>
      <c r="F572">
        <v>5</v>
      </c>
      <c r="G572">
        <v>5.0599999999999996</v>
      </c>
      <c r="H572">
        <v>25.3</v>
      </c>
      <c r="I572">
        <v>4.79</v>
      </c>
      <c r="J572">
        <v>20.51</v>
      </c>
      <c r="K572">
        <v>81</v>
      </c>
    </row>
    <row r="573" spans="1:11" x14ac:dyDescent="0.3">
      <c r="A573">
        <v>7274</v>
      </c>
      <c r="B573" t="s">
        <v>19</v>
      </c>
      <c r="C573" s="1">
        <v>45326</v>
      </c>
      <c r="D573" t="s">
        <v>45</v>
      </c>
      <c r="E573" t="s">
        <v>23</v>
      </c>
      <c r="F573">
        <v>1</v>
      </c>
      <c r="G573">
        <v>7.34</v>
      </c>
      <c r="H573">
        <v>7.34</v>
      </c>
      <c r="I573">
        <v>2.06</v>
      </c>
      <c r="J573">
        <v>5.28</v>
      </c>
      <c r="K573">
        <v>249</v>
      </c>
    </row>
    <row r="574" spans="1:11" x14ac:dyDescent="0.3">
      <c r="A574">
        <v>7730</v>
      </c>
      <c r="B574" t="s">
        <v>42</v>
      </c>
      <c r="C574" s="1">
        <v>45178</v>
      </c>
      <c r="D574" t="s">
        <v>12</v>
      </c>
      <c r="E574" t="s">
        <v>44</v>
      </c>
      <c r="F574">
        <v>5</v>
      </c>
      <c r="G574">
        <v>27.31</v>
      </c>
      <c r="H574">
        <v>136.55000000000001</v>
      </c>
      <c r="I574">
        <v>13.66</v>
      </c>
      <c r="J574">
        <v>122.89</v>
      </c>
      <c r="K574">
        <v>184</v>
      </c>
    </row>
    <row r="575" spans="1:11" x14ac:dyDescent="0.3">
      <c r="A575">
        <v>6213</v>
      </c>
      <c r="B575" t="s">
        <v>26</v>
      </c>
      <c r="C575" s="1">
        <v>45723</v>
      </c>
      <c r="D575" t="s">
        <v>12</v>
      </c>
      <c r="E575" t="s">
        <v>40</v>
      </c>
      <c r="F575">
        <v>3</v>
      </c>
      <c r="G575">
        <v>3.98</v>
      </c>
      <c r="H575">
        <v>11.94</v>
      </c>
      <c r="I575">
        <v>0</v>
      </c>
      <c r="J575">
        <v>11.94</v>
      </c>
      <c r="K575">
        <v>495</v>
      </c>
    </row>
    <row r="576" spans="1:11" x14ac:dyDescent="0.3">
      <c r="A576">
        <v>8749</v>
      </c>
      <c r="B576" t="s">
        <v>30</v>
      </c>
      <c r="C576" s="1">
        <v>45692</v>
      </c>
      <c r="D576" t="s">
        <v>28</v>
      </c>
      <c r="E576" t="s">
        <v>18</v>
      </c>
      <c r="F576">
        <v>5</v>
      </c>
      <c r="G576">
        <v>6.03</v>
      </c>
      <c r="H576">
        <v>30.15</v>
      </c>
      <c r="I576">
        <v>4.5199999999999996</v>
      </c>
      <c r="J576">
        <v>25.63</v>
      </c>
      <c r="K576">
        <v>334</v>
      </c>
    </row>
    <row r="577" spans="1:11" x14ac:dyDescent="0.3">
      <c r="A577">
        <v>7246</v>
      </c>
      <c r="B577" t="s">
        <v>11</v>
      </c>
      <c r="C577" s="1">
        <v>45444</v>
      </c>
      <c r="D577" t="s">
        <v>38</v>
      </c>
      <c r="E577" t="s">
        <v>13</v>
      </c>
      <c r="F577">
        <v>4</v>
      </c>
      <c r="G577">
        <v>29.2</v>
      </c>
      <c r="H577">
        <v>116.8</v>
      </c>
      <c r="I577">
        <v>17.52</v>
      </c>
      <c r="J577">
        <v>99.28</v>
      </c>
      <c r="K577">
        <v>114</v>
      </c>
    </row>
    <row r="578" spans="1:11" x14ac:dyDescent="0.3">
      <c r="A578">
        <v>3492</v>
      </c>
      <c r="B578" t="s">
        <v>36</v>
      </c>
      <c r="C578" s="1">
        <v>45529</v>
      </c>
      <c r="D578" t="s">
        <v>45</v>
      </c>
      <c r="E578" t="s">
        <v>47</v>
      </c>
      <c r="F578">
        <v>5</v>
      </c>
      <c r="G578">
        <v>1.18</v>
      </c>
      <c r="H578">
        <v>5.9</v>
      </c>
      <c r="I578">
        <v>0.59</v>
      </c>
      <c r="J578">
        <v>5.31</v>
      </c>
      <c r="K578">
        <v>451</v>
      </c>
    </row>
    <row r="579" spans="1:11" x14ac:dyDescent="0.3">
      <c r="A579">
        <v>1606</v>
      </c>
      <c r="B579" t="s">
        <v>19</v>
      </c>
      <c r="C579" s="1">
        <v>45243</v>
      </c>
      <c r="D579" t="s">
        <v>17</v>
      </c>
      <c r="E579" t="s">
        <v>43</v>
      </c>
      <c r="F579">
        <v>5</v>
      </c>
      <c r="G579">
        <v>19.649999999999999</v>
      </c>
      <c r="H579">
        <v>98.25</v>
      </c>
      <c r="I579">
        <v>19.649999999999999</v>
      </c>
      <c r="J579">
        <v>78.599999999999994</v>
      </c>
      <c r="K579">
        <v>108</v>
      </c>
    </row>
    <row r="580" spans="1:11" x14ac:dyDescent="0.3">
      <c r="A580">
        <v>9229</v>
      </c>
      <c r="B580" t="s">
        <v>19</v>
      </c>
      <c r="C580" s="1">
        <v>45603</v>
      </c>
      <c r="D580" t="s">
        <v>22</v>
      </c>
      <c r="E580" t="s">
        <v>48</v>
      </c>
      <c r="F580">
        <v>2</v>
      </c>
      <c r="G580">
        <v>13.01</v>
      </c>
      <c r="H580">
        <v>26.02</v>
      </c>
      <c r="I580">
        <v>2.6</v>
      </c>
      <c r="J580">
        <v>23.42</v>
      </c>
      <c r="K580">
        <v>169</v>
      </c>
    </row>
    <row r="581" spans="1:11" x14ac:dyDescent="0.3">
      <c r="A581">
        <v>6439</v>
      </c>
      <c r="B581" t="s">
        <v>26</v>
      </c>
      <c r="C581" s="1">
        <v>45820</v>
      </c>
      <c r="D581" t="s">
        <v>45</v>
      </c>
      <c r="E581" t="s">
        <v>44</v>
      </c>
      <c r="F581">
        <v>5</v>
      </c>
      <c r="G581">
        <v>5.67</v>
      </c>
      <c r="H581">
        <v>28.35</v>
      </c>
      <c r="I581">
        <v>1.97</v>
      </c>
      <c r="J581">
        <v>26.38</v>
      </c>
      <c r="K581">
        <v>426</v>
      </c>
    </row>
    <row r="582" spans="1:11" x14ac:dyDescent="0.3">
      <c r="A582">
        <v>2644</v>
      </c>
      <c r="B582" t="s">
        <v>19</v>
      </c>
      <c r="C582" s="1">
        <v>45824</v>
      </c>
      <c r="D582" t="s">
        <v>28</v>
      </c>
      <c r="E582" t="s">
        <v>29</v>
      </c>
      <c r="F582">
        <v>2</v>
      </c>
      <c r="G582">
        <v>19.25</v>
      </c>
      <c r="H582">
        <v>38.5</v>
      </c>
      <c r="I582">
        <v>1.67</v>
      </c>
      <c r="J582">
        <v>36.83</v>
      </c>
      <c r="K582">
        <v>20</v>
      </c>
    </row>
    <row r="583" spans="1:11" x14ac:dyDescent="0.3">
      <c r="A583">
        <v>8213</v>
      </c>
      <c r="B583" t="s">
        <v>19</v>
      </c>
      <c r="C583" s="1">
        <v>45222</v>
      </c>
      <c r="D583" t="s">
        <v>38</v>
      </c>
      <c r="E583" t="s">
        <v>32</v>
      </c>
      <c r="F583">
        <v>5</v>
      </c>
      <c r="G583">
        <v>29.1</v>
      </c>
      <c r="H583">
        <v>145.5</v>
      </c>
      <c r="I583">
        <v>0</v>
      </c>
      <c r="J583">
        <v>145.5</v>
      </c>
      <c r="K583">
        <v>326</v>
      </c>
    </row>
    <row r="584" spans="1:11" x14ac:dyDescent="0.3">
      <c r="A584">
        <v>9617</v>
      </c>
      <c r="B584" t="s">
        <v>30</v>
      </c>
      <c r="C584" s="1">
        <v>45852</v>
      </c>
      <c r="D584" t="s">
        <v>15</v>
      </c>
      <c r="E584" t="s">
        <v>44</v>
      </c>
      <c r="F584">
        <v>4</v>
      </c>
      <c r="G584">
        <v>18.579999999999998</v>
      </c>
      <c r="H584">
        <v>74.319999999999993</v>
      </c>
      <c r="I584">
        <v>14.86</v>
      </c>
      <c r="J584">
        <v>59.46</v>
      </c>
      <c r="K584">
        <v>241</v>
      </c>
    </row>
    <row r="585" spans="1:11" x14ac:dyDescent="0.3">
      <c r="A585">
        <v>8486</v>
      </c>
      <c r="B585" t="s">
        <v>42</v>
      </c>
      <c r="C585" s="1">
        <v>45156</v>
      </c>
      <c r="D585" t="s">
        <v>20</v>
      </c>
      <c r="E585" t="s">
        <v>41</v>
      </c>
      <c r="F585">
        <v>5</v>
      </c>
      <c r="G585">
        <v>24.78</v>
      </c>
      <c r="H585">
        <v>123.9</v>
      </c>
      <c r="I585">
        <v>24.78</v>
      </c>
      <c r="J585">
        <v>99.12</v>
      </c>
      <c r="K585">
        <v>93</v>
      </c>
    </row>
    <row r="586" spans="1:11" x14ac:dyDescent="0.3">
      <c r="A586">
        <v>3361</v>
      </c>
      <c r="B586" t="s">
        <v>36</v>
      </c>
      <c r="C586" s="1">
        <v>45463</v>
      </c>
      <c r="D586" t="s">
        <v>45</v>
      </c>
      <c r="E586" t="s">
        <v>43</v>
      </c>
      <c r="F586">
        <v>2</v>
      </c>
      <c r="G586">
        <v>11.96</v>
      </c>
      <c r="H586">
        <v>23.92</v>
      </c>
      <c r="I586">
        <v>1.81</v>
      </c>
      <c r="J586">
        <v>22.11</v>
      </c>
      <c r="K586">
        <v>67</v>
      </c>
    </row>
    <row r="587" spans="1:11" x14ac:dyDescent="0.3">
      <c r="A587">
        <v>3529</v>
      </c>
      <c r="B587" t="s">
        <v>14</v>
      </c>
      <c r="C587" s="1">
        <v>45203</v>
      </c>
      <c r="D587" t="s">
        <v>27</v>
      </c>
      <c r="E587" t="s">
        <v>16</v>
      </c>
      <c r="F587">
        <v>2</v>
      </c>
      <c r="G587">
        <v>18.55</v>
      </c>
      <c r="H587">
        <v>37.1</v>
      </c>
      <c r="I587">
        <v>3.4</v>
      </c>
      <c r="J587">
        <v>33.700000000000003</v>
      </c>
      <c r="K587">
        <v>90</v>
      </c>
    </row>
    <row r="588" spans="1:11" x14ac:dyDescent="0.3">
      <c r="A588">
        <v>8692</v>
      </c>
      <c r="B588" t="s">
        <v>14</v>
      </c>
      <c r="C588" s="1">
        <v>45752</v>
      </c>
      <c r="D588" t="s">
        <v>38</v>
      </c>
      <c r="E588" t="s">
        <v>48</v>
      </c>
      <c r="F588">
        <v>1</v>
      </c>
      <c r="G588">
        <v>14.97</v>
      </c>
      <c r="H588">
        <v>14.97</v>
      </c>
      <c r="I588">
        <v>0</v>
      </c>
      <c r="J588">
        <v>14.97</v>
      </c>
      <c r="K588">
        <v>66</v>
      </c>
    </row>
    <row r="589" spans="1:11" x14ac:dyDescent="0.3">
      <c r="A589">
        <v>5342</v>
      </c>
      <c r="B589" t="s">
        <v>24</v>
      </c>
      <c r="C589" s="1">
        <v>45407</v>
      </c>
      <c r="D589" t="s">
        <v>38</v>
      </c>
      <c r="E589" t="s">
        <v>16</v>
      </c>
      <c r="F589">
        <v>3</v>
      </c>
      <c r="G589">
        <v>26.36</v>
      </c>
      <c r="H589">
        <v>79.08</v>
      </c>
      <c r="I589">
        <v>15.82</v>
      </c>
      <c r="J589">
        <v>63.26</v>
      </c>
      <c r="K589">
        <v>357</v>
      </c>
    </row>
    <row r="590" spans="1:11" x14ac:dyDescent="0.3">
      <c r="A590">
        <v>7512</v>
      </c>
      <c r="B590" t="s">
        <v>26</v>
      </c>
      <c r="C590" s="1">
        <v>45649</v>
      </c>
      <c r="D590" t="s">
        <v>20</v>
      </c>
      <c r="E590" t="s">
        <v>23</v>
      </c>
      <c r="F590">
        <v>5</v>
      </c>
      <c r="G590">
        <v>24.32</v>
      </c>
      <c r="H590">
        <v>121.6</v>
      </c>
      <c r="I590">
        <v>12.16</v>
      </c>
      <c r="J590">
        <v>109.44</v>
      </c>
      <c r="K590">
        <v>464</v>
      </c>
    </row>
    <row r="591" spans="1:11" x14ac:dyDescent="0.3">
      <c r="A591">
        <v>2315</v>
      </c>
      <c r="B591" t="s">
        <v>19</v>
      </c>
      <c r="C591" s="1">
        <v>45806</v>
      </c>
      <c r="D591" t="s">
        <v>35</v>
      </c>
      <c r="E591" t="s">
        <v>47</v>
      </c>
      <c r="F591">
        <v>2</v>
      </c>
      <c r="G591">
        <v>27.38</v>
      </c>
      <c r="H591">
        <v>54.76</v>
      </c>
      <c r="I591">
        <v>4.51</v>
      </c>
      <c r="J591">
        <v>50.25</v>
      </c>
      <c r="K591">
        <v>42</v>
      </c>
    </row>
    <row r="592" spans="1:11" x14ac:dyDescent="0.3">
      <c r="A592">
        <v>6383</v>
      </c>
      <c r="B592" t="s">
        <v>24</v>
      </c>
      <c r="C592" s="1">
        <v>45807</v>
      </c>
      <c r="D592" t="s">
        <v>35</v>
      </c>
      <c r="E592" t="s">
        <v>44</v>
      </c>
      <c r="F592">
        <v>1</v>
      </c>
      <c r="G592">
        <v>21.56</v>
      </c>
      <c r="H592">
        <v>21.56</v>
      </c>
      <c r="I592">
        <v>3.09</v>
      </c>
      <c r="J592">
        <v>18.47</v>
      </c>
      <c r="K592">
        <v>404</v>
      </c>
    </row>
    <row r="593" spans="1:11" x14ac:dyDescent="0.3">
      <c r="A593">
        <v>9742</v>
      </c>
      <c r="B593" t="s">
        <v>14</v>
      </c>
      <c r="C593" s="1">
        <v>45440</v>
      </c>
      <c r="D593" t="s">
        <v>12</v>
      </c>
      <c r="E593" t="s">
        <v>32</v>
      </c>
      <c r="F593">
        <v>2</v>
      </c>
      <c r="G593">
        <v>20.94</v>
      </c>
      <c r="H593">
        <v>41.88</v>
      </c>
      <c r="I593">
        <v>6.28</v>
      </c>
      <c r="J593">
        <v>35.6</v>
      </c>
      <c r="K593">
        <v>161</v>
      </c>
    </row>
    <row r="594" spans="1:11" x14ac:dyDescent="0.3">
      <c r="A594">
        <v>6188</v>
      </c>
      <c r="B594" t="s">
        <v>11</v>
      </c>
      <c r="C594" s="1">
        <v>45631</v>
      </c>
      <c r="D594" t="s">
        <v>34</v>
      </c>
      <c r="E594" t="s">
        <v>16</v>
      </c>
      <c r="F594">
        <v>5</v>
      </c>
      <c r="G594">
        <v>8.35</v>
      </c>
      <c r="H594">
        <v>41.75</v>
      </c>
      <c r="I594">
        <v>2.46</v>
      </c>
      <c r="J594">
        <v>39.29</v>
      </c>
      <c r="K594">
        <v>437</v>
      </c>
    </row>
    <row r="595" spans="1:11" x14ac:dyDescent="0.3">
      <c r="A595">
        <v>8994</v>
      </c>
      <c r="B595" t="s">
        <v>30</v>
      </c>
      <c r="C595" s="1">
        <v>45822</v>
      </c>
      <c r="D595" t="s">
        <v>27</v>
      </c>
      <c r="E595" t="s">
        <v>32</v>
      </c>
      <c r="F595">
        <v>2</v>
      </c>
      <c r="G595">
        <v>12.97</v>
      </c>
      <c r="H595">
        <v>25.94</v>
      </c>
      <c r="I595">
        <v>5.19</v>
      </c>
      <c r="J595">
        <v>20.75</v>
      </c>
      <c r="K595">
        <v>401</v>
      </c>
    </row>
    <row r="596" spans="1:11" x14ac:dyDescent="0.3">
      <c r="A596">
        <v>9864</v>
      </c>
      <c r="B596" t="s">
        <v>36</v>
      </c>
      <c r="C596" s="1">
        <v>45172</v>
      </c>
      <c r="D596" t="s">
        <v>38</v>
      </c>
      <c r="E596" t="s">
        <v>18</v>
      </c>
      <c r="F596">
        <v>4</v>
      </c>
      <c r="G596">
        <v>8.35</v>
      </c>
      <c r="H596">
        <v>33.4</v>
      </c>
      <c r="I596">
        <v>0</v>
      </c>
      <c r="J596">
        <v>33.4</v>
      </c>
      <c r="K596">
        <v>157</v>
      </c>
    </row>
    <row r="597" spans="1:11" x14ac:dyDescent="0.3">
      <c r="A597">
        <v>2121</v>
      </c>
      <c r="B597" t="s">
        <v>24</v>
      </c>
      <c r="C597" s="1">
        <v>45327</v>
      </c>
      <c r="D597" t="s">
        <v>34</v>
      </c>
      <c r="E597" t="s">
        <v>48</v>
      </c>
      <c r="F597">
        <v>2</v>
      </c>
      <c r="G597">
        <v>13.94</v>
      </c>
      <c r="H597">
        <v>27.88</v>
      </c>
      <c r="I597">
        <v>1.86</v>
      </c>
      <c r="J597">
        <v>26.02</v>
      </c>
      <c r="K597">
        <v>358</v>
      </c>
    </row>
    <row r="598" spans="1:11" x14ac:dyDescent="0.3">
      <c r="A598">
        <v>5708</v>
      </c>
      <c r="B598" t="s">
        <v>24</v>
      </c>
      <c r="C598" s="1">
        <v>45321</v>
      </c>
      <c r="D598" t="s">
        <v>22</v>
      </c>
      <c r="E598" t="s">
        <v>18</v>
      </c>
      <c r="F598">
        <v>5</v>
      </c>
      <c r="G598">
        <v>21.2</v>
      </c>
      <c r="H598">
        <v>106</v>
      </c>
      <c r="I598">
        <v>21.2</v>
      </c>
      <c r="J598">
        <v>84.8</v>
      </c>
      <c r="K598">
        <v>361</v>
      </c>
    </row>
    <row r="599" spans="1:11" x14ac:dyDescent="0.3">
      <c r="A599">
        <v>2480</v>
      </c>
      <c r="B599" t="s">
        <v>24</v>
      </c>
      <c r="C599" s="1">
        <v>45482</v>
      </c>
      <c r="D599" t="s">
        <v>27</v>
      </c>
      <c r="E599" t="s">
        <v>39</v>
      </c>
      <c r="F599">
        <v>1</v>
      </c>
      <c r="G599">
        <v>24.86</v>
      </c>
      <c r="H599">
        <v>24.86</v>
      </c>
      <c r="I599">
        <v>1.26</v>
      </c>
      <c r="J599">
        <v>23.6</v>
      </c>
      <c r="K599">
        <v>241</v>
      </c>
    </row>
    <row r="600" spans="1:11" x14ac:dyDescent="0.3">
      <c r="A600">
        <v>2612</v>
      </c>
      <c r="B600" t="s">
        <v>42</v>
      </c>
      <c r="C600" s="1">
        <v>45735</v>
      </c>
      <c r="D600" t="s">
        <v>22</v>
      </c>
      <c r="E600" t="s">
        <v>43</v>
      </c>
      <c r="F600">
        <v>5</v>
      </c>
      <c r="G600">
        <v>2.08</v>
      </c>
      <c r="H600">
        <v>10.4</v>
      </c>
      <c r="I600">
        <v>3.62</v>
      </c>
      <c r="J600">
        <v>6.78</v>
      </c>
      <c r="K600">
        <v>196</v>
      </c>
    </row>
    <row r="601" spans="1:11" x14ac:dyDescent="0.3">
      <c r="A601">
        <v>2646</v>
      </c>
      <c r="B601" t="s">
        <v>30</v>
      </c>
      <c r="C601" s="1">
        <v>45489</v>
      </c>
      <c r="D601" t="s">
        <v>28</v>
      </c>
      <c r="E601" t="s">
        <v>40</v>
      </c>
      <c r="F601">
        <v>2</v>
      </c>
      <c r="G601">
        <v>19.559999999999999</v>
      </c>
      <c r="H601">
        <v>39.119999999999997</v>
      </c>
      <c r="I601">
        <v>7.82</v>
      </c>
      <c r="J601">
        <v>31.3</v>
      </c>
      <c r="K601">
        <v>224</v>
      </c>
    </row>
    <row r="602" spans="1:11" x14ac:dyDescent="0.3">
      <c r="A602">
        <v>3725</v>
      </c>
      <c r="B602" t="s">
        <v>14</v>
      </c>
      <c r="C602" s="1">
        <v>45684</v>
      </c>
      <c r="D602" t="s">
        <v>35</v>
      </c>
      <c r="E602" t="s">
        <v>44</v>
      </c>
      <c r="F602">
        <v>1</v>
      </c>
      <c r="G602">
        <v>23.72</v>
      </c>
      <c r="H602">
        <v>23.72</v>
      </c>
      <c r="I602">
        <v>1.68</v>
      </c>
      <c r="J602">
        <v>22.04</v>
      </c>
      <c r="K602">
        <v>261</v>
      </c>
    </row>
    <row r="603" spans="1:11" x14ac:dyDescent="0.3">
      <c r="A603">
        <v>5906</v>
      </c>
      <c r="B603" t="s">
        <v>31</v>
      </c>
      <c r="C603" s="1">
        <v>45846</v>
      </c>
      <c r="D603" t="s">
        <v>22</v>
      </c>
      <c r="E603" t="s">
        <v>25</v>
      </c>
      <c r="F603">
        <v>1</v>
      </c>
      <c r="G603">
        <v>29.28</v>
      </c>
      <c r="H603">
        <v>29.28</v>
      </c>
      <c r="I603">
        <v>2.93</v>
      </c>
      <c r="J603">
        <v>26.35</v>
      </c>
      <c r="K603">
        <v>44</v>
      </c>
    </row>
    <row r="604" spans="1:11" x14ac:dyDescent="0.3">
      <c r="A604">
        <v>1474</v>
      </c>
      <c r="B604" t="s">
        <v>36</v>
      </c>
      <c r="C604" s="1">
        <v>45180</v>
      </c>
      <c r="D604" t="s">
        <v>27</v>
      </c>
      <c r="E604" t="s">
        <v>32</v>
      </c>
      <c r="F604">
        <v>4</v>
      </c>
      <c r="G604">
        <v>17.989999999999998</v>
      </c>
      <c r="H604">
        <v>71.959999999999994</v>
      </c>
      <c r="I604">
        <v>0</v>
      </c>
      <c r="J604">
        <v>71.959999999999994</v>
      </c>
      <c r="K604">
        <v>265</v>
      </c>
    </row>
    <row r="605" spans="1:11" x14ac:dyDescent="0.3">
      <c r="A605">
        <v>6314</v>
      </c>
      <c r="B605" t="s">
        <v>11</v>
      </c>
      <c r="C605" s="1">
        <v>45763</v>
      </c>
      <c r="D605" t="s">
        <v>15</v>
      </c>
      <c r="E605" t="s">
        <v>18</v>
      </c>
      <c r="F605">
        <v>3</v>
      </c>
      <c r="G605">
        <v>22.05</v>
      </c>
      <c r="H605">
        <v>66.150000000000006</v>
      </c>
      <c r="I605">
        <v>9.92</v>
      </c>
      <c r="J605">
        <v>56.23</v>
      </c>
      <c r="K605">
        <v>286</v>
      </c>
    </row>
    <row r="606" spans="1:11" x14ac:dyDescent="0.3">
      <c r="A606">
        <v>1919</v>
      </c>
      <c r="C606" s="1">
        <v>45372</v>
      </c>
      <c r="D606" t="s">
        <v>17</v>
      </c>
      <c r="E606" t="s">
        <v>44</v>
      </c>
      <c r="F606">
        <v>4</v>
      </c>
      <c r="G606">
        <v>27.95</v>
      </c>
      <c r="H606">
        <v>111.8</v>
      </c>
      <c r="I606">
        <v>16.77</v>
      </c>
      <c r="J606">
        <v>95.03</v>
      </c>
      <c r="K606">
        <v>294</v>
      </c>
    </row>
    <row r="607" spans="1:11" x14ac:dyDescent="0.3">
      <c r="A607">
        <v>6873</v>
      </c>
      <c r="B607" t="s">
        <v>19</v>
      </c>
      <c r="C607" s="1">
        <v>45436</v>
      </c>
      <c r="D607" t="s">
        <v>20</v>
      </c>
      <c r="E607" t="s">
        <v>46</v>
      </c>
      <c r="F607">
        <v>1</v>
      </c>
      <c r="G607">
        <v>17.190000000000001</v>
      </c>
      <c r="H607">
        <v>17.190000000000001</v>
      </c>
      <c r="I607">
        <v>2.58</v>
      </c>
      <c r="J607">
        <v>14.61</v>
      </c>
      <c r="K607">
        <v>257</v>
      </c>
    </row>
    <row r="608" spans="1:11" x14ac:dyDescent="0.3">
      <c r="A608">
        <v>8056</v>
      </c>
      <c r="B608" t="s">
        <v>11</v>
      </c>
      <c r="C608" s="1">
        <v>45258</v>
      </c>
      <c r="D608" t="s">
        <v>38</v>
      </c>
      <c r="E608" t="s">
        <v>13</v>
      </c>
      <c r="F608">
        <v>5</v>
      </c>
      <c r="G608">
        <v>24.57</v>
      </c>
      <c r="H608">
        <v>122.85</v>
      </c>
      <c r="I608">
        <v>0</v>
      </c>
      <c r="J608">
        <v>122.85</v>
      </c>
      <c r="K608">
        <v>294</v>
      </c>
    </row>
    <row r="609" spans="1:11" x14ac:dyDescent="0.3">
      <c r="A609">
        <v>5000</v>
      </c>
      <c r="B609" t="s">
        <v>26</v>
      </c>
      <c r="C609" s="1">
        <v>45557</v>
      </c>
      <c r="D609" t="s">
        <v>20</v>
      </c>
      <c r="E609" t="s">
        <v>47</v>
      </c>
      <c r="F609">
        <v>2</v>
      </c>
      <c r="G609">
        <v>22.96</v>
      </c>
      <c r="H609">
        <v>45.92</v>
      </c>
      <c r="I609">
        <v>0</v>
      </c>
      <c r="J609">
        <v>45.92</v>
      </c>
      <c r="K609">
        <v>492</v>
      </c>
    </row>
    <row r="610" spans="1:11" x14ac:dyDescent="0.3">
      <c r="A610">
        <v>7751</v>
      </c>
      <c r="B610" t="s">
        <v>26</v>
      </c>
      <c r="C610" s="1">
        <v>45584</v>
      </c>
      <c r="D610" t="s">
        <v>28</v>
      </c>
      <c r="E610" t="s">
        <v>39</v>
      </c>
      <c r="F610">
        <v>4</v>
      </c>
      <c r="G610">
        <v>4.3600000000000003</v>
      </c>
      <c r="H610">
        <v>17.440000000000001</v>
      </c>
      <c r="I610">
        <v>0</v>
      </c>
      <c r="J610">
        <v>17.440000000000001</v>
      </c>
      <c r="K610">
        <v>34</v>
      </c>
    </row>
    <row r="611" spans="1:11" x14ac:dyDescent="0.3">
      <c r="A611">
        <v>3950</v>
      </c>
      <c r="B611" t="s">
        <v>42</v>
      </c>
      <c r="C611" s="1">
        <v>45277</v>
      </c>
      <c r="D611" t="s">
        <v>27</v>
      </c>
      <c r="E611" t="s">
        <v>25</v>
      </c>
      <c r="F611">
        <v>3</v>
      </c>
      <c r="G611">
        <v>12.95</v>
      </c>
      <c r="H611">
        <v>38.85</v>
      </c>
      <c r="I611">
        <v>0</v>
      </c>
      <c r="J611">
        <v>38.85</v>
      </c>
      <c r="K611">
        <v>180</v>
      </c>
    </row>
    <row r="612" spans="1:11" x14ac:dyDescent="0.3">
      <c r="A612">
        <v>3868</v>
      </c>
      <c r="B612" t="s">
        <v>30</v>
      </c>
      <c r="C612" s="1">
        <v>45206</v>
      </c>
      <c r="D612" t="s">
        <v>17</v>
      </c>
      <c r="E612" t="s">
        <v>37</v>
      </c>
      <c r="F612">
        <v>1</v>
      </c>
      <c r="G612">
        <v>12.56</v>
      </c>
      <c r="H612">
        <v>12.56</v>
      </c>
      <c r="I612">
        <v>3.22</v>
      </c>
      <c r="J612">
        <v>9.34</v>
      </c>
      <c r="K612">
        <v>383</v>
      </c>
    </row>
    <row r="613" spans="1:11" x14ac:dyDescent="0.3">
      <c r="A613">
        <v>7267</v>
      </c>
      <c r="B613" t="s">
        <v>19</v>
      </c>
      <c r="C613" s="1">
        <v>45626</v>
      </c>
      <c r="D613" t="s">
        <v>45</v>
      </c>
      <c r="E613" t="s">
        <v>21</v>
      </c>
      <c r="F613">
        <v>3</v>
      </c>
      <c r="G613">
        <v>7.33</v>
      </c>
      <c r="H613">
        <v>21.99</v>
      </c>
      <c r="I613">
        <v>4.4000000000000004</v>
      </c>
      <c r="J613">
        <v>17.59</v>
      </c>
      <c r="K613">
        <v>293</v>
      </c>
    </row>
    <row r="614" spans="1:11" x14ac:dyDescent="0.3">
      <c r="A614">
        <v>4945</v>
      </c>
      <c r="B614" t="s">
        <v>42</v>
      </c>
      <c r="C614" s="1">
        <v>45531</v>
      </c>
      <c r="D614" t="s">
        <v>45</v>
      </c>
      <c r="E614" t="s">
        <v>44</v>
      </c>
      <c r="F614">
        <v>2</v>
      </c>
      <c r="G614">
        <v>22.32</v>
      </c>
      <c r="H614">
        <v>44.64</v>
      </c>
      <c r="I614">
        <v>8.93</v>
      </c>
      <c r="J614">
        <v>35.71</v>
      </c>
      <c r="K614">
        <v>446</v>
      </c>
    </row>
    <row r="615" spans="1:11" x14ac:dyDescent="0.3">
      <c r="A615">
        <v>3344</v>
      </c>
      <c r="B615" t="s">
        <v>42</v>
      </c>
      <c r="C615" s="1">
        <v>45325</v>
      </c>
      <c r="D615" t="s">
        <v>17</v>
      </c>
      <c r="E615" t="s">
        <v>25</v>
      </c>
      <c r="F615">
        <v>5</v>
      </c>
      <c r="G615">
        <v>11.31</v>
      </c>
      <c r="H615">
        <v>56.55</v>
      </c>
      <c r="I615">
        <v>4.68</v>
      </c>
      <c r="J615">
        <v>51.87</v>
      </c>
      <c r="K615">
        <v>398</v>
      </c>
    </row>
    <row r="616" spans="1:11" x14ac:dyDescent="0.3">
      <c r="A616">
        <v>8555</v>
      </c>
      <c r="B616" t="s">
        <v>26</v>
      </c>
      <c r="C616" s="1">
        <v>45640</v>
      </c>
      <c r="D616" t="s">
        <v>28</v>
      </c>
      <c r="E616" t="s">
        <v>39</v>
      </c>
      <c r="F616">
        <v>5</v>
      </c>
      <c r="G616">
        <v>28.77</v>
      </c>
      <c r="H616">
        <v>143.85</v>
      </c>
      <c r="I616">
        <v>21.58</v>
      </c>
      <c r="J616">
        <v>122.27</v>
      </c>
      <c r="K616">
        <v>434</v>
      </c>
    </row>
    <row r="617" spans="1:11" x14ac:dyDescent="0.3">
      <c r="A617">
        <v>5161</v>
      </c>
      <c r="B617" t="s">
        <v>36</v>
      </c>
      <c r="C617" s="1">
        <v>45501</v>
      </c>
      <c r="D617" t="s">
        <v>45</v>
      </c>
      <c r="E617" t="s">
        <v>13</v>
      </c>
      <c r="F617">
        <v>4</v>
      </c>
      <c r="G617">
        <v>6.29</v>
      </c>
      <c r="H617">
        <v>25.16</v>
      </c>
      <c r="I617">
        <v>2.52</v>
      </c>
      <c r="J617">
        <v>22.64</v>
      </c>
      <c r="K617">
        <v>391</v>
      </c>
    </row>
    <row r="618" spans="1:11" x14ac:dyDescent="0.3">
      <c r="A618">
        <v>5183</v>
      </c>
      <c r="B618" t="s">
        <v>42</v>
      </c>
      <c r="C618" s="1">
        <v>45662</v>
      </c>
      <c r="D618" t="s">
        <v>28</v>
      </c>
      <c r="E618" t="s">
        <v>41</v>
      </c>
      <c r="F618">
        <v>1</v>
      </c>
      <c r="G618">
        <v>16.239999999999998</v>
      </c>
      <c r="H618">
        <v>16.239999999999998</v>
      </c>
      <c r="I618">
        <v>1.1299999999999999</v>
      </c>
      <c r="J618">
        <v>15.11</v>
      </c>
      <c r="K618">
        <v>216</v>
      </c>
    </row>
    <row r="619" spans="1:11" x14ac:dyDescent="0.3">
      <c r="A619">
        <v>1153</v>
      </c>
      <c r="B619" t="s">
        <v>36</v>
      </c>
      <c r="C619" s="1">
        <v>45843</v>
      </c>
      <c r="D619" t="s">
        <v>20</v>
      </c>
      <c r="E619" t="s">
        <v>29</v>
      </c>
      <c r="F619">
        <v>4</v>
      </c>
      <c r="G619">
        <v>29.31</v>
      </c>
      <c r="H619">
        <v>117.24</v>
      </c>
      <c r="I619">
        <v>17.59</v>
      </c>
      <c r="J619">
        <v>99.65</v>
      </c>
      <c r="K619">
        <v>357</v>
      </c>
    </row>
    <row r="620" spans="1:11" x14ac:dyDescent="0.3">
      <c r="A620">
        <v>8622</v>
      </c>
      <c r="B620" t="s">
        <v>31</v>
      </c>
      <c r="C620" s="1">
        <v>45844</v>
      </c>
      <c r="D620" t="s">
        <v>12</v>
      </c>
      <c r="E620" t="s">
        <v>44</v>
      </c>
      <c r="F620">
        <v>4</v>
      </c>
      <c r="G620">
        <v>17.84</v>
      </c>
      <c r="H620">
        <v>71.36</v>
      </c>
      <c r="I620">
        <v>4.45</v>
      </c>
      <c r="J620">
        <v>66.91</v>
      </c>
      <c r="K620">
        <v>166</v>
      </c>
    </row>
    <row r="621" spans="1:11" x14ac:dyDescent="0.3">
      <c r="A621">
        <v>5712</v>
      </c>
      <c r="B621" t="s">
        <v>19</v>
      </c>
      <c r="C621" s="1">
        <v>45671</v>
      </c>
      <c r="D621" t="s">
        <v>38</v>
      </c>
      <c r="E621" t="s">
        <v>13</v>
      </c>
      <c r="F621">
        <v>2</v>
      </c>
      <c r="G621">
        <v>8.8000000000000007</v>
      </c>
      <c r="H621">
        <v>17.600000000000001</v>
      </c>
      <c r="I621">
        <v>2.64</v>
      </c>
      <c r="J621">
        <v>14.96</v>
      </c>
      <c r="K621">
        <v>490</v>
      </c>
    </row>
    <row r="622" spans="1:11" x14ac:dyDescent="0.3">
      <c r="A622">
        <v>9955</v>
      </c>
      <c r="B622" t="s">
        <v>19</v>
      </c>
      <c r="C622" s="1">
        <v>45267</v>
      </c>
      <c r="D622" t="s">
        <v>45</v>
      </c>
      <c r="E622" t="s">
        <v>16</v>
      </c>
      <c r="F622">
        <v>2</v>
      </c>
      <c r="G622">
        <v>13.14</v>
      </c>
      <c r="H622">
        <v>26.28</v>
      </c>
      <c r="I622">
        <v>3.94</v>
      </c>
      <c r="J622">
        <v>22.34</v>
      </c>
      <c r="K622">
        <v>385</v>
      </c>
    </row>
    <row r="623" spans="1:11" x14ac:dyDescent="0.3">
      <c r="A623">
        <v>2210</v>
      </c>
      <c r="B623" t="s">
        <v>24</v>
      </c>
      <c r="C623" s="1">
        <v>45488</v>
      </c>
      <c r="D623" t="s">
        <v>35</v>
      </c>
      <c r="E623" t="s">
        <v>33</v>
      </c>
      <c r="F623">
        <v>2</v>
      </c>
      <c r="G623">
        <v>17.559999999999999</v>
      </c>
      <c r="H623">
        <v>35.119999999999997</v>
      </c>
      <c r="I623">
        <v>3.88</v>
      </c>
      <c r="J623">
        <v>31.24</v>
      </c>
      <c r="K623">
        <v>294</v>
      </c>
    </row>
    <row r="624" spans="1:11" x14ac:dyDescent="0.3">
      <c r="A624">
        <v>6661</v>
      </c>
      <c r="B624" t="s">
        <v>42</v>
      </c>
      <c r="C624" s="1">
        <v>45601</v>
      </c>
      <c r="D624" t="s">
        <v>38</v>
      </c>
      <c r="E624" t="s">
        <v>16</v>
      </c>
      <c r="F624">
        <v>4</v>
      </c>
      <c r="G624">
        <v>6.68</v>
      </c>
      <c r="H624">
        <v>26.72</v>
      </c>
      <c r="I624">
        <v>2.67</v>
      </c>
      <c r="J624">
        <v>24.05</v>
      </c>
      <c r="K624">
        <v>409</v>
      </c>
    </row>
    <row r="625" spans="1:11" x14ac:dyDescent="0.3">
      <c r="A625">
        <v>5901</v>
      </c>
      <c r="B625" t="s">
        <v>31</v>
      </c>
      <c r="C625" s="1">
        <v>45641</v>
      </c>
      <c r="D625" t="s">
        <v>34</v>
      </c>
      <c r="E625" t="s">
        <v>16</v>
      </c>
      <c r="F625">
        <v>4</v>
      </c>
      <c r="G625">
        <v>4.8899999999999997</v>
      </c>
      <c r="H625">
        <v>19.559999999999999</v>
      </c>
      <c r="I625">
        <v>1.96</v>
      </c>
      <c r="J625">
        <v>17.600000000000001</v>
      </c>
      <c r="K625">
        <v>457</v>
      </c>
    </row>
    <row r="626" spans="1:11" x14ac:dyDescent="0.3">
      <c r="A626">
        <v>7951</v>
      </c>
      <c r="B626" t="s">
        <v>30</v>
      </c>
      <c r="C626" s="1">
        <v>45681</v>
      </c>
      <c r="D626" t="s">
        <v>35</v>
      </c>
      <c r="E626" t="s">
        <v>18</v>
      </c>
      <c r="F626">
        <v>5</v>
      </c>
      <c r="G626">
        <v>2.37</v>
      </c>
      <c r="H626">
        <v>11.85</v>
      </c>
      <c r="I626">
        <v>1.86</v>
      </c>
      <c r="J626">
        <v>9.99</v>
      </c>
      <c r="K626">
        <v>50</v>
      </c>
    </row>
    <row r="627" spans="1:11" x14ac:dyDescent="0.3">
      <c r="A627">
        <v>5097</v>
      </c>
      <c r="B627" t="s">
        <v>30</v>
      </c>
      <c r="C627" s="1">
        <v>45499</v>
      </c>
      <c r="D627" t="s">
        <v>45</v>
      </c>
      <c r="E627" t="s">
        <v>48</v>
      </c>
      <c r="F627">
        <v>4</v>
      </c>
      <c r="G627">
        <v>22.58</v>
      </c>
      <c r="H627">
        <v>90.32</v>
      </c>
      <c r="I627">
        <v>13.55</v>
      </c>
      <c r="J627">
        <v>76.77</v>
      </c>
      <c r="K627">
        <v>133</v>
      </c>
    </row>
    <row r="628" spans="1:11" x14ac:dyDescent="0.3">
      <c r="A628">
        <v>5949</v>
      </c>
      <c r="B628" t="s">
        <v>14</v>
      </c>
      <c r="C628" s="1">
        <v>45299</v>
      </c>
      <c r="D628" t="s">
        <v>38</v>
      </c>
      <c r="E628" t="s">
        <v>13</v>
      </c>
      <c r="F628">
        <v>3</v>
      </c>
      <c r="G628">
        <v>1.57</v>
      </c>
      <c r="H628">
        <v>4.71</v>
      </c>
      <c r="I628">
        <v>0</v>
      </c>
      <c r="J628">
        <v>4.71</v>
      </c>
      <c r="K628">
        <v>62</v>
      </c>
    </row>
    <row r="629" spans="1:11" x14ac:dyDescent="0.3">
      <c r="A629">
        <v>7302</v>
      </c>
      <c r="B629" t="s">
        <v>42</v>
      </c>
      <c r="C629" s="1">
        <v>45807</v>
      </c>
      <c r="D629" t="s">
        <v>28</v>
      </c>
      <c r="E629" t="s">
        <v>18</v>
      </c>
      <c r="F629">
        <v>2</v>
      </c>
      <c r="G629">
        <v>29.39</v>
      </c>
      <c r="H629">
        <v>58.78</v>
      </c>
      <c r="I629">
        <v>8.82</v>
      </c>
      <c r="J629">
        <v>49.96</v>
      </c>
      <c r="K629">
        <v>145</v>
      </c>
    </row>
    <row r="630" spans="1:11" x14ac:dyDescent="0.3">
      <c r="A630">
        <v>8916</v>
      </c>
      <c r="B630" t="s">
        <v>14</v>
      </c>
      <c r="C630" s="1">
        <v>45227</v>
      </c>
      <c r="D630" t="s">
        <v>45</v>
      </c>
      <c r="E630" t="s">
        <v>33</v>
      </c>
      <c r="F630">
        <v>1</v>
      </c>
      <c r="G630">
        <v>12.04</v>
      </c>
      <c r="H630">
        <v>12.04</v>
      </c>
      <c r="I630">
        <v>0</v>
      </c>
      <c r="J630">
        <v>12.04</v>
      </c>
      <c r="K630">
        <v>146</v>
      </c>
    </row>
    <row r="631" spans="1:11" x14ac:dyDescent="0.3">
      <c r="A631">
        <v>4886</v>
      </c>
      <c r="B631" t="s">
        <v>19</v>
      </c>
      <c r="C631" s="1">
        <v>45441</v>
      </c>
      <c r="D631" t="s">
        <v>34</v>
      </c>
      <c r="E631" t="s">
        <v>21</v>
      </c>
      <c r="F631">
        <v>4</v>
      </c>
      <c r="G631">
        <v>19.3</v>
      </c>
      <c r="H631">
        <v>77.2</v>
      </c>
      <c r="I631">
        <v>1.32</v>
      </c>
      <c r="J631">
        <v>75.88</v>
      </c>
      <c r="K631">
        <v>292</v>
      </c>
    </row>
    <row r="632" spans="1:11" x14ac:dyDescent="0.3">
      <c r="A632">
        <v>6881</v>
      </c>
      <c r="B632" t="s">
        <v>36</v>
      </c>
      <c r="C632" s="1">
        <v>45591</v>
      </c>
      <c r="D632" t="s">
        <v>17</v>
      </c>
      <c r="E632" t="s">
        <v>21</v>
      </c>
      <c r="F632">
        <v>3</v>
      </c>
      <c r="G632">
        <v>19.93</v>
      </c>
      <c r="H632">
        <v>59.79</v>
      </c>
      <c r="I632">
        <v>3.58</v>
      </c>
      <c r="J632">
        <v>56.21</v>
      </c>
      <c r="K632">
        <v>363</v>
      </c>
    </row>
    <row r="633" spans="1:11" x14ac:dyDescent="0.3">
      <c r="A633">
        <v>5847</v>
      </c>
      <c r="B633" t="s">
        <v>30</v>
      </c>
      <c r="C633" s="1">
        <v>45688</v>
      </c>
      <c r="D633" t="s">
        <v>45</v>
      </c>
      <c r="E633" t="s">
        <v>23</v>
      </c>
      <c r="F633">
        <v>5</v>
      </c>
      <c r="G633">
        <v>16.100000000000001</v>
      </c>
      <c r="H633">
        <v>80.5</v>
      </c>
      <c r="I633">
        <v>16.100000000000001</v>
      </c>
      <c r="J633">
        <v>64.400000000000006</v>
      </c>
      <c r="K633">
        <v>230</v>
      </c>
    </row>
    <row r="634" spans="1:11" x14ac:dyDescent="0.3">
      <c r="A634">
        <v>5837</v>
      </c>
      <c r="B634" t="s">
        <v>19</v>
      </c>
      <c r="C634" s="1">
        <v>45162</v>
      </c>
      <c r="D634" t="s">
        <v>12</v>
      </c>
      <c r="E634" t="s">
        <v>41</v>
      </c>
      <c r="F634">
        <v>2</v>
      </c>
      <c r="G634">
        <v>20.190000000000001</v>
      </c>
      <c r="H634">
        <v>40.380000000000003</v>
      </c>
      <c r="I634">
        <v>8.08</v>
      </c>
      <c r="J634">
        <v>32.299999999999997</v>
      </c>
      <c r="K634">
        <v>481</v>
      </c>
    </row>
    <row r="635" spans="1:11" x14ac:dyDescent="0.3">
      <c r="A635">
        <v>7484</v>
      </c>
      <c r="B635" t="s">
        <v>19</v>
      </c>
      <c r="C635" s="1">
        <v>45358</v>
      </c>
      <c r="D635" t="s">
        <v>20</v>
      </c>
      <c r="E635" t="s">
        <v>48</v>
      </c>
      <c r="F635">
        <v>1</v>
      </c>
      <c r="G635">
        <v>2.84</v>
      </c>
      <c r="H635">
        <v>2.84</v>
      </c>
      <c r="I635">
        <v>1.22</v>
      </c>
      <c r="J635">
        <v>1.62</v>
      </c>
      <c r="K635">
        <v>449</v>
      </c>
    </row>
    <row r="636" spans="1:11" x14ac:dyDescent="0.3">
      <c r="A636">
        <v>1132</v>
      </c>
      <c r="B636" t="s">
        <v>24</v>
      </c>
      <c r="C636" s="1">
        <v>45584</v>
      </c>
      <c r="D636" t="s">
        <v>38</v>
      </c>
      <c r="E636" t="s">
        <v>43</v>
      </c>
      <c r="F636">
        <v>1</v>
      </c>
      <c r="G636">
        <v>8.6</v>
      </c>
      <c r="H636">
        <v>8.6</v>
      </c>
      <c r="I636">
        <v>0</v>
      </c>
      <c r="J636">
        <v>8.6</v>
      </c>
      <c r="K636">
        <v>79</v>
      </c>
    </row>
    <row r="637" spans="1:11" x14ac:dyDescent="0.3">
      <c r="A637">
        <v>1803</v>
      </c>
      <c r="B637" t="s">
        <v>24</v>
      </c>
      <c r="C637" s="1">
        <v>45852</v>
      </c>
      <c r="D637" t="s">
        <v>35</v>
      </c>
      <c r="E637" t="s">
        <v>25</v>
      </c>
      <c r="F637">
        <v>2</v>
      </c>
      <c r="G637">
        <v>22.38</v>
      </c>
      <c r="H637">
        <v>44.76</v>
      </c>
      <c r="I637">
        <v>8.9499999999999993</v>
      </c>
      <c r="J637">
        <v>35.81</v>
      </c>
      <c r="K637">
        <v>226</v>
      </c>
    </row>
    <row r="638" spans="1:11" x14ac:dyDescent="0.3">
      <c r="A638">
        <v>9138</v>
      </c>
      <c r="B638" t="s">
        <v>14</v>
      </c>
      <c r="C638" s="1">
        <v>45791</v>
      </c>
      <c r="D638" t="s">
        <v>34</v>
      </c>
      <c r="E638" t="s">
        <v>39</v>
      </c>
      <c r="F638">
        <v>1</v>
      </c>
      <c r="G638">
        <v>20.23</v>
      </c>
      <c r="H638">
        <v>20.23</v>
      </c>
      <c r="I638">
        <v>2.02</v>
      </c>
      <c r="J638">
        <v>18.21</v>
      </c>
      <c r="K638">
        <v>440</v>
      </c>
    </row>
    <row r="639" spans="1:11" x14ac:dyDescent="0.3">
      <c r="A639">
        <v>5689</v>
      </c>
      <c r="B639" t="s">
        <v>26</v>
      </c>
      <c r="C639" s="1">
        <v>45747</v>
      </c>
      <c r="D639" t="s">
        <v>38</v>
      </c>
      <c r="E639" t="s">
        <v>13</v>
      </c>
      <c r="F639">
        <v>5</v>
      </c>
      <c r="G639">
        <v>13.89</v>
      </c>
      <c r="H639">
        <v>69.45</v>
      </c>
      <c r="I639">
        <v>3.39</v>
      </c>
      <c r="J639">
        <v>66.06</v>
      </c>
      <c r="K639">
        <v>496</v>
      </c>
    </row>
    <row r="640" spans="1:11" x14ac:dyDescent="0.3">
      <c r="A640">
        <v>4770</v>
      </c>
      <c r="B640" t="s">
        <v>24</v>
      </c>
      <c r="C640" s="1">
        <v>45616</v>
      </c>
      <c r="D640" t="s">
        <v>38</v>
      </c>
      <c r="E640" t="s">
        <v>18</v>
      </c>
      <c r="F640">
        <v>3</v>
      </c>
      <c r="G640">
        <v>27.35</v>
      </c>
      <c r="H640">
        <v>82.05</v>
      </c>
      <c r="I640">
        <v>2.77</v>
      </c>
      <c r="J640">
        <v>79.28</v>
      </c>
      <c r="K640">
        <v>246</v>
      </c>
    </row>
    <row r="641" spans="1:11" x14ac:dyDescent="0.3">
      <c r="A641">
        <v>6772</v>
      </c>
      <c r="B641" t="s">
        <v>36</v>
      </c>
      <c r="C641" s="1">
        <v>45315</v>
      </c>
      <c r="D641" t="s">
        <v>20</v>
      </c>
      <c r="E641" t="s">
        <v>13</v>
      </c>
      <c r="F641">
        <v>2</v>
      </c>
      <c r="G641">
        <v>9.7899999999999991</v>
      </c>
      <c r="H641">
        <v>19.579999999999998</v>
      </c>
      <c r="I641">
        <v>2.94</v>
      </c>
      <c r="J641">
        <v>16.64</v>
      </c>
      <c r="K641">
        <v>0</v>
      </c>
    </row>
    <row r="642" spans="1:11" x14ac:dyDescent="0.3">
      <c r="A642">
        <v>4115</v>
      </c>
      <c r="B642" t="s">
        <v>30</v>
      </c>
      <c r="C642" s="1">
        <v>45627</v>
      </c>
      <c r="D642" t="s">
        <v>45</v>
      </c>
      <c r="E642" t="s">
        <v>18</v>
      </c>
      <c r="F642">
        <v>1</v>
      </c>
      <c r="G642">
        <v>20.94</v>
      </c>
      <c r="H642">
        <v>20.94</v>
      </c>
      <c r="I642">
        <v>3.14</v>
      </c>
      <c r="J642">
        <v>17.8</v>
      </c>
      <c r="K642">
        <v>251</v>
      </c>
    </row>
    <row r="643" spans="1:11" x14ac:dyDescent="0.3">
      <c r="A643">
        <v>5106</v>
      </c>
      <c r="B643" t="s">
        <v>31</v>
      </c>
      <c r="C643" s="1">
        <v>45671</v>
      </c>
      <c r="D643" t="s">
        <v>20</v>
      </c>
      <c r="E643" t="s">
        <v>37</v>
      </c>
      <c r="F643">
        <v>5</v>
      </c>
      <c r="G643">
        <v>7.7</v>
      </c>
      <c r="H643">
        <v>38.5</v>
      </c>
      <c r="I643">
        <v>7.7</v>
      </c>
      <c r="J643">
        <v>30.8</v>
      </c>
      <c r="K643">
        <v>3</v>
      </c>
    </row>
    <row r="644" spans="1:11" x14ac:dyDescent="0.3">
      <c r="A644">
        <v>3240</v>
      </c>
      <c r="B644" t="s">
        <v>24</v>
      </c>
      <c r="C644" s="1">
        <v>45632</v>
      </c>
      <c r="D644" t="s">
        <v>38</v>
      </c>
      <c r="E644" t="s">
        <v>16</v>
      </c>
      <c r="F644">
        <v>4</v>
      </c>
      <c r="G644">
        <v>8.24</v>
      </c>
      <c r="H644">
        <v>32.96</v>
      </c>
      <c r="I644">
        <v>3.3</v>
      </c>
      <c r="J644">
        <v>29.66</v>
      </c>
      <c r="K644">
        <v>366</v>
      </c>
    </row>
    <row r="645" spans="1:11" x14ac:dyDescent="0.3">
      <c r="A645">
        <v>2591</v>
      </c>
      <c r="B645" t="s">
        <v>42</v>
      </c>
      <c r="C645" s="1">
        <v>45846</v>
      </c>
      <c r="D645" t="s">
        <v>35</v>
      </c>
      <c r="E645" t="s">
        <v>43</v>
      </c>
      <c r="F645">
        <v>4</v>
      </c>
      <c r="G645">
        <v>19.12</v>
      </c>
      <c r="H645">
        <v>76.48</v>
      </c>
      <c r="I645">
        <v>11.47</v>
      </c>
      <c r="J645">
        <v>65.010000000000005</v>
      </c>
      <c r="K645">
        <v>264</v>
      </c>
    </row>
    <row r="646" spans="1:11" x14ac:dyDescent="0.3">
      <c r="A646">
        <v>1645</v>
      </c>
      <c r="B646" t="s">
        <v>14</v>
      </c>
      <c r="C646" s="1">
        <v>45384</v>
      </c>
      <c r="D646" t="s">
        <v>35</v>
      </c>
      <c r="E646" t="s">
        <v>16</v>
      </c>
      <c r="F646">
        <v>2</v>
      </c>
      <c r="G646">
        <v>25.74</v>
      </c>
      <c r="H646">
        <v>51.48</v>
      </c>
      <c r="I646">
        <v>7.72</v>
      </c>
      <c r="J646">
        <v>43.76</v>
      </c>
      <c r="K646">
        <v>93</v>
      </c>
    </row>
    <row r="647" spans="1:11" x14ac:dyDescent="0.3">
      <c r="A647">
        <v>8222</v>
      </c>
      <c r="B647" t="s">
        <v>11</v>
      </c>
      <c r="C647" s="1">
        <v>45170</v>
      </c>
      <c r="D647" t="s">
        <v>27</v>
      </c>
      <c r="E647" t="s">
        <v>33</v>
      </c>
      <c r="F647">
        <v>5</v>
      </c>
      <c r="G647">
        <v>14.12</v>
      </c>
      <c r="H647">
        <v>70.599999999999994</v>
      </c>
      <c r="I647">
        <v>14.12</v>
      </c>
      <c r="J647">
        <v>56.48</v>
      </c>
      <c r="K647">
        <v>358</v>
      </c>
    </row>
    <row r="648" spans="1:11" x14ac:dyDescent="0.3">
      <c r="A648">
        <v>6977</v>
      </c>
      <c r="B648" t="s">
        <v>36</v>
      </c>
      <c r="C648" s="1">
        <v>45713</v>
      </c>
      <c r="D648" t="s">
        <v>12</v>
      </c>
      <c r="E648" t="s">
        <v>41</v>
      </c>
      <c r="F648">
        <v>1</v>
      </c>
      <c r="G648">
        <v>29.11</v>
      </c>
      <c r="H648">
        <v>29.11</v>
      </c>
      <c r="I648">
        <v>2.13</v>
      </c>
      <c r="J648">
        <v>26.98</v>
      </c>
      <c r="K648">
        <v>11</v>
      </c>
    </row>
    <row r="649" spans="1:11" x14ac:dyDescent="0.3">
      <c r="A649">
        <v>3153</v>
      </c>
      <c r="B649" t="s">
        <v>19</v>
      </c>
      <c r="C649" s="1">
        <v>45215</v>
      </c>
      <c r="D649" t="s">
        <v>45</v>
      </c>
      <c r="E649" t="s">
        <v>39</v>
      </c>
      <c r="F649">
        <v>2</v>
      </c>
      <c r="G649">
        <v>3.61</v>
      </c>
      <c r="H649">
        <v>7.22</v>
      </c>
      <c r="I649">
        <v>1.44</v>
      </c>
      <c r="J649">
        <v>5.78</v>
      </c>
      <c r="K649">
        <v>7</v>
      </c>
    </row>
    <row r="650" spans="1:11" x14ac:dyDescent="0.3">
      <c r="A650">
        <v>5835</v>
      </c>
      <c r="B650" t="s">
        <v>36</v>
      </c>
      <c r="C650" s="1">
        <v>45398</v>
      </c>
      <c r="D650" t="s">
        <v>20</v>
      </c>
      <c r="E650" t="s">
        <v>37</v>
      </c>
      <c r="F650">
        <v>4</v>
      </c>
      <c r="G650">
        <v>29.93</v>
      </c>
      <c r="H650">
        <v>119.72</v>
      </c>
      <c r="I650">
        <v>17.96</v>
      </c>
      <c r="J650">
        <v>101.76</v>
      </c>
      <c r="K650">
        <v>237</v>
      </c>
    </row>
    <row r="651" spans="1:11" x14ac:dyDescent="0.3">
      <c r="A651">
        <v>7807</v>
      </c>
      <c r="B651" t="s">
        <v>11</v>
      </c>
      <c r="C651" s="1">
        <v>45281</v>
      </c>
      <c r="D651" t="s">
        <v>34</v>
      </c>
      <c r="E651" t="s">
        <v>40</v>
      </c>
      <c r="F651">
        <v>3</v>
      </c>
      <c r="G651">
        <v>23.48</v>
      </c>
      <c r="H651">
        <v>70.44</v>
      </c>
      <c r="I651">
        <v>14.09</v>
      </c>
      <c r="J651">
        <v>56.35</v>
      </c>
      <c r="K651">
        <v>36</v>
      </c>
    </row>
    <row r="652" spans="1:11" x14ac:dyDescent="0.3">
      <c r="A652">
        <v>4289</v>
      </c>
      <c r="B652" t="s">
        <v>42</v>
      </c>
      <c r="C652" s="1">
        <v>45247</v>
      </c>
      <c r="D652" t="s">
        <v>35</v>
      </c>
      <c r="E652" t="s">
        <v>32</v>
      </c>
      <c r="F652">
        <v>1</v>
      </c>
      <c r="G652">
        <v>4.53</v>
      </c>
      <c r="H652">
        <v>4.53</v>
      </c>
      <c r="I652">
        <v>0.45</v>
      </c>
      <c r="J652">
        <v>4.08</v>
      </c>
      <c r="K652">
        <v>393</v>
      </c>
    </row>
    <row r="653" spans="1:11" x14ac:dyDescent="0.3">
      <c r="A653">
        <v>9837</v>
      </c>
      <c r="B653" t="s">
        <v>26</v>
      </c>
      <c r="C653" s="1">
        <v>45825</v>
      </c>
      <c r="D653" t="s">
        <v>17</v>
      </c>
      <c r="E653" t="s">
        <v>40</v>
      </c>
      <c r="F653">
        <v>2</v>
      </c>
      <c r="G653">
        <v>14.35</v>
      </c>
      <c r="H653">
        <v>28.7</v>
      </c>
      <c r="I653">
        <v>3.66</v>
      </c>
      <c r="J653">
        <v>25.04</v>
      </c>
      <c r="K653">
        <v>394</v>
      </c>
    </row>
    <row r="654" spans="1:11" x14ac:dyDescent="0.3">
      <c r="A654">
        <v>6994</v>
      </c>
      <c r="B654" t="s">
        <v>42</v>
      </c>
      <c r="C654" s="1">
        <v>45557</v>
      </c>
      <c r="D654" t="s">
        <v>45</v>
      </c>
      <c r="E654" t="s">
        <v>32</v>
      </c>
      <c r="F654">
        <v>3</v>
      </c>
      <c r="G654">
        <v>28.14</v>
      </c>
      <c r="H654">
        <v>84.42</v>
      </c>
      <c r="I654">
        <v>0</v>
      </c>
      <c r="J654">
        <v>84.42</v>
      </c>
      <c r="K654">
        <v>81</v>
      </c>
    </row>
    <row r="655" spans="1:11" x14ac:dyDescent="0.3">
      <c r="A655">
        <v>9221</v>
      </c>
      <c r="B655" t="s">
        <v>14</v>
      </c>
      <c r="C655" s="1">
        <v>45854</v>
      </c>
      <c r="D655" t="s">
        <v>38</v>
      </c>
      <c r="E655" t="s">
        <v>48</v>
      </c>
      <c r="F655">
        <v>3</v>
      </c>
      <c r="G655">
        <v>14.95</v>
      </c>
      <c r="H655">
        <v>44.85</v>
      </c>
      <c r="I655">
        <v>6.73</v>
      </c>
      <c r="J655">
        <v>38.119999999999997</v>
      </c>
      <c r="K655">
        <v>152</v>
      </c>
    </row>
    <row r="656" spans="1:11" x14ac:dyDescent="0.3">
      <c r="A656">
        <v>5465</v>
      </c>
      <c r="B656" t="s">
        <v>31</v>
      </c>
      <c r="C656" s="1">
        <v>45790</v>
      </c>
      <c r="D656" t="s">
        <v>27</v>
      </c>
      <c r="E656" t="s">
        <v>44</v>
      </c>
      <c r="F656">
        <v>1</v>
      </c>
      <c r="G656">
        <v>7.83</v>
      </c>
      <c r="H656">
        <v>7.83</v>
      </c>
      <c r="I656">
        <v>1.67</v>
      </c>
      <c r="J656">
        <v>6.16</v>
      </c>
      <c r="K656">
        <v>222</v>
      </c>
    </row>
    <row r="657" spans="1:11" x14ac:dyDescent="0.3">
      <c r="A657">
        <v>3695</v>
      </c>
      <c r="B657" t="s">
        <v>30</v>
      </c>
      <c r="C657" s="1">
        <v>45344</v>
      </c>
      <c r="D657" t="s">
        <v>28</v>
      </c>
      <c r="E657" t="s">
        <v>48</v>
      </c>
      <c r="F657">
        <v>4</v>
      </c>
      <c r="G657">
        <v>23.88</v>
      </c>
      <c r="H657">
        <v>95.52</v>
      </c>
      <c r="I657">
        <v>4.13</v>
      </c>
      <c r="J657">
        <v>91.39</v>
      </c>
      <c r="K657">
        <v>4</v>
      </c>
    </row>
    <row r="658" spans="1:11" x14ac:dyDescent="0.3">
      <c r="A658">
        <v>8894</v>
      </c>
      <c r="B658" t="s">
        <v>26</v>
      </c>
      <c r="C658" s="1">
        <v>45771</v>
      </c>
      <c r="D658" t="s">
        <v>28</v>
      </c>
      <c r="E658" t="s">
        <v>41</v>
      </c>
      <c r="F658">
        <v>3</v>
      </c>
      <c r="G658">
        <v>23.34</v>
      </c>
      <c r="H658">
        <v>70.02</v>
      </c>
      <c r="I658">
        <v>7</v>
      </c>
      <c r="J658">
        <v>63.02</v>
      </c>
      <c r="K658">
        <v>127</v>
      </c>
    </row>
    <row r="659" spans="1:11" x14ac:dyDescent="0.3">
      <c r="A659">
        <v>5835</v>
      </c>
      <c r="C659" s="1">
        <v>45724</v>
      </c>
      <c r="D659" t="s">
        <v>27</v>
      </c>
      <c r="E659" t="s">
        <v>21</v>
      </c>
      <c r="F659">
        <v>1</v>
      </c>
      <c r="G659">
        <v>2.72</v>
      </c>
      <c r="H659">
        <v>2.72</v>
      </c>
      <c r="I659">
        <v>0</v>
      </c>
      <c r="J659">
        <v>2.72</v>
      </c>
      <c r="K659">
        <v>330</v>
      </c>
    </row>
    <row r="660" spans="1:11" x14ac:dyDescent="0.3">
      <c r="A660">
        <v>6549</v>
      </c>
      <c r="B660" t="s">
        <v>14</v>
      </c>
      <c r="C660" s="1">
        <v>45769</v>
      </c>
      <c r="D660" t="s">
        <v>15</v>
      </c>
      <c r="E660" t="s">
        <v>41</v>
      </c>
      <c r="F660">
        <v>4</v>
      </c>
      <c r="G660">
        <v>7.74</v>
      </c>
      <c r="H660">
        <v>30.96</v>
      </c>
      <c r="I660">
        <v>3.1</v>
      </c>
      <c r="J660">
        <v>27.86</v>
      </c>
      <c r="K660">
        <v>285</v>
      </c>
    </row>
    <row r="661" spans="1:11" x14ac:dyDescent="0.3">
      <c r="A661">
        <v>2886</v>
      </c>
      <c r="B661" t="s">
        <v>42</v>
      </c>
      <c r="C661" s="1">
        <v>45508</v>
      </c>
      <c r="D661" t="s">
        <v>12</v>
      </c>
      <c r="E661" t="s">
        <v>32</v>
      </c>
      <c r="F661">
        <v>3</v>
      </c>
      <c r="G661">
        <v>22</v>
      </c>
      <c r="H661">
        <v>66</v>
      </c>
      <c r="I661">
        <v>6.6</v>
      </c>
      <c r="J661">
        <v>59.4</v>
      </c>
      <c r="K661">
        <v>128</v>
      </c>
    </row>
    <row r="662" spans="1:11" x14ac:dyDescent="0.3">
      <c r="A662">
        <v>2233</v>
      </c>
      <c r="B662" t="s">
        <v>26</v>
      </c>
      <c r="C662" s="1">
        <v>45254</v>
      </c>
      <c r="D662" t="s">
        <v>38</v>
      </c>
      <c r="E662" t="s">
        <v>37</v>
      </c>
      <c r="F662">
        <v>5</v>
      </c>
      <c r="G662">
        <v>21.2</v>
      </c>
      <c r="H662">
        <v>106</v>
      </c>
      <c r="I662">
        <v>2.39</v>
      </c>
      <c r="J662">
        <v>103.61</v>
      </c>
      <c r="K662">
        <v>97</v>
      </c>
    </row>
    <row r="663" spans="1:11" x14ac:dyDescent="0.3">
      <c r="A663">
        <v>4696</v>
      </c>
      <c r="B663" t="s">
        <v>26</v>
      </c>
      <c r="C663" s="1">
        <v>45813</v>
      </c>
      <c r="D663" t="s">
        <v>35</v>
      </c>
      <c r="E663" t="s">
        <v>18</v>
      </c>
      <c r="F663">
        <v>2</v>
      </c>
      <c r="G663">
        <v>2.99</v>
      </c>
      <c r="H663">
        <v>5.98</v>
      </c>
      <c r="I663">
        <v>0.9</v>
      </c>
      <c r="J663">
        <v>5.08</v>
      </c>
      <c r="K663">
        <v>79</v>
      </c>
    </row>
    <row r="664" spans="1:11" x14ac:dyDescent="0.3">
      <c r="A664">
        <v>7511</v>
      </c>
      <c r="B664" t="s">
        <v>30</v>
      </c>
      <c r="C664" s="1">
        <v>45801</v>
      </c>
      <c r="D664" t="s">
        <v>38</v>
      </c>
      <c r="E664" t="s">
        <v>23</v>
      </c>
      <c r="F664">
        <v>4</v>
      </c>
      <c r="G664">
        <v>1.01</v>
      </c>
      <c r="H664">
        <v>4.04</v>
      </c>
      <c r="I664">
        <v>0</v>
      </c>
      <c r="J664">
        <v>4.04</v>
      </c>
      <c r="K664">
        <v>326</v>
      </c>
    </row>
    <row r="665" spans="1:11" x14ac:dyDescent="0.3">
      <c r="A665">
        <v>6992</v>
      </c>
      <c r="B665" t="s">
        <v>19</v>
      </c>
      <c r="C665" s="1">
        <v>45215</v>
      </c>
      <c r="D665" t="s">
        <v>12</v>
      </c>
      <c r="E665" t="s">
        <v>23</v>
      </c>
      <c r="F665">
        <v>5</v>
      </c>
      <c r="G665">
        <v>7.91</v>
      </c>
      <c r="H665">
        <v>39.549999999999997</v>
      </c>
      <c r="I665">
        <v>0</v>
      </c>
      <c r="J665">
        <v>39.549999999999997</v>
      </c>
      <c r="K665">
        <v>369</v>
      </c>
    </row>
    <row r="666" spans="1:11" x14ac:dyDescent="0.3">
      <c r="A666">
        <v>7464</v>
      </c>
      <c r="B666" t="s">
        <v>14</v>
      </c>
      <c r="C666" s="1">
        <v>45155</v>
      </c>
      <c r="D666" t="s">
        <v>20</v>
      </c>
      <c r="E666" t="s">
        <v>44</v>
      </c>
      <c r="F666">
        <v>5</v>
      </c>
      <c r="G666">
        <v>20.8</v>
      </c>
      <c r="H666">
        <v>104</v>
      </c>
      <c r="I666">
        <v>2.13</v>
      </c>
      <c r="J666">
        <v>101.87</v>
      </c>
      <c r="K666">
        <v>392</v>
      </c>
    </row>
    <row r="667" spans="1:11" x14ac:dyDescent="0.3">
      <c r="A667">
        <v>5332</v>
      </c>
      <c r="B667" t="s">
        <v>24</v>
      </c>
      <c r="C667" s="1">
        <v>45561</v>
      </c>
      <c r="D667" t="s">
        <v>27</v>
      </c>
      <c r="E667" t="s">
        <v>21</v>
      </c>
      <c r="F667">
        <v>1</v>
      </c>
      <c r="G667">
        <v>3.78</v>
      </c>
      <c r="H667">
        <v>3.78</v>
      </c>
      <c r="I667">
        <v>4.34</v>
      </c>
      <c r="J667">
        <v>-0.56000000000000005</v>
      </c>
      <c r="K667">
        <v>337</v>
      </c>
    </row>
    <row r="668" spans="1:11" x14ac:dyDescent="0.3">
      <c r="A668">
        <v>3024</v>
      </c>
      <c r="B668" t="s">
        <v>19</v>
      </c>
      <c r="C668" s="1">
        <v>45498</v>
      </c>
      <c r="D668" t="s">
        <v>34</v>
      </c>
      <c r="E668" t="s">
        <v>40</v>
      </c>
      <c r="F668">
        <v>2</v>
      </c>
      <c r="G668">
        <v>4.09</v>
      </c>
      <c r="H668">
        <v>8.18</v>
      </c>
      <c r="I668">
        <v>3.28</v>
      </c>
      <c r="J668">
        <v>4.9000000000000004</v>
      </c>
      <c r="K668">
        <v>98</v>
      </c>
    </row>
    <row r="669" spans="1:11" x14ac:dyDescent="0.3">
      <c r="A669">
        <v>7038</v>
      </c>
      <c r="B669" t="s">
        <v>24</v>
      </c>
      <c r="C669" s="1">
        <v>45667</v>
      </c>
      <c r="D669" t="s">
        <v>27</v>
      </c>
      <c r="E669" t="s">
        <v>47</v>
      </c>
      <c r="F669">
        <v>5</v>
      </c>
      <c r="G669">
        <v>19.09</v>
      </c>
      <c r="H669">
        <v>95.45</v>
      </c>
      <c r="I669">
        <v>2.4700000000000002</v>
      </c>
      <c r="J669">
        <v>92.98</v>
      </c>
      <c r="K669">
        <v>302</v>
      </c>
    </row>
    <row r="670" spans="1:11" x14ac:dyDescent="0.3">
      <c r="A670">
        <v>5295</v>
      </c>
      <c r="B670" t="s">
        <v>11</v>
      </c>
      <c r="C670" s="1">
        <v>45599</v>
      </c>
      <c r="D670" t="s">
        <v>12</v>
      </c>
      <c r="E670" t="s">
        <v>44</v>
      </c>
      <c r="F670">
        <v>4</v>
      </c>
      <c r="G670">
        <v>27.91</v>
      </c>
      <c r="H670">
        <v>111.64</v>
      </c>
      <c r="I670">
        <v>11.16</v>
      </c>
      <c r="J670">
        <v>100.48</v>
      </c>
      <c r="K670">
        <v>426</v>
      </c>
    </row>
    <row r="671" spans="1:11" x14ac:dyDescent="0.3">
      <c r="A671">
        <v>7242</v>
      </c>
      <c r="B671" t="s">
        <v>31</v>
      </c>
      <c r="C671" s="1">
        <v>45783</v>
      </c>
      <c r="D671" t="s">
        <v>22</v>
      </c>
      <c r="E671" t="s">
        <v>18</v>
      </c>
      <c r="F671">
        <v>4</v>
      </c>
      <c r="G671">
        <v>24.83</v>
      </c>
      <c r="H671">
        <v>99.32</v>
      </c>
      <c r="I671">
        <v>2.06</v>
      </c>
      <c r="J671">
        <v>97.26</v>
      </c>
      <c r="K671">
        <v>406</v>
      </c>
    </row>
    <row r="672" spans="1:11" x14ac:dyDescent="0.3">
      <c r="A672">
        <v>7086</v>
      </c>
      <c r="B672" t="s">
        <v>31</v>
      </c>
      <c r="C672" s="1">
        <v>45229</v>
      </c>
      <c r="D672" t="s">
        <v>15</v>
      </c>
      <c r="E672" t="s">
        <v>37</v>
      </c>
      <c r="F672">
        <v>1</v>
      </c>
      <c r="G672">
        <v>28.38</v>
      </c>
      <c r="H672">
        <v>28.38</v>
      </c>
      <c r="I672">
        <v>3.9</v>
      </c>
      <c r="J672">
        <v>24.48</v>
      </c>
      <c r="K672">
        <v>491</v>
      </c>
    </row>
    <row r="673" spans="1:11" x14ac:dyDescent="0.3">
      <c r="A673">
        <v>4830</v>
      </c>
      <c r="B673" t="s">
        <v>14</v>
      </c>
      <c r="C673" s="1">
        <v>45511</v>
      </c>
      <c r="D673" t="s">
        <v>20</v>
      </c>
      <c r="E673" t="s">
        <v>44</v>
      </c>
      <c r="F673">
        <v>2</v>
      </c>
      <c r="G673">
        <v>16.25</v>
      </c>
      <c r="H673">
        <v>32.5</v>
      </c>
      <c r="I673">
        <v>4</v>
      </c>
      <c r="J673">
        <v>28.5</v>
      </c>
      <c r="K673">
        <v>127</v>
      </c>
    </row>
    <row r="674" spans="1:11" x14ac:dyDescent="0.3">
      <c r="A674">
        <v>1410</v>
      </c>
      <c r="B674" t="s">
        <v>24</v>
      </c>
      <c r="C674" s="1">
        <v>45626</v>
      </c>
      <c r="D674" t="s">
        <v>15</v>
      </c>
      <c r="E674" t="s">
        <v>23</v>
      </c>
      <c r="F674">
        <v>4</v>
      </c>
      <c r="G674">
        <v>21.36</v>
      </c>
      <c r="H674">
        <v>85.44</v>
      </c>
      <c r="I674">
        <v>17.09</v>
      </c>
      <c r="J674">
        <v>68.349999999999994</v>
      </c>
      <c r="K674">
        <v>218</v>
      </c>
    </row>
    <row r="675" spans="1:11" x14ac:dyDescent="0.3">
      <c r="A675">
        <v>6374</v>
      </c>
      <c r="B675" t="s">
        <v>19</v>
      </c>
      <c r="C675" s="1">
        <v>45855</v>
      </c>
      <c r="D675" t="s">
        <v>38</v>
      </c>
      <c r="E675" t="s">
        <v>32</v>
      </c>
      <c r="F675">
        <v>5</v>
      </c>
      <c r="G675">
        <v>10.78</v>
      </c>
      <c r="H675">
        <v>53.9</v>
      </c>
      <c r="I675">
        <v>8.08</v>
      </c>
      <c r="J675">
        <v>45.82</v>
      </c>
      <c r="K675">
        <v>80</v>
      </c>
    </row>
    <row r="676" spans="1:11" x14ac:dyDescent="0.3">
      <c r="A676">
        <v>4626</v>
      </c>
      <c r="B676" t="s">
        <v>36</v>
      </c>
      <c r="C676" s="1">
        <v>45648</v>
      </c>
      <c r="D676" t="s">
        <v>38</v>
      </c>
      <c r="E676" t="s">
        <v>21</v>
      </c>
      <c r="F676">
        <v>3</v>
      </c>
      <c r="G676">
        <v>12.95</v>
      </c>
      <c r="H676">
        <v>38.85</v>
      </c>
      <c r="I676">
        <v>0</v>
      </c>
      <c r="J676">
        <v>38.85</v>
      </c>
      <c r="K676">
        <v>324</v>
      </c>
    </row>
    <row r="677" spans="1:11" x14ac:dyDescent="0.3">
      <c r="A677">
        <v>2035</v>
      </c>
      <c r="B677" t="s">
        <v>36</v>
      </c>
      <c r="C677" s="1">
        <v>45638</v>
      </c>
      <c r="D677" t="s">
        <v>28</v>
      </c>
      <c r="E677" t="s">
        <v>25</v>
      </c>
      <c r="F677">
        <v>5</v>
      </c>
      <c r="G677">
        <v>16.809999999999999</v>
      </c>
      <c r="H677">
        <v>84.05</v>
      </c>
      <c r="I677">
        <v>12.61</v>
      </c>
      <c r="J677">
        <v>71.44</v>
      </c>
      <c r="K677">
        <v>192</v>
      </c>
    </row>
    <row r="678" spans="1:11" x14ac:dyDescent="0.3">
      <c r="A678">
        <v>8606</v>
      </c>
      <c r="B678" t="s">
        <v>26</v>
      </c>
      <c r="C678" s="1">
        <v>45851</v>
      </c>
      <c r="D678" t="s">
        <v>45</v>
      </c>
      <c r="E678" t="s">
        <v>32</v>
      </c>
      <c r="F678">
        <v>1</v>
      </c>
      <c r="G678">
        <v>22.05</v>
      </c>
      <c r="H678">
        <v>22.05</v>
      </c>
      <c r="I678">
        <v>1.54</v>
      </c>
      <c r="J678">
        <v>20.51</v>
      </c>
      <c r="K678">
        <v>145</v>
      </c>
    </row>
    <row r="679" spans="1:11" x14ac:dyDescent="0.3">
      <c r="A679">
        <v>5951</v>
      </c>
      <c r="B679" t="s">
        <v>30</v>
      </c>
      <c r="C679" s="1">
        <v>45649</v>
      </c>
      <c r="D679" t="s">
        <v>12</v>
      </c>
      <c r="E679" t="s">
        <v>37</v>
      </c>
      <c r="F679">
        <v>2</v>
      </c>
      <c r="G679">
        <v>7.22</v>
      </c>
      <c r="H679">
        <v>14.44</v>
      </c>
      <c r="I679">
        <v>0</v>
      </c>
      <c r="J679">
        <v>14.44</v>
      </c>
      <c r="K679">
        <v>161</v>
      </c>
    </row>
    <row r="680" spans="1:11" x14ac:dyDescent="0.3">
      <c r="A680">
        <v>7689</v>
      </c>
      <c r="B680" t="s">
        <v>30</v>
      </c>
      <c r="C680" s="1">
        <v>45235</v>
      </c>
      <c r="D680" t="s">
        <v>38</v>
      </c>
      <c r="E680" t="s">
        <v>46</v>
      </c>
      <c r="F680">
        <v>5</v>
      </c>
      <c r="G680">
        <v>17.54</v>
      </c>
      <c r="H680">
        <v>87.7</v>
      </c>
      <c r="I680">
        <v>1.1499999999999999</v>
      </c>
      <c r="J680">
        <v>86.55</v>
      </c>
      <c r="K680">
        <v>292</v>
      </c>
    </row>
    <row r="681" spans="1:11" x14ac:dyDescent="0.3">
      <c r="A681">
        <v>3290</v>
      </c>
      <c r="B681" t="s">
        <v>36</v>
      </c>
      <c r="C681" s="1">
        <v>45180</v>
      </c>
      <c r="D681" t="s">
        <v>34</v>
      </c>
      <c r="E681" t="s">
        <v>41</v>
      </c>
      <c r="F681">
        <v>3</v>
      </c>
      <c r="G681">
        <v>11.64</v>
      </c>
      <c r="H681">
        <v>34.92</v>
      </c>
      <c r="I681">
        <v>6.98</v>
      </c>
      <c r="J681">
        <v>27.94</v>
      </c>
      <c r="K681">
        <v>298</v>
      </c>
    </row>
    <row r="682" spans="1:11" x14ac:dyDescent="0.3">
      <c r="A682">
        <v>1609</v>
      </c>
      <c r="B682" t="s">
        <v>30</v>
      </c>
      <c r="C682" s="1">
        <v>45381</v>
      </c>
      <c r="D682" t="s">
        <v>35</v>
      </c>
      <c r="E682" t="s">
        <v>43</v>
      </c>
      <c r="F682">
        <v>5</v>
      </c>
      <c r="G682">
        <v>12.58</v>
      </c>
      <c r="H682">
        <v>62.9</v>
      </c>
      <c r="I682">
        <v>0</v>
      </c>
      <c r="J682">
        <v>62.9</v>
      </c>
      <c r="K682">
        <v>469</v>
      </c>
    </row>
    <row r="683" spans="1:11" x14ac:dyDescent="0.3">
      <c r="A683">
        <v>9071</v>
      </c>
      <c r="B683" t="s">
        <v>11</v>
      </c>
      <c r="C683" s="1">
        <v>45235</v>
      </c>
      <c r="D683" t="s">
        <v>22</v>
      </c>
      <c r="E683" t="s">
        <v>47</v>
      </c>
      <c r="F683">
        <v>2</v>
      </c>
      <c r="G683">
        <v>15.15</v>
      </c>
      <c r="H683">
        <v>30.3</v>
      </c>
      <c r="I683">
        <v>3.57</v>
      </c>
      <c r="J683">
        <v>26.73</v>
      </c>
      <c r="K683">
        <v>460</v>
      </c>
    </row>
    <row r="684" spans="1:11" x14ac:dyDescent="0.3">
      <c r="A684">
        <v>2592</v>
      </c>
      <c r="B684" t="s">
        <v>31</v>
      </c>
      <c r="C684" s="1">
        <v>45327</v>
      </c>
      <c r="D684" t="s">
        <v>28</v>
      </c>
      <c r="E684" t="s">
        <v>32</v>
      </c>
      <c r="F684">
        <v>1</v>
      </c>
      <c r="G684">
        <v>23.61</v>
      </c>
      <c r="H684">
        <v>23.61</v>
      </c>
      <c r="I684">
        <v>3.54</v>
      </c>
      <c r="J684">
        <v>20.07</v>
      </c>
      <c r="K684">
        <v>471</v>
      </c>
    </row>
    <row r="685" spans="1:11" x14ac:dyDescent="0.3">
      <c r="A685">
        <v>9807</v>
      </c>
      <c r="B685" t="s">
        <v>24</v>
      </c>
      <c r="C685" s="1">
        <v>45250</v>
      </c>
      <c r="D685" t="s">
        <v>20</v>
      </c>
      <c r="E685" t="s">
        <v>48</v>
      </c>
      <c r="F685">
        <v>2</v>
      </c>
      <c r="G685">
        <v>22.67</v>
      </c>
      <c r="H685">
        <v>45.34</v>
      </c>
      <c r="I685">
        <v>0</v>
      </c>
      <c r="J685">
        <v>45.34</v>
      </c>
      <c r="K685">
        <v>434</v>
      </c>
    </row>
    <row r="686" spans="1:11" x14ac:dyDescent="0.3">
      <c r="A686">
        <v>7367</v>
      </c>
      <c r="B686" t="s">
        <v>24</v>
      </c>
      <c r="C686" s="1">
        <v>45497</v>
      </c>
      <c r="D686" t="s">
        <v>12</v>
      </c>
      <c r="E686" t="s">
        <v>37</v>
      </c>
      <c r="F686">
        <v>5</v>
      </c>
      <c r="G686">
        <v>2.1800000000000002</v>
      </c>
      <c r="H686">
        <v>10.9</v>
      </c>
      <c r="I686">
        <v>1.64</v>
      </c>
      <c r="J686">
        <v>9.26</v>
      </c>
      <c r="K686">
        <v>276</v>
      </c>
    </row>
    <row r="687" spans="1:11" x14ac:dyDescent="0.3">
      <c r="A687">
        <v>7078</v>
      </c>
      <c r="B687" t="s">
        <v>14</v>
      </c>
      <c r="C687" s="1">
        <v>45665</v>
      </c>
      <c r="D687" t="s">
        <v>17</v>
      </c>
      <c r="E687" t="s">
        <v>41</v>
      </c>
      <c r="F687">
        <v>1</v>
      </c>
      <c r="G687">
        <v>20.53</v>
      </c>
      <c r="H687">
        <v>20.53</v>
      </c>
      <c r="I687">
        <v>3.3</v>
      </c>
      <c r="J687">
        <v>17.23</v>
      </c>
      <c r="K687">
        <v>201</v>
      </c>
    </row>
    <row r="688" spans="1:11" x14ac:dyDescent="0.3">
      <c r="A688">
        <v>9850</v>
      </c>
      <c r="B688" t="s">
        <v>11</v>
      </c>
      <c r="C688" s="1">
        <v>45470</v>
      </c>
      <c r="D688" t="s">
        <v>17</v>
      </c>
      <c r="E688" t="s">
        <v>16</v>
      </c>
      <c r="F688">
        <v>3</v>
      </c>
      <c r="G688">
        <v>23.79</v>
      </c>
      <c r="H688">
        <v>71.37</v>
      </c>
      <c r="I688">
        <v>10.71</v>
      </c>
      <c r="J688">
        <v>60.66</v>
      </c>
      <c r="K688">
        <v>75</v>
      </c>
    </row>
    <row r="689" spans="1:11" x14ac:dyDescent="0.3">
      <c r="A689">
        <v>3531</v>
      </c>
      <c r="B689" t="s">
        <v>11</v>
      </c>
      <c r="C689" s="1">
        <v>45832</v>
      </c>
      <c r="D689" t="s">
        <v>45</v>
      </c>
      <c r="E689" t="s">
        <v>40</v>
      </c>
      <c r="F689">
        <v>5</v>
      </c>
      <c r="G689">
        <v>12.57</v>
      </c>
      <c r="H689">
        <v>62.85</v>
      </c>
      <c r="I689">
        <v>2.74</v>
      </c>
      <c r="J689">
        <v>60.11</v>
      </c>
      <c r="K689">
        <v>43</v>
      </c>
    </row>
    <row r="690" spans="1:11" x14ac:dyDescent="0.3">
      <c r="A690">
        <v>7797</v>
      </c>
      <c r="B690" t="s">
        <v>19</v>
      </c>
      <c r="C690" s="1">
        <v>45653</v>
      </c>
      <c r="D690" t="s">
        <v>34</v>
      </c>
      <c r="E690" t="s">
        <v>47</v>
      </c>
      <c r="F690">
        <v>5</v>
      </c>
      <c r="G690">
        <v>6.74</v>
      </c>
      <c r="H690">
        <v>33.700000000000003</v>
      </c>
      <c r="I690">
        <v>3.46</v>
      </c>
      <c r="J690">
        <v>30.24</v>
      </c>
      <c r="K690">
        <v>202</v>
      </c>
    </row>
    <row r="691" spans="1:11" x14ac:dyDescent="0.3">
      <c r="A691">
        <v>2622</v>
      </c>
      <c r="B691" t="s">
        <v>14</v>
      </c>
      <c r="C691" s="1">
        <v>45792</v>
      </c>
      <c r="D691" t="s">
        <v>17</v>
      </c>
      <c r="E691" t="s">
        <v>25</v>
      </c>
      <c r="F691">
        <v>1</v>
      </c>
      <c r="G691">
        <v>8.7100000000000009</v>
      </c>
      <c r="H691">
        <v>8.7100000000000009</v>
      </c>
      <c r="I691">
        <v>0</v>
      </c>
      <c r="J691">
        <v>8.7100000000000009</v>
      </c>
      <c r="K691">
        <v>220</v>
      </c>
    </row>
    <row r="692" spans="1:11" x14ac:dyDescent="0.3">
      <c r="A692">
        <v>9017</v>
      </c>
      <c r="B692" t="s">
        <v>11</v>
      </c>
      <c r="C692" s="1">
        <v>45623</v>
      </c>
      <c r="D692" t="s">
        <v>15</v>
      </c>
      <c r="E692" t="s">
        <v>16</v>
      </c>
      <c r="F692">
        <v>4</v>
      </c>
      <c r="G692">
        <v>11.58</v>
      </c>
      <c r="H692">
        <v>46.32</v>
      </c>
      <c r="I692">
        <v>6.95</v>
      </c>
      <c r="J692">
        <v>39.369999999999997</v>
      </c>
      <c r="K692">
        <v>97</v>
      </c>
    </row>
    <row r="693" spans="1:11" x14ac:dyDescent="0.3">
      <c r="A693">
        <v>7686</v>
      </c>
      <c r="B693" t="s">
        <v>31</v>
      </c>
      <c r="C693" s="1">
        <v>45874</v>
      </c>
      <c r="D693" t="s">
        <v>35</v>
      </c>
      <c r="E693" t="s">
        <v>29</v>
      </c>
      <c r="F693">
        <v>3</v>
      </c>
      <c r="G693">
        <v>18.86</v>
      </c>
      <c r="H693">
        <v>56.58</v>
      </c>
      <c r="I693">
        <v>1.58</v>
      </c>
      <c r="J693">
        <v>55</v>
      </c>
      <c r="K693">
        <v>411</v>
      </c>
    </row>
    <row r="694" spans="1:11" x14ac:dyDescent="0.3">
      <c r="A694">
        <v>5583</v>
      </c>
      <c r="B694" t="s">
        <v>31</v>
      </c>
      <c r="C694" s="1">
        <v>45170</v>
      </c>
      <c r="D694" t="s">
        <v>17</v>
      </c>
      <c r="E694" t="s">
        <v>44</v>
      </c>
      <c r="F694">
        <v>3</v>
      </c>
      <c r="G694">
        <v>5.51</v>
      </c>
      <c r="H694">
        <v>16.53</v>
      </c>
      <c r="I694">
        <v>3.96</v>
      </c>
      <c r="J694">
        <v>12.57</v>
      </c>
      <c r="K694">
        <v>372</v>
      </c>
    </row>
    <row r="695" spans="1:11" x14ac:dyDescent="0.3">
      <c r="A695">
        <v>7070</v>
      </c>
      <c r="B695" t="s">
        <v>42</v>
      </c>
      <c r="C695" s="1">
        <v>45313</v>
      </c>
      <c r="D695" t="s">
        <v>28</v>
      </c>
      <c r="E695" t="s">
        <v>41</v>
      </c>
      <c r="F695">
        <v>3</v>
      </c>
      <c r="G695">
        <v>1.39</v>
      </c>
      <c r="H695">
        <v>4.17</v>
      </c>
      <c r="I695">
        <v>0.63</v>
      </c>
      <c r="J695">
        <v>3.54</v>
      </c>
      <c r="K695">
        <v>355</v>
      </c>
    </row>
    <row r="696" spans="1:11" x14ac:dyDescent="0.3">
      <c r="A696">
        <v>8264</v>
      </c>
      <c r="B696" t="s">
        <v>26</v>
      </c>
      <c r="C696" s="1">
        <v>45490</v>
      </c>
      <c r="D696" t="s">
        <v>45</v>
      </c>
      <c r="E696" t="s">
        <v>39</v>
      </c>
      <c r="F696">
        <v>3</v>
      </c>
      <c r="G696">
        <v>7.05</v>
      </c>
      <c r="H696">
        <v>21.15</v>
      </c>
      <c r="I696">
        <v>4.2300000000000004</v>
      </c>
      <c r="J696">
        <v>16.920000000000002</v>
      </c>
      <c r="K696">
        <v>275</v>
      </c>
    </row>
    <row r="697" spans="1:11" x14ac:dyDescent="0.3">
      <c r="A697">
        <v>4868</v>
      </c>
      <c r="B697" t="s">
        <v>14</v>
      </c>
      <c r="C697" s="1">
        <v>45809</v>
      </c>
      <c r="D697" t="s">
        <v>38</v>
      </c>
      <c r="E697" t="s">
        <v>13</v>
      </c>
      <c r="F697">
        <v>5</v>
      </c>
      <c r="G697">
        <v>15</v>
      </c>
      <c r="H697">
        <v>75</v>
      </c>
      <c r="I697">
        <v>0</v>
      </c>
      <c r="J697">
        <v>75</v>
      </c>
      <c r="K697">
        <v>373</v>
      </c>
    </row>
    <row r="698" spans="1:11" x14ac:dyDescent="0.3">
      <c r="A698">
        <v>6942</v>
      </c>
      <c r="B698" t="s">
        <v>31</v>
      </c>
      <c r="C698" s="1">
        <v>45222</v>
      </c>
      <c r="D698" t="s">
        <v>20</v>
      </c>
      <c r="E698" t="s">
        <v>46</v>
      </c>
      <c r="F698">
        <v>1</v>
      </c>
      <c r="G698">
        <v>8.4</v>
      </c>
      <c r="H698">
        <v>8.4</v>
      </c>
      <c r="I698">
        <v>1.68</v>
      </c>
      <c r="J698">
        <v>6.72</v>
      </c>
      <c r="K698">
        <v>30</v>
      </c>
    </row>
    <row r="699" spans="1:11" x14ac:dyDescent="0.3">
      <c r="A699">
        <v>7018</v>
      </c>
      <c r="B699" t="s">
        <v>30</v>
      </c>
      <c r="C699" s="1">
        <v>45567</v>
      </c>
      <c r="D699" t="s">
        <v>12</v>
      </c>
      <c r="E699" t="s">
        <v>33</v>
      </c>
      <c r="F699">
        <v>1</v>
      </c>
      <c r="G699">
        <v>2.92</v>
      </c>
      <c r="H699">
        <v>2.92</v>
      </c>
      <c r="I699">
        <v>0</v>
      </c>
      <c r="J699">
        <v>2.92</v>
      </c>
      <c r="K699">
        <v>338</v>
      </c>
    </row>
    <row r="700" spans="1:11" x14ac:dyDescent="0.3">
      <c r="A700">
        <v>6876</v>
      </c>
      <c r="B700" t="s">
        <v>36</v>
      </c>
      <c r="C700" s="1">
        <v>45192</v>
      </c>
      <c r="D700" t="s">
        <v>15</v>
      </c>
      <c r="E700" t="s">
        <v>39</v>
      </c>
      <c r="F700">
        <v>3</v>
      </c>
      <c r="G700">
        <v>26.14</v>
      </c>
      <c r="H700">
        <v>78.42</v>
      </c>
      <c r="I700">
        <v>15.68</v>
      </c>
      <c r="J700">
        <v>62.74</v>
      </c>
      <c r="K700">
        <v>332</v>
      </c>
    </row>
    <row r="701" spans="1:11" x14ac:dyDescent="0.3">
      <c r="A701">
        <v>7523</v>
      </c>
      <c r="B701" t="s">
        <v>24</v>
      </c>
      <c r="C701" s="1">
        <v>45359</v>
      </c>
      <c r="D701" t="s">
        <v>38</v>
      </c>
      <c r="E701" t="s">
        <v>48</v>
      </c>
      <c r="F701">
        <v>3</v>
      </c>
      <c r="G701">
        <v>15.05</v>
      </c>
      <c r="H701">
        <v>45.15</v>
      </c>
      <c r="I701">
        <v>9.0299999999999994</v>
      </c>
      <c r="J701">
        <v>36.119999999999997</v>
      </c>
      <c r="K701">
        <v>305</v>
      </c>
    </row>
    <row r="702" spans="1:11" x14ac:dyDescent="0.3">
      <c r="A702">
        <v>4109</v>
      </c>
      <c r="B702" t="s">
        <v>42</v>
      </c>
      <c r="C702" s="1">
        <v>45239</v>
      </c>
      <c r="D702" t="s">
        <v>38</v>
      </c>
      <c r="E702" t="s">
        <v>33</v>
      </c>
      <c r="F702">
        <v>5</v>
      </c>
      <c r="G702">
        <v>27.85</v>
      </c>
      <c r="H702">
        <v>139.25</v>
      </c>
      <c r="I702">
        <v>27.85</v>
      </c>
      <c r="J702">
        <v>111.4</v>
      </c>
      <c r="K702">
        <v>11</v>
      </c>
    </row>
    <row r="703" spans="1:11" x14ac:dyDescent="0.3">
      <c r="A703">
        <v>8450</v>
      </c>
      <c r="B703" t="s">
        <v>14</v>
      </c>
      <c r="C703" s="1">
        <v>45216</v>
      </c>
      <c r="D703" t="s">
        <v>35</v>
      </c>
      <c r="E703" t="s">
        <v>21</v>
      </c>
      <c r="F703">
        <v>4</v>
      </c>
      <c r="G703">
        <v>12.4</v>
      </c>
      <c r="H703">
        <v>49.6</v>
      </c>
      <c r="I703">
        <v>7.44</v>
      </c>
      <c r="J703">
        <v>42.16</v>
      </c>
      <c r="K703">
        <v>80</v>
      </c>
    </row>
    <row r="704" spans="1:11" x14ac:dyDescent="0.3">
      <c r="A704">
        <v>4475</v>
      </c>
      <c r="B704" t="s">
        <v>36</v>
      </c>
      <c r="C704" s="1">
        <v>45643</v>
      </c>
      <c r="D704" t="s">
        <v>22</v>
      </c>
      <c r="E704" t="s">
        <v>37</v>
      </c>
      <c r="F704">
        <v>2</v>
      </c>
      <c r="G704">
        <v>29.87</v>
      </c>
      <c r="H704">
        <v>59.74</v>
      </c>
      <c r="I704">
        <v>3.5</v>
      </c>
      <c r="J704">
        <v>56.24</v>
      </c>
      <c r="K704">
        <v>256</v>
      </c>
    </row>
    <row r="705" spans="1:11" x14ac:dyDescent="0.3">
      <c r="A705">
        <v>1349</v>
      </c>
      <c r="B705" t="s">
        <v>24</v>
      </c>
      <c r="C705" s="1">
        <v>45184</v>
      </c>
      <c r="D705" t="s">
        <v>12</v>
      </c>
      <c r="E705" t="s">
        <v>18</v>
      </c>
      <c r="F705">
        <v>3</v>
      </c>
      <c r="G705">
        <v>7.53</v>
      </c>
      <c r="H705">
        <v>22.59</v>
      </c>
      <c r="I705">
        <v>0</v>
      </c>
      <c r="J705">
        <v>22.59</v>
      </c>
      <c r="K705">
        <v>174</v>
      </c>
    </row>
    <row r="706" spans="1:11" x14ac:dyDescent="0.3">
      <c r="A706">
        <v>6464</v>
      </c>
      <c r="B706" t="s">
        <v>19</v>
      </c>
      <c r="C706" s="1">
        <v>45334</v>
      </c>
      <c r="D706" t="s">
        <v>15</v>
      </c>
      <c r="E706" t="s">
        <v>32</v>
      </c>
      <c r="F706">
        <v>5</v>
      </c>
      <c r="G706">
        <v>28.85</v>
      </c>
      <c r="H706">
        <v>144.25</v>
      </c>
      <c r="I706">
        <v>14.43</v>
      </c>
      <c r="J706">
        <v>129.82</v>
      </c>
      <c r="K706">
        <v>313</v>
      </c>
    </row>
    <row r="707" spans="1:11" x14ac:dyDescent="0.3">
      <c r="A707">
        <v>3063</v>
      </c>
      <c r="B707" t="s">
        <v>42</v>
      </c>
      <c r="C707" s="1">
        <v>45756</v>
      </c>
      <c r="D707" t="s">
        <v>28</v>
      </c>
      <c r="E707" t="s">
        <v>41</v>
      </c>
      <c r="F707">
        <v>4</v>
      </c>
      <c r="G707">
        <v>29.14</v>
      </c>
      <c r="H707">
        <v>116.56</v>
      </c>
      <c r="I707">
        <v>11.66</v>
      </c>
      <c r="J707">
        <v>104.9</v>
      </c>
      <c r="K707">
        <v>465</v>
      </c>
    </row>
    <row r="708" spans="1:11" x14ac:dyDescent="0.3">
      <c r="A708">
        <v>4362</v>
      </c>
      <c r="B708" t="s">
        <v>14</v>
      </c>
      <c r="C708" s="1">
        <v>45198</v>
      </c>
      <c r="D708" t="s">
        <v>34</v>
      </c>
      <c r="E708" t="s">
        <v>44</v>
      </c>
      <c r="F708">
        <v>2</v>
      </c>
      <c r="G708">
        <v>17.84</v>
      </c>
      <c r="H708">
        <v>35.68</v>
      </c>
      <c r="I708">
        <v>7.14</v>
      </c>
      <c r="J708">
        <v>28.54</v>
      </c>
      <c r="K708">
        <v>350</v>
      </c>
    </row>
    <row r="709" spans="1:11" x14ac:dyDescent="0.3">
      <c r="A709">
        <v>4394</v>
      </c>
      <c r="B709" t="s">
        <v>30</v>
      </c>
      <c r="C709" s="1">
        <v>45600</v>
      </c>
      <c r="D709" t="s">
        <v>38</v>
      </c>
      <c r="E709" t="s">
        <v>41</v>
      </c>
      <c r="F709">
        <v>4</v>
      </c>
      <c r="G709">
        <v>29.86</v>
      </c>
      <c r="H709">
        <v>119.44</v>
      </c>
      <c r="I709">
        <v>0</v>
      </c>
      <c r="J709">
        <v>119.44</v>
      </c>
      <c r="K709">
        <v>499</v>
      </c>
    </row>
    <row r="710" spans="1:11" x14ac:dyDescent="0.3">
      <c r="A710">
        <v>4538</v>
      </c>
      <c r="B710" t="s">
        <v>19</v>
      </c>
      <c r="C710" s="1">
        <v>45776</v>
      </c>
      <c r="D710" t="s">
        <v>22</v>
      </c>
      <c r="E710" t="s">
        <v>43</v>
      </c>
      <c r="F710">
        <v>5</v>
      </c>
      <c r="G710">
        <v>16.45</v>
      </c>
      <c r="H710">
        <v>82.25</v>
      </c>
      <c r="I710">
        <v>16.45</v>
      </c>
      <c r="J710">
        <v>65.8</v>
      </c>
      <c r="K710">
        <v>368</v>
      </c>
    </row>
    <row r="711" spans="1:11" x14ac:dyDescent="0.3">
      <c r="A711">
        <v>4817</v>
      </c>
      <c r="B711" t="s">
        <v>36</v>
      </c>
      <c r="C711" s="1">
        <v>45400</v>
      </c>
      <c r="D711" t="s">
        <v>34</v>
      </c>
      <c r="E711" t="s">
        <v>39</v>
      </c>
      <c r="F711">
        <v>3</v>
      </c>
      <c r="G711">
        <v>26.51</v>
      </c>
      <c r="H711">
        <v>79.53</v>
      </c>
      <c r="I711">
        <v>11.93</v>
      </c>
      <c r="J711">
        <v>67.599999999999994</v>
      </c>
      <c r="K711">
        <v>211</v>
      </c>
    </row>
    <row r="712" spans="1:11" x14ac:dyDescent="0.3">
      <c r="A712">
        <v>3417</v>
      </c>
      <c r="B712" t="s">
        <v>26</v>
      </c>
      <c r="C712" s="1">
        <v>45757</v>
      </c>
      <c r="D712" t="s">
        <v>27</v>
      </c>
      <c r="E712" t="s">
        <v>13</v>
      </c>
      <c r="F712">
        <v>2</v>
      </c>
      <c r="G712">
        <v>23.58</v>
      </c>
      <c r="H712">
        <v>47.16</v>
      </c>
      <c r="I712">
        <v>9.43</v>
      </c>
      <c r="J712">
        <v>37.729999999999997</v>
      </c>
      <c r="K712">
        <v>54</v>
      </c>
    </row>
    <row r="713" spans="1:11" x14ac:dyDescent="0.3">
      <c r="A713">
        <v>1046</v>
      </c>
      <c r="B713" t="s">
        <v>31</v>
      </c>
      <c r="C713" s="1">
        <v>45360</v>
      </c>
      <c r="D713" t="s">
        <v>28</v>
      </c>
      <c r="E713" t="s">
        <v>13</v>
      </c>
      <c r="F713">
        <v>5</v>
      </c>
      <c r="G713">
        <v>17.43</v>
      </c>
      <c r="H713">
        <v>87.15</v>
      </c>
      <c r="I713">
        <v>17.43</v>
      </c>
      <c r="J713">
        <v>69.72</v>
      </c>
      <c r="K713">
        <v>118</v>
      </c>
    </row>
    <row r="714" spans="1:11" x14ac:dyDescent="0.3">
      <c r="A714">
        <v>3370</v>
      </c>
      <c r="B714" t="s">
        <v>31</v>
      </c>
      <c r="C714" s="1">
        <v>45245</v>
      </c>
      <c r="D714" t="s">
        <v>22</v>
      </c>
      <c r="E714" t="s">
        <v>43</v>
      </c>
      <c r="F714">
        <v>4</v>
      </c>
      <c r="G714">
        <v>4.88</v>
      </c>
      <c r="H714">
        <v>19.52</v>
      </c>
      <c r="I714">
        <v>0</v>
      </c>
      <c r="J714">
        <v>19.52</v>
      </c>
      <c r="K714">
        <v>433</v>
      </c>
    </row>
    <row r="715" spans="1:11" x14ac:dyDescent="0.3">
      <c r="A715">
        <v>9850</v>
      </c>
      <c r="B715" t="s">
        <v>36</v>
      </c>
      <c r="C715" s="1">
        <v>45339</v>
      </c>
      <c r="D715" t="s">
        <v>34</v>
      </c>
      <c r="E715" t="s">
        <v>32</v>
      </c>
      <c r="F715">
        <v>4</v>
      </c>
      <c r="G715">
        <v>14.73</v>
      </c>
      <c r="H715">
        <v>58.92</v>
      </c>
      <c r="I715">
        <v>11.78</v>
      </c>
      <c r="J715">
        <v>47.14</v>
      </c>
      <c r="K715">
        <v>83</v>
      </c>
    </row>
    <row r="716" spans="1:11" x14ac:dyDescent="0.3">
      <c r="A716">
        <v>3858</v>
      </c>
      <c r="B716" t="s">
        <v>31</v>
      </c>
      <c r="C716" s="1">
        <v>45230</v>
      </c>
      <c r="D716" t="s">
        <v>20</v>
      </c>
      <c r="E716" t="s">
        <v>39</v>
      </c>
      <c r="F716">
        <v>3</v>
      </c>
      <c r="G716">
        <v>28.55</v>
      </c>
      <c r="H716">
        <v>85.65</v>
      </c>
      <c r="I716">
        <v>17.13</v>
      </c>
      <c r="J716">
        <v>68.52</v>
      </c>
      <c r="K716">
        <v>113</v>
      </c>
    </row>
    <row r="717" spans="1:11" x14ac:dyDescent="0.3">
      <c r="A717">
        <v>1422</v>
      </c>
      <c r="B717" t="s">
        <v>11</v>
      </c>
      <c r="C717" s="1">
        <v>45247</v>
      </c>
      <c r="D717" t="s">
        <v>34</v>
      </c>
      <c r="E717" t="s">
        <v>33</v>
      </c>
      <c r="F717">
        <v>5</v>
      </c>
      <c r="G717">
        <v>15.2</v>
      </c>
      <c r="H717">
        <v>76</v>
      </c>
      <c r="I717">
        <v>15.2</v>
      </c>
      <c r="J717">
        <v>60.8</v>
      </c>
      <c r="K717">
        <v>166</v>
      </c>
    </row>
    <row r="718" spans="1:11" x14ac:dyDescent="0.3">
      <c r="A718">
        <v>1243</v>
      </c>
      <c r="B718" t="s">
        <v>24</v>
      </c>
      <c r="C718" s="1">
        <v>45423</v>
      </c>
      <c r="D718" t="s">
        <v>20</v>
      </c>
      <c r="E718" t="s">
        <v>40</v>
      </c>
      <c r="F718">
        <v>5</v>
      </c>
      <c r="G718">
        <v>22.31</v>
      </c>
      <c r="H718">
        <v>111.55</v>
      </c>
      <c r="I718">
        <v>11.16</v>
      </c>
      <c r="J718">
        <v>100.39</v>
      </c>
      <c r="K718">
        <v>194</v>
      </c>
    </row>
    <row r="719" spans="1:11" x14ac:dyDescent="0.3">
      <c r="A719">
        <v>4898</v>
      </c>
      <c r="B719" t="s">
        <v>14</v>
      </c>
      <c r="C719" s="1">
        <v>45602</v>
      </c>
      <c r="D719" t="s">
        <v>38</v>
      </c>
      <c r="E719" t="s">
        <v>40</v>
      </c>
      <c r="F719">
        <v>5</v>
      </c>
      <c r="G719">
        <v>4.16</v>
      </c>
      <c r="H719">
        <v>20.8</v>
      </c>
      <c r="I719">
        <v>4.16</v>
      </c>
      <c r="J719">
        <v>16.64</v>
      </c>
      <c r="K719">
        <v>233</v>
      </c>
    </row>
    <row r="720" spans="1:11" x14ac:dyDescent="0.3">
      <c r="A720">
        <v>6304</v>
      </c>
      <c r="B720" t="s">
        <v>14</v>
      </c>
      <c r="C720" s="1">
        <v>45157</v>
      </c>
      <c r="D720" t="s">
        <v>38</v>
      </c>
      <c r="E720" t="s">
        <v>32</v>
      </c>
      <c r="F720">
        <v>1</v>
      </c>
      <c r="G720">
        <v>17.16</v>
      </c>
      <c r="H720">
        <v>17.16</v>
      </c>
      <c r="I720">
        <v>3.43</v>
      </c>
      <c r="J720">
        <v>13.73</v>
      </c>
      <c r="K720">
        <v>264</v>
      </c>
    </row>
    <row r="721" spans="1:11" x14ac:dyDescent="0.3">
      <c r="A721">
        <v>3854</v>
      </c>
      <c r="B721" t="s">
        <v>30</v>
      </c>
      <c r="C721" s="1">
        <v>45351</v>
      </c>
      <c r="D721" t="s">
        <v>45</v>
      </c>
      <c r="E721" t="s">
        <v>32</v>
      </c>
      <c r="F721">
        <v>3</v>
      </c>
      <c r="G721">
        <v>23.43</v>
      </c>
      <c r="H721">
        <v>70.290000000000006</v>
      </c>
      <c r="I721">
        <v>14.06</v>
      </c>
      <c r="J721">
        <v>56.23</v>
      </c>
      <c r="K721">
        <v>146</v>
      </c>
    </row>
    <row r="722" spans="1:11" x14ac:dyDescent="0.3">
      <c r="A722">
        <v>1858</v>
      </c>
      <c r="B722" t="s">
        <v>24</v>
      </c>
      <c r="C722" s="1">
        <v>45243</v>
      </c>
      <c r="D722" t="s">
        <v>35</v>
      </c>
      <c r="E722" t="s">
        <v>40</v>
      </c>
      <c r="F722">
        <v>5</v>
      </c>
      <c r="G722">
        <v>27.2</v>
      </c>
      <c r="H722">
        <v>136</v>
      </c>
      <c r="I722">
        <v>3.89</v>
      </c>
      <c r="J722">
        <v>132.11000000000001</v>
      </c>
      <c r="K722">
        <v>237</v>
      </c>
    </row>
    <row r="723" spans="1:11" x14ac:dyDescent="0.3">
      <c r="A723">
        <v>7897</v>
      </c>
      <c r="B723" t="s">
        <v>11</v>
      </c>
      <c r="C723" s="1">
        <v>45553</v>
      </c>
      <c r="D723" t="s">
        <v>34</v>
      </c>
      <c r="E723" t="s">
        <v>18</v>
      </c>
      <c r="F723">
        <v>2</v>
      </c>
      <c r="G723">
        <v>12.39</v>
      </c>
      <c r="H723">
        <v>24.78</v>
      </c>
      <c r="I723">
        <v>1.72</v>
      </c>
      <c r="J723">
        <v>23.06</v>
      </c>
      <c r="K723">
        <v>165</v>
      </c>
    </row>
    <row r="724" spans="1:11" x14ac:dyDescent="0.3">
      <c r="A724">
        <v>2862</v>
      </c>
      <c r="B724" t="s">
        <v>42</v>
      </c>
      <c r="C724" s="1">
        <v>45724</v>
      </c>
      <c r="D724" t="s">
        <v>45</v>
      </c>
      <c r="E724" t="s">
        <v>43</v>
      </c>
      <c r="F724">
        <v>3</v>
      </c>
      <c r="G724">
        <v>10.39</v>
      </c>
      <c r="H724">
        <v>31.17</v>
      </c>
      <c r="I724">
        <v>0</v>
      </c>
      <c r="J724">
        <v>31.17</v>
      </c>
      <c r="K724">
        <v>332</v>
      </c>
    </row>
    <row r="725" spans="1:11" x14ac:dyDescent="0.3">
      <c r="A725">
        <v>2041</v>
      </c>
      <c r="B725" t="s">
        <v>11</v>
      </c>
      <c r="C725" s="1">
        <v>45514</v>
      </c>
      <c r="D725" t="s">
        <v>15</v>
      </c>
      <c r="E725" t="s">
        <v>48</v>
      </c>
      <c r="F725">
        <v>4</v>
      </c>
      <c r="G725">
        <v>19.38</v>
      </c>
      <c r="H725">
        <v>77.52</v>
      </c>
      <c r="I725">
        <v>0</v>
      </c>
      <c r="J725">
        <v>77.52</v>
      </c>
      <c r="K725">
        <v>43</v>
      </c>
    </row>
    <row r="726" spans="1:11" x14ac:dyDescent="0.3">
      <c r="A726">
        <v>8344</v>
      </c>
      <c r="B726" t="s">
        <v>14</v>
      </c>
      <c r="C726" s="1">
        <v>45749</v>
      </c>
      <c r="D726" t="s">
        <v>28</v>
      </c>
      <c r="E726" t="s">
        <v>29</v>
      </c>
      <c r="F726">
        <v>4</v>
      </c>
      <c r="G726">
        <v>16.95</v>
      </c>
      <c r="H726">
        <v>67.8</v>
      </c>
      <c r="I726">
        <v>10.17</v>
      </c>
      <c r="J726">
        <v>57.63</v>
      </c>
      <c r="K726">
        <v>22</v>
      </c>
    </row>
    <row r="727" spans="1:11" x14ac:dyDescent="0.3">
      <c r="A727">
        <v>6931</v>
      </c>
      <c r="B727" t="s">
        <v>19</v>
      </c>
      <c r="C727" s="1">
        <v>45543</v>
      </c>
      <c r="D727" t="s">
        <v>34</v>
      </c>
      <c r="E727" t="s">
        <v>41</v>
      </c>
      <c r="F727">
        <v>2</v>
      </c>
      <c r="G727">
        <v>23.3</v>
      </c>
      <c r="H727">
        <v>46.6</v>
      </c>
      <c r="I727">
        <v>6.99</v>
      </c>
      <c r="J727">
        <v>39.61</v>
      </c>
      <c r="K727">
        <v>26</v>
      </c>
    </row>
    <row r="728" spans="1:11" x14ac:dyDescent="0.3">
      <c r="A728">
        <v>2786</v>
      </c>
      <c r="B728" t="s">
        <v>30</v>
      </c>
      <c r="C728" s="1">
        <v>45496</v>
      </c>
      <c r="D728" t="s">
        <v>45</v>
      </c>
      <c r="E728" t="s">
        <v>37</v>
      </c>
      <c r="F728">
        <v>2</v>
      </c>
      <c r="G728">
        <v>4.4000000000000004</v>
      </c>
      <c r="H728">
        <v>8.8000000000000007</v>
      </c>
      <c r="I728">
        <v>3.49</v>
      </c>
      <c r="J728">
        <v>5.31</v>
      </c>
      <c r="K728">
        <v>67</v>
      </c>
    </row>
    <row r="729" spans="1:11" x14ac:dyDescent="0.3">
      <c r="A729">
        <v>9254</v>
      </c>
      <c r="B729" t="s">
        <v>30</v>
      </c>
      <c r="C729" s="1">
        <v>45317</v>
      </c>
      <c r="D729" t="s">
        <v>12</v>
      </c>
      <c r="E729" t="s">
        <v>33</v>
      </c>
      <c r="F729">
        <v>4</v>
      </c>
      <c r="G729">
        <v>25.8</v>
      </c>
      <c r="H729">
        <v>103.2</v>
      </c>
      <c r="I729">
        <v>4.53</v>
      </c>
      <c r="J729">
        <v>98.67</v>
      </c>
      <c r="K729">
        <v>278</v>
      </c>
    </row>
    <row r="730" spans="1:11" x14ac:dyDescent="0.3">
      <c r="A730">
        <v>1710</v>
      </c>
      <c r="B730" t="s">
        <v>42</v>
      </c>
      <c r="C730" s="1">
        <v>45709</v>
      </c>
      <c r="D730" t="s">
        <v>17</v>
      </c>
      <c r="E730" t="s">
        <v>47</v>
      </c>
      <c r="F730">
        <v>4</v>
      </c>
      <c r="G730">
        <v>12.88</v>
      </c>
      <c r="H730">
        <v>51.52</v>
      </c>
      <c r="I730">
        <v>10.3</v>
      </c>
      <c r="J730">
        <v>41.22</v>
      </c>
      <c r="K730">
        <v>40</v>
      </c>
    </row>
    <row r="731" spans="1:11" x14ac:dyDescent="0.3">
      <c r="A731">
        <v>9543</v>
      </c>
      <c r="B731" t="s">
        <v>14</v>
      </c>
      <c r="C731" s="1">
        <v>45379</v>
      </c>
      <c r="D731" t="s">
        <v>35</v>
      </c>
      <c r="E731" t="s">
        <v>18</v>
      </c>
      <c r="F731">
        <v>2</v>
      </c>
      <c r="G731">
        <v>2.41</v>
      </c>
      <c r="H731">
        <v>4.82</v>
      </c>
      <c r="I731">
        <v>0</v>
      </c>
      <c r="J731">
        <v>4.82</v>
      </c>
      <c r="K731">
        <v>75</v>
      </c>
    </row>
    <row r="732" spans="1:11" x14ac:dyDescent="0.3">
      <c r="A732">
        <v>8504</v>
      </c>
      <c r="B732" t="s">
        <v>36</v>
      </c>
      <c r="C732" s="1">
        <v>45644</v>
      </c>
      <c r="D732" t="s">
        <v>12</v>
      </c>
      <c r="E732" t="s">
        <v>41</v>
      </c>
      <c r="F732">
        <v>1</v>
      </c>
      <c r="G732">
        <v>20.329999999999998</v>
      </c>
      <c r="H732">
        <v>20.329999999999998</v>
      </c>
      <c r="I732">
        <v>3.05</v>
      </c>
      <c r="J732">
        <v>17.28</v>
      </c>
      <c r="K732">
        <v>429</v>
      </c>
    </row>
    <row r="733" spans="1:11" x14ac:dyDescent="0.3">
      <c r="A733">
        <v>1510</v>
      </c>
      <c r="B733" t="s">
        <v>11</v>
      </c>
      <c r="C733" s="1">
        <v>45192</v>
      </c>
      <c r="D733" t="s">
        <v>12</v>
      </c>
      <c r="E733" t="s">
        <v>48</v>
      </c>
      <c r="F733">
        <v>4</v>
      </c>
      <c r="G733">
        <v>29.81</v>
      </c>
      <c r="H733">
        <v>119.24</v>
      </c>
      <c r="I733">
        <v>3.64</v>
      </c>
      <c r="J733">
        <v>115.6</v>
      </c>
      <c r="K733">
        <v>82</v>
      </c>
    </row>
    <row r="734" spans="1:11" x14ac:dyDescent="0.3">
      <c r="A734">
        <v>8847</v>
      </c>
      <c r="B734" t="s">
        <v>14</v>
      </c>
      <c r="C734" s="1">
        <v>45803</v>
      </c>
      <c r="D734" t="s">
        <v>34</v>
      </c>
      <c r="E734" t="s">
        <v>33</v>
      </c>
      <c r="F734">
        <v>5</v>
      </c>
      <c r="G734">
        <v>11.44</v>
      </c>
      <c r="H734">
        <v>57.2</v>
      </c>
      <c r="I734">
        <v>8.58</v>
      </c>
      <c r="J734">
        <v>48.62</v>
      </c>
      <c r="K734">
        <v>18</v>
      </c>
    </row>
    <row r="735" spans="1:11" x14ac:dyDescent="0.3">
      <c r="A735">
        <v>7580</v>
      </c>
      <c r="B735" t="s">
        <v>36</v>
      </c>
      <c r="C735" s="1">
        <v>45476</v>
      </c>
      <c r="D735" t="s">
        <v>22</v>
      </c>
      <c r="E735" t="s">
        <v>32</v>
      </c>
      <c r="F735">
        <v>1</v>
      </c>
      <c r="G735">
        <v>22.98</v>
      </c>
      <c r="H735">
        <v>22.98</v>
      </c>
      <c r="I735">
        <v>3.45</v>
      </c>
      <c r="J735">
        <v>19.53</v>
      </c>
      <c r="K735">
        <v>431</v>
      </c>
    </row>
    <row r="736" spans="1:11" x14ac:dyDescent="0.3">
      <c r="A736">
        <v>2768</v>
      </c>
      <c r="B736" t="s">
        <v>26</v>
      </c>
      <c r="C736" s="1">
        <v>45525</v>
      </c>
      <c r="D736" t="s">
        <v>34</v>
      </c>
      <c r="E736" t="s">
        <v>48</v>
      </c>
      <c r="F736">
        <v>3</v>
      </c>
      <c r="G736">
        <v>10.54</v>
      </c>
      <c r="H736">
        <v>31.62</v>
      </c>
      <c r="I736">
        <v>0</v>
      </c>
      <c r="J736">
        <v>31.62</v>
      </c>
      <c r="K736">
        <v>211</v>
      </c>
    </row>
    <row r="737" spans="1:11" x14ac:dyDescent="0.3">
      <c r="A737">
        <v>8267</v>
      </c>
      <c r="B737" t="s">
        <v>42</v>
      </c>
      <c r="C737" s="1">
        <v>45202</v>
      </c>
      <c r="D737" t="s">
        <v>28</v>
      </c>
      <c r="E737" t="s">
        <v>40</v>
      </c>
      <c r="F737">
        <v>1</v>
      </c>
      <c r="G737">
        <v>17.559999999999999</v>
      </c>
      <c r="H737">
        <v>17.559999999999999</v>
      </c>
      <c r="I737">
        <v>1.76</v>
      </c>
      <c r="J737">
        <v>15.8</v>
      </c>
      <c r="K737">
        <v>322</v>
      </c>
    </row>
    <row r="738" spans="1:11" x14ac:dyDescent="0.3">
      <c r="A738">
        <v>2323</v>
      </c>
      <c r="B738" t="s">
        <v>30</v>
      </c>
      <c r="C738" s="1">
        <v>45395</v>
      </c>
      <c r="D738" t="s">
        <v>20</v>
      </c>
      <c r="E738" t="s">
        <v>21</v>
      </c>
      <c r="F738">
        <v>3</v>
      </c>
      <c r="G738">
        <v>16.23</v>
      </c>
      <c r="H738">
        <v>48.69</v>
      </c>
      <c r="I738">
        <v>9.74</v>
      </c>
      <c r="J738">
        <v>38.950000000000003</v>
      </c>
      <c r="K738">
        <v>319</v>
      </c>
    </row>
    <row r="739" spans="1:11" x14ac:dyDescent="0.3">
      <c r="A739">
        <v>3430</v>
      </c>
      <c r="B739" t="s">
        <v>26</v>
      </c>
      <c r="C739" s="1">
        <v>45196</v>
      </c>
      <c r="D739" t="s">
        <v>38</v>
      </c>
      <c r="E739" t="s">
        <v>47</v>
      </c>
      <c r="F739">
        <v>4</v>
      </c>
      <c r="G739">
        <v>24.42</v>
      </c>
      <c r="H739">
        <v>97.68</v>
      </c>
      <c r="I739">
        <v>0</v>
      </c>
      <c r="J739">
        <v>97.68</v>
      </c>
      <c r="K739">
        <v>452</v>
      </c>
    </row>
    <row r="740" spans="1:11" x14ac:dyDescent="0.3">
      <c r="A740">
        <v>3067</v>
      </c>
      <c r="B740" t="s">
        <v>30</v>
      </c>
      <c r="C740" s="1">
        <v>45358</v>
      </c>
      <c r="D740" t="s">
        <v>17</v>
      </c>
      <c r="E740" t="s">
        <v>39</v>
      </c>
      <c r="F740">
        <v>1</v>
      </c>
      <c r="G740">
        <v>1.69</v>
      </c>
      <c r="H740">
        <v>1.69</v>
      </c>
      <c r="I740">
        <v>0</v>
      </c>
      <c r="J740">
        <v>1.69</v>
      </c>
      <c r="K740">
        <v>320</v>
      </c>
    </row>
    <row r="741" spans="1:11" x14ac:dyDescent="0.3">
      <c r="A741">
        <v>9984</v>
      </c>
      <c r="B741" t="s">
        <v>42</v>
      </c>
      <c r="C741" s="1">
        <v>45698</v>
      </c>
      <c r="D741" t="s">
        <v>28</v>
      </c>
      <c r="E741" t="s">
        <v>16</v>
      </c>
      <c r="F741">
        <v>4</v>
      </c>
      <c r="G741">
        <v>2.31</v>
      </c>
      <c r="H741">
        <v>9.24</v>
      </c>
      <c r="I741">
        <v>3.56</v>
      </c>
      <c r="J741">
        <v>5.68</v>
      </c>
      <c r="K741">
        <v>179</v>
      </c>
    </row>
    <row r="742" spans="1:11" x14ac:dyDescent="0.3">
      <c r="A742">
        <v>6327</v>
      </c>
      <c r="C742" s="1">
        <v>45440</v>
      </c>
      <c r="D742" t="s">
        <v>35</v>
      </c>
      <c r="E742" t="s">
        <v>43</v>
      </c>
      <c r="F742">
        <v>3</v>
      </c>
      <c r="G742">
        <v>9.6999999999999993</v>
      </c>
      <c r="H742">
        <v>29.1</v>
      </c>
      <c r="I742">
        <v>1.46</v>
      </c>
      <c r="J742">
        <v>27.64</v>
      </c>
      <c r="K742">
        <v>281</v>
      </c>
    </row>
    <row r="743" spans="1:11" x14ac:dyDescent="0.3">
      <c r="A743">
        <v>9692</v>
      </c>
      <c r="B743" t="s">
        <v>36</v>
      </c>
      <c r="C743" s="1">
        <v>45374</v>
      </c>
      <c r="D743" t="s">
        <v>22</v>
      </c>
      <c r="E743" t="s">
        <v>32</v>
      </c>
      <c r="F743">
        <v>5</v>
      </c>
      <c r="G743">
        <v>18.850000000000001</v>
      </c>
      <c r="H743">
        <v>94.25</v>
      </c>
      <c r="I743">
        <v>18.850000000000001</v>
      </c>
      <c r="J743">
        <v>75.400000000000006</v>
      </c>
      <c r="K743">
        <v>14</v>
      </c>
    </row>
    <row r="744" spans="1:11" x14ac:dyDescent="0.3">
      <c r="A744">
        <v>8433</v>
      </c>
      <c r="B744" t="s">
        <v>36</v>
      </c>
      <c r="C744" s="1">
        <v>45537</v>
      </c>
      <c r="D744" t="s">
        <v>22</v>
      </c>
      <c r="E744" t="s">
        <v>47</v>
      </c>
      <c r="F744">
        <v>4</v>
      </c>
      <c r="G744">
        <v>24.11</v>
      </c>
      <c r="H744">
        <v>96.44</v>
      </c>
      <c r="I744">
        <v>9.64</v>
      </c>
      <c r="J744">
        <v>86.8</v>
      </c>
      <c r="K744">
        <v>330</v>
      </c>
    </row>
    <row r="745" spans="1:11" x14ac:dyDescent="0.3">
      <c r="A745">
        <v>8048</v>
      </c>
      <c r="B745" t="s">
        <v>19</v>
      </c>
      <c r="C745" s="1">
        <v>45222</v>
      </c>
      <c r="D745" t="s">
        <v>27</v>
      </c>
      <c r="E745" t="s">
        <v>33</v>
      </c>
      <c r="F745">
        <v>5</v>
      </c>
      <c r="G745">
        <v>26.97</v>
      </c>
      <c r="H745">
        <v>134.85</v>
      </c>
      <c r="I745">
        <v>0</v>
      </c>
      <c r="J745">
        <v>134.85</v>
      </c>
      <c r="K745">
        <v>236</v>
      </c>
    </row>
    <row r="746" spans="1:11" x14ac:dyDescent="0.3">
      <c r="A746">
        <v>2874</v>
      </c>
      <c r="B746" t="s">
        <v>31</v>
      </c>
      <c r="C746" s="1">
        <v>45807</v>
      </c>
      <c r="D746" t="s">
        <v>38</v>
      </c>
      <c r="E746" t="s">
        <v>37</v>
      </c>
      <c r="F746">
        <v>5</v>
      </c>
      <c r="G746">
        <v>22.01</v>
      </c>
      <c r="H746">
        <v>110.05</v>
      </c>
      <c r="I746">
        <v>22.01</v>
      </c>
      <c r="J746">
        <v>88.04</v>
      </c>
      <c r="K746">
        <v>161</v>
      </c>
    </row>
    <row r="747" spans="1:11" x14ac:dyDescent="0.3">
      <c r="A747">
        <v>4522</v>
      </c>
      <c r="B747" t="s">
        <v>36</v>
      </c>
      <c r="C747" s="1">
        <v>45479</v>
      </c>
      <c r="D747" t="s">
        <v>22</v>
      </c>
      <c r="E747" t="s">
        <v>43</v>
      </c>
      <c r="F747">
        <v>2</v>
      </c>
      <c r="G747">
        <v>9.1199999999999992</v>
      </c>
      <c r="H747">
        <v>18.239999999999998</v>
      </c>
      <c r="I747">
        <v>1.82</v>
      </c>
      <c r="J747">
        <v>16.420000000000002</v>
      </c>
      <c r="K747">
        <v>15</v>
      </c>
    </row>
    <row r="748" spans="1:11" x14ac:dyDescent="0.3">
      <c r="A748">
        <v>8398</v>
      </c>
      <c r="B748" t="s">
        <v>14</v>
      </c>
      <c r="C748" s="1">
        <v>45834</v>
      </c>
      <c r="D748" t="s">
        <v>34</v>
      </c>
      <c r="E748" t="s">
        <v>32</v>
      </c>
      <c r="F748">
        <v>2</v>
      </c>
      <c r="G748">
        <v>18.25</v>
      </c>
      <c r="H748">
        <v>36.5</v>
      </c>
      <c r="I748">
        <v>0</v>
      </c>
      <c r="J748">
        <v>36.5</v>
      </c>
      <c r="K748">
        <v>442</v>
      </c>
    </row>
    <row r="749" spans="1:11" x14ac:dyDescent="0.3">
      <c r="A749">
        <v>4743</v>
      </c>
      <c r="B749" t="s">
        <v>36</v>
      </c>
      <c r="C749" s="1">
        <v>45466</v>
      </c>
      <c r="D749" t="s">
        <v>12</v>
      </c>
      <c r="E749" t="s">
        <v>13</v>
      </c>
      <c r="F749">
        <v>4</v>
      </c>
      <c r="G749">
        <v>3.51</v>
      </c>
      <c r="H749">
        <v>14.04</v>
      </c>
      <c r="I749">
        <v>2.11</v>
      </c>
      <c r="J749">
        <v>11.93</v>
      </c>
      <c r="K749">
        <v>449</v>
      </c>
    </row>
    <row r="750" spans="1:11" x14ac:dyDescent="0.3">
      <c r="A750">
        <v>6553</v>
      </c>
      <c r="B750" t="s">
        <v>26</v>
      </c>
      <c r="C750" s="1">
        <v>45787</v>
      </c>
      <c r="D750" t="s">
        <v>35</v>
      </c>
      <c r="E750" t="s">
        <v>44</v>
      </c>
      <c r="F750">
        <v>5</v>
      </c>
      <c r="G750">
        <v>9.76</v>
      </c>
      <c r="H750">
        <v>48.8</v>
      </c>
      <c r="I750">
        <v>4.1100000000000003</v>
      </c>
      <c r="J750">
        <v>44.69</v>
      </c>
      <c r="K750">
        <v>57</v>
      </c>
    </row>
    <row r="751" spans="1:11" x14ac:dyDescent="0.3">
      <c r="A751">
        <v>8430</v>
      </c>
      <c r="B751" t="s">
        <v>11</v>
      </c>
      <c r="C751" s="1">
        <v>45454</v>
      </c>
      <c r="D751" t="s">
        <v>45</v>
      </c>
      <c r="E751" t="s">
        <v>46</v>
      </c>
      <c r="F751">
        <v>1</v>
      </c>
      <c r="G751">
        <v>24.16</v>
      </c>
      <c r="H751">
        <v>24.16</v>
      </c>
      <c r="I751">
        <v>4.83</v>
      </c>
      <c r="J751">
        <v>19.329999999999998</v>
      </c>
      <c r="K751">
        <v>463</v>
      </c>
    </row>
    <row r="752" spans="1:11" x14ac:dyDescent="0.3">
      <c r="A752">
        <v>7815</v>
      </c>
      <c r="B752" t="s">
        <v>36</v>
      </c>
      <c r="C752" s="1">
        <v>45711</v>
      </c>
      <c r="D752" t="s">
        <v>45</v>
      </c>
      <c r="E752" t="s">
        <v>46</v>
      </c>
      <c r="F752">
        <v>3</v>
      </c>
      <c r="G752">
        <v>23.48</v>
      </c>
      <c r="H752">
        <v>70.44</v>
      </c>
      <c r="I752">
        <v>3.71</v>
      </c>
      <c r="J752">
        <v>66.73</v>
      </c>
      <c r="K752">
        <v>73</v>
      </c>
    </row>
    <row r="753" spans="1:11" x14ac:dyDescent="0.3">
      <c r="A753">
        <v>2557</v>
      </c>
      <c r="B753" t="s">
        <v>19</v>
      </c>
      <c r="C753" s="1">
        <v>45387</v>
      </c>
      <c r="D753" t="s">
        <v>17</v>
      </c>
      <c r="E753" t="s">
        <v>40</v>
      </c>
      <c r="F753">
        <v>4</v>
      </c>
      <c r="G753">
        <v>12.23</v>
      </c>
      <c r="H753">
        <v>48.92</v>
      </c>
      <c r="I753">
        <v>2.2400000000000002</v>
      </c>
      <c r="J753">
        <v>46.68</v>
      </c>
      <c r="K753">
        <v>442</v>
      </c>
    </row>
    <row r="754" spans="1:11" x14ac:dyDescent="0.3">
      <c r="A754">
        <v>7992</v>
      </c>
      <c r="B754" t="s">
        <v>31</v>
      </c>
      <c r="C754" s="1">
        <v>45387</v>
      </c>
      <c r="D754" t="s">
        <v>27</v>
      </c>
      <c r="E754" t="s">
        <v>43</v>
      </c>
      <c r="F754">
        <v>3</v>
      </c>
      <c r="G754">
        <v>14.53</v>
      </c>
      <c r="H754">
        <v>43.59</v>
      </c>
      <c r="I754">
        <v>4.0599999999999996</v>
      </c>
      <c r="J754">
        <v>39.53</v>
      </c>
      <c r="K754">
        <v>23</v>
      </c>
    </row>
    <row r="755" spans="1:11" x14ac:dyDescent="0.3">
      <c r="A755">
        <v>5176</v>
      </c>
      <c r="B755" t="s">
        <v>30</v>
      </c>
      <c r="C755" s="1">
        <v>45435</v>
      </c>
      <c r="D755" t="s">
        <v>12</v>
      </c>
      <c r="E755" t="s">
        <v>37</v>
      </c>
      <c r="F755">
        <v>2</v>
      </c>
      <c r="G755">
        <v>10.3</v>
      </c>
      <c r="H755">
        <v>20.6</v>
      </c>
      <c r="I755">
        <v>3.09</v>
      </c>
      <c r="J755">
        <v>17.510000000000002</v>
      </c>
      <c r="K755">
        <v>98</v>
      </c>
    </row>
    <row r="756" spans="1:11" x14ac:dyDescent="0.3">
      <c r="A756">
        <v>3500</v>
      </c>
      <c r="B756" t="s">
        <v>14</v>
      </c>
      <c r="C756" s="1">
        <v>45678</v>
      </c>
      <c r="D756" t="s">
        <v>22</v>
      </c>
      <c r="E756" t="s">
        <v>33</v>
      </c>
      <c r="F756">
        <v>1</v>
      </c>
      <c r="G756">
        <v>8.9</v>
      </c>
      <c r="H756">
        <v>8.9</v>
      </c>
      <c r="I756">
        <v>1.06</v>
      </c>
      <c r="J756">
        <v>7.84</v>
      </c>
      <c r="K756">
        <v>80</v>
      </c>
    </row>
    <row r="757" spans="1:11" x14ac:dyDescent="0.3">
      <c r="A757">
        <v>8770</v>
      </c>
      <c r="B757" t="s">
        <v>14</v>
      </c>
      <c r="C757" s="1">
        <v>45197</v>
      </c>
      <c r="D757" t="s">
        <v>38</v>
      </c>
      <c r="E757" t="s">
        <v>48</v>
      </c>
      <c r="F757">
        <v>2</v>
      </c>
      <c r="G757">
        <v>16.72</v>
      </c>
      <c r="H757">
        <v>33.44</v>
      </c>
      <c r="I757">
        <v>5.0199999999999996</v>
      </c>
      <c r="J757">
        <v>28.42</v>
      </c>
      <c r="K757">
        <v>281</v>
      </c>
    </row>
    <row r="758" spans="1:11" x14ac:dyDescent="0.3">
      <c r="A758">
        <v>2494</v>
      </c>
      <c r="B758" t="s">
        <v>19</v>
      </c>
      <c r="C758" s="1">
        <v>45791</v>
      </c>
      <c r="D758" t="s">
        <v>35</v>
      </c>
      <c r="E758" t="s">
        <v>25</v>
      </c>
      <c r="F758">
        <v>2</v>
      </c>
      <c r="G758">
        <v>3.06</v>
      </c>
      <c r="H758">
        <v>6.12</v>
      </c>
      <c r="I758">
        <v>2.77</v>
      </c>
      <c r="J758">
        <v>3.35</v>
      </c>
      <c r="K758">
        <v>313</v>
      </c>
    </row>
    <row r="759" spans="1:11" x14ac:dyDescent="0.3">
      <c r="A759">
        <v>2398</v>
      </c>
      <c r="B759" t="s">
        <v>19</v>
      </c>
      <c r="C759" s="1">
        <v>45217</v>
      </c>
      <c r="D759" t="s">
        <v>12</v>
      </c>
      <c r="E759" t="s">
        <v>47</v>
      </c>
      <c r="F759">
        <v>1</v>
      </c>
      <c r="G759">
        <v>4.0599999999999996</v>
      </c>
      <c r="H759">
        <v>4.0599999999999996</v>
      </c>
      <c r="I759">
        <v>0.41</v>
      </c>
      <c r="J759">
        <v>3.65</v>
      </c>
      <c r="K759">
        <v>27</v>
      </c>
    </row>
    <row r="760" spans="1:11" x14ac:dyDescent="0.3">
      <c r="A760">
        <v>8075</v>
      </c>
      <c r="B760" t="s">
        <v>24</v>
      </c>
      <c r="C760" s="1">
        <v>45220</v>
      </c>
      <c r="D760" t="s">
        <v>34</v>
      </c>
      <c r="E760" t="s">
        <v>33</v>
      </c>
      <c r="F760">
        <v>5</v>
      </c>
      <c r="G760">
        <v>11.3</v>
      </c>
      <c r="H760">
        <v>56.5</v>
      </c>
      <c r="I760">
        <v>0</v>
      </c>
      <c r="J760">
        <v>56.5</v>
      </c>
      <c r="K760">
        <v>170</v>
      </c>
    </row>
    <row r="761" spans="1:11" x14ac:dyDescent="0.3">
      <c r="A761">
        <v>7105</v>
      </c>
      <c r="B761" t="s">
        <v>14</v>
      </c>
      <c r="C761" s="1">
        <v>45775</v>
      </c>
      <c r="D761" t="s">
        <v>15</v>
      </c>
      <c r="E761" t="s">
        <v>33</v>
      </c>
      <c r="F761">
        <v>5</v>
      </c>
      <c r="G761">
        <v>4.8099999999999996</v>
      </c>
      <c r="H761">
        <v>24.05</v>
      </c>
      <c r="I761">
        <v>2.82</v>
      </c>
      <c r="J761">
        <v>21.23</v>
      </c>
      <c r="K761">
        <v>416</v>
      </c>
    </row>
    <row r="762" spans="1:11" x14ac:dyDescent="0.3">
      <c r="A762">
        <v>3131</v>
      </c>
      <c r="B762" t="s">
        <v>26</v>
      </c>
      <c r="C762" s="1">
        <v>45577</v>
      </c>
      <c r="D762" t="s">
        <v>45</v>
      </c>
      <c r="E762" t="s">
        <v>25</v>
      </c>
      <c r="F762">
        <v>2</v>
      </c>
      <c r="G762">
        <v>5.16</v>
      </c>
      <c r="H762">
        <v>10.32</v>
      </c>
      <c r="I762">
        <v>1.55</v>
      </c>
      <c r="J762">
        <v>8.77</v>
      </c>
      <c r="K762">
        <v>458</v>
      </c>
    </row>
    <row r="763" spans="1:11" x14ac:dyDescent="0.3">
      <c r="A763">
        <v>1982</v>
      </c>
      <c r="B763" t="s">
        <v>24</v>
      </c>
      <c r="C763" s="1">
        <v>45600</v>
      </c>
      <c r="D763" t="s">
        <v>34</v>
      </c>
      <c r="E763" t="s">
        <v>21</v>
      </c>
      <c r="F763">
        <v>3</v>
      </c>
      <c r="G763">
        <v>14.14</v>
      </c>
      <c r="H763">
        <v>42.42</v>
      </c>
      <c r="I763">
        <v>4.24</v>
      </c>
      <c r="J763">
        <v>38.18</v>
      </c>
      <c r="K763">
        <v>15</v>
      </c>
    </row>
    <row r="764" spans="1:11" x14ac:dyDescent="0.3">
      <c r="A764">
        <v>6400</v>
      </c>
      <c r="B764" t="s">
        <v>11</v>
      </c>
      <c r="C764" s="1">
        <v>45665</v>
      </c>
      <c r="D764" t="s">
        <v>22</v>
      </c>
      <c r="E764" t="s">
        <v>47</v>
      </c>
      <c r="F764">
        <v>4</v>
      </c>
      <c r="G764">
        <v>25.52</v>
      </c>
      <c r="H764">
        <v>102.08</v>
      </c>
      <c r="I764">
        <v>3.3</v>
      </c>
      <c r="J764">
        <v>98.78</v>
      </c>
      <c r="K764">
        <v>144</v>
      </c>
    </row>
    <row r="765" spans="1:11" x14ac:dyDescent="0.3">
      <c r="A765">
        <v>3002</v>
      </c>
      <c r="B765" t="s">
        <v>14</v>
      </c>
      <c r="C765" s="1">
        <v>45464</v>
      </c>
      <c r="D765" t="s">
        <v>15</v>
      </c>
      <c r="E765" t="s">
        <v>32</v>
      </c>
      <c r="F765">
        <v>1</v>
      </c>
      <c r="G765">
        <v>10.44</v>
      </c>
      <c r="H765">
        <v>10.44</v>
      </c>
      <c r="I765">
        <v>1.57</v>
      </c>
      <c r="J765">
        <v>8.8699999999999992</v>
      </c>
      <c r="K765">
        <v>332</v>
      </c>
    </row>
    <row r="766" spans="1:11" x14ac:dyDescent="0.3">
      <c r="A766">
        <v>6793</v>
      </c>
      <c r="B766" t="s">
        <v>14</v>
      </c>
      <c r="C766" s="1">
        <v>45823</v>
      </c>
      <c r="D766" t="s">
        <v>45</v>
      </c>
      <c r="E766" t="s">
        <v>32</v>
      </c>
      <c r="F766">
        <v>5</v>
      </c>
      <c r="G766">
        <v>12.98</v>
      </c>
      <c r="H766">
        <v>64.900000000000006</v>
      </c>
      <c r="I766">
        <v>1.64</v>
      </c>
      <c r="J766">
        <v>63.26</v>
      </c>
      <c r="K766">
        <v>317</v>
      </c>
    </row>
    <row r="767" spans="1:11" x14ac:dyDescent="0.3">
      <c r="A767">
        <v>7929</v>
      </c>
      <c r="B767" t="s">
        <v>26</v>
      </c>
      <c r="C767" s="1">
        <v>45819</v>
      </c>
      <c r="D767" t="s">
        <v>20</v>
      </c>
      <c r="E767" t="s">
        <v>43</v>
      </c>
      <c r="F767">
        <v>3</v>
      </c>
      <c r="G767">
        <v>7.03</v>
      </c>
      <c r="H767">
        <v>21.09</v>
      </c>
      <c r="I767">
        <v>2.11</v>
      </c>
      <c r="J767">
        <v>18.98</v>
      </c>
      <c r="K767">
        <v>355</v>
      </c>
    </row>
    <row r="768" spans="1:11" x14ac:dyDescent="0.3">
      <c r="A768">
        <v>1842</v>
      </c>
      <c r="B768" t="s">
        <v>36</v>
      </c>
      <c r="C768" s="1">
        <v>45368</v>
      </c>
      <c r="D768" t="s">
        <v>38</v>
      </c>
      <c r="E768" t="s">
        <v>25</v>
      </c>
      <c r="F768">
        <v>2</v>
      </c>
      <c r="G768">
        <v>20.21</v>
      </c>
      <c r="H768">
        <v>40.42</v>
      </c>
      <c r="I768">
        <v>3.37</v>
      </c>
      <c r="J768">
        <v>37.049999999999997</v>
      </c>
      <c r="K768">
        <v>39</v>
      </c>
    </row>
    <row r="769" spans="1:11" x14ac:dyDescent="0.3">
      <c r="A769">
        <v>6119</v>
      </c>
      <c r="B769" t="s">
        <v>26</v>
      </c>
      <c r="C769" s="1">
        <v>45418</v>
      </c>
      <c r="D769" t="s">
        <v>22</v>
      </c>
      <c r="E769" t="s">
        <v>18</v>
      </c>
      <c r="F769">
        <v>1</v>
      </c>
      <c r="G769">
        <v>24.83</v>
      </c>
      <c r="H769">
        <v>24.83</v>
      </c>
      <c r="I769">
        <v>2.48</v>
      </c>
      <c r="J769">
        <v>22.35</v>
      </c>
      <c r="K769">
        <v>90</v>
      </c>
    </row>
    <row r="770" spans="1:11" x14ac:dyDescent="0.3">
      <c r="A770">
        <v>2697</v>
      </c>
      <c r="B770" t="s">
        <v>11</v>
      </c>
      <c r="C770" s="1">
        <v>45593</v>
      </c>
      <c r="D770" t="s">
        <v>28</v>
      </c>
      <c r="E770" t="s">
        <v>48</v>
      </c>
      <c r="F770">
        <v>5</v>
      </c>
      <c r="G770">
        <v>23.36</v>
      </c>
      <c r="H770">
        <v>116.8</v>
      </c>
      <c r="I770">
        <v>11.68</v>
      </c>
      <c r="J770">
        <v>105.12</v>
      </c>
      <c r="K770">
        <v>194</v>
      </c>
    </row>
    <row r="771" spans="1:11" x14ac:dyDescent="0.3">
      <c r="A771">
        <v>9313</v>
      </c>
      <c r="B771" t="s">
        <v>31</v>
      </c>
      <c r="C771" s="1">
        <v>45310</v>
      </c>
      <c r="D771" t="s">
        <v>15</v>
      </c>
      <c r="E771" t="s">
        <v>44</v>
      </c>
      <c r="F771">
        <v>2</v>
      </c>
      <c r="G771">
        <v>26.72</v>
      </c>
      <c r="H771">
        <v>53.44</v>
      </c>
      <c r="I771">
        <v>10.69</v>
      </c>
      <c r="J771">
        <v>42.75</v>
      </c>
      <c r="K771">
        <v>462</v>
      </c>
    </row>
    <row r="772" spans="1:11" x14ac:dyDescent="0.3">
      <c r="A772">
        <v>3535</v>
      </c>
      <c r="B772" t="s">
        <v>19</v>
      </c>
      <c r="C772" s="1">
        <v>45655</v>
      </c>
      <c r="D772" t="s">
        <v>45</v>
      </c>
      <c r="E772" t="s">
        <v>18</v>
      </c>
      <c r="F772">
        <v>3</v>
      </c>
      <c r="G772">
        <v>12.3</v>
      </c>
      <c r="H772">
        <v>36.9</v>
      </c>
      <c r="I772">
        <v>7.38</v>
      </c>
      <c r="J772">
        <v>29.52</v>
      </c>
      <c r="K772">
        <v>295</v>
      </c>
    </row>
    <row r="773" spans="1:11" x14ac:dyDescent="0.3">
      <c r="A773">
        <v>8900</v>
      </c>
      <c r="B773" t="s">
        <v>42</v>
      </c>
      <c r="C773" s="1">
        <v>45319</v>
      </c>
      <c r="D773" t="s">
        <v>27</v>
      </c>
      <c r="E773" t="s">
        <v>21</v>
      </c>
      <c r="F773">
        <v>3</v>
      </c>
      <c r="G773">
        <v>17.53</v>
      </c>
      <c r="H773">
        <v>52.59</v>
      </c>
      <c r="I773">
        <v>5.26</v>
      </c>
      <c r="J773">
        <v>47.33</v>
      </c>
      <c r="K773">
        <v>467</v>
      </c>
    </row>
    <row r="774" spans="1:11" x14ac:dyDescent="0.3">
      <c r="A774">
        <v>2773</v>
      </c>
      <c r="B774" t="s">
        <v>36</v>
      </c>
      <c r="C774" s="1">
        <v>45416</v>
      </c>
      <c r="D774" t="s">
        <v>15</v>
      </c>
      <c r="E774" t="s">
        <v>39</v>
      </c>
      <c r="F774">
        <v>5</v>
      </c>
      <c r="G774">
        <v>29.6</v>
      </c>
      <c r="H774">
        <v>148</v>
      </c>
      <c r="I774">
        <v>22.2</v>
      </c>
      <c r="J774">
        <v>125.8</v>
      </c>
      <c r="K774">
        <v>206</v>
      </c>
    </row>
    <row r="775" spans="1:11" x14ac:dyDescent="0.3">
      <c r="A775">
        <v>7022</v>
      </c>
      <c r="B775" t="s">
        <v>31</v>
      </c>
      <c r="C775" s="1">
        <v>45234</v>
      </c>
      <c r="D775" t="s">
        <v>22</v>
      </c>
      <c r="E775" t="s">
        <v>18</v>
      </c>
      <c r="F775">
        <v>1</v>
      </c>
      <c r="G775">
        <v>1.01</v>
      </c>
      <c r="H775">
        <v>1.01</v>
      </c>
      <c r="I775">
        <v>4.4400000000000004</v>
      </c>
      <c r="J775">
        <v>-3.43</v>
      </c>
      <c r="K775">
        <v>286</v>
      </c>
    </row>
    <row r="776" spans="1:11" x14ac:dyDescent="0.3">
      <c r="A776">
        <v>5564</v>
      </c>
      <c r="B776" t="s">
        <v>31</v>
      </c>
      <c r="C776" s="1">
        <v>45590</v>
      </c>
      <c r="D776" t="s">
        <v>17</v>
      </c>
      <c r="E776" t="s">
        <v>16</v>
      </c>
      <c r="F776">
        <v>5</v>
      </c>
      <c r="G776">
        <v>12.42</v>
      </c>
      <c r="H776">
        <v>62.1</v>
      </c>
      <c r="I776">
        <v>6.21</v>
      </c>
      <c r="J776">
        <v>55.89</v>
      </c>
      <c r="K776">
        <v>162</v>
      </c>
    </row>
    <row r="777" spans="1:11" x14ac:dyDescent="0.3">
      <c r="A777">
        <v>4705</v>
      </c>
      <c r="B777" t="s">
        <v>24</v>
      </c>
      <c r="C777" s="1">
        <v>45771</v>
      </c>
      <c r="D777" t="s">
        <v>20</v>
      </c>
      <c r="E777" t="s">
        <v>18</v>
      </c>
      <c r="F777">
        <v>2</v>
      </c>
      <c r="G777">
        <v>20.2</v>
      </c>
      <c r="H777">
        <v>40.4</v>
      </c>
      <c r="I777">
        <v>8.08</v>
      </c>
      <c r="J777">
        <v>32.32</v>
      </c>
      <c r="K777">
        <v>243</v>
      </c>
    </row>
    <row r="778" spans="1:11" x14ac:dyDescent="0.3">
      <c r="A778">
        <v>8030</v>
      </c>
      <c r="B778" t="s">
        <v>14</v>
      </c>
      <c r="C778" s="1">
        <v>45801</v>
      </c>
      <c r="D778" t="s">
        <v>20</v>
      </c>
      <c r="E778" t="s">
        <v>23</v>
      </c>
      <c r="F778">
        <v>4</v>
      </c>
      <c r="G778">
        <v>5.46</v>
      </c>
      <c r="H778">
        <v>21.84</v>
      </c>
      <c r="I778">
        <v>4.37</v>
      </c>
      <c r="J778">
        <v>17.47</v>
      </c>
      <c r="K778">
        <v>446</v>
      </c>
    </row>
    <row r="779" spans="1:11" x14ac:dyDescent="0.3">
      <c r="A779">
        <v>1430</v>
      </c>
      <c r="B779" t="s">
        <v>31</v>
      </c>
      <c r="C779" s="1">
        <v>45618</v>
      </c>
      <c r="D779" t="s">
        <v>15</v>
      </c>
      <c r="E779" t="s">
        <v>39</v>
      </c>
      <c r="F779">
        <v>2</v>
      </c>
      <c r="G779">
        <v>21.91</v>
      </c>
      <c r="H779">
        <v>43.82</v>
      </c>
      <c r="I779">
        <v>8.76</v>
      </c>
      <c r="J779">
        <v>35.06</v>
      </c>
      <c r="K779">
        <v>249</v>
      </c>
    </row>
    <row r="780" spans="1:11" x14ac:dyDescent="0.3">
      <c r="A780">
        <v>5381</v>
      </c>
      <c r="B780" t="s">
        <v>11</v>
      </c>
      <c r="C780" s="1">
        <v>45167</v>
      </c>
      <c r="D780" t="s">
        <v>34</v>
      </c>
      <c r="E780" t="s">
        <v>16</v>
      </c>
      <c r="F780">
        <v>4</v>
      </c>
      <c r="G780">
        <v>26.9</v>
      </c>
      <c r="H780">
        <v>107.6</v>
      </c>
      <c r="I780">
        <v>1.72</v>
      </c>
      <c r="J780">
        <v>105.88</v>
      </c>
      <c r="K780">
        <v>356</v>
      </c>
    </row>
    <row r="781" spans="1:11" x14ac:dyDescent="0.3">
      <c r="A781">
        <v>3955</v>
      </c>
      <c r="B781" t="s">
        <v>14</v>
      </c>
      <c r="C781" s="1">
        <v>45357</v>
      </c>
      <c r="D781" t="s">
        <v>20</v>
      </c>
      <c r="E781" t="s">
        <v>18</v>
      </c>
      <c r="F781">
        <v>4</v>
      </c>
      <c r="G781">
        <v>12.15</v>
      </c>
      <c r="H781">
        <v>48.6</v>
      </c>
      <c r="I781">
        <v>4.8600000000000003</v>
      </c>
      <c r="J781">
        <v>43.74</v>
      </c>
      <c r="K781">
        <v>115</v>
      </c>
    </row>
    <row r="782" spans="1:11" x14ac:dyDescent="0.3">
      <c r="A782">
        <v>6062</v>
      </c>
      <c r="B782" t="s">
        <v>31</v>
      </c>
      <c r="C782" s="1">
        <v>45860</v>
      </c>
      <c r="D782" t="s">
        <v>28</v>
      </c>
      <c r="E782" t="s">
        <v>47</v>
      </c>
      <c r="F782">
        <v>2</v>
      </c>
      <c r="G782">
        <v>21.64</v>
      </c>
      <c r="H782">
        <v>43.28</v>
      </c>
      <c r="I782">
        <v>3.31</v>
      </c>
      <c r="J782">
        <v>39.97</v>
      </c>
      <c r="K782">
        <v>137</v>
      </c>
    </row>
    <row r="783" spans="1:11" x14ac:dyDescent="0.3">
      <c r="A783">
        <v>6567</v>
      </c>
      <c r="B783" t="s">
        <v>31</v>
      </c>
      <c r="C783" s="1">
        <v>45417</v>
      </c>
      <c r="D783" t="s">
        <v>12</v>
      </c>
      <c r="E783" t="s">
        <v>47</v>
      </c>
      <c r="F783">
        <v>3</v>
      </c>
      <c r="G783">
        <v>4.2699999999999996</v>
      </c>
      <c r="H783">
        <v>12.81</v>
      </c>
      <c r="I783">
        <v>2.56</v>
      </c>
      <c r="J783">
        <v>10.25</v>
      </c>
      <c r="K783">
        <v>246</v>
      </c>
    </row>
    <row r="784" spans="1:11" x14ac:dyDescent="0.3">
      <c r="A784">
        <v>1100</v>
      </c>
      <c r="B784" t="s">
        <v>14</v>
      </c>
      <c r="C784" s="1">
        <v>45285</v>
      </c>
      <c r="D784" t="s">
        <v>35</v>
      </c>
      <c r="E784" t="s">
        <v>33</v>
      </c>
      <c r="F784">
        <v>5</v>
      </c>
      <c r="G784">
        <v>3.26</v>
      </c>
      <c r="H784">
        <v>16.3</v>
      </c>
      <c r="I784">
        <v>3.26</v>
      </c>
      <c r="J784">
        <v>13.04</v>
      </c>
      <c r="K784">
        <v>455</v>
      </c>
    </row>
    <row r="785" spans="1:11" x14ac:dyDescent="0.3">
      <c r="A785">
        <v>3347</v>
      </c>
      <c r="B785" t="s">
        <v>26</v>
      </c>
      <c r="C785" s="1">
        <v>45584</v>
      </c>
      <c r="D785" t="s">
        <v>27</v>
      </c>
      <c r="E785" t="s">
        <v>43</v>
      </c>
      <c r="F785">
        <v>5</v>
      </c>
      <c r="G785">
        <v>24.13</v>
      </c>
      <c r="H785">
        <v>120.65</v>
      </c>
      <c r="I785">
        <v>18.100000000000001</v>
      </c>
      <c r="J785">
        <v>102.55</v>
      </c>
      <c r="K785">
        <v>159</v>
      </c>
    </row>
    <row r="786" spans="1:11" x14ac:dyDescent="0.3">
      <c r="A786">
        <v>7566</v>
      </c>
      <c r="B786" t="s">
        <v>14</v>
      </c>
      <c r="C786" s="1">
        <v>45199</v>
      </c>
      <c r="D786" t="s">
        <v>12</v>
      </c>
      <c r="E786" t="s">
        <v>47</v>
      </c>
      <c r="F786">
        <v>4</v>
      </c>
      <c r="G786">
        <v>15.86</v>
      </c>
      <c r="H786">
        <v>63.44</v>
      </c>
      <c r="I786">
        <v>6.34</v>
      </c>
      <c r="J786">
        <v>57.1</v>
      </c>
      <c r="K786">
        <v>240</v>
      </c>
    </row>
    <row r="787" spans="1:11" x14ac:dyDescent="0.3">
      <c r="A787">
        <v>3324</v>
      </c>
      <c r="B787" t="s">
        <v>36</v>
      </c>
      <c r="C787" s="1">
        <v>45720</v>
      </c>
      <c r="D787" t="s">
        <v>35</v>
      </c>
      <c r="E787" t="s">
        <v>37</v>
      </c>
      <c r="F787">
        <v>2</v>
      </c>
      <c r="G787">
        <v>2.0099999999999998</v>
      </c>
      <c r="H787">
        <v>4.0199999999999996</v>
      </c>
      <c r="I787">
        <v>0</v>
      </c>
      <c r="J787">
        <v>4.0199999999999996</v>
      </c>
      <c r="K787">
        <v>472</v>
      </c>
    </row>
    <row r="788" spans="1:11" x14ac:dyDescent="0.3">
      <c r="A788">
        <v>1502</v>
      </c>
      <c r="B788" t="s">
        <v>30</v>
      </c>
      <c r="C788" s="1">
        <v>45216</v>
      </c>
      <c r="D788" t="s">
        <v>12</v>
      </c>
      <c r="E788" t="s">
        <v>47</v>
      </c>
      <c r="F788">
        <v>5</v>
      </c>
      <c r="G788">
        <v>5.89</v>
      </c>
      <c r="H788">
        <v>29.45</v>
      </c>
      <c r="I788">
        <v>0</v>
      </c>
      <c r="J788">
        <v>29.45</v>
      </c>
      <c r="K788">
        <v>26</v>
      </c>
    </row>
    <row r="789" spans="1:11" x14ac:dyDescent="0.3">
      <c r="A789">
        <v>9691</v>
      </c>
      <c r="B789" t="s">
        <v>31</v>
      </c>
      <c r="C789" s="1">
        <v>45312</v>
      </c>
      <c r="D789" t="s">
        <v>35</v>
      </c>
      <c r="E789" t="s">
        <v>47</v>
      </c>
      <c r="F789">
        <v>1</v>
      </c>
      <c r="G789">
        <v>4.67</v>
      </c>
      <c r="H789">
        <v>4.67</v>
      </c>
      <c r="I789">
        <v>0.7</v>
      </c>
      <c r="J789">
        <v>3.97</v>
      </c>
      <c r="K789">
        <v>39</v>
      </c>
    </row>
    <row r="790" spans="1:11" x14ac:dyDescent="0.3">
      <c r="A790">
        <v>7163</v>
      </c>
      <c r="B790" t="s">
        <v>19</v>
      </c>
      <c r="C790" s="1">
        <v>45471</v>
      </c>
      <c r="D790" t="s">
        <v>28</v>
      </c>
      <c r="E790" t="s">
        <v>13</v>
      </c>
      <c r="F790">
        <v>3</v>
      </c>
      <c r="G790">
        <v>25.87</v>
      </c>
      <c r="H790">
        <v>77.61</v>
      </c>
      <c r="I790">
        <v>1.7</v>
      </c>
      <c r="J790">
        <v>75.91</v>
      </c>
      <c r="K790">
        <v>7</v>
      </c>
    </row>
    <row r="791" spans="1:11" x14ac:dyDescent="0.3">
      <c r="A791">
        <v>8432</v>
      </c>
      <c r="B791" t="s">
        <v>19</v>
      </c>
      <c r="C791" s="1">
        <v>45409</v>
      </c>
      <c r="D791" t="s">
        <v>27</v>
      </c>
      <c r="E791" t="s">
        <v>33</v>
      </c>
      <c r="F791">
        <v>3</v>
      </c>
      <c r="G791">
        <v>24.42</v>
      </c>
      <c r="H791">
        <v>73.260000000000005</v>
      </c>
      <c r="I791">
        <v>7.33</v>
      </c>
      <c r="J791">
        <v>65.930000000000007</v>
      </c>
      <c r="K791">
        <v>133</v>
      </c>
    </row>
    <row r="792" spans="1:11" x14ac:dyDescent="0.3">
      <c r="A792">
        <v>3578</v>
      </c>
      <c r="B792" t="s">
        <v>19</v>
      </c>
      <c r="C792" s="1">
        <v>45432</v>
      </c>
      <c r="D792" t="s">
        <v>38</v>
      </c>
      <c r="E792" t="s">
        <v>40</v>
      </c>
      <c r="F792">
        <v>3</v>
      </c>
      <c r="G792">
        <v>29.53</v>
      </c>
      <c r="H792">
        <v>88.59</v>
      </c>
      <c r="I792">
        <v>4.74</v>
      </c>
      <c r="J792">
        <v>83.85</v>
      </c>
      <c r="K792">
        <v>495</v>
      </c>
    </row>
    <row r="793" spans="1:11" x14ac:dyDescent="0.3">
      <c r="A793">
        <v>6105</v>
      </c>
      <c r="B793" t="s">
        <v>19</v>
      </c>
      <c r="C793" s="1">
        <v>45705</v>
      </c>
      <c r="D793" t="s">
        <v>45</v>
      </c>
      <c r="E793" t="s">
        <v>16</v>
      </c>
      <c r="F793">
        <v>4</v>
      </c>
      <c r="G793">
        <v>7.89</v>
      </c>
      <c r="H793">
        <v>31.56</v>
      </c>
      <c r="I793">
        <v>6.31</v>
      </c>
      <c r="J793">
        <v>25.25</v>
      </c>
      <c r="K793">
        <v>225</v>
      </c>
    </row>
    <row r="794" spans="1:11" x14ac:dyDescent="0.3">
      <c r="A794">
        <v>6314</v>
      </c>
      <c r="B794" t="s">
        <v>36</v>
      </c>
      <c r="C794" s="1">
        <v>45748</v>
      </c>
      <c r="D794" t="s">
        <v>12</v>
      </c>
      <c r="E794" t="s">
        <v>13</v>
      </c>
      <c r="F794">
        <v>1</v>
      </c>
      <c r="G794">
        <v>2.5099999999999998</v>
      </c>
      <c r="H794">
        <v>2.5099999999999998</v>
      </c>
      <c r="I794">
        <v>0.25</v>
      </c>
      <c r="J794">
        <v>2.2599999999999998</v>
      </c>
      <c r="K794">
        <v>237</v>
      </c>
    </row>
    <row r="795" spans="1:11" x14ac:dyDescent="0.3">
      <c r="A795">
        <v>2391</v>
      </c>
      <c r="B795" t="s">
        <v>30</v>
      </c>
      <c r="C795" s="1">
        <v>45831</v>
      </c>
      <c r="D795" t="s">
        <v>45</v>
      </c>
      <c r="E795" t="s">
        <v>18</v>
      </c>
      <c r="F795">
        <v>2</v>
      </c>
      <c r="G795">
        <v>12</v>
      </c>
      <c r="H795">
        <v>24</v>
      </c>
      <c r="I795">
        <v>2.4</v>
      </c>
      <c r="J795">
        <v>21.6</v>
      </c>
      <c r="K795">
        <v>361</v>
      </c>
    </row>
    <row r="796" spans="1:11" x14ac:dyDescent="0.3">
      <c r="A796">
        <v>1861</v>
      </c>
      <c r="B796" t="s">
        <v>30</v>
      </c>
      <c r="C796" s="1">
        <v>45265</v>
      </c>
      <c r="D796" t="s">
        <v>34</v>
      </c>
      <c r="E796" t="s">
        <v>46</v>
      </c>
      <c r="F796">
        <v>4</v>
      </c>
      <c r="G796">
        <v>1.33</v>
      </c>
      <c r="H796">
        <v>5.32</v>
      </c>
      <c r="I796">
        <v>0.53</v>
      </c>
      <c r="J796">
        <v>4.79</v>
      </c>
      <c r="K796">
        <v>474</v>
      </c>
    </row>
    <row r="797" spans="1:11" x14ac:dyDescent="0.3">
      <c r="A797">
        <v>3579</v>
      </c>
      <c r="B797" t="s">
        <v>36</v>
      </c>
      <c r="C797" s="1">
        <v>45730</v>
      </c>
      <c r="D797" t="s">
        <v>38</v>
      </c>
      <c r="E797" t="s">
        <v>40</v>
      </c>
      <c r="F797">
        <v>1</v>
      </c>
      <c r="G797">
        <v>27.6</v>
      </c>
      <c r="H797">
        <v>27.6</v>
      </c>
      <c r="I797">
        <v>2.76</v>
      </c>
      <c r="J797">
        <v>24.84</v>
      </c>
      <c r="K797">
        <v>326</v>
      </c>
    </row>
    <row r="798" spans="1:11" x14ac:dyDescent="0.3">
      <c r="A798">
        <v>1815</v>
      </c>
      <c r="B798" t="s">
        <v>30</v>
      </c>
      <c r="C798" s="1">
        <v>45668</v>
      </c>
      <c r="D798" t="s">
        <v>22</v>
      </c>
      <c r="E798" t="s">
        <v>13</v>
      </c>
      <c r="F798">
        <v>3</v>
      </c>
      <c r="G798">
        <v>24.26</v>
      </c>
      <c r="H798">
        <v>72.78</v>
      </c>
      <c r="I798">
        <v>7.28</v>
      </c>
      <c r="J798">
        <v>65.5</v>
      </c>
      <c r="K798">
        <v>130</v>
      </c>
    </row>
    <row r="799" spans="1:11" x14ac:dyDescent="0.3">
      <c r="A799">
        <v>2336</v>
      </c>
      <c r="B799" t="s">
        <v>42</v>
      </c>
      <c r="C799" s="1">
        <v>45356</v>
      </c>
      <c r="D799" t="s">
        <v>27</v>
      </c>
      <c r="E799" t="s">
        <v>44</v>
      </c>
      <c r="F799">
        <v>5</v>
      </c>
      <c r="G799">
        <v>10.77</v>
      </c>
      <c r="H799">
        <v>53.85</v>
      </c>
      <c r="I799">
        <v>8.08</v>
      </c>
      <c r="J799">
        <v>45.77</v>
      </c>
      <c r="K799">
        <v>353</v>
      </c>
    </row>
    <row r="800" spans="1:11" x14ac:dyDescent="0.3">
      <c r="A800">
        <v>8259</v>
      </c>
      <c r="B800" t="s">
        <v>14</v>
      </c>
      <c r="C800" s="1">
        <v>45659</v>
      </c>
      <c r="D800" t="s">
        <v>12</v>
      </c>
      <c r="E800" t="s">
        <v>39</v>
      </c>
      <c r="F800">
        <v>1</v>
      </c>
      <c r="G800">
        <v>1.34</v>
      </c>
      <c r="H800">
        <v>1.34</v>
      </c>
      <c r="I800">
        <v>0</v>
      </c>
      <c r="J800">
        <v>1.34</v>
      </c>
      <c r="K800">
        <v>50</v>
      </c>
    </row>
    <row r="801" spans="1:11" x14ac:dyDescent="0.3">
      <c r="A801">
        <v>7947</v>
      </c>
      <c r="B801" t="s">
        <v>26</v>
      </c>
      <c r="C801" s="1">
        <v>45522</v>
      </c>
      <c r="D801" t="s">
        <v>22</v>
      </c>
      <c r="E801" t="s">
        <v>25</v>
      </c>
      <c r="F801">
        <v>3</v>
      </c>
      <c r="G801">
        <v>8.2899999999999991</v>
      </c>
      <c r="H801">
        <v>24.87</v>
      </c>
      <c r="I801">
        <v>1.37</v>
      </c>
      <c r="J801">
        <v>23.5</v>
      </c>
      <c r="K801">
        <v>17</v>
      </c>
    </row>
    <row r="802" spans="1:11" x14ac:dyDescent="0.3">
      <c r="A802">
        <v>8242</v>
      </c>
      <c r="B802" t="s">
        <v>42</v>
      </c>
      <c r="C802" s="1">
        <v>45466</v>
      </c>
      <c r="D802" t="s">
        <v>28</v>
      </c>
      <c r="E802" t="s">
        <v>48</v>
      </c>
      <c r="F802">
        <v>1</v>
      </c>
      <c r="G802">
        <v>3.5</v>
      </c>
      <c r="H802">
        <v>3.5</v>
      </c>
      <c r="I802">
        <v>0.35</v>
      </c>
      <c r="J802">
        <v>3.15</v>
      </c>
      <c r="K802">
        <v>309</v>
      </c>
    </row>
    <row r="803" spans="1:11" x14ac:dyDescent="0.3">
      <c r="A803">
        <v>5475</v>
      </c>
      <c r="B803" t="s">
        <v>19</v>
      </c>
      <c r="C803" s="1">
        <v>45312</v>
      </c>
      <c r="D803" t="s">
        <v>15</v>
      </c>
      <c r="E803" t="s">
        <v>29</v>
      </c>
      <c r="F803">
        <v>3</v>
      </c>
      <c r="G803">
        <v>9.5299999999999994</v>
      </c>
      <c r="H803">
        <v>28.59</v>
      </c>
      <c r="I803">
        <v>0</v>
      </c>
      <c r="J803">
        <v>28.59</v>
      </c>
      <c r="K803">
        <v>338</v>
      </c>
    </row>
    <row r="804" spans="1:11" x14ac:dyDescent="0.3">
      <c r="A804">
        <v>9394</v>
      </c>
      <c r="B804" t="s">
        <v>26</v>
      </c>
      <c r="C804" s="1">
        <v>45233</v>
      </c>
      <c r="D804" t="s">
        <v>35</v>
      </c>
      <c r="E804" t="s">
        <v>16</v>
      </c>
      <c r="F804">
        <v>3</v>
      </c>
      <c r="G804">
        <v>8.4499999999999993</v>
      </c>
      <c r="H804">
        <v>25.35</v>
      </c>
      <c r="I804">
        <v>3.8</v>
      </c>
      <c r="J804">
        <v>21.55</v>
      </c>
      <c r="K804">
        <v>399</v>
      </c>
    </row>
    <row r="805" spans="1:11" x14ac:dyDescent="0.3">
      <c r="A805">
        <v>6655</v>
      </c>
      <c r="B805" t="s">
        <v>31</v>
      </c>
      <c r="C805" s="1">
        <v>45478</v>
      </c>
      <c r="D805" t="s">
        <v>20</v>
      </c>
      <c r="E805" t="s">
        <v>32</v>
      </c>
      <c r="F805">
        <v>3</v>
      </c>
      <c r="G805">
        <v>29.87</v>
      </c>
      <c r="H805">
        <v>89.61</v>
      </c>
      <c r="I805">
        <v>17.920000000000002</v>
      </c>
      <c r="J805">
        <v>71.69</v>
      </c>
      <c r="K805">
        <v>132</v>
      </c>
    </row>
    <row r="806" spans="1:11" x14ac:dyDescent="0.3">
      <c r="A806">
        <v>2816</v>
      </c>
      <c r="B806" t="s">
        <v>26</v>
      </c>
      <c r="C806" s="1">
        <v>45365</v>
      </c>
      <c r="D806" t="s">
        <v>15</v>
      </c>
      <c r="E806" t="s">
        <v>47</v>
      </c>
      <c r="F806">
        <v>2</v>
      </c>
      <c r="G806">
        <v>18.690000000000001</v>
      </c>
      <c r="H806">
        <v>37.380000000000003</v>
      </c>
      <c r="I806">
        <v>1.58</v>
      </c>
      <c r="J806">
        <v>35.799999999999997</v>
      </c>
      <c r="K806">
        <v>91</v>
      </c>
    </row>
    <row r="807" spans="1:11" x14ac:dyDescent="0.3">
      <c r="A807">
        <v>8972</v>
      </c>
      <c r="B807" t="s">
        <v>24</v>
      </c>
      <c r="C807" s="1">
        <v>45554</v>
      </c>
      <c r="D807" t="s">
        <v>17</v>
      </c>
      <c r="E807" t="s">
        <v>48</v>
      </c>
      <c r="F807">
        <v>4</v>
      </c>
      <c r="G807">
        <v>21.74</v>
      </c>
      <c r="H807">
        <v>86.96</v>
      </c>
      <c r="I807">
        <v>1.28</v>
      </c>
      <c r="J807">
        <v>85.68</v>
      </c>
      <c r="K807">
        <v>52</v>
      </c>
    </row>
    <row r="808" spans="1:11" x14ac:dyDescent="0.3">
      <c r="A808">
        <v>6053</v>
      </c>
      <c r="B808" t="s">
        <v>30</v>
      </c>
      <c r="C808" s="1">
        <v>45180</v>
      </c>
      <c r="D808" t="s">
        <v>45</v>
      </c>
      <c r="E808" t="s">
        <v>39</v>
      </c>
      <c r="F808">
        <v>4</v>
      </c>
      <c r="G808">
        <v>5.31</v>
      </c>
      <c r="H808">
        <v>21.24</v>
      </c>
      <c r="I808">
        <v>3.66</v>
      </c>
      <c r="J808">
        <v>17.579999999999998</v>
      </c>
      <c r="K808">
        <v>327</v>
      </c>
    </row>
    <row r="809" spans="1:11" x14ac:dyDescent="0.3">
      <c r="A809">
        <v>4612</v>
      </c>
      <c r="B809" t="s">
        <v>30</v>
      </c>
      <c r="C809" s="1">
        <v>45452</v>
      </c>
      <c r="D809" t="s">
        <v>34</v>
      </c>
      <c r="E809" t="s">
        <v>21</v>
      </c>
      <c r="F809">
        <v>4</v>
      </c>
      <c r="G809">
        <v>17.649999999999999</v>
      </c>
      <c r="H809">
        <v>70.599999999999994</v>
      </c>
      <c r="I809">
        <v>7.06</v>
      </c>
      <c r="J809">
        <v>63.54</v>
      </c>
      <c r="K809">
        <v>263</v>
      </c>
    </row>
    <row r="810" spans="1:11" x14ac:dyDescent="0.3">
      <c r="A810">
        <v>1897</v>
      </c>
      <c r="B810" t="s">
        <v>24</v>
      </c>
      <c r="C810" s="1">
        <v>45150</v>
      </c>
      <c r="D810" t="s">
        <v>20</v>
      </c>
      <c r="E810" t="s">
        <v>43</v>
      </c>
      <c r="F810">
        <v>5</v>
      </c>
      <c r="G810">
        <v>7.54</v>
      </c>
      <c r="H810">
        <v>37.700000000000003</v>
      </c>
      <c r="I810">
        <v>3.27</v>
      </c>
      <c r="J810">
        <v>34.43</v>
      </c>
      <c r="K810">
        <v>196</v>
      </c>
    </row>
    <row r="811" spans="1:11" x14ac:dyDescent="0.3">
      <c r="A811">
        <v>4349</v>
      </c>
      <c r="B811" t="s">
        <v>36</v>
      </c>
      <c r="C811" s="1">
        <v>45379</v>
      </c>
      <c r="D811" t="s">
        <v>22</v>
      </c>
      <c r="E811" t="s">
        <v>37</v>
      </c>
      <c r="F811">
        <v>4</v>
      </c>
      <c r="G811">
        <v>2.59</v>
      </c>
      <c r="H811">
        <v>10.36</v>
      </c>
      <c r="I811">
        <v>1.55</v>
      </c>
      <c r="J811">
        <v>8.81</v>
      </c>
      <c r="K811">
        <v>490</v>
      </c>
    </row>
    <row r="812" spans="1:11" x14ac:dyDescent="0.3">
      <c r="A812">
        <v>4460</v>
      </c>
      <c r="B812" t="s">
        <v>14</v>
      </c>
      <c r="C812" s="1">
        <v>45741</v>
      </c>
      <c r="D812" t="s">
        <v>22</v>
      </c>
      <c r="E812" t="s">
        <v>43</v>
      </c>
      <c r="F812">
        <v>4</v>
      </c>
      <c r="G812">
        <v>23.04</v>
      </c>
      <c r="H812">
        <v>92.16</v>
      </c>
      <c r="I812">
        <v>18.43</v>
      </c>
      <c r="J812">
        <v>73.73</v>
      </c>
      <c r="K812">
        <v>148</v>
      </c>
    </row>
    <row r="813" spans="1:11" x14ac:dyDescent="0.3">
      <c r="A813">
        <v>3248</v>
      </c>
      <c r="B813" t="s">
        <v>14</v>
      </c>
      <c r="C813" s="1">
        <v>45738</v>
      </c>
      <c r="D813" t="s">
        <v>12</v>
      </c>
      <c r="E813" t="s">
        <v>32</v>
      </c>
      <c r="F813">
        <v>2</v>
      </c>
      <c r="G813">
        <v>9.66</v>
      </c>
      <c r="H813">
        <v>19.32</v>
      </c>
      <c r="I813">
        <v>0</v>
      </c>
      <c r="J813">
        <v>19.32</v>
      </c>
      <c r="K813">
        <v>199</v>
      </c>
    </row>
    <row r="814" spans="1:11" x14ac:dyDescent="0.3">
      <c r="A814">
        <v>5186</v>
      </c>
      <c r="B814" t="s">
        <v>36</v>
      </c>
      <c r="C814" s="1">
        <v>45369</v>
      </c>
      <c r="D814" t="s">
        <v>45</v>
      </c>
      <c r="E814" t="s">
        <v>43</v>
      </c>
      <c r="F814">
        <v>4</v>
      </c>
      <c r="G814">
        <v>22.31</v>
      </c>
      <c r="H814">
        <v>89.24</v>
      </c>
      <c r="I814">
        <v>17.850000000000001</v>
      </c>
      <c r="J814">
        <v>71.39</v>
      </c>
      <c r="K814">
        <v>71</v>
      </c>
    </row>
    <row r="815" spans="1:11" x14ac:dyDescent="0.3">
      <c r="A815">
        <v>6375</v>
      </c>
      <c r="B815" t="s">
        <v>31</v>
      </c>
      <c r="C815" s="1">
        <v>45238</v>
      </c>
      <c r="D815" t="s">
        <v>28</v>
      </c>
      <c r="E815" t="s">
        <v>25</v>
      </c>
      <c r="F815">
        <v>4</v>
      </c>
      <c r="G815">
        <v>12.26</v>
      </c>
      <c r="H815">
        <v>49.04</v>
      </c>
      <c r="I815">
        <v>4.9000000000000004</v>
      </c>
      <c r="J815">
        <v>44.14</v>
      </c>
      <c r="K815">
        <v>405</v>
      </c>
    </row>
    <row r="816" spans="1:11" x14ac:dyDescent="0.3">
      <c r="A816">
        <v>1126</v>
      </c>
      <c r="B816" t="s">
        <v>14</v>
      </c>
      <c r="C816" s="1">
        <v>45531</v>
      </c>
      <c r="D816" t="s">
        <v>45</v>
      </c>
      <c r="E816" t="s">
        <v>39</v>
      </c>
      <c r="F816">
        <v>1</v>
      </c>
      <c r="G816">
        <v>10.83</v>
      </c>
      <c r="H816">
        <v>10.83</v>
      </c>
      <c r="I816">
        <v>1.08</v>
      </c>
      <c r="J816">
        <v>9.75</v>
      </c>
      <c r="K816">
        <v>172</v>
      </c>
    </row>
    <row r="817" spans="1:11" x14ac:dyDescent="0.3">
      <c r="A817">
        <v>8055</v>
      </c>
      <c r="B817" t="s">
        <v>11</v>
      </c>
      <c r="C817" s="1">
        <v>45281</v>
      </c>
      <c r="D817" t="s">
        <v>17</v>
      </c>
      <c r="E817" t="s">
        <v>46</v>
      </c>
      <c r="F817">
        <v>4</v>
      </c>
      <c r="G817">
        <v>28.25</v>
      </c>
      <c r="H817">
        <v>113</v>
      </c>
      <c r="I817">
        <v>0</v>
      </c>
      <c r="J817">
        <v>113</v>
      </c>
      <c r="K817">
        <v>445</v>
      </c>
    </row>
    <row r="818" spans="1:11" x14ac:dyDescent="0.3">
      <c r="A818">
        <v>3116</v>
      </c>
      <c r="B818" t="s">
        <v>42</v>
      </c>
      <c r="C818" s="1">
        <v>45440</v>
      </c>
      <c r="D818" t="s">
        <v>15</v>
      </c>
      <c r="E818" t="s">
        <v>40</v>
      </c>
      <c r="F818">
        <v>2</v>
      </c>
      <c r="G818">
        <v>15.17</v>
      </c>
      <c r="H818">
        <v>30.34</v>
      </c>
      <c r="I818">
        <v>1.18</v>
      </c>
      <c r="J818">
        <v>29.16</v>
      </c>
      <c r="K818">
        <v>9</v>
      </c>
    </row>
    <row r="819" spans="1:11" x14ac:dyDescent="0.3">
      <c r="A819">
        <v>9725</v>
      </c>
      <c r="B819" t="s">
        <v>19</v>
      </c>
      <c r="C819" s="1">
        <v>45691</v>
      </c>
      <c r="D819" t="s">
        <v>12</v>
      </c>
      <c r="E819" t="s">
        <v>29</v>
      </c>
      <c r="F819">
        <v>1</v>
      </c>
      <c r="G819">
        <v>27.23</v>
      </c>
      <c r="H819">
        <v>27.23</v>
      </c>
      <c r="I819">
        <v>2.72</v>
      </c>
      <c r="J819">
        <v>24.51</v>
      </c>
      <c r="K819">
        <v>420</v>
      </c>
    </row>
    <row r="820" spans="1:11" x14ac:dyDescent="0.3">
      <c r="A820">
        <v>4770</v>
      </c>
      <c r="B820" t="s">
        <v>19</v>
      </c>
      <c r="C820" s="1">
        <v>45533</v>
      </c>
      <c r="D820" t="s">
        <v>28</v>
      </c>
      <c r="E820" t="s">
        <v>43</v>
      </c>
      <c r="F820">
        <v>1</v>
      </c>
      <c r="G820">
        <v>4.3</v>
      </c>
      <c r="H820">
        <v>4.3</v>
      </c>
      <c r="I820">
        <v>4.22</v>
      </c>
      <c r="J820">
        <v>0.08</v>
      </c>
      <c r="K820">
        <v>304</v>
      </c>
    </row>
    <row r="821" spans="1:11" x14ac:dyDescent="0.3">
      <c r="A821">
        <v>6802</v>
      </c>
      <c r="B821" t="s">
        <v>24</v>
      </c>
      <c r="C821" s="1">
        <v>45200</v>
      </c>
      <c r="D821" t="s">
        <v>22</v>
      </c>
      <c r="E821" t="s">
        <v>32</v>
      </c>
      <c r="F821">
        <v>3</v>
      </c>
      <c r="G821">
        <v>4.49</v>
      </c>
      <c r="H821">
        <v>13.47</v>
      </c>
      <c r="I821">
        <v>2.02</v>
      </c>
      <c r="J821">
        <v>11.45</v>
      </c>
      <c r="K821">
        <v>350</v>
      </c>
    </row>
    <row r="822" spans="1:11" x14ac:dyDescent="0.3">
      <c r="A822">
        <v>7505</v>
      </c>
      <c r="B822" t="s">
        <v>42</v>
      </c>
      <c r="C822" s="1">
        <v>45814</v>
      </c>
      <c r="D822" t="s">
        <v>12</v>
      </c>
      <c r="E822" t="s">
        <v>29</v>
      </c>
      <c r="F822">
        <v>3</v>
      </c>
      <c r="G822">
        <v>2.82</v>
      </c>
      <c r="H822">
        <v>8.4600000000000009</v>
      </c>
      <c r="I822">
        <v>0.85</v>
      </c>
      <c r="J822">
        <v>7.61</v>
      </c>
      <c r="K822">
        <v>140</v>
      </c>
    </row>
    <row r="823" spans="1:11" x14ac:dyDescent="0.3">
      <c r="A823">
        <v>1693</v>
      </c>
      <c r="B823" t="s">
        <v>19</v>
      </c>
      <c r="C823" s="1">
        <v>45483</v>
      </c>
      <c r="D823" t="s">
        <v>22</v>
      </c>
      <c r="E823" t="s">
        <v>18</v>
      </c>
      <c r="F823">
        <v>2</v>
      </c>
      <c r="G823">
        <v>13.71</v>
      </c>
      <c r="H823">
        <v>27.42</v>
      </c>
      <c r="I823">
        <v>5.48</v>
      </c>
      <c r="J823">
        <v>21.94</v>
      </c>
      <c r="K823">
        <v>473</v>
      </c>
    </row>
    <row r="824" spans="1:11" x14ac:dyDescent="0.3">
      <c r="A824">
        <v>1307</v>
      </c>
      <c r="B824" t="s">
        <v>11</v>
      </c>
      <c r="C824" s="1">
        <v>45502</v>
      </c>
      <c r="D824" t="s">
        <v>27</v>
      </c>
      <c r="E824" t="s">
        <v>32</v>
      </c>
      <c r="F824">
        <v>2</v>
      </c>
      <c r="G824">
        <v>1.44</v>
      </c>
      <c r="H824">
        <v>2.88</v>
      </c>
      <c r="I824">
        <v>1.03</v>
      </c>
      <c r="J824">
        <v>1.85</v>
      </c>
      <c r="K824">
        <v>249</v>
      </c>
    </row>
    <row r="825" spans="1:11" x14ac:dyDescent="0.3">
      <c r="A825">
        <v>2275</v>
      </c>
      <c r="B825" t="s">
        <v>11</v>
      </c>
      <c r="C825" s="1">
        <v>45814</v>
      </c>
      <c r="D825" t="s">
        <v>27</v>
      </c>
      <c r="E825" t="s">
        <v>37</v>
      </c>
      <c r="F825">
        <v>4</v>
      </c>
      <c r="G825">
        <v>21.1</v>
      </c>
      <c r="H825">
        <v>84.4</v>
      </c>
      <c r="I825">
        <v>0</v>
      </c>
      <c r="J825">
        <v>84.4</v>
      </c>
      <c r="K825">
        <v>405</v>
      </c>
    </row>
    <row r="826" spans="1:11" x14ac:dyDescent="0.3">
      <c r="A826">
        <v>6129</v>
      </c>
      <c r="B826" t="s">
        <v>19</v>
      </c>
      <c r="C826" s="1">
        <v>45592</v>
      </c>
      <c r="D826" t="s">
        <v>17</v>
      </c>
      <c r="E826" t="s">
        <v>41</v>
      </c>
      <c r="F826">
        <v>3</v>
      </c>
      <c r="G826">
        <v>16.16</v>
      </c>
      <c r="H826">
        <v>48.48</v>
      </c>
      <c r="I826">
        <v>9.6999999999999993</v>
      </c>
      <c r="J826">
        <v>38.78</v>
      </c>
      <c r="K826">
        <v>210</v>
      </c>
    </row>
    <row r="827" spans="1:11" x14ac:dyDescent="0.3">
      <c r="A827">
        <v>8033</v>
      </c>
      <c r="B827" t="s">
        <v>31</v>
      </c>
      <c r="C827" s="1">
        <v>45590</v>
      </c>
      <c r="D827" t="s">
        <v>28</v>
      </c>
      <c r="E827" t="s">
        <v>29</v>
      </c>
      <c r="F827">
        <v>4</v>
      </c>
      <c r="G827">
        <v>18.739999999999998</v>
      </c>
      <c r="H827">
        <v>74.959999999999994</v>
      </c>
      <c r="I827">
        <v>11.24</v>
      </c>
      <c r="J827">
        <v>63.72</v>
      </c>
      <c r="K827">
        <v>45</v>
      </c>
    </row>
    <row r="828" spans="1:11" x14ac:dyDescent="0.3">
      <c r="A828">
        <v>7626</v>
      </c>
      <c r="B828" t="s">
        <v>24</v>
      </c>
      <c r="C828" s="1">
        <v>45696</v>
      </c>
      <c r="D828" t="s">
        <v>12</v>
      </c>
      <c r="E828" t="s">
        <v>18</v>
      </c>
      <c r="F828">
        <v>2</v>
      </c>
      <c r="G828">
        <v>6.56</v>
      </c>
      <c r="H828">
        <v>13.12</v>
      </c>
      <c r="I828">
        <v>2.4500000000000002</v>
      </c>
      <c r="J828">
        <v>10.67</v>
      </c>
      <c r="K828">
        <v>271</v>
      </c>
    </row>
    <row r="829" spans="1:11" x14ac:dyDescent="0.3">
      <c r="A829">
        <v>7843</v>
      </c>
      <c r="B829" t="s">
        <v>14</v>
      </c>
      <c r="C829" s="1">
        <v>45369</v>
      </c>
      <c r="D829" t="s">
        <v>38</v>
      </c>
      <c r="E829" t="s">
        <v>25</v>
      </c>
      <c r="F829">
        <v>4</v>
      </c>
      <c r="G829">
        <v>23.33</v>
      </c>
      <c r="H829">
        <v>93.32</v>
      </c>
      <c r="I829">
        <v>14</v>
      </c>
      <c r="J829">
        <v>79.319999999999993</v>
      </c>
      <c r="K829">
        <v>337</v>
      </c>
    </row>
    <row r="830" spans="1:11" x14ac:dyDescent="0.3">
      <c r="A830">
        <v>2887</v>
      </c>
      <c r="B830" t="s">
        <v>31</v>
      </c>
      <c r="C830" s="1">
        <v>45459</v>
      </c>
      <c r="D830" t="s">
        <v>17</v>
      </c>
      <c r="E830" t="s">
        <v>48</v>
      </c>
      <c r="F830">
        <v>2</v>
      </c>
      <c r="G830">
        <v>20.86</v>
      </c>
      <c r="H830">
        <v>41.72</v>
      </c>
      <c r="I830">
        <v>4.17</v>
      </c>
      <c r="J830">
        <v>37.549999999999997</v>
      </c>
      <c r="K830">
        <v>495</v>
      </c>
    </row>
    <row r="831" spans="1:11" x14ac:dyDescent="0.3">
      <c r="A831">
        <v>1341</v>
      </c>
      <c r="B831" t="s">
        <v>19</v>
      </c>
      <c r="C831" s="1">
        <v>45397</v>
      </c>
      <c r="D831" t="s">
        <v>34</v>
      </c>
      <c r="E831" t="s">
        <v>40</v>
      </c>
      <c r="F831">
        <v>1</v>
      </c>
      <c r="G831">
        <v>19.690000000000001</v>
      </c>
      <c r="H831">
        <v>19.690000000000001</v>
      </c>
      <c r="I831">
        <v>1.97</v>
      </c>
      <c r="J831">
        <v>17.72</v>
      </c>
      <c r="K831">
        <v>145</v>
      </c>
    </row>
    <row r="832" spans="1:11" x14ac:dyDescent="0.3">
      <c r="A832">
        <v>3815</v>
      </c>
      <c r="B832" t="s">
        <v>30</v>
      </c>
      <c r="C832" s="1">
        <v>45767</v>
      </c>
      <c r="D832" t="s">
        <v>22</v>
      </c>
      <c r="E832" t="s">
        <v>33</v>
      </c>
      <c r="F832">
        <v>1</v>
      </c>
      <c r="G832">
        <v>4.0199999999999996</v>
      </c>
      <c r="H832">
        <v>4.0199999999999996</v>
      </c>
      <c r="I832">
        <v>0.8</v>
      </c>
      <c r="J832">
        <v>3.22</v>
      </c>
      <c r="K832">
        <v>26</v>
      </c>
    </row>
    <row r="833" spans="1:11" x14ac:dyDescent="0.3">
      <c r="A833">
        <v>8538</v>
      </c>
      <c r="B833" t="s">
        <v>31</v>
      </c>
      <c r="C833" s="1">
        <v>45791</v>
      </c>
      <c r="D833" t="s">
        <v>45</v>
      </c>
      <c r="E833" t="s">
        <v>46</v>
      </c>
      <c r="F833">
        <v>1</v>
      </c>
      <c r="G833">
        <v>3.04</v>
      </c>
      <c r="H833">
        <v>3.04</v>
      </c>
      <c r="I833">
        <v>3.32</v>
      </c>
      <c r="J833">
        <v>-0.28000000000000003</v>
      </c>
      <c r="K833">
        <v>120</v>
      </c>
    </row>
    <row r="834" spans="1:11" x14ac:dyDescent="0.3">
      <c r="A834">
        <v>6928</v>
      </c>
      <c r="B834" t="s">
        <v>24</v>
      </c>
      <c r="C834" s="1">
        <v>45213</v>
      </c>
      <c r="D834" t="s">
        <v>17</v>
      </c>
      <c r="E834" t="s">
        <v>21</v>
      </c>
      <c r="F834">
        <v>2</v>
      </c>
      <c r="G834">
        <v>23.58</v>
      </c>
      <c r="H834">
        <v>47.16</v>
      </c>
      <c r="I834">
        <v>1.95</v>
      </c>
      <c r="J834">
        <v>45.21</v>
      </c>
      <c r="K834">
        <v>166</v>
      </c>
    </row>
    <row r="835" spans="1:11" x14ac:dyDescent="0.3">
      <c r="A835">
        <v>8155</v>
      </c>
      <c r="B835" t="s">
        <v>24</v>
      </c>
      <c r="C835" s="1">
        <v>45800</v>
      </c>
      <c r="D835" t="s">
        <v>17</v>
      </c>
      <c r="E835" t="s">
        <v>32</v>
      </c>
      <c r="F835">
        <v>2</v>
      </c>
      <c r="G835">
        <v>3.12</v>
      </c>
      <c r="H835">
        <v>6.24</v>
      </c>
      <c r="I835">
        <v>4.5599999999999996</v>
      </c>
      <c r="J835">
        <v>1.68</v>
      </c>
      <c r="K835">
        <v>299</v>
      </c>
    </row>
    <row r="836" spans="1:11" x14ac:dyDescent="0.3">
      <c r="A836">
        <v>2734</v>
      </c>
      <c r="B836" t="s">
        <v>19</v>
      </c>
      <c r="C836" s="1">
        <v>45333</v>
      </c>
      <c r="D836" t="s">
        <v>17</v>
      </c>
      <c r="E836" t="s">
        <v>33</v>
      </c>
      <c r="F836">
        <v>2</v>
      </c>
      <c r="G836">
        <v>12.22</v>
      </c>
      <c r="H836">
        <v>24.44</v>
      </c>
      <c r="I836">
        <v>0</v>
      </c>
      <c r="J836">
        <v>24.44</v>
      </c>
      <c r="K836">
        <v>69</v>
      </c>
    </row>
    <row r="837" spans="1:11" x14ac:dyDescent="0.3">
      <c r="A837">
        <v>8138</v>
      </c>
      <c r="B837" t="s">
        <v>42</v>
      </c>
      <c r="C837" s="1">
        <v>45602</v>
      </c>
      <c r="D837" t="s">
        <v>27</v>
      </c>
      <c r="E837" t="s">
        <v>23</v>
      </c>
      <c r="F837">
        <v>3</v>
      </c>
      <c r="G837">
        <v>6.85</v>
      </c>
      <c r="H837">
        <v>20.55</v>
      </c>
      <c r="I837">
        <v>0</v>
      </c>
      <c r="J837">
        <v>20.55</v>
      </c>
      <c r="K837">
        <v>65</v>
      </c>
    </row>
    <row r="838" spans="1:11" x14ac:dyDescent="0.3">
      <c r="A838">
        <v>7560</v>
      </c>
      <c r="B838" t="s">
        <v>31</v>
      </c>
      <c r="C838" s="1">
        <v>45551</v>
      </c>
      <c r="D838" t="s">
        <v>35</v>
      </c>
      <c r="E838" t="s">
        <v>41</v>
      </c>
      <c r="F838">
        <v>1</v>
      </c>
      <c r="G838">
        <v>25.69</v>
      </c>
      <c r="H838">
        <v>25.69</v>
      </c>
      <c r="I838">
        <v>5.14</v>
      </c>
      <c r="J838">
        <v>20.55</v>
      </c>
      <c r="K838">
        <v>234</v>
      </c>
    </row>
    <row r="839" spans="1:11" x14ac:dyDescent="0.3">
      <c r="A839">
        <v>2288</v>
      </c>
      <c r="B839" t="s">
        <v>36</v>
      </c>
      <c r="C839" s="1">
        <v>45452</v>
      </c>
      <c r="D839" t="s">
        <v>17</v>
      </c>
      <c r="E839" t="s">
        <v>37</v>
      </c>
      <c r="F839">
        <v>5</v>
      </c>
      <c r="G839">
        <v>5.54</v>
      </c>
      <c r="H839">
        <v>27.7</v>
      </c>
      <c r="I839">
        <v>4.88</v>
      </c>
      <c r="J839">
        <v>22.82</v>
      </c>
      <c r="K839">
        <v>406</v>
      </c>
    </row>
    <row r="840" spans="1:11" x14ac:dyDescent="0.3">
      <c r="A840">
        <v>6083</v>
      </c>
      <c r="B840" t="s">
        <v>42</v>
      </c>
      <c r="C840" s="1">
        <v>45724</v>
      </c>
      <c r="D840" t="s">
        <v>15</v>
      </c>
      <c r="E840" t="s">
        <v>16</v>
      </c>
      <c r="F840">
        <v>5</v>
      </c>
      <c r="G840">
        <v>15.18</v>
      </c>
      <c r="H840">
        <v>75.900000000000006</v>
      </c>
      <c r="I840">
        <v>7.59</v>
      </c>
      <c r="J840">
        <v>68.31</v>
      </c>
      <c r="K840">
        <v>110</v>
      </c>
    </row>
    <row r="841" spans="1:11" x14ac:dyDescent="0.3">
      <c r="A841">
        <v>6562</v>
      </c>
      <c r="B841" t="s">
        <v>30</v>
      </c>
      <c r="C841" s="1">
        <v>45317</v>
      </c>
      <c r="D841" t="s">
        <v>12</v>
      </c>
      <c r="E841" t="s">
        <v>16</v>
      </c>
      <c r="F841">
        <v>2</v>
      </c>
      <c r="G841">
        <v>8.18</v>
      </c>
      <c r="H841">
        <v>16.36</v>
      </c>
      <c r="I841">
        <v>4.79</v>
      </c>
      <c r="J841">
        <v>11.57</v>
      </c>
      <c r="K841">
        <v>222</v>
      </c>
    </row>
    <row r="842" spans="1:11" x14ac:dyDescent="0.3">
      <c r="A842">
        <v>6456</v>
      </c>
      <c r="B842" t="s">
        <v>31</v>
      </c>
      <c r="C842" s="1">
        <v>45750</v>
      </c>
      <c r="D842" t="s">
        <v>20</v>
      </c>
      <c r="E842" t="s">
        <v>40</v>
      </c>
      <c r="F842">
        <v>1</v>
      </c>
      <c r="G842">
        <v>29.74</v>
      </c>
      <c r="H842">
        <v>29.74</v>
      </c>
      <c r="I842">
        <v>2.97</v>
      </c>
      <c r="J842">
        <v>26.77</v>
      </c>
      <c r="K842">
        <v>375</v>
      </c>
    </row>
    <row r="843" spans="1:11" x14ac:dyDescent="0.3">
      <c r="A843">
        <v>3754</v>
      </c>
      <c r="B843" t="s">
        <v>14</v>
      </c>
      <c r="C843" s="1">
        <v>45204</v>
      </c>
      <c r="D843" t="s">
        <v>20</v>
      </c>
      <c r="E843" t="s">
        <v>47</v>
      </c>
      <c r="F843">
        <v>1</v>
      </c>
      <c r="G843">
        <v>14.11</v>
      </c>
      <c r="H843">
        <v>14.11</v>
      </c>
      <c r="I843">
        <v>4.01</v>
      </c>
      <c r="J843">
        <v>10.1</v>
      </c>
      <c r="K843">
        <v>123</v>
      </c>
    </row>
    <row r="844" spans="1:11" x14ac:dyDescent="0.3">
      <c r="A844">
        <v>9363</v>
      </c>
      <c r="B844" t="s">
        <v>24</v>
      </c>
      <c r="C844" s="1">
        <v>45636</v>
      </c>
      <c r="D844" t="s">
        <v>17</v>
      </c>
      <c r="E844" t="s">
        <v>41</v>
      </c>
      <c r="F844">
        <v>3</v>
      </c>
      <c r="G844">
        <v>9.57</v>
      </c>
      <c r="H844">
        <v>28.71</v>
      </c>
      <c r="I844">
        <v>2.92</v>
      </c>
      <c r="J844">
        <v>25.79</v>
      </c>
      <c r="K844">
        <v>331</v>
      </c>
    </row>
    <row r="845" spans="1:11" x14ac:dyDescent="0.3">
      <c r="A845">
        <v>2868</v>
      </c>
      <c r="B845" t="s">
        <v>30</v>
      </c>
      <c r="C845" s="1">
        <v>45557</v>
      </c>
      <c r="D845" t="s">
        <v>34</v>
      </c>
      <c r="E845" t="s">
        <v>33</v>
      </c>
      <c r="F845">
        <v>5</v>
      </c>
      <c r="G845">
        <v>22.66</v>
      </c>
      <c r="H845">
        <v>113.3</v>
      </c>
      <c r="I845">
        <v>11.33</v>
      </c>
      <c r="J845">
        <v>101.97</v>
      </c>
      <c r="K845">
        <v>12</v>
      </c>
    </row>
    <row r="846" spans="1:11" x14ac:dyDescent="0.3">
      <c r="A846">
        <v>9355</v>
      </c>
      <c r="B846" t="s">
        <v>19</v>
      </c>
      <c r="C846" s="1">
        <v>45295</v>
      </c>
      <c r="D846" t="s">
        <v>20</v>
      </c>
      <c r="E846" t="s">
        <v>29</v>
      </c>
      <c r="F846">
        <v>3</v>
      </c>
      <c r="G846">
        <v>19.170000000000002</v>
      </c>
      <c r="H846">
        <v>57.51</v>
      </c>
      <c r="I846">
        <v>0</v>
      </c>
      <c r="J846">
        <v>57.51</v>
      </c>
      <c r="K846">
        <v>360</v>
      </c>
    </row>
    <row r="847" spans="1:11" x14ac:dyDescent="0.3">
      <c r="A847">
        <v>6724</v>
      </c>
      <c r="B847" t="s">
        <v>11</v>
      </c>
      <c r="C847" s="1">
        <v>45417</v>
      </c>
      <c r="D847" t="s">
        <v>20</v>
      </c>
      <c r="E847" t="s">
        <v>21</v>
      </c>
      <c r="F847">
        <v>5</v>
      </c>
      <c r="G847">
        <v>1.94</v>
      </c>
      <c r="H847">
        <v>9.6999999999999993</v>
      </c>
      <c r="I847">
        <v>0</v>
      </c>
      <c r="J847">
        <v>9.6999999999999993</v>
      </c>
      <c r="K847">
        <v>218</v>
      </c>
    </row>
    <row r="848" spans="1:11" x14ac:dyDescent="0.3">
      <c r="A848">
        <v>3419</v>
      </c>
      <c r="B848" t="s">
        <v>14</v>
      </c>
      <c r="C848" s="1">
        <v>45328</v>
      </c>
      <c r="D848" t="s">
        <v>28</v>
      </c>
      <c r="E848" t="s">
        <v>44</v>
      </c>
      <c r="F848">
        <v>1</v>
      </c>
      <c r="G848">
        <v>18.98</v>
      </c>
      <c r="H848">
        <v>18.98</v>
      </c>
      <c r="I848">
        <v>4.78</v>
      </c>
      <c r="J848">
        <v>14.2</v>
      </c>
      <c r="K848">
        <v>171</v>
      </c>
    </row>
    <row r="849" spans="1:11" x14ac:dyDescent="0.3">
      <c r="A849">
        <v>2684</v>
      </c>
      <c r="B849" t="s">
        <v>36</v>
      </c>
      <c r="C849" s="1">
        <v>45258</v>
      </c>
      <c r="D849" t="s">
        <v>12</v>
      </c>
      <c r="E849" t="s">
        <v>48</v>
      </c>
      <c r="F849">
        <v>4</v>
      </c>
      <c r="G849">
        <v>11.59</v>
      </c>
      <c r="H849">
        <v>46.36</v>
      </c>
      <c r="I849">
        <v>6.95</v>
      </c>
      <c r="J849">
        <v>39.409999999999997</v>
      </c>
      <c r="K849">
        <v>316</v>
      </c>
    </row>
    <row r="850" spans="1:11" x14ac:dyDescent="0.3">
      <c r="A850">
        <v>5193</v>
      </c>
      <c r="B850" t="s">
        <v>36</v>
      </c>
      <c r="C850" s="1">
        <v>45298</v>
      </c>
      <c r="D850" t="s">
        <v>34</v>
      </c>
      <c r="E850" t="s">
        <v>18</v>
      </c>
      <c r="F850">
        <v>1</v>
      </c>
      <c r="G850">
        <v>17.25</v>
      </c>
      <c r="H850">
        <v>17.25</v>
      </c>
      <c r="I850">
        <v>3.45</v>
      </c>
      <c r="J850">
        <v>13.8</v>
      </c>
      <c r="K850">
        <v>396</v>
      </c>
    </row>
    <row r="851" spans="1:11" x14ac:dyDescent="0.3">
      <c r="A851">
        <v>3842</v>
      </c>
      <c r="B851" t="s">
        <v>36</v>
      </c>
      <c r="C851" s="1">
        <v>45612</v>
      </c>
      <c r="D851" t="s">
        <v>17</v>
      </c>
      <c r="E851" t="s">
        <v>18</v>
      </c>
      <c r="F851">
        <v>1</v>
      </c>
      <c r="G851">
        <v>19.809999999999999</v>
      </c>
      <c r="H851">
        <v>19.809999999999999</v>
      </c>
      <c r="I851">
        <v>0</v>
      </c>
      <c r="J851">
        <v>19.809999999999999</v>
      </c>
      <c r="K851">
        <v>377</v>
      </c>
    </row>
    <row r="852" spans="1:11" x14ac:dyDescent="0.3">
      <c r="A852">
        <v>3504</v>
      </c>
      <c r="B852" t="s">
        <v>42</v>
      </c>
      <c r="C852" s="1">
        <v>45735</v>
      </c>
      <c r="D852" t="s">
        <v>22</v>
      </c>
      <c r="E852" t="s">
        <v>23</v>
      </c>
      <c r="F852">
        <v>3</v>
      </c>
      <c r="G852">
        <v>15.59</v>
      </c>
      <c r="H852">
        <v>46.77</v>
      </c>
      <c r="I852">
        <v>1.25</v>
      </c>
      <c r="J852">
        <v>45.52</v>
      </c>
      <c r="K852">
        <v>216</v>
      </c>
    </row>
    <row r="853" spans="1:11" x14ac:dyDescent="0.3">
      <c r="A853">
        <v>2234</v>
      </c>
      <c r="B853" t="s">
        <v>36</v>
      </c>
      <c r="C853" s="1">
        <v>45282</v>
      </c>
      <c r="D853" t="s">
        <v>45</v>
      </c>
      <c r="E853" t="s">
        <v>47</v>
      </c>
      <c r="F853">
        <v>5</v>
      </c>
      <c r="G853">
        <v>16.260000000000002</v>
      </c>
      <c r="H853">
        <v>81.3</v>
      </c>
      <c r="I853">
        <v>0</v>
      </c>
      <c r="J853">
        <v>81.3</v>
      </c>
      <c r="K853">
        <v>62</v>
      </c>
    </row>
    <row r="854" spans="1:11" x14ac:dyDescent="0.3">
      <c r="A854">
        <v>9095</v>
      </c>
      <c r="B854" t="s">
        <v>14</v>
      </c>
      <c r="C854" s="1">
        <v>45505</v>
      </c>
      <c r="D854" t="s">
        <v>27</v>
      </c>
      <c r="E854" t="s">
        <v>18</v>
      </c>
      <c r="F854">
        <v>3</v>
      </c>
      <c r="G854">
        <v>14.1</v>
      </c>
      <c r="H854">
        <v>42.3</v>
      </c>
      <c r="I854">
        <v>8.4600000000000009</v>
      </c>
      <c r="J854">
        <v>33.840000000000003</v>
      </c>
      <c r="K854">
        <v>188</v>
      </c>
    </row>
    <row r="855" spans="1:11" x14ac:dyDescent="0.3">
      <c r="A855">
        <v>8354</v>
      </c>
      <c r="B855" t="s">
        <v>26</v>
      </c>
      <c r="C855" s="1">
        <v>45674</v>
      </c>
      <c r="D855" t="s">
        <v>15</v>
      </c>
      <c r="E855" t="s">
        <v>43</v>
      </c>
      <c r="F855">
        <v>4</v>
      </c>
      <c r="G855">
        <v>27.03</v>
      </c>
      <c r="H855">
        <v>108.12</v>
      </c>
      <c r="I855">
        <v>1.66</v>
      </c>
      <c r="J855">
        <v>106.46</v>
      </c>
      <c r="K855">
        <v>147</v>
      </c>
    </row>
    <row r="856" spans="1:11" x14ac:dyDescent="0.3">
      <c r="A856">
        <v>6295</v>
      </c>
      <c r="B856" t="s">
        <v>11</v>
      </c>
      <c r="C856" s="1">
        <v>45816</v>
      </c>
      <c r="D856" t="s">
        <v>34</v>
      </c>
      <c r="E856" t="s">
        <v>47</v>
      </c>
      <c r="F856">
        <v>2</v>
      </c>
      <c r="G856">
        <v>26.36</v>
      </c>
      <c r="H856">
        <v>52.72</v>
      </c>
      <c r="I856">
        <v>7.91</v>
      </c>
      <c r="J856">
        <v>44.81</v>
      </c>
      <c r="K856">
        <v>266</v>
      </c>
    </row>
    <row r="857" spans="1:11" x14ac:dyDescent="0.3">
      <c r="A857">
        <v>6179</v>
      </c>
      <c r="B857" t="s">
        <v>24</v>
      </c>
      <c r="C857" s="1">
        <v>45262</v>
      </c>
      <c r="D857" t="s">
        <v>27</v>
      </c>
      <c r="E857" t="s">
        <v>18</v>
      </c>
      <c r="F857">
        <v>2</v>
      </c>
      <c r="G857">
        <v>14.73</v>
      </c>
      <c r="H857">
        <v>29.46</v>
      </c>
      <c r="I857">
        <v>0</v>
      </c>
      <c r="J857">
        <v>29.46</v>
      </c>
      <c r="K857">
        <v>215</v>
      </c>
    </row>
    <row r="858" spans="1:11" x14ac:dyDescent="0.3">
      <c r="A858">
        <v>8205</v>
      </c>
      <c r="B858" t="s">
        <v>31</v>
      </c>
      <c r="C858" s="1">
        <v>45198</v>
      </c>
      <c r="D858" t="s">
        <v>35</v>
      </c>
      <c r="E858" t="s">
        <v>44</v>
      </c>
      <c r="F858">
        <v>1</v>
      </c>
      <c r="G858">
        <v>1.63</v>
      </c>
      <c r="H858">
        <v>1.63</v>
      </c>
      <c r="I858">
        <v>3.58</v>
      </c>
      <c r="J858">
        <v>-1.95</v>
      </c>
      <c r="K858">
        <v>410</v>
      </c>
    </row>
    <row r="859" spans="1:11" x14ac:dyDescent="0.3">
      <c r="A859">
        <v>8682</v>
      </c>
      <c r="B859" t="s">
        <v>24</v>
      </c>
      <c r="C859" s="1">
        <v>45488</v>
      </c>
      <c r="D859" t="s">
        <v>28</v>
      </c>
      <c r="E859" t="s">
        <v>21</v>
      </c>
      <c r="F859">
        <v>3</v>
      </c>
      <c r="G859">
        <v>15.09</v>
      </c>
      <c r="H859">
        <v>45.27</v>
      </c>
      <c r="I859">
        <v>4.53</v>
      </c>
      <c r="J859">
        <v>40.74</v>
      </c>
      <c r="K859">
        <v>340</v>
      </c>
    </row>
    <row r="860" spans="1:11" x14ac:dyDescent="0.3">
      <c r="A860">
        <v>5961</v>
      </c>
      <c r="B860" t="s">
        <v>30</v>
      </c>
      <c r="C860" s="1">
        <v>45763</v>
      </c>
      <c r="D860" t="s">
        <v>28</v>
      </c>
      <c r="E860" t="s">
        <v>41</v>
      </c>
      <c r="F860">
        <v>3</v>
      </c>
      <c r="G860">
        <v>5.97</v>
      </c>
      <c r="H860">
        <v>17.91</v>
      </c>
      <c r="I860">
        <v>1.79</v>
      </c>
      <c r="J860">
        <v>16.12</v>
      </c>
      <c r="K860">
        <v>133</v>
      </c>
    </row>
    <row r="861" spans="1:11" x14ac:dyDescent="0.3">
      <c r="A861">
        <v>5500</v>
      </c>
      <c r="B861" t="s">
        <v>36</v>
      </c>
      <c r="C861" s="1">
        <v>45604</v>
      </c>
      <c r="D861" t="s">
        <v>35</v>
      </c>
      <c r="E861" t="s">
        <v>40</v>
      </c>
      <c r="F861">
        <v>2</v>
      </c>
      <c r="G861">
        <v>11.23</v>
      </c>
      <c r="H861">
        <v>22.46</v>
      </c>
      <c r="I861">
        <v>4.7</v>
      </c>
      <c r="J861">
        <v>17.760000000000002</v>
      </c>
      <c r="K861">
        <v>233</v>
      </c>
    </row>
    <row r="862" spans="1:11" x14ac:dyDescent="0.3">
      <c r="A862">
        <v>1920</v>
      </c>
      <c r="B862" t="s">
        <v>14</v>
      </c>
      <c r="C862" s="1">
        <v>45418</v>
      </c>
      <c r="D862" t="s">
        <v>35</v>
      </c>
      <c r="E862" t="s">
        <v>29</v>
      </c>
      <c r="F862">
        <v>2</v>
      </c>
      <c r="G862">
        <v>25.33</v>
      </c>
      <c r="H862">
        <v>50.66</v>
      </c>
      <c r="I862">
        <v>10.130000000000001</v>
      </c>
      <c r="J862">
        <v>40.53</v>
      </c>
      <c r="K862">
        <v>354</v>
      </c>
    </row>
    <row r="863" spans="1:11" x14ac:dyDescent="0.3">
      <c r="A863">
        <v>9312</v>
      </c>
      <c r="B863" t="s">
        <v>42</v>
      </c>
      <c r="C863" s="1">
        <v>45202</v>
      </c>
      <c r="D863" t="s">
        <v>15</v>
      </c>
      <c r="E863" t="s">
        <v>40</v>
      </c>
      <c r="F863">
        <v>3</v>
      </c>
      <c r="G863">
        <v>17.649999999999999</v>
      </c>
      <c r="H863">
        <v>52.95</v>
      </c>
      <c r="I863">
        <v>7.94</v>
      </c>
      <c r="J863">
        <v>45.01</v>
      </c>
      <c r="K863">
        <v>225</v>
      </c>
    </row>
    <row r="864" spans="1:11" x14ac:dyDescent="0.3">
      <c r="A864">
        <v>6085</v>
      </c>
      <c r="B864" t="s">
        <v>19</v>
      </c>
      <c r="C864" s="1">
        <v>45503</v>
      </c>
      <c r="D864" t="s">
        <v>17</v>
      </c>
      <c r="E864" t="s">
        <v>18</v>
      </c>
      <c r="F864">
        <v>1</v>
      </c>
      <c r="G864">
        <v>20.29</v>
      </c>
      <c r="H864">
        <v>20.29</v>
      </c>
      <c r="I864">
        <v>4.0599999999999996</v>
      </c>
      <c r="J864">
        <v>16.23</v>
      </c>
      <c r="K864">
        <v>500</v>
      </c>
    </row>
    <row r="865" spans="1:11" x14ac:dyDescent="0.3">
      <c r="A865">
        <v>8404</v>
      </c>
      <c r="B865" t="s">
        <v>36</v>
      </c>
      <c r="C865" s="1">
        <v>45174</v>
      </c>
      <c r="D865" t="s">
        <v>45</v>
      </c>
      <c r="E865" t="s">
        <v>18</v>
      </c>
      <c r="F865">
        <v>2</v>
      </c>
      <c r="G865">
        <v>16.47</v>
      </c>
      <c r="H865">
        <v>32.94</v>
      </c>
      <c r="I865">
        <v>3.29</v>
      </c>
      <c r="J865">
        <v>29.65</v>
      </c>
      <c r="K865">
        <v>62</v>
      </c>
    </row>
    <row r="866" spans="1:11" x14ac:dyDescent="0.3">
      <c r="A866">
        <v>1932</v>
      </c>
      <c r="B866" t="s">
        <v>26</v>
      </c>
      <c r="C866" s="1">
        <v>45431</v>
      </c>
      <c r="D866" t="s">
        <v>34</v>
      </c>
      <c r="E866" t="s">
        <v>33</v>
      </c>
      <c r="F866">
        <v>3</v>
      </c>
      <c r="G866">
        <v>5.52</v>
      </c>
      <c r="H866">
        <v>16.559999999999999</v>
      </c>
      <c r="I866">
        <v>0</v>
      </c>
      <c r="J866">
        <v>16.559999999999999</v>
      </c>
      <c r="K866">
        <v>496</v>
      </c>
    </row>
    <row r="867" spans="1:11" x14ac:dyDescent="0.3">
      <c r="A867">
        <v>5703</v>
      </c>
      <c r="B867" t="s">
        <v>30</v>
      </c>
      <c r="C867" s="1">
        <v>45204</v>
      </c>
      <c r="D867" t="s">
        <v>45</v>
      </c>
      <c r="E867" t="s">
        <v>37</v>
      </c>
      <c r="F867">
        <v>5</v>
      </c>
      <c r="G867">
        <v>20.329999999999998</v>
      </c>
      <c r="H867">
        <v>101.65</v>
      </c>
      <c r="I867">
        <v>15.25</v>
      </c>
      <c r="J867">
        <v>86.4</v>
      </c>
      <c r="K867">
        <v>409</v>
      </c>
    </row>
    <row r="868" spans="1:11" x14ac:dyDescent="0.3">
      <c r="A868">
        <v>2479</v>
      </c>
      <c r="B868" t="s">
        <v>11</v>
      </c>
      <c r="C868" s="1">
        <v>45622</v>
      </c>
      <c r="D868" t="s">
        <v>45</v>
      </c>
      <c r="E868" t="s">
        <v>40</v>
      </c>
      <c r="F868">
        <v>2</v>
      </c>
      <c r="G868">
        <v>20.65</v>
      </c>
      <c r="H868">
        <v>41.3</v>
      </c>
      <c r="I868">
        <v>2.61</v>
      </c>
      <c r="J868">
        <v>38.69</v>
      </c>
      <c r="K868">
        <v>59</v>
      </c>
    </row>
    <row r="869" spans="1:11" x14ac:dyDescent="0.3">
      <c r="A869">
        <v>9307</v>
      </c>
      <c r="B869" t="s">
        <v>42</v>
      </c>
      <c r="C869" s="1">
        <v>45443</v>
      </c>
      <c r="D869" t="s">
        <v>45</v>
      </c>
      <c r="E869" t="s">
        <v>23</v>
      </c>
      <c r="F869">
        <v>1</v>
      </c>
      <c r="G869">
        <v>10.45</v>
      </c>
      <c r="H869">
        <v>10.45</v>
      </c>
      <c r="I869">
        <v>3.11</v>
      </c>
      <c r="J869">
        <v>7.34</v>
      </c>
      <c r="K869">
        <v>311</v>
      </c>
    </row>
    <row r="870" spans="1:11" x14ac:dyDescent="0.3">
      <c r="A870">
        <v>8581</v>
      </c>
      <c r="C870" s="1">
        <v>45595</v>
      </c>
      <c r="D870" t="s">
        <v>17</v>
      </c>
      <c r="E870" t="s">
        <v>39</v>
      </c>
      <c r="F870">
        <v>1</v>
      </c>
      <c r="G870">
        <v>16.600000000000001</v>
      </c>
      <c r="H870">
        <v>16.600000000000001</v>
      </c>
      <c r="I870">
        <v>2.58</v>
      </c>
      <c r="J870">
        <v>14.02</v>
      </c>
      <c r="K870">
        <v>228</v>
      </c>
    </row>
    <row r="871" spans="1:11" x14ac:dyDescent="0.3">
      <c r="A871">
        <v>1672</v>
      </c>
      <c r="B871" t="s">
        <v>26</v>
      </c>
      <c r="C871" s="1">
        <v>45494</v>
      </c>
      <c r="D871" t="s">
        <v>22</v>
      </c>
      <c r="E871" t="s">
        <v>46</v>
      </c>
      <c r="F871">
        <v>1</v>
      </c>
      <c r="G871">
        <v>27.33</v>
      </c>
      <c r="H871">
        <v>27.33</v>
      </c>
      <c r="I871">
        <v>5.47</v>
      </c>
      <c r="J871">
        <v>21.86</v>
      </c>
      <c r="K871">
        <v>184</v>
      </c>
    </row>
    <row r="872" spans="1:11" x14ac:dyDescent="0.3">
      <c r="A872">
        <v>4084</v>
      </c>
      <c r="B872" t="s">
        <v>24</v>
      </c>
      <c r="C872" s="1">
        <v>45394</v>
      </c>
      <c r="D872" t="s">
        <v>22</v>
      </c>
      <c r="E872" t="s">
        <v>32</v>
      </c>
      <c r="F872">
        <v>3</v>
      </c>
      <c r="G872">
        <v>1.34</v>
      </c>
      <c r="H872">
        <v>4.0199999999999996</v>
      </c>
      <c r="I872">
        <v>0.6</v>
      </c>
      <c r="J872">
        <v>3.42</v>
      </c>
      <c r="K872">
        <v>176</v>
      </c>
    </row>
    <row r="873" spans="1:11" x14ac:dyDescent="0.3">
      <c r="A873">
        <v>8792</v>
      </c>
      <c r="B873" t="s">
        <v>26</v>
      </c>
      <c r="C873" s="1">
        <v>45534</v>
      </c>
      <c r="D873" t="s">
        <v>38</v>
      </c>
      <c r="E873" t="s">
        <v>43</v>
      </c>
      <c r="F873">
        <v>2</v>
      </c>
      <c r="G873">
        <v>22.1</v>
      </c>
      <c r="H873">
        <v>44.2</v>
      </c>
      <c r="I873">
        <v>4.42</v>
      </c>
      <c r="J873">
        <v>39.78</v>
      </c>
      <c r="K873">
        <v>227</v>
      </c>
    </row>
    <row r="874" spans="1:11" x14ac:dyDescent="0.3">
      <c r="A874">
        <v>3471</v>
      </c>
      <c r="B874" t="s">
        <v>30</v>
      </c>
      <c r="C874" s="1">
        <v>45193</v>
      </c>
      <c r="D874" t="s">
        <v>34</v>
      </c>
      <c r="E874" t="s">
        <v>16</v>
      </c>
      <c r="F874">
        <v>4</v>
      </c>
      <c r="G874">
        <v>5.04</v>
      </c>
      <c r="H874">
        <v>20.16</v>
      </c>
      <c r="I874">
        <v>4.03</v>
      </c>
      <c r="J874">
        <v>16.13</v>
      </c>
      <c r="K874">
        <v>300</v>
      </c>
    </row>
    <row r="875" spans="1:11" x14ac:dyDescent="0.3">
      <c r="A875">
        <v>8381</v>
      </c>
      <c r="B875" t="s">
        <v>42</v>
      </c>
      <c r="C875" s="1">
        <v>45225</v>
      </c>
      <c r="D875" t="s">
        <v>35</v>
      </c>
      <c r="E875" t="s">
        <v>47</v>
      </c>
      <c r="F875">
        <v>5</v>
      </c>
      <c r="G875">
        <v>29.6</v>
      </c>
      <c r="H875">
        <v>148</v>
      </c>
      <c r="I875">
        <v>1.03</v>
      </c>
      <c r="J875">
        <v>146.97</v>
      </c>
      <c r="K875">
        <v>33</v>
      </c>
    </row>
    <row r="876" spans="1:11" x14ac:dyDescent="0.3">
      <c r="A876">
        <v>6626</v>
      </c>
      <c r="B876" t="s">
        <v>30</v>
      </c>
      <c r="C876" s="1">
        <v>45699</v>
      </c>
      <c r="D876" t="s">
        <v>20</v>
      </c>
      <c r="E876" t="s">
        <v>29</v>
      </c>
      <c r="F876">
        <v>5</v>
      </c>
      <c r="G876">
        <v>14.39</v>
      </c>
      <c r="H876">
        <v>71.95</v>
      </c>
      <c r="I876">
        <v>14.39</v>
      </c>
      <c r="J876">
        <v>57.56</v>
      </c>
      <c r="K876">
        <v>290</v>
      </c>
    </row>
    <row r="877" spans="1:11" x14ac:dyDescent="0.3">
      <c r="A877">
        <v>2381</v>
      </c>
      <c r="B877" t="s">
        <v>19</v>
      </c>
      <c r="C877" s="1">
        <v>45536</v>
      </c>
      <c r="D877" t="s">
        <v>20</v>
      </c>
      <c r="E877" t="s">
        <v>37</v>
      </c>
      <c r="F877">
        <v>5</v>
      </c>
      <c r="G877">
        <v>15.22</v>
      </c>
      <c r="H877">
        <v>76.099999999999994</v>
      </c>
      <c r="I877">
        <v>2.2200000000000002</v>
      </c>
      <c r="J877">
        <v>73.88</v>
      </c>
      <c r="K877">
        <v>421</v>
      </c>
    </row>
    <row r="878" spans="1:11" x14ac:dyDescent="0.3">
      <c r="A878">
        <v>3827</v>
      </c>
      <c r="B878" t="s">
        <v>14</v>
      </c>
      <c r="C878" s="1">
        <v>45175</v>
      </c>
      <c r="D878" t="s">
        <v>45</v>
      </c>
      <c r="E878" t="s">
        <v>25</v>
      </c>
      <c r="F878">
        <v>1</v>
      </c>
      <c r="G878">
        <v>23.94</v>
      </c>
      <c r="H878">
        <v>23.94</v>
      </c>
      <c r="I878">
        <v>3.59</v>
      </c>
      <c r="J878">
        <v>20.350000000000001</v>
      </c>
      <c r="K878">
        <v>78</v>
      </c>
    </row>
    <row r="879" spans="1:11" x14ac:dyDescent="0.3">
      <c r="A879">
        <v>5059</v>
      </c>
      <c r="B879" t="s">
        <v>26</v>
      </c>
      <c r="C879" s="1">
        <v>45694</v>
      </c>
      <c r="D879" t="s">
        <v>15</v>
      </c>
      <c r="E879" t="s">
        <v>37</v>
      </c>
      <c r="F879">
        <v>4</v>
      </c>
      <c r="G879">
        <v>6.19</v>
      </c>
      <c r="H879">
        <v>24.76</v>
      </c>
      <c r="I879">
        <v>1.48</v>
      </c>
      <c r="J879">
        <v>23.28</v>
      </c>
      <c r="K879">
        <v>464</v>
      </c>
    </row>
    <row r="880" spans="1:11" x14ac:dyDescent="0.3">
      <c r="A880">
        <v>8172</v>
      </c>
      <c r="B880" t="s">
        <v>30</v>
      </c>
      <c r="C880" s="1">
        <v>45486</v>
      </c>
      <c r="D880" t="s">
        <v>45</v>
      </c>
      <c r="E880" t="s">
        <v>43</v>
      </c>
      <c r="F880">
        <v>5</v>
      </c>
      <c r="G880">
        <v>22.61</v>
      </c>
      <c r="H880">
        <v>113.05</v>
      </c>
      <c r="I880">
        <v>2.74</v>
      </c>
      <c r="J880">
        <v>110.31</v>
      </c>
      <c r="K880">
        <v>297</v>
      </c>
    </row>
    <row r="881" spans="1:11" x14ac:dyDescent="0.3">
      <c r="A881">
        <v>9586</v>
      </c>
      <c r="B881" t="s">
        <v>30</v>
      </c>
      <c r="C881" s="1">
        <v>45551</v>
      </c>
      <c r="D881" t="s">
        <v>27</v>
      </c>
      <c r="E881" t="s">
        <v>47</v>
      </c>
      <c r="F881">
        <v>1</v>
      </c>
      <c r="G881">
        <v>11.81</v>
      </c>
      <c r="H881">
        <v>11.81</v>
      </c>
      <c r="I881">
        <v>1.77</v>
      </c>
      <c r="J881">
        <v>10.039999999999999</v>
      </c>
      <c r="K881">
        <v>375</v>
      </c>
    </row>
    <row r="882" spans="1:11" x14ac:dyDescent="0.3">
      <c r="A882">
        <v>3600</v>
      </c>
      <c r="B882" t="s">
        <v>19</v>
      </c>
      <c r="C882" s="1">
        <v>45427</v>
      </c>
      <c r="D882" t="s">
        <v>28</v>
      </c>
      <c r="E882" t="s">
        <v>40</v>
      </c>
      <c r="F882">
        <v>2</v>
      </c>
      <c r="G882">
        <v>10.26</v>
      </c>
      <c r="H882">
        <v>20.52</v>
      </c>
      <c r="I882">
        <v>3.08</v>
      </c>
      <c r="J882">
        <v>17.440000000000001</v>
      </c>
      <c r="K882">
        <v>449</v>
      </c>
    </row>
    <row r="883" spans="1:11" x14ac:dyDescent="0.3">
      <c r="A883">
        <v>7108</v>
      </c>
      <c r="B883" t="s">
        <v>19</v>
      </c>
      <c r="C883" s="1">
        <v>45857</v>
      </c>
      <c r="D883" t="s">
        <v>12</v>
      </c>
      <c r="E883" t="s">
        <v>13</v>
      </c>
      <c r="F883">
        <v>3</v>
      </c>
      <c r="G883">
        <v>13.16</v>
      </c>
      <c r="H883">
        <v>39.479999999999997</v>
      </c>
      <c r="I883">
        <v>2.16</v>
      </c>
      <c r="J883">
        <v>37.32</v>
      </c>
      <c r="K883">
        <v>466</v>
      </c>
    </row>
    <row r="884" spans="1:11" x14ac:dyDescent="0.3">
      <c r="A884">
        <v>5634</v>
      </c>
      <c r="B884" t="s">
        <v>14</v>
      </c>
      <c r="C884" s="1">
        <v>45445</v>
      </c>
      <c r="D884" t="s">
        <v>27</v>
      </c>
      <c r="E884" t="s">
        <v>43</v>
      </c>
      <c r="F884">
        <v>5</v>
      </c>
      <c r="G884">
        <v>6.61</v>
      </c>
      <c r="H884">
        <v>33.049999999999997</v>
      </c>
      <c r="I884">
        <v>3.4</v>
      </c>
      <c r="J884">
        <v>29.65</v>
      </c>
      <c r="K884">
        <v>321</v>
      </c>
    </row>
    <row r="885" spans="1:11" x14ac:dyDescent="0.3">
      <c r="A885">
        <v>7697</v>
      </c>
      <c r="B885" t="s">
        <v>19</v>
      </c>
      <c r="C885" s="1">
        <v>45746</v>
      </c>
      <c r="D885" t="s">
        <v>38</v>
      </c>
      <c r="E885" t="s">
        <v>21</v>
      </c>
      <c r="F885">
        <v>3</v>
      </c>
      <c r="G885">
        <v>24.97</v>
      </c>
      <c r="H885">
        <v>74.91</v>
      </c>
      <c r="I885">
        <v>11.24</v>
      </c>
      <c r="J885">
        <v>63.67</v>
      </c>
      <c r="K885">
        <v>350</v>
      </c>
    </row>
    <row r="886" spans="1:11" x14ac:dyDescent="0.3">
      <c r="A886">
        <v>6543</v>
      </c>
      <c r="B886" t="s">
        <v>36</v>
      </c>
      <c r="C886" s="1">
        <v>45672</v>
      </c>
      <c r="D886" t="s">
        <v>15</v>
      </c>
      <c r="E886" t="s">
        <v>18</v>
      </c>
      <c r="F886">
        <v>5</v>
      </c>
      <c r="G886">
        <v>11.19</v>
      </c>
      <c r="H886">
        <v>55.95</v>
      </c>
      <c r="I886">
        <v>11.19</v>
      </c>
      <c r="J886">
        <v>44.76</v>
      </c>
      <c r="K886">
        <v>73</v>
      </c>
    </row>
    <row r="887" spans="1:11" x14ac:dyDescent="0.3">
      <c r="A887">
        <v>1857</v>
      </c>
      <c r="B887" t="s">
        <v>14</v>
      </c>
      <c r="C887" s="1">
        <v>45758</v>
      </c>
      <c r="D887" t="s">
        <v>35</v>
      </c>
      <c r="E887" t="s">
        <v>23</v>
      </c>
      <c r="F887">
        <v>4</v>
      </c>
      <c r="G887">
        <v>12.94</v>
      </c>
      <c r="H887">
        <v>51.76</v>
      </c>
      <c r="I887">
        <v>1.87</v>
      </c>
      <c r="J887">
        <v>49.89</v>
      </c>
      <c r="K887">
        <v>471</v>
      </c>
    </row>
    <row r="888" spans="1:11" x14ac:dyDescent="0.3">
      <c r="A888">
        <v>6482</v>
      </c>
      <c r="B888" t="s">
        <v>14</v>
      </c>
      <c r="C888" s="1">
        <v>45196</v>
      </c>
      <c r="D888" t="s">
        <v>17</v>
      </c>
      <c r="E888" t="s">
        <v>44</v>
      </c>
      <c r="F888">
        <v>5</v>
      </c>
      <c r="G888">
        <v>18.78</v>
      </c>
      <c r="H888">
        <v>93.9</v>
      </c>
      <c r="I888">
        <v>9.39</v>
      </c>
      <c r="J888">
        <v>84.51</v>
      </c>
      <c r="K888">
        <v>425</v>
      </c>
    </row>
    <row r="889" spans="1:11" x14ac:dyDescent="0.3">
      <c r="A889">
        <v>6401</v>
      </c>
      <c r="B889" t="s">
        <v>26</v>
      </c>
      <c r="C889" s="1">
        <v>45218</v>
      </c>
      <c r="D889" t="s">
        <v>15</v>
      </c>
      <c r="E889" t="s">
        <v>48</v>
      </c>
      <c r="F889">
        <v>2</v>
      </c>
      <c r="G889">
        <v>27.77</v>
      </c>
      <c r="H889">
        <v>55.54</v>
      </c>
      <c r="I889">
        <v>8.33</v>
      </c>
      <c r="J889">
        <v>47.21</v>
      </c>
      <c r="K889">
        <v>245</v>
      </c>
    </row>
    <row r="890" spans="1:11" x14ac:dyDescent="0.3">
      <c r="A890">
        <v>7333</v>
      </c>
      <c r="B890" t="s">
        <v>36</v>
      </c>
      <c r="C890" s="1">
        <v>45365</v>
      </c>
      <c r="D890" t="s">
        <v>34</v>
      </c>
      <c r="E890" t="s">
        <v>33</v>
      </c>
      <c r="F890">
        <v>5</v>
      </c>
      <c r="G890">
        <v>16.16</v>
      </c>
      <c r="H890">
        <v>80.8</v>
      </c>
      <c r="I890">
        <v>16.16</v>
      </c>
      <c r="J890">
        <v>64.64</v>
      </c>
      <c r="K890">
        <v>496</v>
      </c>
    </row>
    <row r="891" spans="1:11" x14ac:dyDescent="0.3">
      <c r="A891">
        <v>5128</v>
      </c>
      <c r="B891" t="s">
        <v>30</v>
      </c>
      <c r="C891" s="1">
        <v>45707</v>
      </c>
      <c r="D891" t="s">
        <v>12</v>
      </c>
      <c r="E891" t="s">
        <v>48</v>
      </c>
      <c r="F891">
        <v>2</v>
      </c>
      <c r="G891">
        <v>4.72</v>
      </c>
      <c r="H891">
        <v>9.44</v>
      </c>
      <c r="I891">
        <v>0</v>
      </c>
      <c r="J891">
        <v>9.44</v>
      </c>
      <c r="K891">
        <v>355</v>
      </c>
    </row>
    <row r="892" spans="1:11" x14ac:dyDescent="0.3">
      <c r="A892">
        <v>3463</v>
      </c>
      <c r="B892" t="s">
        <v>42</v>
      </c>
      <c r="C892" s="1">
        <v>45403</v>
      </c>
      <c r="D892" t="s">
        <v>35</v>
      </c>
      <c r="E892" t="s">
        <v>41</v>
      </c>
      <c r="F892">
        <v>2</v>
      </c>
      <c r="G892">
        <v>4.7699999999999996</v>
      </c>
      <c r="H892">
        <v>9.5399999999999991</v>
      </c>
      <c r="I892">
        <v>0</v>
      </c>
      <c r="J892">
        <v>9.5399999999999991</v>
      </c>
      <c r="K892">
        <v>40</v>
      </c>
    </row>
    <row r="893" spans="1:11" x14ac:dyDescent="0.3">
      <c r="A893">
        <v>2335</v>
      </c>
      <c r="B893" t="s">
        <v>11</v>
      </c>
      <c r="C893" s="1">
        <v>45597</v>
      </c>
      <c r="D893" t="s">
        <v>15</v>
      </c>
      <c r="E893" t="s">
        <v>39</v>
      </c>
      <c r="F893">
        <v>4</v>
      </c>
      <c r="G893">
        <v>22.95</v>
      </c>
      <c r="H893">
        <v>91.8</v>
      </c>
      <c r="I893">
        <v>1.1299999999999999</v>
      </c>
      <c r="J893">
        <v>90.67</v>
      </c>
      <c r="K893">
        <v>21</v>
      </c>
    </row>
    <row r="894" spans="1:11" x14ac:dyDescent="0.3">
      <c r="A894">
        <v>3317</v>
      </c>
      <c r="B894" t="s">
        <v>14</v>
      </c>
      <c r="C894" s="1">
        <v>45857</v>
      </c>
      <c r="D894" t="s">
        <v>28</v>
      </c>
      <c r="E894" t="s">
        <v>40</v>
      </c>
      <c r="F894">
        <v>4</v>
      </c>
      <c r="G894">
        <v>4.4400000000000004</v>
      </c>
      <c r="H894">
        <v>17.760000000000002</v>
      </c>
      <c r="I894">
        <v>2.21</v>
      </c>
      <c r="J894">
        <v>15.55</v>
      </c>
      <c r="K894">
        <v>129</v>
      </c>
    </row>
    <row r="895" spans="1:11" x14ac:dyDescent="0.3">
      <c r="A895">
        <v>6731</v>
      </c>
      <c r="B895" t="s">
        <v>31</v>
      </c>
      <c r="C895" s="1">
        <v>45385</v>
      </c>
      <c r="D895" t="s">
        <v>15</v>
      </c>
      <c r="E895" t="s">
        <v>48</v>
      </c>
      <c r="F895">
        <v>5</v>
      </c>
      <c r="G895">
        <v>6.95</v>
      </c>
      <c r="H895">
        <v>34.75</v>
      </c>
      <c r="I895">
        <v>6.95</v>
      </c>
      <c r="J895">
        <v>27.8</v>
      </c>
      <c r="K895">
        <v>461</v>
      </c>
    </row>
    <row r="896" spans="1:11" x14ac:dyDescent="0.3">
      <c r="A896">
        <v>7421</v>
      </c>
      <c r="B896" t="s">
        <v>36</v>
      </c>
      <c r="C896" s="1">
        <v>45245</v>
      </c>
      <c r="D896" t="s">
        <v>12</v>
      </c>
      <c r="E896" t="s">
        <v>43</v>
      </c>
      <c r="F896">
        <v>2</v>
      </c>
      <c r="G896">
        <v>25.52</v>
      </c>
      <c r="H896">
        <v>51.04</v>
      </c>
      <c r="I896">
        <v>2.39</v>
      </c>
      <c r="J896">
        <v>48.65</v>
      </c>
      <c r="K896">
        <v>482</v>
      </c>
    </row>
    <row r="897" spans="1:11" x14ac:dyDescent="0.3">
      <c r="A897">
        <v>2388</v>
      </c>
      <c r="B897" t="s">
        <v>19</v>
      </c>
      <c r="C897" s="1">
        <v>45385</v>
      </c>
      <c r="D897" t="s">
        <v>38</v>
      </c>
      <c r="E897" t="s">
        <v>25</v>
      </c>
      <c r="F897">
        <v>5</v>
      </c>
      <c r="G897">
        <v>17.53</v>
      </c>
      <c r="H897">
        <v>87.65</v>
      </c>
      <c r="I897">
        <v>1.87</v>
      </c>
      <c r="J897">
        <v>85.78</v>
      </c>
      <c r="K897">
        <v>50</v>
      </c>
    </row>
    <row r="898" spans="1:11" x14ac:dyDescent="0.3">
      <c r="A898">
        <v>7171</v>
      </c>
      <c r="B898" t="s">
        <v>42</v>
      </c>
      <c r="C898" s="1">
        <v>45644</v>
      </c>
      <c r="D898" t="s">
        <v>35</v>
      </c>
      <c r="E898" t="s">
        <v>29</v>
      </c>
      <c r="F898">
        <v>5</v>
      </c>
      <c r="G898">
        <v>1.1200000000000001</v>
      </c>
      <c r="H898">
        <v>5.6</v>
      </c>
      <c r="I898">
        <v>1.1200000000000001</v>
      </c>
      <c r="J898">
        <v>4.4800000000000004</v>
      </c>
      <c r="K898">
        <v>371</v>
      </c>
    </row>
    <row r="899" spans="1:11" x14ac:dyDescent="0.3">
      <c r="A899">
        <v>6381</v>
      </c>
      <c r="B899" t="s">
        <v>14</v>
      </c>
      <c r="C899" s="1">
        <v>45776</v>
      </c>
      <c r="D899" t="s">
        <v>45</v>
      </c>
      <c r="E899" t="s">
        <v>23</v>
      </c>
      <c r="F899">
        <v>5</v>
      </c>
      <c r="G899">
        <v>6.36</v>
      </c>
      <c r="H899">
        <v>31.8</v>
      </c>
      <c r="I899">
        <v>6.36</v>
      </c>
      <c r="J899">
        <v>25.44</v>
      </c>
      <c r="K899">
        <v>344</v>
      </c>
    </row>
    <row r="900" spans="1:11" x14ac:dyDescent="0.3">
      <c r="A900">
        <v>3093</v>
      </c>
      <c r="B900" t="s">
        <v>36</v>
      </c>
      <c r="C900" s="1">
        <v>45665</v>
      </c>
      <c r="D900" t="s">
        <v>20</v>
      </c>
      <c r="E900" t="s">
        <v>16</v>
      </c>
      <c r="F900">
        <v>2</v>
      </c>
      <c r="G900">
        <v>15.9</v>
      </c>
      <c r="H900">
        <v>31.8</v>
      </c>
      <c r="I900">
        <v>4.7699999999999996</v>
      </c>
      <c r="J900">
        <v>27.03</v>
      </c>
      <c r="K900">
        <v>208</v>
      </c>
    </row>
    <row r="901" spans="1:11" x14ac:dyDescent="0.3">
      <c r="A901">
        <v>9624</v>
      </c>
      <c r="B901" t="s">
        <v>11</v>
      </c>
      <c r="C901" s="1">
        <v>45217</v>
      </c>
      <c r="D901" t="s">
        <v>45</v>
      </c>
      <c r="E901" t="s">
        <v>48</v>
      </c>
      <c r="F901">
        <v>5</v>
      </c>
      <c r="G901">
        <v>4.93</v>
      </c>
      <c r="H901">
        <v>24.65</v>
      </c>
      <c r="I901">
        <v>0</v>
      </c>
      <c r="J901">
        <v>24.65</v>
      </c>
      <c r="K901">
        <v>390</v>
      </c>
    </row>
    <row r="902" spans="1:11" x14ac:dyDescent="0.3">
      <c r="A902">
        <v>7937</v>
      </c>
      <c r="B902" t="s">
        <v>30</v>
      </c>
      <c r="C902" s="1">
        <v>45539</v>
      </c>
      <c r="D902" t="s">
        <v>38</v>
      </c>
      <c r="E902" t="s">
        <v>40</v>
      </c>
      <c r="F902">
        <v>1</v>
      </c>
      <c r="G902">
        <v>10.51</v>
      </c>
      <c r="H902">
        <v>10.51</v>
      </c>
      <c r="I902">
        <v>1.58</v>
      </c>
      <c r="J902">
        <v>8.93</v>
      </c>
      <c r="K902">
        <v>59</v>
      </c>
    </row>
    <row r="903" spans="1:11" x14ac:dyDescent="0.3">
      <c r="A903">
        <v>6928</v>
      </c>
      <c r="B903" t="s">
        <v>26</v>
      </c>
      <c r="C903" s="1">
        <v>45159</v>
      </c>
      <c r="D903" t="s">
        <v>28</v>
      </c>
      <c r="E903" t="s">
        <v>37</v>
      </c>
      <c r="F903">
        <v>4</v>
      </c>
      <c r="G903">
        <v>7.54</v>
      </c>
      <c r="H903">
        <v>30.16</v>
      </c>
      <c r="I903">
        <v>3.02</v>
      </c>
      <c r="J903">
        <v>27.14</v>
      </c>
      <c r="K903">
        <v>208</v>
      </c>
    </row>
    <row r="904" spans="1:11" x14ac:dyDescent="0.3">
      <c r="A904">
        <v>6940</v>
      </c>
      <c r="B904" t="s">
        <v>42</v>
      </c>
      <c r="C904" s="1">
        <v>45384</v>
      </c>
      <c r="D904" t="s">
        <v>15</v>
      </c>
      <c r="E904" t="s">
        <v>47</v>
      </c>
      <c r="F904">
        <v>3</v>
      </c>
      <c r="G904">
        <v>6.19</v>
      </c>
      <c r="H904">
        <v>18.57</v>
      </c>
      <c r="I904">
        <v>0</v>
      </c>
      <c r="J904">
        <v>18.57</v>
      </c>
      <c r="K904">
        <v>345</v>
      </c>
    </row>
    <row r="905" spans="1:11" x14ac:dyDescent="0.3">
      <c r="A905">
        <v>3953</v>
      </c>
      <c r="B905" t="s">
        <v>11</v>
      </c>
      <c r="C905" s="1">
        <v>45311</v>
      </c>
      <c r="D905" t="s">
        <v>20</v>
      </c>
      <c r="E905" t="s">
        <v>33</v>
      </c>
      <c r="F905">
        <v>5</v>
      </c>
      <c r="G905">
        <v>20.09</v>
      </c>
      <c r="H905">
        <v>100.45</v>
      </c>
      <c r="I905">
        <v>20.09</v>
      </c>
      <c r="J905">
        <v>80.36</v>
      </c>
      <c r="K905">
        <v>43</v>
      </c>
    </row>
    <row r="906" spans="1:11" x14ac:dyDescent="0.3">
      <c r="A906">
        <v>6598</v>
      </c>
      <c r="B906" t="s">
        <v>24</v>
      </c>
      <c r="C906" s="1">
        <v>45740</v>
      </c>
      <c r="D906" t="s">
        <v>20</v>
      </c>
      <c r="E906" t="s">
        <v>48</v>
      </c>
      <c r="F906">
        <v>2</v>
      </c>
      <c r="G906">
        <v>2.87</v>
      </c>
      <c r="H906">
        <v>5.74</v>
      </c>
      <c r="I906">
        <v>0.86</v>
      </c>
      <c r="J906">
        <v>4.88</v>
      </c>
      <c r="K906">
        <v>499</v>
      </c>
    </row>
    <row r="907" spans="1:11" x14ac:dyDescent="0.3">
      <c r="A907">
        <v>8967</v>
      </c>
      <c r="B907" t="s">
        <v>42</v>
      </c>
      <c r="C907" s="1">
        <v>45294</v>
      </c>
      <c r="D907" t="s">
        <v>28</v>
      </c>
      <c r="E907" t="s">
        <v>32</v>
      </c>
      <c r="F907">
        <v>1</v>
      </c>
      <c r="G907">
        <v>7.74</v>
      </c>
      <c r="H907">
        <v>7.74</v>
      </c>
      <c r="I907">
        <v>1.1599999999999999</v>
      </c>
      <c r="J907">
        <v>6.58</v>
      </c>
      <c r="K907">
        <v>217</v>
      </c>
    </row>
    <row r="908" spans="1:11" x14ac:dyDescent="0.3">
      <c r="A908">
        <v>4711</v>
      </c>
      <c r="B908" t="s">
        <v>30</v>
      </c>
      <c r="C908" s="1">
        <v>45251</v>
      </c>
      <c r="D908" t="s">
        <v>27</v>
      </c>
      <c r="E908" t="s">
        <v>32</v>
      </c>
      <c r="F908">
        <v>3</v>
      </c>
      <c r="G908">
        <v>14.79</v>
      </c>
      <c r="H908">
        <v>44.37</v>
      </c>
      <c r="I908">
        <v>4.4400000000000004</v>
      </c>
      <c r="J908">
        <v>39.93</v>
      </c>
      <c r="K908">
        <v>308</v>
      </c>
    </row>
    <row r="909" spans="1:11" x14ac:dyDescent="0.3">
      <c r="A909">
        <v>3538</v>
      </c>
      <c r="B909" t="s">
        <v>14</v>
      </c>
      <c r="C909" s="1">
        <v>45204</v>
      </c>
      <c r="D909" t="s">
        <v>35</v>
      </c>
      <c r="E909" t="s">
        <v>41</v>
      </c>
      <c r="F909">
        <v>4</v>
      </c>
      <c r="G909">
        <v>4.12</v>
      </c>
      <c r="H909">
        <v>16.48</v>
      </c>
      <c r="I909">
        <v>1.65</v>
      </c>
      <c r="J909">
        <v>14.83</v>
      </c>
      <c r="K909">
        <v>128</v>
      </c>
    </row>
    <row r="910" spans="1:11" x14ac:dyDescent="0.3">
      <c r="A910">
        <v>5846</v>
      </c>
      <c r="B910" t="s">
        <v>42</v>
      </c>
      <c r="C910" s="1">
        <v>45800</v>
      </c>
      <c r="D910" t="s">
        <v>27</v>
      </c>
      <c r="E910" t="s">
        <v>41</v>
      </c>
      <c r="F910">
        <v>1</v>
      </c>
      <c r="G910">
        <v>3.88</v>
      </c>
      <c r="H910">
        <v>3.88</v>
      </c>
      <c r="I910">
        <v>0.39</v>
      </c>
      <c r="J910">
        <v>3.49</v>
      </c>
      <c r="K910">
        <v>27</v>
      </c>
    </row>
    <row r="911" spans="1:11" x14ac:dyDescent="0.3">
      <c r="A911">
        <v>2657</v>
      </c>
      <c r="B911" t="s">
        <v>31</v>
      </c>
      <c r="C911" s="1">
        <v>45539</v>
      </c>
      <c r="D911" t="s">
        <v>34</v>
      </c>
      <c r="E911" t="s">
        <v>32</v>
      </c>
      <c r="F911">
        <v>5</v>
      </c>
      <c r="G911">
        <v>20.69</v>
      </c>
      <c r="H911">
        <v>103.45</v>
      </c>
      <c r="I911">
        <v>3.49</v>
      </c>
      <c r="J911">
        <v>99.96</v>
      </c>
      <c r="K911">
        <v>78</v>
      </c>
    </row>
    <row r="912" spans="1:11" x14ac:dyDescent="0.3">
      <c r="A912">
        <v>9843</v>
      </c>
      <c r="B912" t="s">
        <v>11</v>
      </c>
      <c r="C912" s="1">
        <v>45793</v>
      </c>
      <c r="D912" t="s">
        <v>27</v>
      </c>
      <c r="E912" t="s">
        <v>46</v>
      </c>
      <c r="F912">
        <v>4</v>
      </c>
      <c r="G912">
        <v>23.98</v>
      </c>
      <c r="H912">
        <v>95.92</v>
      </c>
      <c r="I912">
        <v>0</v>
      </c>
      <c r="J912">
        <v>95.92</v>
      </c>
      <c r="K912">
        <v>103</v>
      </c>
    </row>
    <row r="913" spans="1:11" x14ac:dyDescent="0.3">
      <c r="A913">
        <v>9626</v>
      </c>
      <c r="B913" t="s">
        <v>26</v>
      </c>
      <c r="C913" s="1">
        <v>45174</v>
      </c>
      <c r="D913" t="s">
        <v>45</v>
      </c>
      <c r="E913" t="s">
        <v>46</v>
      </c>
      <c r="F913">
        <v>3</v>
      </c>
      <c r="G913">
        <v>16.72</v>
      </c>
      <c r="H913">
        <v>50.16</v>
      </c>
      <c r="I913">
        <v>4.96</v>
      </c>
      <c r="J913">
        <v>45.2</v>
      </c>
      <c r="K913">
        <v>414</v>
      </c>
    </row>
    <row r="914" spans="1:11" x14ac:dyDescent="0.3">
      <c r="A914">
        <v>6517</v>
      </c>
      <c r="B914" t="s">
        <v>11</v>
      </c>
      <c r="C914" s="1">
        <v>45825</v>
      </c>
      <c r="D914" t="s">
        <v>20</v>
      </c>
      <c r="E914" t="s">
        <v>33</v>
      </c>
      <c r="F914">
        <v>3</v>
      </c>
      <c r="G914">
        <v>25.72</v>
      </c>
      <c r="H914">
        <v>77.16</v>
      </c>
      <c r="I914">
        <v>1.1299999999999999</v>
      </c>
      <c r="J914">
        <v>76.03</v>
      </c>
      <c r="K914">
        <v>226</v>
      </c>
    </row>
    <row r="915" spans="1:11" x14ac:dyDescent="0.3">
      <c r="A915">
        <v>3147</v>
      </c>
      <c r="B915" t="s">
        <v>14</v>
      </c>
      <c r="C915" s="1">
        <v>45608</v>
      </c>
      <c r="D915" t="s">
        <v>27</v>
      </c>
      <c r="E915" t="s">
        <v>37</v>
      </c>
      <c r="F915">
        <v>2</v>
      </c>
      <c r="G915">
        <v>15.24</v>
      </c>
      <c r="H915">
        <v>30.48</v>
      </c>
      <c r="I915">
        <v>0</v>
      </c>
      <c r="J915">
        <v>30.48</v>
      </c>
      <c r="K915">
        <v>68</v>
      </c>
    </row>
    <row r="916" spans="1:11" x14ac:dyDescent="0.3">
      <c r="A916">
        <v>7172</v>
      </c>
      <c r="B916" t="s">
        <v>24</v>
      </c>
      <c r="C916" s="1">
        <v>45264</v>
      </c>
      <c r="D916" t="s">
        <v>45</v>
      </c>
      <c r="E916" t="s">
        <v>48</v>
      </c>
      <c r="F916">
        <v>5</v>
      </c>
      <c r="G916">
        <v>20.57</v>
      </c>
      <c r="H916">
        <v>102.85</v>
      </c>
      <c r="I916">
        <v>10.29</v>
      </c>
      <c r="J916">
        <v>92.56</v>
      </c>
      <c r="K916">
        <v>337</v>
      </c>
    </row>
    <row r="917" spans="1:11" x14ac:dyDescent="0.3">
      <c r="A917">
        <v>3658</v>
      </c>
      <c r="B917" t="s">
        <v>14</v>
      </c>
      <c r="C917" s="1">
        <v>45285</v>
      </c>
      <c r="D917" t="s">
        <v>34</v>
      </c>
      <c r="E917" t="s">
        <v>46</v>
      </c>
      <c r="F917">
        <v>1</v>
      </c>
      <c r="G917">
        <v>12.34</v>
      </c>
      <c r="H917">
        <v>12.34</v>
      </c>
      <c r="I917">
        <v>3.71</v>
      </c>
      <c r="J917">
        <v>8.6300000000000008</v>
      </c>
      <c r="K917">
        <v>253</v>
      </c>
    </row>
    <row r="918" spans="1:11" x14ac:dyDescent="0.3">
      <c r="A918">
        <v>3712</v>
      </c>
      <c r="B918" t="s">
        <v>30</v>
      </c>
      <c r="C918" s="1">
        <v>45705</v>
      </c>
      <c r="D918" t="s">
        <v>22</v>
      </c>
      <c r="E918" t="s">
        <v>40</v>
      </c>
      <c r="F918">
        <v>1</v>
      </c>
      <c r="G918">
        <v>18.11</v>
      </c>
      <c r="H918">
        <v>18.11</v>
      </c>
      <c r="I918">
        <v>2.72</v>
      </c>
      <c r="J918">
        <v>15.39</v>
      </c>
      <c r="K918">
        <v>65</v>
      </c>
    </row>
    <row r="919" spans="1:11" x14ac:dyDescent="0.3">
      <c r="A919">
        <v>8170</v>
      </c>
      <c r="B919" t="s">
        <v>31</v>
      </c>
      <c r="C919" s="1">
        <v>45178</v>
      </c>
      <c r="D919" t="s">
        <v>27</v>
      </c>
      <c r="E919" t="s">
        <v>21</v>
      </c>
      <c r="F919">
        <v>4</v>
      </c>
      <c r="G919">
        <v>3.81</v>
      </c>
      <c r="H919">
        <v>15.24</v>
      </c>
      <c r="I919">
        <v>1.52</v>
      </c>
      <c r="J919">
        <v>13.72</v>
      </c>
      <c r="K919">
        <v>176</v>
      </c>
    </row>
    <row r="920" spans="1:11" x14ac:dyDescent="0.3">
      <c r="A920">
        <v>7731</v>
      </c>
      <c r="B920" t="s">
        <v>36</v>
      </c>
      <c r="C920" s="1">
        <v>45427</v>
      </c>
      <c r="D920" t="s">
        <v>12</v>
      </c>
      <c r="E920" t="s">
        <v>25</v>
      </c>
      <c r="F920">
        <v>2</v>
      </c>
      <c r="G920">
        <v>7.79</v>
      </c>
      <c r="H920">
        <v>15.58</v>
      </c>
      <c r="I920">
        <v>0</v>
      </c>
      <c r="J920">
        <v>15.58</v>
      </c>
      <c r="K920">
        <v>159</v>
      </c>
    </row>
    <row r="921" spans="1:11" x14ac:dyDescent="0.3">
      <c r="A921">
        <v>4891</v>
      </c>
      <c r="B921" t="s">
        <v>11</v>
      </c>
      <c r="C921" s="1">
        <v>45490</v>
      </c>
      <c r="D921" t="s">
        <v>35</v>
      </c>
      <c r="E921" t="s">
        <v>48</v>
      </c>
      <c r="F921">
        <v>3</v>
      </c>
      <c r="G921">
        <v>5.91</v>
      </c>
      <c r="H921">
        <v>17.73</v>
      </c>
      <c r="I921">
        <v>2.84</v>
      </c>
      <c r="J921">
        <v>14.89</v>
      </c>
      <c r="K921">
        <v>275</v>
      </c>
    </row>
    <row r="922" spans="1:11" x14ac:dyDescent="0.3">
      <c r="A922">
        <v>5668</v>
      </c>
      <c r="B922" t="s">
        <v>24</v>
      </c>
      <c r="C922" s="1">
        <v>45729</v>
      </c>
      <c r="D922" t="s">
        <v>28</v>
      </c>
      <c r="E922" t="s">
        <v>46</v>
      </c>
      <c r="F922">
        <v>4</v>
      </c>
      <c r="G922">
        <v>8.7200000000000006</v>
      </c>
      <c r="H922">
        <v>34.880000000000003</v>
      </c>
      <c r="I922">
        <v>1.0900000000000001</v>
      </c>
      <c r="J922">
        <v>33.79</v>
      </c>
      <c r="K922">
        <v>356</v>
      </c>
    </row>
    <row r="923" spans="1:11" x14ac:dyDescent="0.3">
      <c r="A923">
        <v>8355</v>
      </c>
      <c r="B923" t="s">
        <v>36</v>
      </c>
      <c r="C923" s="1">
        <v>45326</v>
      </c>
      <c r="D923" t="s">
        <v>20</v>
      </c>
      <c r="E923" t="s">
        <v>32</v>
      </c>
      <c r="F923">
        <v>3</v>
      </c>
      <c r="G923">
        <v>17.59</v>
      </c>
      <c r="H923">
        <v>52.77</v>
      </c>
      <c r="I923">
        <v>3.76</v>
      </c>
      <c r="J923">
        <v>49.01</v>
      </c>
      <c r="K923">
        <v>413</v>
      </c>
    </row>
    <row r="924" spans="1:11" x14ac:dyDescent="0.3">
      <c r="A924">
        <v>9749</v>
      </c>
      <c r="B924" t="s">
        <v>42</v>
      </c>
      <c r="C924" s="1">
        <v>45330</v>
      </c>
      <c r="D924" t="s">
        <v>22</v>
      </c>
      <c r="E924" t="s">
        <v>47</v>
      </c>
      <c r="F924">
        <v>5</v>
      </c>
      <c r="G924">
        <v>24.52</v>
      </c>
      <c r="H924">
        <v>122.6</v>
      </c>
      <c r="I924">
        <v>24.52</v>
      </c>
      <c r="J924">
        <v>98.08</v>
      </c>
      <c r="K924">
        <v>341</v>
      </c>
    </row>
    <row r="925" spans="1:11" x14ac:dyDescent="0.3">
      <c r="A925">
        <v>6070</v>
      </c>
      <c r="B925" t="s">
        <v>30</v>
      </c>
      <c r="C925" s="1">
        <v>45773</v>
      </c>
      <c r="D925" t="s">
        <v>22</v>
      </c>
      <c r="E925" t="s">
        <v>16</v>
      </c>
      <c r="F925">
        <v>2</v>
      </c>
      <c r="G925">
        <v>15.4</v>
      </c>
      <c r="H925">
        <v>30.8</v>
      </c>
      <c r="I925">
        <v>1.86</v>
      </c>
      <c r="J925">
        <v>28.94</v>
      </c>
      <c r="K925">
        <v>433</v>
      </c>
    </row>
    <row r="926" spans="1:11" x14ac:dyDescent="0.3">
      <c r="A926">
        <v>8684</v>
      </c>
      <c r="B926" t="s">
        <v>30</v>
      </c>
      <c r="C926" s="1">
        <v>45847</v>
      </c>
      <c r="D926" t="s">
        <v>12</v>
      </c>
      <c r="E926" t="s">
        <v>37</v>
      </c>
      <c r="F926">
        <v>5</v>
      </c>
      <c r="G926">
        <v>12.65</v>
      </c>
      <c r="H926">
        <v>63.25</v>
      </c>
      <c r="I926">
        <v>0</v>
      </c>
      <c r="J926">
        <v>63.25</v>
      </c>
      <c r="K926">
        <v>115</v>
      </c>
    </row>
    <row r="927" spans="1:11" x14ac:dyDescent="0.3">
      <c r="A927">
        <v>4178</v>
      </c>
      <c r="B927" t="s">
        <v>11</v>
      </c>
      <c r="C927" s="1">
        <v>45430</v>
      </c>
      <c r="D927" t="s">
        <v>28</v>
      </c>
      <c r="E927" t="s">
        <v>21</v>
      </c>
      <c r="F927">
        <v>3</v>
      </c>
      <c r="G927">
        <v>2.94</v>
      </c>
      <c r="H927">
        <v>8.82</v>
      </c>
      <c r="I927">
        <v>0.88</v>
      </c>
      <c r="J927">
        <v>7.94</v>
      </c>
      <c r="K927">
        <v>410</v>
      </c>
    </row>
    <row r="928" spans="1:11" x14ac:dyDescent="0.3">
      <c r="A928">
        <v>8218</v>
      </c>
      <c r="B928" t="s">
        <v>42</v>
      </c>
      <c r="C928" s="1">
        <v>45503</v>
      </c>
      <c r="D928" t="s">
        <v>22</v>
      </c>
      <c r="E928" t="s">
        <v>43</v>
      </c>
      <c r="F928">
        <v>3</v>
      </c>
      <c r="G928">
        <v>15.62</v>
      </c>
      <c r="H928">
        <v>46.86</v>
      </c>
      <c r="I928">
        <v>0</v>
      </c>
      <c r="J928">
        <v>46.86</v>
      </c>
      <c r="K928">
        <v>153</v>
      </c>
    </row>
    <row r="929" spans="1:11" x14ac:dyDescent="0.3">
      <c r="A929">
        <v>5616</v>
      </c>
      <c r="B929" t="s">
        <v>14</v>
      </c>
      <c r="C929" s="1">
        <v>45749</v>
      </c>
      <c r="D929" t="s">
        <v>22</v>
      </c>
      <c r="E929" t="s">
        <v>44</v>
      </c>
      <c r="F929">
        <v>4</v>
      </c>
      <c r="G929">
        <v>12.66</v>
      </c>
      <c r="H929">
        <v>50.64</v>
      </c>
      <c r="I929">
        <v>0</v>
      </c>
      <c r="J929">
        <v>50.64</v>
      </c>
      <c r="K929">
        <v>319</v>
      </c>
    </row>
    <row r="930" spans="1:11" x14ac:dyDescent="0.3">
      <c r="A930">
        <v>7256</v>
      </c>
      <c r="B930" t="s">
        <v>14</v>
      </c>
      <c r="C930" s="1">
        <v>45535</v>
      </c>
      <c r="D930" t="s">
        <v>34</v>
      </c>
      <c r="E930" t="s">
        <v>39</v>
      </c>
      <c r="F930">
        <v>5</v>
      </c>
      <c r="G930">
        <v>26.01</v>
      </c>
      <c r="H930">
        <v>130.05000000000001</v>
      </c>
      <c r="I930">
        <v>26.01</v>
      </c>
      <c r="J930">
        <v>104.04</v>
      </c>
      <c r="K930">
        <v>295</v>
      </c>
    </row>
    <row r="931" spans="1:11" x14ac:dyDescent="0.3">
      <c r="A931">
        <v>9641</v>
      </c>
      <c r="B931" t="s">
        <v>26</v>
      </c>
      <c r="C931" s="1">
        <v>45470</v>
      </c>
      <c r="D931" t="s">
        <v>35</v>
      </c>
      <c r="E931" t="s">
        <v>18</v>
      </c>
      <c r="F931">
        <v>5</v>
      </c>
      <c r="G931">
        <v>25.72</v>
      </c>
      <c r="H931">
        <v>128.6</v>
      </c>
      <c r="I931">
        <v>3.91</v>
      </c>
      <c r="J931">
        <v>124.69</v>
      </c>
      <c r="K931">
        <v>464</v>
      </c>
    </row>
    <row r="932" spans="1:11" x14ac:dyDescent="0.3">
      <c r="A932">
        <v>3655</v>
      </c>
      <c r="B932" t="s">
        <v>31</v>
      </c>
      <c r="C932" s="1">
        <v>45779</v>
      </c>
      <c r="D932" t="s">
        <v>38</v>
      </c>
      <c r="E932" t="s">
        <v>44</v>
      </c>
      <c r="F932">
        <v>3</v>
      </c>
      <c r="G932">
        <v>14.4</v>
      </c>
      <c r="H932">
        <v>43.2</v>
      </c>
      <c r="I932">
        <v>0</v>
      </c>
      <c r="J932">
        <v>43.2</v>
      </c>
      <c r="K932">
        <v>123</v>
      </c>
    </row>
    <row r="933" spans="1:11" x14ac:dyDescent="0.3">
      <c r="A933">
        <v>4271</v>
      </c>
      <c r="B933" t="s">
        <v>30</v>
      </c>
      <c r="C933" s="1">
        <v>45767</v>
      </c>
      <c r="D933" t="s">
        <v>20</v>
      </c>
      <c r="E933" t="s">
        <v>16</v>
      </c>
      <c r="F933">
        <v>3</v>
      </c>
      <c r="G933">
        <v>25.94</v>
      </c>
      <c r="H933">
        <v>77.819999999999993</v>
      </c>
      <c r="I933">
        <v>0</v>
      </c>
      <c r="J933">
        <v>77.819999999999993</v>
      </c>
      <c r="K933">
        <v>466</v>
      </c>
    </row>
    <row r="934" spans="1:11" x14ac:dyDescent="0.3">
      <c r="A934">
        <v>3267</v>
      </c>
      <c r="B934" t="s">
        <v>42</v>
      </c>
      <c r="C934" s="1">
        <v>45823</v>
      </c>
      <c r="D934" t="s">
        <v>20</v>
      </c>
      <c r="E934" t="s">
        <v>13</v>
      </c>
      <c r="F934">
        <v>3</v>
      </c>
      <c r="G934">
        <v>19.73</v>
      </c>
      <c r="H934">
        <v>59.19</v>
      </c>
      <c r="I934">
        <v>5.92</v>
      </c>
      <c r="J934">
        <v>53.27</v>
      </c>
      <c r="K934">
        <v>131</v>
      </c>
    </row>
    <row r="935" spans="1:11" x14ac:dyDescent="0.3">
      <c r="A935">
        <v>5096</v>
      </c>
      <c r="B935" t="s">
        <v>42</v>
      </c>
      <c r="C935" s="1">
        <v>45185</v>
      </c>
      <c r="D935" t="s">
        <v>15</v>
      </c>
      <c r="E935" t="s">
        <v>41</v>
      </c>
      <c r="F935">
        <v>2</v>
      </c>
      <c r="G935">
        <v>1.79</v>
      </c>
      <c r="H935">
        <v>3.58</v>
      </c>
      <c r="I935">
        <v>0.36</v>
      </c>
      <c r="J935">
        <v>3.22</v>
      </c>
      <c r="K935">
        <v>408</v>
      </c>
    </row>
    <row r="936" spans="1:11" x14ac:dyDescent="0.3">
      <c r="A936">
        <v>8873</v>
      </c>
      <c r="B936" t="s">
        <v>26</v>
      </c>
      <c r="C936" s="1">
        <v>45823</v>
      </c>
      <c r="D936" t="s">
        <v>38</v>
      </c>
      <c r="E936" t="s">
        <v>16</v>
      </c>
      <c r="F936">
        <v>4</v>
      </c>
      <c r="G936">
        <v>19.75</v>
      </c>
      <c r="H936">
        <v>79</v>
      </c>
      <c r="I936">
        <v>15.8</v>
      </c>
      <c r="J936">
        <v>63.2</v>
      </c>
      <c r="K936">
        <v>18</v>
      </c>
    </row>
    <row r="937" spans="1:11" x14ac:dyDescent="0.3">
      <c r="A937">
        <v>7081</v>
      </c>
      <c r="B937" t="s">
        <v>30</v>
      </c>
      <c r="C937" s="1">
        <v>45575</v>
      </c>
      <c r="D937" t="s">
        <v>34</v>
      </c>
      <c r="E937" t="s">
        <v>39</v>
      </c>
      <c r="F937">
        <v>3</v>
      </c>
      <c r="G937">
        <v>23.89</v>
      </c>
      <c r="H937">
        <v>71.67</v>
      </c>
      <c r="I937">
        <v>0</v>
      </c>
      <c r="J937">
        <v>71.67</v>
      </c>
      <c r="K937">
        <v>142</v>
      </c>
    </row>
    <row r="938" spans="1:11" x14ac:dyDescent="0.3">
      <c r="A938">
        <v>2680</v>
      </c>
      <c r="B938" t="s">
        <v>31</v>
      </c>
      <c r="C938" s="1">
        <v>45697</v>
      </c>
      <c r="D938" t="s">
        <v>45</v>
      </c>
      <c r="E938" t="s">
        <v>39</v>
      </c>
      <c r="F938">
        <v>1</v>
      </c>
      <c r="G938">
        <v>25.92</v>
      </c>
      <c r="H938">
        <v>25.92</v>
      </c>
      <c r="I938">
        <v>2.19</v>
      </c>
      <c r="J938">
        <v>23.73</v>
      </c>
      <c r="K938">
        <v>42</v>
      </c>
    </row>
    <row r="939" spans="1:11" x14ac:dyDescent="0.3">
      <c r="A939">
        <v>9452</v>
      </c>
      <c r="B939" t="s">
        <v>11</v>
      </c>
      <c r="C939" s="1">
        <v>45806</v>
      </c>
      <c r="D939" t="s">
        <v>20</v>
      </c>
      <c r="E939" t="s">
        <v>23</v>
      </c>
      <c r="F939">
        <v>1</v>
      </c>
      <c r="G939">
        <v>12.5</v>
      </c>
      <c r="H939">
        <v>12.5</v>
      </c>
      <c r="I939">
        <v>2.5</v>
      </c>
      <c r="J939">
        <v>10</v>
      </c>
      <c r="K939">
        <v>429</v>
      </c>
    </row>
    <row r="940" spans="1:11" x14ac:dyDescent="0.3">
      <c r="A940">
        <v>3042</v>
      </c>
      <c r="B940" t="s">
        <v>11</v>
      </c>
      <c r="C940" s="1">
        <v>45366</v>
      </c>
      <c r="D940" t="s">
        <v>28</v>
      </c>
      <c r="E940" t="s">
        <v>46</v>
      </c>
      <c r="F940">
        <v>1</v>
      </c>
      <c r="G940">
        <v>16.13</v>
      </c>
      <c r="H940">
        <v>16.13</v>
      </c>
      <c r="I940">
        <v>1.61</v>
      </c>
      <c r="J940">
        <v>14.52</v>
      </c>
      <c r="K940">
        <v>424</v>
      </c>
    </row>
    <row r="941" spans="1:11" x14ac:dyDescent="0.3">
      <c r="A941">
        <v>2374</v>
      </c>
      <c r="B941" t="s">
        <v>11</v>
      </c>
      <c r="C941" s="1">
        <v>45737</v>
      </c>
      <c r="D941" t="s">
        <v>17</v>
      </c>
      <c r="E941" t="s">
        <v>48</v>
      </c>
      <c r="F941">
        <v>3</v>
      </c>
      <c r="G941">
        <v>10.54</v>
      </c>
      <c r="H941">
        <v>31.62</v>
      </c>
      <c r="I941">
        <v>0</v>
      </c>
      <c r="J941">
        <v>31.62</v>
      </c>
      <c r="K941">
        <v>299</v>
      </c>
    </row>
    <row r="942" spans="1:11" x14ac:dyDescent="0.3">
      <c r="A942">
        <v>3626</v>
      </c>
      <c r="B942" t="s">
        <v>42</v>
      </c>
      <c r="C942" s="1">
        <v>45356</v>
      </c>
      <c r="D942" t="s">
        <v>20</v>
      </c>
      <c r="E942" t="s">
        <v>44</v>
      </c>
      <c r="F942">
        <v>2</v>
      </c>
      <c r="G942">
        <v>4.09</v>
      </c>
      <c r="H942">
        <v>8.18</v>
      </c>
      <c r="I942">
        <v>0.82</v>
      </c>
      <c r="J942">
        <v>7.36</v>
      </c>
      <c r="K942">
        <v>109</v>
      </c>
    </row>
    <row r="943" spans="1:11" x14ac:dyDescent="0.3">
      <c r="A943">
        <v>8361</v>
      </c>
      <c r="B943" t="s">
        <v>24</v>
      </c>
      <c r="C943" s="1">
        <v>45848</v>
      </c>
      <c r="D943" t="s">
        <v>35</v>
      </c>
      <c r="E943" t="s">
        <v>40</v>
      </c>
      <c r="F943">
        <v>4</v>
      </c>
      <c r="G943">
        <v>16.46</v>
      </c>
      <c r="H943">
        <v>65.84</v>
      </c>
      <c r="I943">
        <v>9.8800000000000008</v>
      </c>
      <c r="J943">
        <v>55.96</v>
      </c>
      <c r="K943">
        <v>358</v>
      </c>
    </row>
    <row r="944" spans="1:11" x14ac:dyDescent="0.3">
      <c r="A944">
        <v>9410</v>
      </c>
      <c r="B944" t="s">
        <v>14</v>
      </c>
      <c r="C944" s="1">
        <v>45259</v>
      </c>
      <c r="D944" t="s">
        <v>20</v>
      </c>
      <c r="E944" t="s">
        <v>47</v>
      </c>
      <c r="F944">
        <v>2</v>
      </c>
      <c r="G944">
        <v>28.93</v>
      </c>
      <c r="H944">
        <v>57.86</v>
      </c>
      <c r="I944">
        <v>8.68</v>
      </c>
      <c r="J944">
        <v>49.18</v>
      </c>
      <c r="K944">
        <v>450</v>
      </c>
    </row>
    <row r="945" spans="1:11" x14ac:dyDescent="0.3">
      <c r="A945">
        <v>8167</v>
      </c>
      <c r="B945" t="s">
        <v>26</v>
      </c>
      <c r="C945" s="1">
        <v>45216</v>
      </c>
      <c r="D945" t="s">
        <v>22</v>
      </c>
      <c r="E945" t="s">
        <v>37</v>
      </c>
      <c r="F945">
        <v>1</v>
      </c>
      <c r="G945">
        <v>19.71</v>
      </c>
      <c r="H945">
        <v>19.71</v>
      </c>
      <c r="I945">
        <v>0</v>
      </c>
      <c r="J945">
        <v>19.71</v>
      </c>
      <c r="K945">
        <v>463</v>
      </c>
    </row>
    <row r="946" spans="1:11" x14ac:dyDescent="0.3">
      <c r="A946">
        <v>4637</v>
      </c>
      <c r="B946" t="s">
        <v>31</v>
      </c>
      <c r="C946" s="1">
        <v>45779</v>
      </c>
      <c r="D946" t="s">
        <v>27</v>
      </c>
      <c r="E946" t="s">
        <v>25</v>
      </c>
      <c r="F946">
        <v>3</v>
      </c>
      <c r="G946">
        <v>17.02</v>
      </c>
      <c r="H946">
        <v>51.06</v>
      </c>
      <c r="I946">
        <v>0</v>
      </c>
      <c r="J946">
        <v>51.06</v>
      </c>
      <c r="K946">
        <v>158</v>
      </c>
    </row>
    <row r="947" spans="1:11" x14ac:dyDescent="0.3">
      <c r="A947">
        <v>8391</v>
      </c>
      <c r="B947" t="s">
        <v>11</v>
      </c>
      <c r="C947" s="1">
        <v>45832</v>
      </c>
      <c r="D947" t="s">
        <v>38</v>
      </c>
      <c r="E947" t="s">
        <v>25</v>
      </c>
      <c r="F947">
        <v>4</v>
      </c>
      <c r="G947">
        <v>12.26</v>
      </c>
      <c r="H947">
        <v>49.04</v>
      </c>
      <c r="I947">
        <v>7.36</v>
      </c>
      <c r="J947">
        <v>41.68</v>
      </c>
      <c r="K947">
        <v>465</v>
      </c>
    </row>
    <row r="948" spans="1:11" x14ac:dyDescent="0.3">
      <c r="A948">
        <v>6727</v>
      </c>
      <c r="B948" t="s">
        <v>30</v>
      </c>
      <c r="C948" s="1">
        <v>45867</v>
      </c>
      <c r="D948" t="s">
        <v>15</v>
      </c>
      <c r="E948" t="s">
        <v>25</v>
      </c>
      <c r="F948">
        <v>3</v>
      </c>
      <c r="G948">
        <v>7.09</v>
      </c>
      <c r="H948">
        <v>21.27</v>
      </c>
      <c r="I948">
        <v>2.13</v>
      </c>
      <c r="J948">
        <v>19.14</v>
      </c>
      <c r="K948">
        <v>455</v>
      </c>
    </row>
    <row r="949" spans="1:11" x14ac:dyDescent="0.3">
      <c r="A949">
        <v>1436</v>
      </c>
      <c r="B949" t="s">
        <v>36</v>
      </c>
      <c r="C949" s="1">
        <v>45467</v>
      </c>
      <c r="D949" t="s">
        <v>27</v>
      </c>
      <c r="E949" t="s">
        <v>16</v>
      </c>
      <c r="F949">
        <v>1</v>
      </c>
      <c r="G949">
        <v>8.94</v>
      </c>
      <c r="H949">
        <v>8.94</v>
      </c>
      <c r="I949">
        <v>0.89</v>
      </c>
      <c r="J949">
        <v>8.0500000000000007</v>
      </c>
      <c r="K949">
        <v>41</v>
      </c>
    </row>
    <row r="950" spans="1:11" x14ac:dyDescent="0.3">
      <c r="A950">
        <v>1872</v>
      </c>
      <c r="B950" t="s">
        <v>24</v>
      </c>
      <c r="C950" s="1">
        <v>45452</v>
      </c>
      <c r="D950" t="s">
        <v>22</v>
      </c>
      <c r="E950" t="s">
        <v>16</v>
      </c>
      <c r="F950">
        <v>1</v>
      </c>
      <c r="G950">
        <v>24.9</v>
      </c>
      <c r="H950">
        <v>24.9</v>
      </c>
      <c r="I950">
        <v>1.27</v>
      </c>
      <c r="J950">
        <v>23.63</v>
      </c>
      <c r="K950">
        <v>357</v>
      </c>
    </row>
    <row r="951" spans="1:11" x14ac:dyDescent="0.3">
      <c r="A951">
        <v>9224</v>
      </c>
      <c r="B951" t="s">
        <v>24</v>
      </c>
      <c r="C951" s="1">
        <v>45435</v>
      </c>
      <c r="D951" t="s">
        <v>28</v>
      </c>
      <c r="E951" t="s">
        <v>18</v>
      </c>
      <c r="F951">
        <v>3</v>
      </c>
      <c r="G951">
        <v>14.13</v>
      </c>
      <c r="H951">
        <v>42.39</v>
      </c>
      <c r="I951">
        <v>0</v>
      </c>
      <c r="J951">
        <v>42.39</v>
      </c>
      <c r="K951">
        <v>14</v>
      </c>
    </row>
    <row r="952" spans="1:11" x14ac:dyDescent="0.3">
      <c r="A952">
        <v>4862</v>
      </c>
      <c r="B952" t="s">
        <v>19</v>
      </c>
      <c r="C952" s="1">
        <v>45444</v>
      </c>
      <c r="D952" t="s">
        <v>27</v>
      </c>
      <c r="E952" t="s">
        <v>33</v>
      </c>
      <c r="F952">
        <v>2</v>
      </c>
      <c r="G952">
        <v>1.08</v>
      </c>
      <c r="H952">
        <v>2.16</v>
      </c>
      <c r="I952">
        <v>0.32</v>
      </c>
      <c r="J952">
        <v>1.84</v>
      </c>
      <c r="K952">
        <v>102</v>
      </c>
    </row>
    <row r="953" spans="1:11" x14ac:dyDescent="0.3">
      <c r="A953">
        <v>2337</v>
      </c>
      <c r="B953" t="s">
        <v>11</v>
      </c>
      <c r="C953" s="1">
        <v>45436</v>
      </c>
      <c r="D953" t="s">
        <v>15</v>
      </c>
      <c r="E953" t="s">
        <v>29</v>
      </c>
      <c r="F953">
        <v>2</v>
      </c>
      <c r="G953">
        <v>15.96</v>
      </c>
      <c r="H953">
        <v>31.92</v>
      </c>
      <c r="I953">
        <v>3.74</v>
      </c>
      <c r="J953">
        <v>28.18</v>
      </c>
      <c r="K953">
        <v>496</v>
      </c>
    </row>
    <row r="954" spans="1:11" x14ac:dyDescent="0.3">
      <c r="A954">
        <v>4678</v>
      </c>
      <c r="B954" t="s">
        <v>36</v>
      </c>
      <c r="C954" s="1">
        <v>45166</v>
      </c>
      <c r="D954" t="s">
        <v>45</v>
      </c>
      <c r="E954" t="s">
        <v>47</v>
      </c>
      <c r="F954">
        <v>2</v>
      </c>
      <c r="G954">
        <v>8.5500000000000007</v>
      </c>
      <c r="H954">
        <v>17.100000000000001</v>
      </c>
      <c r="I954">
        <v>2.56</v>
      </c>
      <c r="J954">
        <v>14.54</v>
      </c>
      <c r="K954">
        <v>351</v>
      </c>
    </row>
    <row r="955" spans="1:11" x14ac:dyDescent="0.3">
      <c r="A955">
        <v>6221</v>
      </c>
      <c r="B955" t="s">
        <v>42</v>
      </c>
      <c r="C955" s="1">
        <v>45867</v>
      </c>
      <c r="D955" t="s">
        <v>15</v>
      </c>
      <c r="E955" t="s">
        <v>16</v>
      </c>
      <c r="F955">
        <v>3</v>
      </c>
      <c r="G955">
        <v>6.26</v>
      </c>
      <c r="H955">
        <v>18.78</v>
      </c>
      <c r="I955">
        <v>1.9</v>
      </c>
      <c r="J955">
        <v>16.88</v>
      </c>
      <c r="K955">
        <v>448</v>
      </c>
    </row>
    <row r="956" spans="1:11" x14ac:dyDescent="0.3">
      <c r="A956">
        <v>2623</v>
      </c>
      <c r="B956" t="s">
        <v>31</v>
      </c>
      <c r="C956" s="1">
        <v>45796</v>
      </c>
      <c r="D956" t="s">
        <v>38</v>
      </c>
      <c r="E956" t="s">
        <v>25</v>
      </c>
      <c r="F956">
        <v>1</v>
      </c>
      <c r="G956">
        <v>29.24</v>
      </c>
      <c r="H956">
        <v>29.24</v>
      </c>
      <c r="I956">
        <v>0</v>
      </c>
      <c r="J956">
        <v>29.24</v>
      </c>
      <c r="K956">
        <v>101</v>
      </c>
    </row>
    <row r="957" spans="1:11" x14ac:dyDescent="0.3">
      <c r="A957">
        <v>6493</v>
      </c>
      <c r="B957" t="s">
        <v>19</v>
      </c>
      <c r="C957" s="1">
        <v>45759</v>
      </c>
      <c r="D957" t="s">
        <v>12</v>
      </c>
      <c r="E957" t="s">
        <v>32</v>
      </c>
      <c r="F957">
        <v>5</v>
      </c>
      <c r="G957">
        <v>13.43</v>
      </c>
      <c r="H957">
        <v>67.150000000000006</v>
      </c>
      <c r="I957">
        <v>4.83</v>
      </c>
      <c r="J957">
        <v>62.32</v>
      </c>
      <c r="K957">
        <v>133</v>
      </c>
    </row>
    <row r="958" spans="1:11" x14ac:dyDescent="0.3">
      <c r="A958">
        <v>3392</v>
      </c>
      <c r="B958" t="s">
        <v>19</v>
      </c>
      <c r="C958" s="1">
        <v>45251</v>
      </c>
      <c r="D958" t="s">
        <v>28</v>
      </c>
      <c r="E958" t="s">
        <v>48</v>
      </c>
      <c r="F958">
        <v>1</v>
      </c>
      <c r="G958">
        <v>21.83</v>
      </c>
      <c r="H958">
        <v>21.83</v>
      </c>
      <c r="I958">
        <v>0</v>
      </c>
      <c r="J958">
        <v>21.83</v>
      </c>
      <c r="K958">
        <v>222</v>
      </c>
    </row>
    <row r="959" spans="1:11" x14ac:dyDescent="0.3">
      <c r="A959">
        <v>1627</v>
      </c>
      <c r="B959" t="s">
        <v>26</v>
      </c>
      <c r="C959" s="1">
        <v>45367</v>
      </c>
      <c r="D959" t="s">
        <v>15</v>
      </c>
      <c r="E959" t="s">
        <v>25</v>
      </c>
      <c r="F959">
        <v>2</v>
      </c>
      <c r="G959">
        <v>6.52</v>
      </c>
      <c r="H959">
        <v>13.04</v>
      </c>
      <c r="I959">
        <v>1.96</v>
      </c>
      <c r="J959">
        <v>11.08</v>
      </c>
      <c r="K959">
        <v>441</v>
      </c>
    </row>
    <row r="960" spans="1:11" x14ac:dyDescent="0.3">
      <c r="A960">
        <v>8740</v>
      </c>
      <c r="B960" t="s">
        <v>26</v>
      </c>
      <c r="C960" s="1">
        <v>45685</v>
      </c>
      <c r="D960" t="s">
        <v>20</v>
      </c>
      <c r="E960" t="s">
        <v>41</v>
      </c>
      <c r="F960">
        <v>4</v>
      </c>
      <c r="G960">
        <v>25.82</v>
      </c>
      <c r="H960">
        <v>103.28</v>
      </c>
      <c r="I960">
        <v>15.49</v>
      </c>
      <c r="J960">
        <v>87.79</v>
      </c>
      <c r="K960">
        <v>307</v>
      </c>
    </row>
    <row r="961" spans="1:11" x14ac:dyDescent="0.3">
      <c r="A961">
        <v>3273</v>
      </c>
      <c r="B961" t="s">
        <v>42</v>
      </c>
      <c r="C961" s="1">
        <v>45734</v>
      </c>
      <c r="D961" t="s">
        <v>20</v>
      </c>
      <c r="E961" t="s">
        <v>29</v>
      </c>
      <c r="F961">
        <v>4</v>
      </c>
      <c r="G961">
        <v>23.97</v>
      </c>
      <c r="H961">
        <v>95.88</v>
      </c>
      <c r="I961">
        <v>14.38</v>
      </c>
      <c r="J961">
        <v>81.5</v>
      </c>
      <c r="K961">
        <v>14</v>
      </c>
    </row>
    <row r="962" spans="1:11" x14ac:dyDescent="0.3">
      <c r="A962">
        <v>8685</v>
      </c>
      <c r="B962" t="s">
        <v>42</v>
      </c>
      <c r="C962" s="1">
        <v>45493</v>
      </c>
      <c r="D962" t="s">
        <v>28</v>
      </c>
      <c r="E962" t="s">
        <v>33</v>
      </c>
      <c r="F962">
        <v>2</v>
      </c>
      <c r="G962">
        <v>11.71</v>
      </c>
      <c r="H962">
        <v>23.42</v>
      </c>
      <c r="I962">
        <v>1.04</v>
      </c>
      <c r="J962">
        <v>22.38</v>
      </c>
      <c r="K962">
        <v>350</v>
      </c>
    </row>
    <row r="963" spans="1:11" x14ac:dyDescent="0.3">
      <c r="A963">
        <v>1086</v>
      </c>
      <c r="B963" t="s">
        <v>19</v>
      </c>
      <c r="C963" s="1">
        <v>45848</v>
      </c>
      <c r="D963" t="s">
        <v>22</v>
      </c>
      <c r="E963" t="s">
        <v>32</v>
      </c>
      <c r="F963">
        <v>2</v>
      </c>
      <c r="G963">
        <v>21.68</v>
      </c>
      <c r="H963">
        <v>43.36</v>
      </c>
      <c r="I963">
        <v>0</v>
      </c>
      <c r="J963">
        <v>43.36</v>
      </c>
      <c r="K963">
        <v>362</v>
      </c>
    </row>
    <row r="964" spans="1:11" x14ac:dyDescent="0.3">
      <c r="A964">
        <v>2298</v>
      </c>
      <c r="B964" t="s">
        <v>30</v>
      </c>
      <c r="C964" s="1">
        <v>45159</v>
      </c>
      <c r="D964" t="s">
        <v>15</v>
      </c>
      <c r="E964" t="s">
        <v>48</v>
      </c>
      <c r="F964">
        <v>5</v>
      </c>
      <c r="G964">
        <v>2.69</v>
      </c>
      <c r="H964">
        <v>13.45</v>
      </c>
      <c r="I964">
        <v>1.34</v>
      </c>
      <c r="J964">
        <v>12.11</v>
      </c>
      <c r="K964">
        <v>170</v>
      </c>
    </row>
    <row r="965" spans="1:11" x14ac:dyDescent="0.3">
      <c r="A965">
        <v>5193</v>
      </c>
      <c r="B965" t="s">
        <v>36</v>
      </c>
      <c r="C965" s="1">
        <v>45312</v>
      </c>
      <c r="D965" t="s">
        <v>28</v>
      </c>
      <c r="E965" t="s">
        <v>40</v>
      </c>
      <c r="F965">
        <v>1</v>
      </c>
      <c r="G965">
        <v>8.35</v>
      </c>
      <c r="H965">
        <v>8.35</v>
      </c>
      <c r="I965">
        <v>1.25</v>
      </c>
      <c r="J965">
        <v>7.1</v>
      </c>
      <c r="K965">
        <v>317</v>
      </c>
    </row>
    <row r="966" spans="1:11" x14ac:dyDescent="0.3">
      <c r="A966">
        <v>3449</v>
      </c>
      <c r="B966" t="s">
        <v>24</v>
      </c>
      <c r="C966" s="1">
        <v>45571</v>
      </c>
      <c r="D966" t="s">
        <v>27</v>
      </c>
      <c r="E966" t="s">
        <v>23</v>
      </c>
      <c r="F966">
        <v>2</v>
      </c>
      <c r="G966">
        <v>29.06</v>
      </c>
      <c r="H966">
        <v>58.12</v>
      </c>
      <c r="I966">
        <v>1.72</v>
      </c>
      <c r="J966">
        <v>56.4</v>
      </c>
      <c r="K966">
        <v>286</v>
      </c>
    </row>
    <row r="967" spans="1:11" x14ac:dyDescent="0.3">
      <c r="A967">
        <v>9647</v>
      </c>
      <c r="B967" t="s">
        <v>19</v>
      </c>
      <c r="C967" s="1">
        <v>45473</v>
      </c>
      <c r="D967" t="s">
        <v>38</v>
      </c>
      <c r="E967" t="s">
        <v>47</v>
      </c>
      <c r="F967">
        <v>3</v>
      </c>
      <c r="G967">
        <v>26.45</v>
      </c>
      <c r="H967">
        <v>79.349999999999994</v>
      </c>
      <c r="I967">
        <v>11.9</v>
      </c>
      <c r="J967">
        <v>67.45</v>
      </c>
      <c r="K967">
        <v>67</v>
      </c>
    </row>
    <row r="968" spans="1:11" x14ac:dyDescent="0.3">
      <c r="A968">
        <v>2821</v>
      </c>
      <c r="B968" t="s">
        <v>14</v>
      </c>
      <c r="C968" s="1">
        <v>45747</v>
      </c>
      <c r="D968" t="s">
        <v>20</v>
      </c>
      <c r="E968" t="s">
        <v>41</v>
      </c>
      <c r="F968">
        <v>3</v>
      </c>
      <c r="G968">
        <v>4.38</v>
      </c>
      <c r="H968">
        <v>13.14</v>
      </c>
      <c r="I968">
        <v>1.31</v>
      </c>
      <c r="J968">
        <v>11.83</v>
      </c>
      <c r="K968">
        <v>22</v>
      </c>
    </row>
    <row r="969" spans="1:11" x14ac:dyDescent="0.3">
      <c r="A969">
        <v>5720</v>
      </c>
      <c r="B969" t="s">
        <v>30</v>
      </c>
      <c r="C969" s="1">
        <v>45329</v>
      </c>
      <c r="D969" t="s">
        <v>22</v>
      </c>
      <c r="E969" t="s">
        <v>16</v>
      </c>
      <c r="F969">
        <v>3</v>
      </c>
      <c r="G969">
        <v>27.17</v>
      </c>
      <c r="H969">
        <v>81.510000000000005</v>
      </c>
      <c r="I969">
        <v>2.25</v>
      </c>
      <c r="J969">
        <v>79.260000000000005</v>
      </c>
      <c r="K969">
        <v>134</v>
      </c>
    </row>
    <row r="970" spans="1:11" x14ac:dyDescent="0.3">
      <c r="A970">
        <v>5934</v>
      </c>
      <c r="B970" t="s">
        <v>19</v>
      </c>
      <c r="C970" s="1">
        <v>45239</v>
      </c>
      <c r="D970" t="s">
        <v>22</v>
      </c>
      <c r="E970" t="s">
        <v>47</v>
      </c>
      <c r="F970">
        <v>2</v>
      </c>
      <c r="G970">
        <v>17.100000000000001</v>
      </c>
      <c r="H970">
        <v>34.200000000000003</v>
      </c>
      <c r="I970">
        <v>1.76</v>
      </c>
      <c r="J970">
        <v>32.44</v>
      </c>
      <c r="K970">
        <v>472</v>
      </c>
    </row>
    <row r="971" spans="1:11" x14ac:dyDescent="0.3">
      <c r="A971">
        <v>1782</v>
      </c>
      <c r="B971" t="s">
        <v>31</v>
      </c>
      <c r="C971" s="1">
        <v>45330</v>
      </c>
      <c r="D971" t="s">
        <v>17</v>
      </c>
      <c r="E971" t="s">
        <v>29</v>
      </c>
      <c r="F971">
        <v>1</v>
      </c>
      <c r="G971">
        <v>14.63</v>
      </c>
      <c r="H971">
        <v>14.63</v>
      </c>
      <c r="I971">
        <v>1.46</v>
      </c>
      <c r="J971">
        <v>13.17</v>
      </c>
      <c r="K971">
        <v>83</v>
      </c>
    </row>
    <row r="972" spans="1:11" x14ac:dyDescent="0.3">
      <c r="A972">
        <v>7878</v>
      </c>
      <c r="B972" t="s">
        <v>11</v>
      </c>
      <c r="C972" s="1">
        <v>45641</v>
      </c>
      <c r="D972" t="s">
        <v>45</v>
      </c>
      <c r="E972" t="s">
        <v>40</v>
      </c>
      <c r="F972">
        <v>4</v>
      </c>
      <c r="G972">
        <v>11.33</v>
      </c>
      <c r="H972">
        <v>45.32</v>
      </c>
      <c r="I972">
        <v>4.53</v>
      </c>
      <c r="J972">
        <v>40.79</v>
      </c>
      <c r="K972">
        <v>363</v>
      </c>
    </row>
    <row r="973" spans="1:11" x14ac:dyDescent="0.3">
      <c r="A973">
        <v>8489</v>
      </c>
      <c r="B973" t="s">
        <v>26</v>
      </c>
      <c r="C973" s="1">
        <v>45193</v>
      </c>
      <c r="D973" t="s">
        <v>15</v>
      </c>
      <c r="E973" t="s">
        <v>41</v>
      </c>
      <c r="F973">
        <v>1</v>
      </c>
      <c r="G973">
        <v>11.13</v>
      </c>
      <c r="H973">
        <v>11.13</v>
      </c>
      <c r="I973">
        <v>2.23</v>
      </c>
      <c r="J973">
        <v>8.9</v>
      </c>
      <c r="K973">
        <v>104</v>
      </c>
    </row>
    <row r="974" spans="1:11" x14ac:dyDescent="0.3">
      <c r="A974">
        <v>2816</v>
      </c>
      <c r="B974" t="s">
        <v>19</v>
      </c>
      <c r="C974" s="1">
        <v>45794</v>
      </c>
      <c r="D974" t="s">
        <v>38</v>
      </c>
      <c r="E974" t="s">
        <v>13</v>
      </c>
      <c r="F974">
        <v>5</v>
      </c>
      <c r="G974">
        <v>26.83</v>
      </c>
      <c r="H974">
        <v>134.15</v>
      </c>
      <c r="I974">
        <v>4.99</v>
      </c>
      <c r="J974">
        <v>129.16</v>
      </c>
      <c r="K974">
        <v>299</v>
      </c>
    </row>
    <row r="975" spans="1:11" x14ac:dyDescent="0.3">
      <c r="A975">
        <v>9189</v>
      </c>
      <c r="B975" t="s">
        <v>31</v>
      </c>
      <c r="C975" s="1">
        <v>45608</v>
      </c>
      <c r="D975" t="s">
        <v>38</v>
      </c>
      <c r="E975" t="s">
        <v>29</v>
      </c>
      <c r="F975">
        <v>4</v>
      </c>
      <c r="G975">
        <v>27.68</v>
      </c>
      <c r="H975">
        <v>110.72</v>
      </c>
      <c r="I975">
        <v>0</v>
      </c>
      <c r="J975">
        <v>110.72</v>
      </c>
      <c r="K975">
        <v>126</v>
      </c>
    </row>
    <row r="976" spans="1:11" x14ac:dyDescent="0.3">
      <c r="A976">
        <v>9782</v>
      </c>
      <c r="B976" t="s">
        <v>11</v>
      </c>
      <c r="C976" s="1">
        <v>45157</v>
      </c>
      <c r="D976" t="s">
        <v>22</v>
      </c>
      <c r="E976" t="s">
        <v>39</v>
      </c>
      <c r="F976">
        <v>3</v>
      </c>
      <c r="G976">
        <v>20.75</v>
      </c>
      <c r="H976">
        <v>62.25</v>
      </c>
      <c r="I976">
        <v>6.23</v>
      </c>
      <c r="J976">
        <v>56.02</v>
      </c>
      <c r="K976">
        <v>348</v>
      </c>
    </row>
    <row r="977" spans="1:11" x14ac:dyDescent="0.3">
      <c r="A977">
        <v>9443</v>
      </c>
      <c r="B977" t="s">
        <v>36</v>
      </c>
      <c r="C977" s="1">
        <v>45591</v>
      </c>
      <c r="D977" t="s">
        <v>28</v>
      </c>
      <c r="E977" t="s">
        <v>48</v>
      </c>
      <c r="F977">
        <v>3</v>
      </c>
      <c r="G977">
        <v>5.45</v>
      </c>
      <c r="H977">
        <v>16.350000000000001</v>
      </c>
      <c r="I977">
        <v>0</v>
      </c>
      <c r="J977">
        <v>16.350000000000001</v>
      </c>
      <c r="K977">
        <v>41</v>
      </c>
    </row>
    <row r="978" spans="1:11" x14ac:dyDescent="0.3">
      <c r="A978">
        <v>4963</v>
      </c>
      <c r="B978" t="s">
        <v>26</v>
      </c>
      <c r="C978" s="1">
        <v>45703</v>
      </c>
      <c r="D978" t="s">
        <v>45</v>
      </c>
      <c r="E978" t="s">
        <v>13</v>
      </c>
      <c r="F978">
        <v>5</v>
      </c>
      <c r="G978">
        <v>20.07</v>
      </c>
      <c r="H978">
        <v>100.35</v>
      </c>
      <c r="I978">
        <v>0</v>
      </c>
      <c r="J978">
        <v>100.35</v>
      </c>
      <c r="K978">
        <v>168</v>
      </c>
    </row>
    <row r="979" spans="1:11" x14ac:dyDescent="0.3">
      <c r="A979">
        <v>3352</v>
      </c>
      <c r="B979" t="s">
        <v>26</v>
      </c>
      <c r="C979" s="1">
        <v>45371</v>
      </c>
      <c r="D979" t="s">
        <v>22</v>
      </c>
      <c r="E979" t="s">
        <v>41</v>
      </c>
      <c r="F979">
        <v>2</v>
      </c>
      <c r="G979">
        <v>26.03</v>
      </c>
      <c r="H979">
        <v>52.06</v>
      </c>
      <c r="I979">
        <v>7.81</v>
      </c>
      <c r="J979">
        <v>44.25</v>
      </c>
      <c r="K979">
        <v>410</v>
      </c>
    </row>
    <row r="980" spans="1:11" x14ac:dyDescent="0.3">
      <c r="A980">
        <v>8032</v>
      </c>
      <c r="B980" t="s">
        <v>31</v>
      </c>
      <c r="C980" s="1">
        <v>45146</v>
      </c>
      <c r="D980" t="s">
        <v>15</v>
      </c>
      <c r="E980" t="s">
        <v>18</v>
      </c>
      <c r="F980">
        <v>5</v>
      </c>
      <c r="G980">
        <v>12.05</v>
      </c>
      <c r="H980">
        <v>60.25</v>
      </c>
      <c r="I980">
        <v>12.05</v>
      </c>
      <c r="J980">
        <v>48.2</v>
      </c>
      <c r="K980">
        <v>204</v>
      </c>
    </row>
    <row r="981" spans="1:11" x14ac:dyDescent="0.3">
      <c r="A981">
        <v>6780</v>
      </c>
      <c r="B981" t="s">
        <v>42</v>
      </c>
      <c r="C981" s="1">
        <v>45331</v>
      </c>
      <c r="D981" t="s">
        <v>20</v>
      </c>
      <c r="E981" t="s">
        <v>43</v>
      </c>
      <c r="F981">
        <v>1</v>
      </c>
      <c r="G981">
        <v>25.71</v>
      </c>
      <c r="H981">
        <v>25.71</v>
      </c>
      <c r="I981">
        <v>2.57</v>
      </c>
      <c r="J981">
        <v>23.14</v>
      </c>
      <c r="K981">
        <v>83</v>
      </c>
    </row>
    <row r="982" spans="1:11" x14ac:dyDescent="0.3">
      <c r="A982">
        <v>7825</v>
      </c>
      <c r="B982" t="s">
        <v>30</v>
      </c>
      <c r="C982" s="1">
        <v>45290</v>
      </c>
      <c r="D982" t="s">
        <v>27</v>
      </c>
      <c r="E982" t="s">
        <v>41</v>
      </c>
      <c r="F982">
        <v>1</v>
      </c>
      <c r="G982">
        <v>9.65</v>
      </c>
      <c r="H982">
        <v>9.65</v>
      </c>
      <c r="I982">
        <v>0</v>
      </c>
      <c r="J982">
        <v>9.65</v>
      </c>
      <c r="K982">
        <v>410</v>
      </c>
    </row>
    <row r="983" spans="1:11" x14ac:dyDescent="0.3">
      <c r="A983">
        <v>2402</v>
      </c>
      <c r="B983" t="s">
        <v>30</v>
      </c>
      <c r="C983" s="1">
        <v>45551</v>
      </c>
      <c r="D983" t="s">
        <v>27</v>
      </c>
      <c r="E983" t="s">
        <v>41</v>
      </c>
      <c r="F983">
        <v>3</v>
      </c>
      <c r="G983">
        <v>20.29</v>
      </c>
      <c r="H983">
        <v>60.87</v>
      </c>
      <c r="I983">
        <v>1.8</v>
      </c>
      <c r="J983">
        <v>59.07</v>
      </c>
      <c r="K983">
        <v>426</v>
      </c>
    </row>
    <row r="984" spans="1:11" x14ac:dyDescent="0.3">
      <c r="A984">
        <v>6908</v>
      </c>
      <c r="B984" t="s">
        <v>26</v>
      </c>
      <c r="C984" s="1">
        <v>45197</v>
      </c>
      <c r="D984" t="s">
        <v>20</v>
      </c>
      <c r="E984" t="s">
        <v>47</v>
      </c>
      <c r="F984">
        <v>3</v>
      </c>
      <c r="G984">
        <v>17.32</v>
      </c>
      <c r="H984">
        <v>51.96</v>
      </c>
      <c r="I984">
        <v>5.2</v>
      </c>
      <c r="J984">
        <v>46.76</v>
      </c>
      <c r="K984">
        <v>216</v>
      </c>
    </row>
    <row r="985" spans="1:11" x14ac:dyDescent="0.3">
      <c r="A985">
        <v>9618</v>
      </c>
      <c r="B985" t="s">
        <v>36</v>
      </c>
      <c r="C985" s="1">
        <v>45567</v>
      </c>
      <c r="D985" t="s">
        <v>28</v>
      </c>
      <c r="E985" t="s">
        <v>29</v>
      </c>
      <c r="F985">
        <v>4</v>
      </c>
      <c r="G985">
        <v>19.28</v>
      </c>
      <c r="H985">
        <v>77.12</v>
      </c>
      <c r="I985">
        <v>2.37</v>
      </c>
      <c r="J985">
        <v>74.75</v>
      </c>
      <c r="K985">
        <v>47</v>
      </c>
    </row>
    <row r="986" spans="1:11" x14ac:dyDescent="0.3">
      <c r="A986">
        <v>9312</v>
      </c>
      <c r="B986" t="s">
        <v>26</v>
      </c>
      <c r="C986" s="1">
        <v>45755</v>
      </c>
      <c r="D986" t="s">
        <v>27</v>
      </c>
      <c r="E986" t="s">
        <v>25</v>
      </c>
      <c r="F986">
        <v>2</v>
      </c>
      <c r="G986">
        <v>27.98</v>
      </c>
      <c r="H986">
        <v>55.96</v>
      </c>
      <c r="I986">
        <v>8.39</v>
      </c>
      <c r="J986">
        <v>47.57</v>
      </c>
      <c r="K986">
        <v>269</v>
      </c>
    </row>
    <row r="987" spans="1:11" x14ac:dyDescent="0.3">
      <c r="A987">
        <v>9316</v>
      </c>
      <c r="B987" t="s">
        <v>26</v>
      </c>
      <c r="C987" s="1">
        <v>45575</v>
      </c>
      <c r="D987" t="s">
        <v>20</v>
      </c>
      <c r="E987" t="s">
        <v>43</v>
      </c>
      <c r="F987">
        <v>4</v>
      </c>
      <c r="G987">
        <v>9.6999999999999993</v>
      </c>
      <c r="H987">
        <v>38.799999999999997</v>
      </c>
      <c r="I987">
        <v>7.76</v>
      </c>
      <c r="J987">
        <v>31.04</v>
      </c>
      <c r="K987">
        <v>65</v>
      </c>
    </row>
    <row r="988" spans="1:11" x14ac:dyDescent="0.3">
      <c r="A988">
        <v>1333</v>
      </c>
      <c r="B988" t="s">
        <v>14</v>
      </c>
      <c r="C988" s="1">
        <v>45448</v>
      </c>
      <c r="D988" t="s">
        <v>20</v>
      </c>
      <c r="E988" t="s">
        <v>37</v>
      </c>
      <c r="F988">
        <v>5</v>
      </c>
      <c r="G988">
        <v>2.37</v>
      </c>
      <c r="H988">
        <v>11.85</v>
      </c>
      <c r="I988">
        <v>1.43</v>
      </c>
      <c r="J988">
        <v>10.42</v>
      </c>
      <c r="K988">
        <v>39</v>
      </c>
    </row>
    <row r="989" spans="1:11" x14ac:dyDescent="0.3">
      <c r="A989">
        <v>8702</v>
      </c>
      <c r="B989" t="s">
        <v>24</v>
      </c>
      <c r="C989" s="1">
        <v>45178</v>
      </c>
      <c r="D989" t="s">
        <v>20</v>
      </c>
      <c r="E989" t="s">
        <v>48</v>
      </c>
      <c r="F989">
        <v>4</v>
      </c>
      <c r="G989">
        <v>20.149999999999999</v>
      </c>
      <c r="H989">
        <v>80.599999999999994</v>
      </c>
      <c r="I989">
        <v>12.09</v>
      </c>
      <c r="J989">
        <v>68.510000000000005</v>
      </c>
      <c r="K989">
        <v>291</v>
      </c>
    </row>
    <row r="990" spans="1:11" x14ac:dyDescent="0.3">
      <c r="A990">
        <v>7338</v>
      </c>
      <c r="B990" t="s">
        <v>30</v>
      </c>
      <c r="C990" s="1">
        <v>45434</v>
      </c>
      <c r="D990" t="s">
        <v>28</v>
      </c>
      <c r="E990" t="s">
        <v>43</v>
      </c>
      <c r="F990">
        <v>5</v>
      </c>
      <c r="G990">
        <v>1.46</v>
      </c>
      <c r="H990">
        <v>7.3</v>
      </c>
      <c r="I990">
        <v>1.46</v>
      </c>
      <c r="J990">
        <v>5.84</v>
      </c>
      <c r="K990">
        <v>379</v>
      </c>
    </row>
    <row r="991" spans="1:11" x14ac:dyDescent="0.3">
      <c r="A991">
        <v>5155</v>
      </c>
      <c r="B991" t="s">
        <v>19</v>
      </c>
      <c r="C991" s="1">
        <v>45725</v>
      </c>
      <c r="D991" t="s">
        <v>20</v>
      </c>
      <c r="E991" t="s">
        <v>40</v>
      </c>
      <c r="F991">
        <v>1</v>
      </c>
      <c r="G991">
        <v>13.06</v>
      </c>
      <c r="H991">
        <v>13.06</v>
      </c>
      <c r="I991">
        <v>1.96</v>
      </c>
      <c r="J991">
        <v>11.1</v>
      </c>
      <c r="K991">
        <v>360</v>
      </c>
    </row>
    <row r="992" spans="1:11" x14ac:dyDescent="0.3">
      <c r="A992">
        <v>1266</v>
      </c>
      <c r="B992" t="s">
        <v>26</v>
      </c>
      <c r="C992" s="1">
        <v>45422</v>
      </c>
      <c r="D992" t="s">
        <v>27</v>
      </c>
      <c r="E992" t="s">
        <v>33</v>
      </c>
      <c r="F992">
        <v>5</v>
      </c>
      <c r="G992">
        <v>24.42</v>
      </c>
      <c r="H992">
        <v>122.1</v>
      </c>
      <c r="I992">
        <v>24.42</v>
      </c>
      <c r="J992">
        <v>97.68</v>
      </c>
      <c r="K992">
        <v>174</v>
      </c>
    </row>
    <row r="993" spans="1:11" x14ac:dyDescent="0.3">
      <c r="A993">
        <v>2106</v>
      </c>
      <c r="B993" t="s">
        <v>19</v>
      </c>
      <c r="C993" s="1">
        <v>45412</v>
      </c>
      <c r="D993" t="s">
        <v>15</v>
      </c>
      <c r="E993" t="s">
        <v>13</v>
      </c>
      <c r="F993">
        <v>1</v>
      </c>
      <c r="G993">
        <v>13.57</v>
      </c>
      <c r="H993">
        <v>13.57</v>
      </c>
      <c r="I993">
        <v>1.36</v>
      </c>
      <c r="J993">
        <v>12.21</v>
      </c>
      <c r="K993">
        <v>9</v>
      </c>
    </row>
    <row r="994" spans="1:11" x14ac:dyDescent="0.3">
      <c r="A994">
        <v>4950</v>
      </c>
      <c r="B994" t="s">
        <v>11</v>
      </c>
      <c r="C994" s="1">
        <v>45714</v>
      </c>
      <c r="D994" t="s">
        <v>12</v>
      </c>
      <c r="E994" t="s">
        <v>29</v>
      </c>
      <c r="F994">
        <v>4</v>
      </c>
      <c r="G994">
        <v>14.33</v>
      </c>
      <c r="H994">
        <v>57.32</v>
      </c>
      <c r="I994">
        <v>8.6</v>
      </c>
      <c r="J994">
        <v>48.72</v>
      </c>
      <c r="K994">
        <v>207</v>
      </c>
    </row>
    <row r="995" spans="1:11" x14ac:dyDescent="0.3">
      <c r="A995">
        <v>2698</v>
      </c>
      <c r="B995" t="s">
        <v>36</v>
      </c>
      <c r="C995" s="1">
        <v>45744</v>
      </c>
      <c r="D995" t="s">
        <v>27</v>
      </c>
      <c r="E995" t="s">
        <v>32</v>
      </c>
      <c r="F995">
        <v>3</v>
      </c>
      <c r="G995">
        <v>3.53</v>
      </c>
      <c r="H995">
        <v>10.59</v>
      </c>
      <c r="I995">
        <v>2.12</v>
      </c>
      <c r="J995">
        <v>8.4700000000000006</v>
      </c>
      <c r="K995">
        <v>69</v>
      </c>
    </row>
    <row r="996" spans="1:11" x14ac:dyDescent="0.3">
      <c r="A996">
        <v>6447</v>
      </c>
      <c r="B996" t="s">
        <v>11</v>
      </c>
      <c r="C996" s="1">
        <v>45248</v>
      </c>
      <c r="D996" t="s">
        <v>12</v>
      </c>
      <c r="E996" t="s">
        <v>44</v>
      </c>
      <c r="F996">
        <v>1</v>
      </c>
      <c r="G996">
        <v>7.06</v>
      </c>
      <c r="H996">
        <v>7.06</v>
      </c>
      <c r="I996">
        <v>0</v>
      </c>
      <c r="J996">
        <v>7.06</v>
      </c>
      <c r="K996">
        <v>332</v>
      </c>
    </row>
    <row r="997" spans="1:11" x14ac:dyDescent="0.3">
      <c r="A997">
        <v>1726</v>
      </c>
      <c r="B997" t="s">
        <v>42</v>
      </c>
      <c r="C997" s="1">
        <v>45418</v>
      </c>
      <c r="D997" t="s">
        <v>20</v>
      </c>
      <c r="E997" t="s">
        <v>18</v>
      </c>
      <c r="F997">
        <v>2</v>
      </c>
      <c r="G997">
        <v>3.49</v>
      </c>
      <c r="H997">
        <v>6.98</v>
      </c>
      <c r="I997">
        <v>1.4</v>
      </c>
      <c r="J997">
        <v>5.58</v>
      </c>
      <c r="K997">
        <v>394</v>
      </c>
    </row>
    <row r="998" spans="1:11" x14ac:dyDescent="0.3">
      <c r="A998">
        <v>9945</v>
      </c>
      <c r="B998" t="s">
        <v>26</v>
      </c>
      <c r="C998" s="1">
        <v>45407</v>
      </c>
      <c r="D998" t="s">
        <v>20</v>
      </c>
      <c r="E998" t="s">
        <v>39</v>
      </c>
      <c r="F998">
        <v>1</v>
      </c>
      <c r="G998">
        <v>5.81</v>
      </c>
      <c r="H998">
        <v>5.81</v>
      </c>
      <c r="I998">
        <v>0.57999999999999996</v>
      </c>
      <c r="J998">
        <v>5.23</v>
      </c>
      <c r="K998">
        <v>78</v>
      </c>
    </row>
    <row r="999" spans="1:11" x14ac:dyDescent="0.3">
      <c r="A999">
        <v>3868</v>
      </c>
      <c r="B999" t="s">
        <v>26</v>
      </c>
      <c r="C999" s="1">
        <v>45789</v>
      </c>
      <c r="D999" t="s">
        <v>12</v>
      </c>
      <c r="E999" t="s">
        <v>33</v>
      </c>
      <c r="F999">
        <v>5</v>
      </c>
      <c r="G999">
        <v>8.0299999999999994</v>
      </c>
      <c r="H999">
        <v>40.15</v>
      </c>
      <c r="I999">
        <v>2.34</v>
      </c>
      <c r="J999">
        <v>37.81</v>
      </c>
      <c r="K999">
        <v>150</v>
      </c>
    </row>
    <row r="1000" spans="1:11" x14ac:dyDescent="0.3">
      <c r="A1000">
        <v>8612</v>
      </c>
      <c r="B1000" t="s">
        <v>11</v>
      </c>
      <c r="C1000" s="1">
        <v>45685</v>
      </c>
      <c r="D1000" t="s">
        <v>27</v>
      </c>
      <c r="E1000" t="s">
        <v>16</v>
      </c>
      <c r="F1000">
        <v>4</v>
      </c>
      <c r="G1000">
        <v>25.6</v>
      </c>
      <c r="H1000">
        <v>102.4</v>
      </c>
      <c r="I1000">
        <v>2.95</v>
      </c>
      <c r="J1000">
        <v>99.45</v>
      </c>
      <c r="K1000">
        <v>377</v>
      </c>
    </row>
    <row r="1001" spans="1:11" x14ac:dyDescent="0.3">
      <c r="A1001">
        <v>8840</v>
      </c>
      <c r="B1001" t="s">
        <v>26</v>
      </c>
      <c r="C1001" s="1">
        <v>45635</v>
      </c>
      <c r="D1001" t="s">
        <v>38</v>
      </c>
      <c r="E1001" t="s">
        <v>47</v>
      </c>
      <c r="F1001">
        <v>2</v>
      </c>
      <c r="G1001">
        <v>21.7</v>
      </c>
      <c r="H1001">
        <v>43.4</v>
      </c>
      <c r="I1001">
        <v>4.34</v>
      </c>
      <c r="J1001">
        <v>39.06</v>
      </c>
      <c r="K1001">
        <v>270</v>
      </c>
    </row>
    <row r="1002" spans="1:11" x14ac:dyDescent="0.3">
      <c r="A1002">
        <v>3986</v>
      </c>
      <c r="B1002" t="s">
        <v>36</v>
      </c>
      <c r="C1002" s="1">
        <v>45775</v>
      </c>
      <c r="D1002" t="s">
        <v>38</v>
      </c>
      <c r="E1002" t="s">
        <v>43</v>
      </c>
      <c r="F1002">
        <v>3</v>
      </c>
      <c r="G1002">
        <v>26.88</v>
      </c>
      <c r="H1002">
        <v>80.64</v>
      </c>
      <c r="I1002">
        <v>2.98</v>
      </c>
      <c r="J1002">
        <v>77.66</v>
      </c>
      <c r="K1002">
        <v>213</v>
      </c>
    </row>
    <row r="1003" spans="1:11" x14ac:dyDescent="0.3">
      <c r="A1003">
        <v>3209</v>
      </c>
      <c r="B1003" t="s">
        <v>36</v>
      </c>
      <c r="C1003" s="1">
        <v>45194</v>
      </c>
      <c r="D1003" t="s">
        <v>45</v>
      </c>
      <c r="E1003" t="s">
        <v>16</v>
      </c>
      <c r="F1003">
        <v>1</v>
      </c>
      <c r="G1003">
        <v>5.67</v>
      </c>
      <c r="H1003">
        <v>5.67</v>
      </c>
      <c r="I1003">
        <v>0.56999999999999995</v>
      </c>
      <c r="J1003">
        <v>5.0999999999999996</v>
      </c>
      <c r="K1003">
        <v>371</v>
      </c>
    </row>
    <row r="1004" spans="1:11" x14ac:dyDescent="0.3">
      <c r="A1004">
        <v>8498</v>
      </c>
      <c r="B1004" t="s">
        <v>36</v>
      </c>
      <c r="C1004" s="1">
        <v>45173</v>
      </c>
      <c r="D1004" t="s">
        <v>45</v>
      </c>
      <c r="E1004" t="s">
        <v>25</v>
      </c>
      <c r="F1004">
        <v>5</v>
      </c>
      <c r="G1004">
        <v>7.36</v>
      </c>
      <c r="H1004">
        <v>36.799999999999997</v>
      </c>
      <c r="I1004">
        <v>4.41</v>
      </c>
      <c r="J1004">
        <v>32.39</v>
      </c>
      <c r="K1004">
        <v>465</v>
      </c>
    </row>
    <row r="1005" spans="1:11" x14ac:dyDescent="0.3">
      <c r="A1005">
        <v>5807</v>
      </c>
      <c r="B1005" t="s">
        <v>26</v>
      </c>
      <c r="C1005" s="1">
        <v>45301</v>
      </c>
      <c r="D1005" t="s">
        <v>34</v>
      </c>
      <c r="E1005" t="s">
        <v>37</v>
      </c>
      <c r="F1005">
        <v>4</v>
      </c>
      <c r="G1005">
        <v>28.82</v>
      </c>
      <c r="H1005">
        <v>115.28</v>
      </c>
      <c r="I1005">
        <v>11.53</v>
      </c>
      <c r="J1005">
        <v>103.75</v>
      </c>
      <c r="K1005">
        <v>426</v>
      </c>
    </row>
    <row r="1006" spans="1:11" x14ac:dyDescent="0.3">
      <c r="A1006">
        <v>1717</v>
      </c>
      <c r="B1006" t="s">
        <v>19</v>
      </c>
      <c r="C1006" s="1">
        <v>45759</v>
      </c>
      <c r="D1006" t="s">
        <v>28</v>
      </c>
      <c r="E1006" t="s">
        <v>44</v>
      </c>
      <c r="F1006">
        <v>3</v>
      </c>
      <c r="G1006">
        <v>21.02</v>
      </c>
      <c r="H1006">
        <v>63.06</v>
      </c>
      <c r="I1006">
        <v>12.61</v>
      </c>
      <c r="J1006">
        <v>50.45</v>
      </c>
      <c r="K1006">
        <v>44</v>
      </c>
    </row>
    <row r="1007" spans="1:11" x14ac:dyDescent="0.3">
      <c r="A1007">
        <v>4268</v>
      </c>
      <c r="B1007" t="s">
        <v>19</v>
      </c>
      <c r="C1007" s="1">
        <v>45833</v>
      </c>
      <c r="D1007" t="s">
        <v>17</v>
      </c>
      <c r="E1007" t="s">
        <v>29</v>
      </c>
      <c r="F1007">
        <v>5</v>
      </c>
      <c r="G1007">
        <v>15.26</v>
      </c>
      <c r="H1007">
        <v>76.3</v>
      </c>
      <c r="I1007">
        <v>7.63</v>
      </c>
      <c r="J1007">
        <v>68.67</v>
      </c>
      <c r="K1007">
        <v>406</v>
      </c>
    </row>
    <row r="1008" spans="1:11" x14ac:dyDescent="0.3">
      <c r="A1008">
        <v>1686</v>
      </c>
      <c r="B1008" t="s">
        <v>30</v>
      </c>
      <c r="C1008" s="1">
        <v>45390</v>
      </c>
      <c r="D1008" t="s">
        <v>17</v>
      </c>
      <c r="E1008" t="s">
        <v>44</v>
      </c>
      <c r="F1008">
        <v>5</v>
      </c>
      <c r="G1008">
        <v>2.35</v>
      </c>
      <c r="H1008">
        <v>11.75</v>
      </c>
      <c r="I1008">
        <v>1.76</v>
      </c>
      <c r="J1008">
        <v>9.99</v>
      </c>
      <c r="K1008">
        <v>9</v>
      </c>
    </row>
    <row r="1009" spans="1:11" x14ac:dyDescent="0.3">
      <c r="A1009">
        <v>6080</v>
      </c>
      <c r="B1009" t="s">
        <v>36</v>
      </c>
      <c r="C1009" s="1">
        <v>45545</v>
      </c>
      <c r="D1009" t="s">
        <v>27</v>
      </c>
      <c r="E1009" t="s">
        <v>29</v>
      </c>
      <c r="F1009">
        <v>2</v>
      </c>
      <c r="G1009">
        <v>25</v>
      </c>
      <c r="H1009">
        <v>50</v>
      </c>
      <c r="I1009">
        <v>2.35</v>
      </c>
      <c r="J1009">
        <v>47.65</v>
      </c>
      <c r="K1009">
        <v>457</v>
      </c>
    </row>
    <row r="1010" spans="1:11" x14ac:dyDescent="0.3">
      <c r="A1010">
        <v>7524</v>
      </c>
      <c r="B1010" t="s">
        <v>11</v>
      </c>
      <c r="C1010" s="1">
        <v>45778</v>
      </c>
      <c r="D1010" t="s">
        <v>28</v>
      </c>
      <c r="E1010" t="s">
        <v>25</v>
      </c>
      <c r="F1010">
        <v>1</v>
      </c>
      <c r="G1010">
        <v>17.29</v>
      </c>
      <c r="H1010">
        <v>17.29</v>
      </c>
      <c r="I1010">
        <v>2.59</v>
      </c>
      <c r="J1010">
        <v>14.7</v>
      </c>
      <c r="K1010">
        <v>249</v>
      </c>
    </row>
    <row r="1011" spans="1:11" x14ac:dyDescent="0.3">
      <c r="A1011">
        <v>9897</v>
      </c>
      <c r="B1011" t="s">
        <v>36</v>
      </c>
      <c r="C1011" s="1">
        <v>45512</v>
      </c>
      <c r="D1011" t="s">
        <v>12</v>
      </c>
      <c r="E1011" t="s">
        <v>18</v>
      </c>
      <c r="F1011">
        <v>3</v>
      </c>
      <c r="G1011">
        <v>26.98</v>
      </c>
      <c r="H1011">
        <v>80.94</v>
      </c>
      <c r="I1011">
        <v>0</v>
      </c>
      <c r="J1011">
        <v>80.94</v>
      </c>
      <c r="K1011">
        <v>436</v>
      </c>
    </row>
    <row r="1012" spans="1:11" x14ac:dyDescent="0.3">
      <c r="A1012">
        <v>5150</v>
      </c>
      <c r="B1012" t="s">
        <v>31</v>
      </c>
      <c r="C1012" s="1">
        <v>45173</v>
      </c>
      <c r="D1012" t="s">
        <v>45</v>
      </c>
      <c r="E1012" t="s">
        <v>33</v>
      </c>
      <c r="F1012">
        <v>1</v>
      </c>
      <c r="G1012">
        <v>29.26</v>
      </c>
      <c r="H1012">
        <v>29.26</v>
      </c>
      <c r="I1012">
        <v>1.17</v>
      </c>
      <c r="J1012">
        <v>28.09</v>
      </c>
      <c r="K1012">
        <v>400</v>
      </c>
    </row>
    <row r="1013" spans="1:11" x14ac:dyDescent="0.3">
      <c r="A1013">
        <v>4131</v>
      </c>
      <c r="B1013" t="s">
        <v>11</v>
      </c>
      <c r="C1013" s="1">
        <v>45367</v>
      </c>
      <c r="D1013" t="s">
        <v>34</v>
      </c>
      <c r="E1013" t="s">
        <v>48</v>
      </c>
      <c r="F1013">
        <v>2</v>
      </c>
      <c r="G1013">
        <v>27.41</v>
      </c>
      <c r="H1013">
        <v>54.82</v>
      </c>
      <c r="I1013">
        <v>0</v>
      </c>
      <c r="J1013">
        <v>54.82</v>
      </c>
      <c r="K1013">
        <v>80</v>
      </c>
    </row>
    <row r="1014" spans="1:11" x14ac:dyDescent="0.3">
      <c r="A1014">
        <v>6848</v>
      </c>
      <c r="B1014" t="s">
        <v>26</v>
      </c>
      <c r="C1014" s="1">
        <v>45814</v>
      </c>
      <c r="D1014" t="s">
        <v>38</v>
      </c>
      <c r="E1014" t="s">
        <v>47</v>
      </c>
      <c r="F1014">
        <v>1</v>
      </c>
      <c r="G1014">
        <v>5.46</v>
      </c>
      <c r="H1014">
        <v>5.46</v>
      </c>
      <c r="I1014">
        <v>1.0900000000000001</v>
      </c>
      <c r="J1014">
        <v>4.37</v>
      </c>
      <c r="K1014">
        <v>186</v>
      </c>
    </row>
    <row r="1015" spans="1:11" x14ac:dyDescent="0.3">
      <c r="A1015">
        <v>1783</v>
      </c>
      <c r="B1015" t="s">
        <v>11</v>
      </c>
      <c r="C1015" s="1">
        <v>45817</v>
      </c>
      <c r="D1015" t="s">
        <v>17</v>
      </c>
      <c r="E1015" t="s">
        <v>33</v>
      </c>
      <c r="F1015">
        <v>4</v>
      </c>
      <c r="G1015">
        <v>23.3</v>
      </c>
      <c r="H1015">
        <v>93.2</v>
      </c>
      <c r="I1015">
        <v>9.32</v>
      </c>
      <c r="J1015">
        <v>83.88</v>
      </c>
      <c r="K1015">
        <v>3</v>
      </c>
    </row>
    <row r="1016" spans="1:11" x14ac:dyDescent="0.3">
      <c r="A1016">
        <v>6438</v>
      </c>
      <c r="B1016" t="s">
        <v>36</v>
      </c>
      <c r="C1016" s="1">
        <v>45357</v>
      </c>
      <c r="D1016" t="s">
        <v>35</v>
      </c>
      <c r="E1016" t="s">
        <v>46</v>
      </c>
      <c r="F1016">
        <v>2</v>
      </c>
      <c r="G1016">
        <v>3.46</v>
      </c>
      <c r="H1016">
        <v>6.92</v>
      </c>
      <c r="I1016">
        <v>1.04</v>
      </c>
      <c r="J1016">
        <v>5.88</v>
      </c>
      <c r="K1016">
        <v>190</v>
      </c>
    </row>
    <row r="1017" spans="1:11" x14ac:dyDescent="0.3">
      <c r="A1017">
        <v>3039</v>
      </c>
      <c r="B1017" t="s">
        <v>42</v>
      </c>
      <c r="C1017" s="1">
        <v>45765</v>
      </c>
      <c r="D1017" t="s">
        <v>34</v>
      </c>
      <c r="E1017" t="s">
        <v>46</v>
      </c>
      <c r="F1017">
        <v>4</v>
      </c>
      <c r="G1017">
        <v>23.82</v>
      </c>
      <c r="H1017">
        <v>95.28</v>
      </c>
      <c r="I1017">
        <v>9.5299999999999994</v>
      </c>
      <c r="J1017">
        <v>85.75</v>
      </c>
      <c r="K1017">
        <v>70</v>
      </c>
    </row>
    <row r="1018" spans="1:11" x14ac:dyDescent="0.3">
      <c r="A1018">
        <v>7029</v>
      </c>
      <c r="B1018" t="s">
        <v>24</v>
      </c>
      <c r="C1018" s="1">
        <v>45484</v>
      </c>
      <c r="D1018" t="s">
        <v>45</v>
      </c>
      <c r="E1018" t="s">
        <v>46</v>
      </c>
      <c r="F1018">
        <v>3</v>
      </c>
      <c r="G1018">
        <v>28.36</v>
      </c>
      <c r="H1018">
        <v>85.08</v>
      </c>
      <c r="I1018">
        <v>3.87</v>
      </c>
      <c r="J1018">
        <v>81.209999999999994</v>
      </c>
      <c r="K1018">
        <v>226</v>
      </c>
    </row>
    <row r="1019" spans="1:11" x14ac:dyDescent="0.3">
      <c r="A1019">
        <v>7553</v>
      </c>
      <c r="B1019" t="s">
        <v>14</v>
      </c>
      <c r="C1019" s="1">
        <v>45722</v>
      </c>
      <c r="D1019" t="s">
        <v>15</v>
      </c>
      <c r="E1019" t="s">
        <v>43</v>
      </c>
      <c r="F1019">
        <v>3</v>
      </c>
      <c r="G1019">
        <v>10.119999999999999</v>
      </c>
      <c r="H1019">
        <v>30.36</v>
      </c>
      <c r="I1019">
        <v>3.04</v>
      </c>
      <c r="J1019">
        <v>27.32</v>
      </c>
      <c r="K1019">
        <v>395</v>
      </c>
    </row>
    <row r="1020" spans="1:11" x14ac:dyDescent="0.3">
      <c r="A1020">
        <v>8204</v>
      </c>
      <c r="B1020" t="s">
        <v>31</v>
      </c>
      <c r="C1020" s="1">
        <v>45839</v>
      </c>
      <c r="D1020" t="s">
        <v>20</v>
      </c>
      <c r="E1020" t="s">
        <v>40</v>
      </c>
      <c r="F1020">
        <v>2</v>
      </c>
      <c r="G1020">
        <v>27.16</v>
      </c>
      <c r="H1020">
        <v>54.32</v>
      </c>
      <c r="I1020">
        <v>5.43</v>
      </c>
      <c r="J1020">
        <v>48.89</v>
      </c>
      <c r="K1020">
        <v>29</v>
      </c>
    </row>
    <row r="1021" spans="1:11" x14ac:dyDescent="0.3">
      <c r="A1021">
        <v>7334</v>
      </c>
      <c r="B1021" t="s">
        <v>24</v>
      </c>
      <c r="C1021" s="1">
        <v>45408</v>
      </c>
      <c r="D1021" t="s">
        <v>27</v>
      </c>
      <c r="E1021" t="s">
        <v>18</v>
      </c>
      <c r="F1021">
        <v>3</v>
      </c>
      <c r="G1021">
        <v>21.91</v>
      </c>
      <c r="H1021">
        <v>65.73</v>
      </c>
      <c r="I1021">
        <v>4.3099999999999996</v>
      </c>
      <c r="J1021">
        <v>61.42</v>
      </c>
      <c r="K1021">
        <v>160</v>
      </c>
    </row>
    <row r="1022" spans="1:11" x14ac:dyDescent="0.3">
      <c r="A1022">
        <v>4060</v>
      </c>
      <c r="B1022" t="s">
        <v>14</v>
      </c>
      <c r="C1022" s="1">
        <v>45530</v>
      </c>
      <c r="D1022" t="s">
        <v>28</v>
      </c>
      <c r="E1022" t="s">
        <v>41</v>
      </c>
      <c r="F1022">
        <v>4</v>
      </c>
      <c r="G1022">
        <v>13.93</v>
      </c>
      <c r="H1022">
        <v>55.72</v>
      </c>
      <c r="I1022">
        <v>0</v>
      </c>
      <c r="J1022">
        <v>55.72</v>
      </c>
      <c r="K1022">
        <v>105</v>
      </c>
    </row>
    <row r="1023" spans="1:11" x14ac:dyDescent="0.3">
      <c r="A1023">
        <v>9151</v>
      </c>
      <c r="B1023" t="s">
        <v>36</v>
      </c>
      <c r="C1023" s="1">
        <v>45430</v>
      </c>
      <c r="D1023" t="s">
        <v>27</v>
      </c>
      <c r="E1023" t="s">
        <v>32</v>
      </c>
      <c r="F1023">
        <v>2</v>
      </c>
      <c r="G1023">
        <v>26.54</v>
      </c>
      <c r="H1023">
        <v>53.08</v>
      </c>
      <c r="I1023">
        <v>2.34</v>
      </c>
      <c r="J1023">
        <v>50.74</v>
      </c>
      <c r="K1023">
        <v>43</v>
      </c>
    </row>
    <row r="1024" spans="1:11" x14ac:dyDescent="0.3">
      <c r="A1024">
        <v>9507</v>
      </c>
      <c r="B1024" t="s">
        <v>19</v>
      </c>
      <c r="C1024" s="1">
        <v>45352</v>
      </c>
      <c r="D1024" t="s">
        <v>38</v>
      </c>
      <c r="E1024" t="s">
        <v>18</v>
      </c>
      <c r="F1024">
        <v>3</v>
      </c>
      <c r="G1024">
        <v>7.19</v>
      </c>
      <c r="H1024">
        <v>21.57</v>
      </c>
      <c r="I1024">
        <v>2.36</v>
      </c>
      <c r="J1024">
        <v>19.21</v>
      </c>
      <c r="K1024">
        <v>261</v>
      </c>
    </row>
    <row r="1025" spans="1:11" x14ac:dyDescent="0.3">
      <c r="A1025">
        <v>2353</v>
      </c>
      <c r="B1025" t="s">
        <v>19</v>
      </c>
      <c r="C1025" s="1">
        <v>45709</v>
      </c>
      <c r="D1025" t="s">
        <v>12</v>
      </c>
      <c r="E1025" t="s">
        <v>39</v>
      </c>
      <c r="F1025">
        <v>5</v>
      </c>
      <c r="G1025">
        <v>18.170000000000002</v>
      </c>
      <c r="H1025">
        <v>90.85</v>
      </c>
      <c r="I1025">
        <v>0</v>
      </c>
      <c r="J1025">
        <v>90.85</v>
      </c>
      <c r="K1025">
        <v>123</v>
      </c>
    </row>
    <row r="1026" spans="1:11" x14ac:dyDescent="0.3">
      <c r="A1026">
        <v>7955</v>
      </c>
      <c r="B1026" t="s">
        <v>24</v>
      </c>
      <c r="C1026" s="1">
        <v>45206</v>
      </c>
      <c r="D1026" t="s">
        <v>38</v>
      </c>
      <c r="E1026" t="s">
        <v>48</v>
      </c>
      <c r="F1026">
        <v>1</v>
      </c>
      <c r="G1026">
        <v>25.4</v>
      </c>
      <c r="H1026">
        <v>25.4</v>
      </c>
      <c r="I1026">
        <v>1.19</v>
      </c>
      <c r="J1026">
        <v>24.21</v>
      </c>
      <c r="K1026">
        <v>132</v>
      </c>
    </row>
    <row r="1027" spans="1:11" x14ac:dyDescent="0.3">
      <c r="A1027">
        <v>8055</v>
      </c>
      <c r="B1027" t="s">
        <v>11</v>
      </c>
      <c r="C1027" s="1">
        <v>45612</v>
      </c>
      <c r="D1027" t="s">
        <v>45</v>
      </c>
      <c r="E1027" t="s">
        <v>37</v>
      </c>
      <c r="F1027">
        <v>5</v>
      </c>
      <c r="G1027">
        <v>22.36</v>
      </c>
      <c r="H1027">
        <v>111.8</v>
      </c>
      <c r="I1027">
        <v>22.36</v>
      </c>
      <c r="J1027">
        <v>89.44</v>
      </c>
      <c r="K1027">
        <v>232</v>
      </c>
    </row>
    <row r="1028" spans="1:11" x14ac:dyDescent="0.3">
      <c r="A1028">
        <v>3956</v>
      </c>
      <c r="B1028" t="s">
        <v>14</v>
      </c>
      <c r="C1028" s="1">
        <v>45568</v>
      </c>
      <c r="D1028" t="s">
        <v>28</v>
      </c>
      <c r="E1028" t="s">
        <v>25</v>
      </c>
      <c r="F1028">
        <v>3</v>
      </c>
      <c r="G1028">
        <v>9.67</v>
      </c>
      <c r="H1028">
        <v>29.01</v>
      </c>
      <c r="I1028">
        <v>0</v>
      </c>
      <c r="J1028">
        <v>29.01</v>
      </c>
      <c r="K1028">
        <v>341</v>
      </c>
    </row>
    <row r="1029" spans="1:11" x14ac:dyDescent="0.3">
      <c r="A1029">
        <v>5813</v>
      </c>
      <c r="B1029" t="s">
        <v>24</v>
      </c>
      <c r="C1029" s="1">
        <v>45394</v>
      </c>
      <c r="D1029" t="s">
        <v>38</v>
      </c>
      <c r="E1029" t="s">
        <v>25</v>
      </c>
      <c r="F1029">
        <v>1</v>
      </c>
      <c r="G1029">
        <v>10.5</v>
      </c>
      <c r="H1029">
        <v>10.5</v>
      </c>
      <c r="I1029">
        <v>1.57</v>
      </c>
      <c r="J1029">
        <v>8.93</v>
      </c>
      <c r="K1029">
        <v>298</v>
      </c>
    </row>
    <row r="1030" spans="1:11" x14ac:dyDescent="0.3">
      <c r="A1030">
        <v>2680</v>
      </c>
      <c r="B1030" t="s">
        <v>26</v>
      </c>
      <c r="C1030" s="1">
        <v>45207</v>
      </c>
      <c r="D1030" t="s">
        <v>15</v>
      </c>
      <c r="E1030" t="s">
        <v>41</v>
      </c>
      <c r="F1030">
        <v>4</v>
      </c>
      <c r="G1030">
        <v>25.01</v>
      </c>
      <c r="H1030">
        <v>100.04</v>
      </c>
      <c r="I1030">
        <v>2.7</v>
      </c>
      <c r="J1030">
        <v>97.34</v>
      </c>
      <c r="K1030">
        <v>41</v>
      </c>
    </row>
    <row r="1031" spans="1:11" x14ac:dyDescent="0.3">
      <c r="A1031">
        <v>6372</v>
      </c>
      <c r="B1031" t="s">
        <v>19</v>
      </c>
      <c r="C1031" s="1">
        <v>45658</v>
      </c>
      <c r="D1031" t="s">
        <v>45</v>
      </c>
      <c r="E1031" t="s">
        <v>44</v>
      </c>
      <c r="F1031">
        <v>4</v>
      </c>
      <c r="G1031">
        <v>3.25</v>
      </c>
      <c r="H1031">
        <v>13</v>
      </c>
      <c r="I1031">
        <v>3.24</v>
      </c>
      <c r="J1031">
        <v>9.76</v>
      </c>
      <c r="K1031">
        <v>346</v>
      </c>
    </row>
    <row r="1032" spans="1:11" x14ac:dyDescent="0.3">
      <c r="A1032">
        <v>5843</v>
      </c>
      <c r="B1032" t="s">
        <v>24</v>
      </c>
      <c r="C1032" s="1">
        <v>45383</v>
      </c>
      <c r="D1032" t="s">
        <v>35</v>
      </c>
      <c r="E1032" t="s">
        <v>47</v>
      </c>
      <c r="F1032">
        <v>4</v>
      </c>
      <c r="G1032">
        <v>29.89</v>
      </c>
      <c r="H1032">
        <v>119.56</v>
      </c>
      <c r="I1032">
        <v>0</v>
      </c>
      <c r="J1032">
        <v>119.56</v>
      </c>
      <c r="K1032">
        <v>352</v>
      </c>
    </row>
    <row r="1033" spans="1:11" x14ac:dyDescent="0.3">
      <c r="A1033">
        <v>8305</v>
      </c>
      <c r="B1033" t="s">
        <v>24</v>
      </c>
      <c r="C1033" s="1">
        <v>45613</v>
      </c>
      <c r="D1033" t="s">
        <v>34</v>
      </c>
      <c r="E1033" t="s">
        <v>41</v>
      </c>
      <c r="F1033">
        <v>5</v>
      </c>
      <c r="G1033">
        <v>4.68</v>
      </c>
      <c r="H1033">
        <v>23.4</v>
      </c>
      <c r="I1033">
        <v>4.68</v>
      </c>
      <c r="J1033">
        <v>18.72</v>
      </c>
      <c r="K1033">
        <v>364</v>
      </c>
    </row>
    <row r="1034" spans="1:11" x14ac:dyDescent="0.3">
      <c r="A1034">
        <v>7981</v>
      </c>
      <c r="B1034" t="s">
        <v>14</v>
      </c>
      <c r="C1034" s="1">
        <v>45274</v>
      </c>
      <c r="D1034" t="s">
        <v>38</v>
      </c>
      <c r="E1034" t="s">
        <v>48</v>
      </c>
      <c r="F1034">
        <v>2</v>
      </c>
      <c r="G1034">
        <v>14.2</v>
      </c>
      <c r="H1034">
        <v>28.4</v>
      </c>
      <c r="I1034">
        <v>2.48</v>
      </c>
      <c r="J1034">
        <v>25.92</v>
      </c>
      <c r="K1034">
        <v>16</v>
      </c>
    </row>
    <row r="1035" spans="1:11" x14ac:dyDescent="0.3">
      <c r="A1035">
        <v>8272</v>
      </c>
      <c r="B1035" t="s">
        <v>11</v>
      </c>
      <c r="C1035" s="1">
        <v>45418</v>
      </c>
      <c r="D1035" t="s">
        <v>28</v>
      </c>
      <c r="E1035" t="s">
        <v>16</v>
      </c>
      <c r="F1035">
        <v>1</v>
      </c>
      <c r="G1035">
        <v>4.5</v>
      </c>
      <c r="H1035">
        <v>4.5</v>
      </c>
      <c r="I1035">
        <v>3.09</v>
      </c>
      <c r="J1035">
        <v>1.41</v>
      </c>
      <c r="K1035">
        <v>292</v>
      </c>
    </row>
    <row r="1036" spans="1:11" x14ac:dyDescent="0.3">
      <c r="A1036">
        <v>8325</v>
      </c>
      <c r="B1036" t="s">
        <v>11</v>
      </c>
      <c r="C1036" s="1">
        <v>45177</v>
      </c>
      <c r="D1036" t="s">
        <v>22</v>
      </c>
      <c r="E1036" t="s">
        <v>37</v>
      </c>
      <c r="F1036">
        <v>3</v>
      </c>
      <c r="G1036">
        <v>9.7799999999999994</v>
      </c>
      <c r="H1036">
        <v>29.34</v>
      </c>
      <c r="I1036">
        <v>5.87</v>
      </c>
      <c r="J1036">
        <v>23.47</v>
      </c>
      <c r="K1036">
        <v>248</v>
      </c>
    </row>
    <row r="1037" spans="1:11" x14ac:dyDescent="0.3">
      <c r="A1037">
        <v>6776</v>
      </c>
      <c r="B1037" t="s">
        <v>19</v>
      </c>
      <c r="C1037" s="1">
        <v>45622</v>
      </c>
      <c r="D1037" t="s">
        <v>28</v>
      </c>
      <c r="E1037" t="s">
        <v>16</v>
      </c>
      <c r="F1037">
        <v>1</v>
      </c>
      <c r="G1037">
        <v>28.16</v>
      </c>
      <c r="H1037">
        <v>28.16</v>
      </c>
      <c r="I1037">
        <v>5.63</v>
      </c>
      <c r="J1037">
        <v>22.53</v>
      </c>
      <c r="K1037">
        <v>156</v>
      </c>
    </row>
    <row r="1038" spans="1:11" x14ac:dyDescent="0.3">
      <c r="A1038">
        <v>8126</v>
      </c>
      <c r="B1038" t="s">
        <v>19</v>
      </c>
      <c r="C1038" s="1">
        <v>45358</v>
      </c>
      <c r="D1038" t="s">
        <v>45</v>
      </c>
      <c r="E1038" t="s">
        <v>39</v>
      </c>
      <c r="F1038">
        <v>1</v>
      </c>
      <c r="G1038">
        <v>16.87</v>
      </c>
      <c r="H1038">
        <v>16.87</v>
      </c>
      <c r="I1038">
        <v>1.69</v>
      </c>
      <c r="J1038">
        <v>15.18</v>
      </c>
      <c r="K1038">
        <v>34</v>
      </c>
    </row>
    <row r="1039" spans="1:11" x14ac:dyDescent="0.3">
      <c r="A1039">
        <v>1939</v>
      </c>
      <c r="B1039" t="s">
        <v>26</v>
      </c>
      <c r="C1039" s="1">
        <v>45203</v>
      </c>
      <c r="D1039" t="s">
        <v>28</v>
      </c>
      <c r="E1039" t="s">
        <v>37</v>
      </c>
      <c r="F1039">
        <v>5</v>
      </c>
      <c r="G1039">
        <v>14.11</v>
      </c>
      <c r="H1039">
        <v>70.55</v>
      </c>
      <c r="I1039">
        <v>7.05</v>
      </c>
      <c r="J1039">
        <v>63.5</v>
      </c>
      <c r="K1039">
        <v>172</v>
      </c>
    </row>
    <row r="1040" spans="1:11" x14ac:dyDescent="0.3">
      <c r="A1040">
        <v>7655</v>
      </c>
      <c r="B1040" t="s">
        <v>19</v>
      </c>
      <c r="C1040" s="1">
        <v>45427</v>
      </c>
      <c r="D1040" t="s">
        <v>34</v>
      </c>
      <c r="E1040" t="s">
        <v>46</v>
      </c>
      <c r="F1040">
        <v>4</v>
      </c>
      <c r="G1040">
        <v>23.08</v>
      </c>
      <c r="H1040">
        <v>92.32</v>
      </c>
      <c r="I1040">
        <v>18.46</v>
      </c>
      <c r="J1040">
        <v>73.86</v>
      </c>
      <c r="K1040">
        <v>341</v>
      </c>
    </row>
    <row r="1041" spans="1:11" x14ac:dyDescent="0.3">
      <c r="A1041">
        <v>9406</v>
      </c>
      <c r="B1041" t="s">
        <v>36</v>
      </c>
      <c r="C1041" s="1">
        <v>45767</v>
      </c>
      <c r="D1041" t="s">
        <v>15</v>
      </c>
      <c r="E1041" t="s">
        <v>16</v>
      </c>
      <c r="F1041">
        <v>4</v>
      </c>
      <c r="G1041">
        <v>7.74</v>
      </c>
      <c r="H1041">
        <v>30.96</v>
      </c>
      <c r="I1041">
        <v>1.18</v>
      </c>
      <c r="J1041">
        <v>29.78</v>
      </c>
      <c r="K1041">
        <v>202</v>
      </c>
    </row>
    <row r="1042" spans="1:11" x14ac:dyDescent="0.3">
      <c r="A1042">
        <v>3621</v>
      </c>
      <c r="B1042" t="s">
        <v>26</v>
      </c>
      <c r="C1042" s="1">
        <v>45169</v>
      </c>
      <c r="D1042" t="s">
        <v>35</v>
      </c>
      <c r="E1042" t="s">
        <v>43</v>
      </c>
      <c r="F1042">
        <v>2</v>
      </c>
      <c r="G1042">
        <v>21.5</v>
      </c>
      <c r="H1042">
        <v>43</v>
      </c>
      <c r="I1042">
        <v>3.58</v>
      </c>
      <c r="J1042">
        <v>39.42</v>
      </c>
      <c r="K1042">
        <v>292</v>
      </c>
    </row>
    <row r="1043" spans="1:11" x14ac:dyDescent="0.3">
      <c r="A1043">
        <v>3339</v>
      </c>
      <c r="B1043" t="s">
        <v>14</v>
      </c>
      <c r="C1043" s="1">
        <v>45804</v>
      </c>
      <c r="D1043" t="s">
        <v>15</v>
      </c>
      <c r="E1043" t="s">
        <v>44</v>
      </c>
      <c r="F1043">
        <v>5</v>
      </c>
      <c r="G1043">
        <v>16.7</v>
      </c>
      <c r="H1043">
        <v>83.5</v>
      </c>
      <c r="I1043">
        <v>3.09</v>
      </c>
      <c r="J1043">
        <v>80.41</v>
      </c>
      <c r="K1043">
        <v>387</v>
      </c>
    </row>
    <row r="1044" spans="1:11" x14ac:dyDescent="0.3">
      <c r="A1044">
        <v>8179</v>
      </c>
      <c r="B1044" t="s">
        <v>26</v>
      </c>
      <c r="C1044" s="1">
        <v>45172</v>
      </c>
      <c r="D1044" t="s">
        <v>38</v>
      </c>
      <c r="E1044" t="s">
        <v>39</v>
      </c>
      <c r="F1044">
        <v>1</v>
      </c>
      <c r="G1044">
        <v>20.079999999999998</v>
      </c>
      <c r="H1044">
        <v>20.079999999999998</v>
      </c>
      <c r="I1044">
        <v>2.1</v>
      </c>
      <c r="J1044">
        <v>17.98</v>
      </c>
      <c r="K1044">
        <v>272</v>
      </c>
    </row>
    <row r="1045" spans="1:11" x14ac:dyDescent="0.3">
      <c r="A1045">
        <v>3068</v>
      </c>
      <c r="B1045" t="s">
        <v>42</v>
      </c>
      <c r="C1045" s="1">
        <v>45197</v>
      </c>
      <c r="D1045" t="s">
        <v>17</v>
      </c>
      <c r="E1045" t="s">
        <v>33</v>
      </c>
      <c r="F1045">
        <v>1</v>
      </c>
      <c r="G1045">
        <v>24.39</v>
      </c>
      <c r="H1045">
        <v>24.39</v>
      </c>
      <c r="I1045">
        <v>2.44</v>
      </c>
      <c r="J1045">
        <v>21.95</v>
      </c>
      <c r="K1045">
        <v>310</v>
      </c>
    </row>
    <row r="1046" spans="1:11" x14ac:dyDescent="0.3">
      <c r="A1046">
        <v>4866</v>
      </c>
      <c r="B1046" t="s">
        <v>31</v>
      </c>
      <c r="C1046" s="1">
        <v>45749</v>
      </c>
      <c r="D1046" t="s">
        <v>45</v>
      </c>
      <c r="E1046" t="s">
        <v>39</v>
      </c>
      <c r="F1046">
        <v>3</v>
      </c>
      <c r="G1046">
        <v>13.66</v>
      </c>
      <c r="H1046">
        <v>40.98</v>
      </c>
      <c r="I1046">
        <v>2.27</v>
      </c>
      <c r="J1046">
        <v>38.71</v>
      </c>
      <c r="K1046">
        <v>212</v>
      </c>
    </row>
    <row r="1047" spans="1:11" x14ac:dyDescent="0.3">
      <c r="A1047">
        <v>7001</v>
      </c>
      <c r="B1047" t="s">
        <v>30</v>
      </c>
      <c r="C1047" s="1">
        <v>45426</v>
      </c>
      <c r="D1047" t="s">
        <v>15</v>
      </c>
      <c r="E1047" t="s">
        <v>48</v>
      </c>
      <c r="F1047">
        <v>1</v>
      </c>
      <c r="G1047">
        <v>16.7</v>
      </c>
      <c r="H1047">
        <v>16.7</v>
      </c>
      <c r="I1047">
        <v>3.34</v>
      </c>
      <c r="J1047">
        <v>13.36</v>
      </c>
      <c r="K1047">
        <v>146</v>
      </c>
    </row>
    <row r="1048" spans="1:11" x14ac:dyDescent="0.3">
      <c r="A1048">
        <v>7272</v>
      </c>
      <c r="B1048" t="s">
        <v>30</v>
      </c>
      <c r="C1048" s="1">
        <v>45585</v>
      </c>
      <c r="D1048" t="s">
        <v>15</v>
      </c>
      <c r="E1048" t="s">
        <v>41</v>
      </c>
      <c r="F1048">
        <v>3</v>
      </c>
      <c r="G1048">
        <v>28.6</v>
      </c>
      <c r="H1048">
        <v>85.8</v>
      </c>
      <c r="I1048">
        <v>3.46</v>
      </c>
      <c r="J1048">
        <v>82.34</v>
      </c>
      <c r="K1048">
        <v>347</v>
      </c>
    </row>
    <row r="1049" spans="1:11" x14ac:dyDescent="0.3">
      <c r="A1049">
        <v>1530</v>
      </c>
      <c r="B1049" t="s">
        <v>36</v>
      </c>
      <c r="C1049" s="1">
        <v>45614</v>
      </c>
      <c r="D1049" t="s">
        <v>34</v>
      </c>
      <c r="E1049" t="s">
        <v>39</v>
      </c>
      <c r="F1049">
        <v>1</v>
      </c>
      <c r="G1049">
        <v>9.6300000000000008</v>
      </c>
      <c r="H1049">
        <v>9.6300000000000008</v>
      </c>
      <c r="I1049">
        <v>1.93</v>
      </c>
      <c r="J1049">
        <v>7.7</v>
      </c>
      <c r="K1049">
        <v>50</v>
      </c>
    </row>
    <row r="1050" spans="1:11" x14ac:dyDescent="0.3">
      <c r="A1050">
        <v>3513</v>
      </c>
      <c r="B1050" t="s">
        <v>24</v>
      </c>
      <c r="C1050" s="1">
        <v>45672</v>
      </c>
      <c r="D1050" t="s">
        <v>22</v>
      </c>
      <c r="E1050" t="s">
        <v>13</v>
      </c>
      <c r="F1050">
        <v>4</v>
      </c>
      <c r="G1050">
        <v>28.3</v>
      </c>
      <c r="H1050">
        <v>113.2</v>
      </c>
      <c r="I1050">
        <v>1.81</v>
      </c>
      <c r="J1050">
        <v>111.39</v>
      </c>
      <c r="K1050">
        <v>460</v>
      </c>
    </row>
    <row r="1051" spans="1:11" x14ac:dyDescent="0.3">
      <c r="A1051">
        <v>8371</v>
      </c>
      <c r="B1051" t="s">
        <v>42</v>
      </c>
      <c r="C1051" s="1">
        <v>45433</v>
      </c>
      <c r="D1051" t="s">
        <v>45</v>
      </c>
      <c r="E1051" t="s">
        <v>46</v>
      </c>
      <c r="F1051">
        <v>5</v>
      </c>
      <c r="G1051">
        <v>12.16</v>
      </c>
      <c r="H1051">
        <v>60.8</v>
      </c>
      <c r="I1051">
        <v>2.27</v>
      </c>
      <c r="J1051">
        <v>58.53</v>
      </c>
      <c r="K1051">
        <v>58</v>
      </c>
    </row>
    <row r="1052" spans="1:11" x14ac:dyDescent="0.3">
      <c r="A1052">
        <v>7095</v>
      </c>
      <c r="B1052" t="s">
        <v>14</v>
      </c>
      <c r="C1052" s="1">
        <v>45489</v>
      </c>
      <c r="D1052" t="s">
        <v>20</v>
      </c>
      <c r="E1052" t="s">
        <v>43</v>
      </c>
      <c r="F1052">
        <v>4</v>
      </c>
      <c r="G1052">
        <v>1.83</v>
      </c>
      <c r="H1052">
        <v>7.32</v>
      </c>
      <c r="I1052">
        <v>2.08</v>
      </c>
      <c r="J1052">
        <v>5.24</v>
      </c>
      <c r="K1052">
        <v>324</v>
      </c>
    </row>
    <row r="1053" spans="1:11" x14ac:dyDescent="0.3">
      <c r="A1053">
        <v>2259</v>
      </c>
      <c r="B1053" t="s">
        <v>11</v>
      </c>
      <c r="C1053" s="1">
        <v>45590</v>
      </c>
      <c r="D1053" t="s">
        <v>17</v>
      </c>
      <c r="E1053" t="s">
        <v>18</v>
      </c>
      <c r="F1053">
        <v>2</v>
      </c>
      <c r="G1053">
        <v>9.82</v>
      </c>
      <c r="H1053">
        <v>19.64</v>
      </c>
      <c r="I1053">
        <v>4.3899999999999997</v>
      </c>
      <c r="J1053">
        <v>15.25</v>
      </c>
      <c r="K1053">
        <v>208</v>
      </c>
    </row>
    <row r="1054" spans="1:11" x14ac:dyDescent="0.3">
      <c r="A1054">
        <v>3255</v>
      </c>
      <c r="B1054" t="s">
        <v>14</v>
      </c>
      <c r="C1054" s="1">
        <v>45556</v>
      </c>
      <c r="D1054" t="s">
        <v>17</v>
      </c>
      <c r="E1054" t="s">
        <v>41</v>
      </c>
      <c r="F1054">
        <v>3</v>
      </c>
      <c r="G1054">
        <v>16.66</v>
      </c>
      <c r="H1054">
        <v>49.98</v>
      </c>
      <c r="I1054">
        <v>4.8099999999999996</v>
      </c>
      <c r="J1054">
        <v>45.17</v>
      </c>
      <c r="K1054">
        <v>86</v>
      </c>
    </row>
    <row r="1055" spans="1:11" x14ac:dyDescent="0.3">
      <c r="A1055">
        <v>7012</v>
      </c>
      <c r="B1055" t="s">
        <v>14</v>
      </c>
      <c r="C1055" s="1">
        <v>45454</v>
      </c>
      <c r="D1055" t="s">
        <v>45</v>
      </c>
      <c r="E1055" t="s">
        <v>40</v>
      </c>
      <c r="F1055">
        <v>1</v>
      </c>
      <c r="G1055">
        <v>24.56</v>
      </c>
      <c r="H1055">
        <v>24.56</v>
      </c>
      <c r="I1055">
        <v>0</v>
      </c>
      <c r="J1055">
        <v>24.56</v>
      </c>
      <c r="K1055">
        <v>492</v>
      </c>
    </row>
    <row r="1056" spans="1:11" x14ac:dyDescent="0.3">
      <c r="A1056">
        <v>6150</v>
      </c>
      <c r="B1056" t="s">
        <v>19</v>
      </c>
      <c r="C1056" s="1">
        <v>45649</v>
      </c>
      <c r="D1056" t="s">
        <v>12</v>
      </c>
      <c r="E1056" t="s">
        <v>40</v>
      </c>
      <c r="F1056">
        <v>4</v>
      </c>
      <c r="G1056">
        <v>8.92</v>
      </c>
      <c r="H1056">
        <v>35.68</v>
      </c>
      <c r="I1056">
        <v>5.35</v>
      </c>
      <c r="J1056">
        <v>30.33</v>
      </c>
      <c r="K1056">
        <v>128</v>
      </c>
    </row>
    <row r="1057" spans="1:11" x14ac:dyDescent="0.3">
      <c r="A1057">
        <v>5566</v>
      </c>
      <c r="B1057" t="s">
        <v>42</v>
      </c>
      <c r="C1057" s="1">
        <v>45338</v>
      </c>
      <c r="D1057" t="s">
        <v>28</v>
      </c>
      <c r="E1057" t="s">
        <v>46</v>
      </c>
      <c r="F1057">
        <v>3</v>
      </c>
      <c r="G1057">
        <v>2.31</v>
      </c>
      <c r="H1057">
        <v>6.93</v>
      </c>
      <c r="I1057">
        <v>1.04</v>
      </c>
      <c r="J1057">
        <v>5.89</v>
      </c>
      <c r="K1057">
        <v>378</v>
      </c>
    </row>
    <row r="1058" spans="1:11" x14ac:dyDescent="0.3">
      <c r="A1058">
        <v>2858</v>
      </c>
      <c r="B1058" t="s">
        <v>11</v>
      </c>
      <c r="C1058" s="1">
        <v>45165</v>
      </c>
      <c r="D1058" t="s">
        <v>20</v>
      </c>
      <c r="E1058" t="s">
        <v>48</v>
      </c>
      <c r="F1058">
        <v>2</v>
      </c>
      <c r="G1058">
        <v>22.02</v>
      </c>
      <c r="H1058">
        <v>44.04</v>
      </c>
      <c r="I1058">
        <v>8.81</v>
      </c>
      <c r="J1058">
        <v>35.229999999999997</v>
      </c>
      <c r="K1058">
        <v>143</v>
      </c>
    </row>
    <row r="1059" spans="1:11" x14ac:dyDescent="0.3">
      <c r="A1059">
        <v>4048</v>
      </c>
      <c r="B1059" t="s">
        <v>14</v>
      </c>
      <c r="C1059" s="1">
        <v>45532</v>
      </c>
      <c r="D1059" t="s">
        <v>22</v>
      </c>
      <c r="E1059" t="s">
        <v>21</v>
      </c>
      <c r="F1059">
        <v>3</v>
      </c>
      <c r="G1059">
        <v>29.4</v>
      </c>
      <c r="H1059">
        <v>88.2</v>
      </c>
      <c r="I1059">
        <v>13.23</v>
      </c>
      <c r="J1059">
        <v>74.97</v>
      </c>
      <c r="K1059">
        <v>362</v>
      </c>
    </row>
    <row r="1060" spans="1:11" x14ac:dyDescent="0.3">
      <c r="A1060">
        <v>9482</v>
      </c>
      <c r="B1060" t="s">
        <v>42</v>
      </c>
      <c r="C1060" s="1">
        <v>45445</v>
      </c>
      <c r="D1060" t="s">
        <v>27</v>
      </c>
      <c r="E1060" t="s">
        <v>21</v>
      </c>
      <c r="F1060">
        <v>3</v>
      </c>
      <c r="G1060">
        <v>7.1</v>
      </c>
      <c r="H1060">
        <v>21.3</v>
      </c>
      <c r="I1060">
        <v>4.66</v>
      </c>
      <c r="J1060">
        <v>16.64</v>
      </c>
      <c r="K1060">
        <v>491</v>
      </c>
    </row>
    <row r="1061" spans="1:11" x14ac:dyDescent="0.3">
      <c r="A1061">
        <v>2929</v>
      </c>
      <c r="B1061" t="s">
        <v>19</v>
      </c>
      <c r="C1061" s="1">
        <v>45348</v>
      </c>
      <c r="D1061" t="s">
        <v>27</v>
      </c>
      <c r="E1061" t="s">
        <v>39</v>
      </c>
      <c r="F1061">
        <v>5</v>
      </c>
      <c r="G1061">
        <v>14.81</v>
      </c>
      <c r="H1061">
        <v>74.05</v>
      </c>
      <c r="I1061">
        <v>0</v>
      </c>
      <c r="J1061">
        <v>74.05</v>
      </c>
      <c r="K1061">
        <v>461</v>
      </c>
    </row>
    <row r="1062" spans="1:11" x14ac:dyDescent="0.3">
      <c r="A1062">
        <v>5264</v>
      </c>
      <c r="B1062" t="s">
        <v>19</v>
      </c>
      <c r="C1062" s="1">
        <v>45691</v>
      </c>
      <c r="D1062" t="s">
        <v>20</v>
      </c>
      <c r="E1062" t="s">
        <v>18</v>
      </c>
      <c r="F1062">
        <v>4</v>
      </c>
      <c r="G1062">
        <v>23.1</v>
      </c>
      <c r="H1062">
        <v>92.4</v>
      </c>
      <c r="I1062">
        <v>0</v>
      </c>
      <c r="J1062">
        <v>92.4</v>
      </c>
      <c r="K1062">
        <v>275</v>
      </c>
    </row>
    <row r="1063" spans="1:11" x14ac:dyDescent="0.3">
      <c r="A1063">
        <v>8311</v>
      </c>
      <c r="B1063" t="s">
        <v>11</v>
      </c>
      <c r="C1063" s="1">
        <v>45311</v>
      </c>
      <c r="D1063" t="s">
        <v>38</v>
      </c>
      <c r="E1063" t="s">
        <v>39</v>
      </c>
      <c r="F1063">
        <v>4</v>
      </c>
      <c r="G1063">
        <v>20.49</v>
      </c>
      <c r="H1063">
        <v>81.96</v>
      </c>
      <c r="I1063">
        <v>2.4300000000000002</v>
      </c>
      <c r="J1063">
        <v>79.53</v>
      </c>
      <c r="K1063">
        <v>180</v>
      </c>
    </row>
    <row r="1064" spans="1:11" x14ac:dyDescent="0.3">
      <c r="A1064">
        <v>5678</v>
      </c>
      <c r="B1064" t="s">
        <v>19</v>
      </c>
      <c r="C1064" s="1">
        <v>45684</v>
      </c>
      <c r="D1064" t="s">
        <v>12</v>
      </c>
      <c r="E1064" t="s">
        <v>48</v>
      </c>
      <c r="F1064">
        <v>4</v>
      </c>
      <c r="G1064">
        <v>11.73</v>
      </c>
      <c r="H1064">
        <v>46.92</v>
      </c>
      <c r="I1064">
        <v>1.89</v>
      </c>
      <c r="J1064">
        <v>45.03</v>
      </c>
      <c r="K1064">
        <v>98</v>
      </c>
    </row>
    <row r="1065" spans="1:11" x14ac:dyDescent="0.3">
      <c r="A1065">
        <v>9047</v>
      </c>
      <c r="B1065" t="s">
        <v>31</v>
      </c>
      <c r="C1065" s="1">
        <v>45300</v>
      </c>
      <c r="D1065" t="s">
        <v>35</v>
      </c>
      <c r="E1065" t="s">
        <v>23</v>
      </c>
      <c r="F1065">
        <v>2</v>
      </c>
      <c r="G1065">
        <v>3.6</v>
      </c>
      <c r="H1065">
        <v>7.2</v>
      </c>
      <c r="I1065">
        <v>0</v>
      </c>
      <c r="J1065">
        <v>7.2</v>
      </c>
      <c r="K1065">
        <v>314</v>
      </c>
    </row>
    <row r="1066" spans="1:11" x14ac:dyDescent="0.3">
      <c r="A1066">
        <v>3009</v>
      </c>
      <c r="B1066" t="s">
        <v>42</v>
      </c>
      <c r="C1066" s="1">
        <v>45250</v>
      </c>
      <c r="D1066" t="s">
        <v>17</v>
      </c>
      <c r="E1066" t="s">
        <v>47</v>
      </c>
      <c r="F1066">
        <v>3</v>
      </c>
      <c r="G1066">
        <v>2.06</v>
      </c>
      <c r="H1066">
        <v>6.18</v>
      </c>
      <c r="I1066">
        <v>1.78</v>
      </c>
      <c r="J1066">
        <v>4.4000000000000004</v>
      </c>
      <c r="K1066">
        <v>252</v>
      </c>
    </row>
    <row r="1067" spans="1:11" x14ac:dyDescent="0.3">
      <c r="A1067">
        <v>2213</v>
      </c>
      <c r="B1067" t="s">
        <v>24</v>
      </c>
      <c r="C1067" s="1">
        <v>45496</v>
      </c>
      <c r="D1067" t="s">
        <v>15</v>
      </c>
      <c r="E1067" t="s">
        <v>13</v>
      </c>
      <c r="F1067">
        <v>5</v>
      </c>
      <c r="G1067">
        <v>15.5</v>
      </c>
      <c r="H1067">
        <v>77.5</v>
      </c>
      <c r="I1067">
        <v>0</v>
      </c>
      <c r="J1067">
        <v>77.5</v>
      </c>
      <c r="K1067">
        <v>87</v>
      </c>
    </row>
    <row r="1068" spans="1:11" x14ac:dyDescent="0.3">
      <c r="A1068">
        <v>3828</v>
      </c>
      <c r="B1068" t="s">
        <v>19</v>
      </c>
      <c r="C1068" s="1">
        <v>45843</v>
      </c>
      <c r="D1068" t="s">
        <v>15</v>
      </c>
      <c r="E1068" t="s">
        <v>41</v>
      </c>
      <c r="F1068">
        <v>1</v>
      </c>
      <c r="G1068">
        <v>4.6900000000000004</v>
      </c>
      <c r="H1068">
        <v>4.6900000000000004</v>
      </c>
      <c r="I1068">
        <v>3.92</v>
      </c>
      <c r="J1068">
        <v>0.77</v>
      </c>
      <c r="K1068">
        <v>477</v>
      </c>
    </row>
    <row r="1069" spans="1:11" x14ac:dyDescent="0.3">
      <c r="A1069">
        <v>8292</v>
      </c>
      <c r="B1069" t="s">
        <v>30</v>
      </c>
      <c r="C1069" s="1">
        <v>45213</v>
      </c>
      <c r="D1069" t="s">
        <v>17</v>
      </c>
      <c r="E1069" t="s">
        <v>39</v>
      </c>
      <c r="F1069">
        <v>5</v>
      </c>
      <c r="G1069">
        <v>18.809999999999999</v>
      </c>
      <c r="H1069">
        <v>94.05</v>
      </c>
      <c r="I1069">
        <v>4.75</v>
      </c>
      <c r="J1069">
        <v>89.3</v>
      </c>
      <c r="K1069">
        <v>348</v>
      </c>
    </row>
    <row r="1070" spans="1:11" x14ac:dyDescent="0.3">
      <c r="A1070">
        <v>6236</v>
      </c>
      <c r="B1070" t="s">
        <v>31</v>
      </c>
      <c r="C1070" s="1">
        <v>45663</v>
      </c>
      <c r="D1070" t="s">
        <v>22</v>
      </c>
      <c r="E1070" t="s">
        <v>16</v>
      </c>
      <c r="F1070">
        <v>4</v>
      </c>
      <c r="G1070">
        <v>8.94</v>
      </c>
      <c r="H1070">
        <v>35.76</v>
      </c>
      <c r="I1070">
        <v>3.58</v>
      </c>
      <c r="J1070">
        <v>32.18</v>
      </c>
      <c r="K1070">
        <v>348</v>
      </c>
    </row>
    <row r="1071" spans="1:11" x14ac:dyDescent="0.3">
      <c r="A1071">
        <v>6692</v>
      </c>
      <c r="B1071" t="s">
        <v>36</v>
      </c>
      <c r="C1071" s="1">
        <v>45696</v>
      </c>
      <c r="D1071" t="s">
        <v>38</v>
      </c>
      <c r="E1071" t="s">
        <v>40</v>
      </c>
      <c r="F1071">
        <v>2</v>
      </c>
      <c r="G1071">
        <v>2.35</v>
      </c>
      <c r="H1071">
        <v>4.7</v>
      </c>
      <c r="I1071">
        <v>2.8</v>
      </c>
      <c r="J1071">
        <v>1.9</v>
      </c>
      <c r="K1071">
        <v>470</v>
      </c>
    </row>
    <row r="1072" spans="1:11" x14ac:dyDescent="0.3">
      <c r="A1072">
        <v>2063</v>
      </c>
      <c r="B1072" t="s">
        <v>31</v>
      </c>
      <c r="C1072" s="1">
        <v>45572</v>
      </c>
      <c r="D1072" t="s">
        <v>20</v>
      </c>
      <c r="E1072" t="s">
        <v>44</v>
      </c>
      <c r="F1072">
        <v>3</v>
      </c>
      <c r="G1072">
        <v>3.36</v>
      </c>
      <c r="H1072">
        <v>10.08</v>
      </c>
      <c r="I1072">
        <v>0</v>
      </c>
      <c r="J1072">
        <v>10.08</v>
      </c>
      <c r="K1072">
        <v>292</v>
      </c>
    </row>
    <row r="1073" spans="1:11" x14ac:dyDescent="0.3">
      <c r="A1073">
        <v>9882</v>
      </c>
      <c r="B1073" t="s">
        <v>42</v>
      </c>
      <c r="C1073" s="1">
        <v>45370</v>
      </c>
      <c r="D1073" t="s">
        <v>20</v>
      </c>
      <c r="E1073" t="s">
        <v>43</v>
      </c>
      <c r="F1073">
        <v>2</v>
      </c>
      <c r="G1073">
        <v>6.7</v>
      </c>
      <c r="H1073">
        <v>13.4</v>
      </c>
      <c r="I1073">
        <v>3.5</v>
      </c>
      <c r="J1073">
        <v>9.9</v>
      </c>
      <c r="K1073">
        <v>168</v>
      </c>
    </row>
    <row r="1074" spans="1:11" x14ac:dyDescent="0.3">
      <c r="A1074">
        <v>5914</v>
      </c>
      <c r="B1074" t="s">
        <v>11</v>
      </c>
      <c r="C1074" s="1">
        <v>45806</v>
      </c>
      <c r="D1074" t="s">
        <v>12</v>
      </c>
      <c r="E1074" t="s">
        <v>47</v>
      </c>
      <c r="F1074">
        <v>4</v>
      </c>
      <c r="G1074">
        <v>24.42</v>
      </c>
      <c r="H1074">
        <v>97.68</v>
      </c>
      <c r="I1074">
        <v>14.65</v>
      </c>
      <c r="J1074">
        <v>83.03</v>
      </c>
      <c r="K1074">
        <v>303</v>
      </c>
    </row>
    <row r="1075" spans="1:11" x14ac:dyDescent="0.3">
      <c r="A1075">
        <v>3580</v>
      </c>
      <c r="B1075" t="s">
        <v>42</v>
      </c>
      <c r="C1075" s="1">
        <v>45697</v>
      </c>
      <c r="D1075" t="s">
        <v>15</v>
      </c>
      <c r="E1075" t="s">
        <v>47</v>
      </c>
      <c r="F1075">
        <v>2</v>
      </c>
      <c r="G1075">
        <v>28.8</v>
      </c>
      <c r="H1075">
        <v>57.6</v>
      </c>
      <c r="I1075">
        <v>8.64</v>
      </c>
      <c r="J1075">
        <v>48.96</v>
      </c>
      <c r="K1075">
        <v>426</v>
      </c>
    </row>
    <row r="1076" spans="1:11" x14ac:dyDescent="0.3">
      <c r="A1076">
        <v>3852</v>
      </c>
      <c r="B1076" t="s">
        <v>14</v>
      </c>
      <c r="C1076" s="1">
        <v>45761</v>
      </c>
      <c r="D1076" t="s">
        <v>17</v>
      </c>
      <c r="E1076" t="s">
        <v>43</v>
      </c>
      <c r="F1076">
        <v>5</v>
      </c>
      <c r="G1076">
        <v>18.96</v>
      </c>
      <c r="H1076">
        <v>94.8</v>
      </c>
      <c r="I1076">
        <v>0</v>
      </c>
      <c r="J1076">
        <v>94.8</v>
      </c>
      <c r="K1076">
        <v>391</v>
      </c>
    </row>
    <row r="1077" spans="1:11" x14ac:dyDescent="0.3">
      <c r="A1077">
        <v>6922</v>
      </c>
      <c r="B1077" t="s">
        <v>26</v>
      </c>
      <c r="C1077" s="1">
        <v>45540</v>
      </c>
      <c r="D1077" t="s">
        <v>28</v>
      </c>
      <c r="E1077" t="s">
        <v>48</v>
      </c>
      <c r="F1077">
        <v>1</v>
      </c>
      <c r="G1077">
        <v>29.25</v>
      </c>
      <c r="H1077">
        <v>29.25</v>
      </c>
      <c r="I1077">
        <v>2.93</v>
      </c>
      <c r="J1077">
        <v>26.32</v>
      </c>
      <c r="K1077">
        <v>469</v>
      </c>
    </row>
    <row r="1078" spans="1:11" x14ac:dyDescent="0.3">
      <c r="A1078">
        <v>4673</v>
      </c>
      <c r="B1078" t="s">
        <v>36</v>
      </c>
      <c r="C1078" s="1">
        <v>45239</v>
      </c>
      <c r="D1078" t="s">
        <v>15</v>
      </c>
      <c r="E1078" t="s">
        <v>41</v>
      </c>
      <c r="F1078">
        <v>1</v>
      </c>
      <c r="G1078">
        <v>27.64</v>
      </c>
      <c r="H1078">
        <v>27.64</v>
      </c>
      <c r="I1078">
        <v>4.1500000000000004</v>
      </c>
      <c r="J1078">
        <v>23.49</v>
      </c>
      <c r="K1078">
        <v>226</v>
      </c>
    </row>
    <row r="1079" spans="1:11" x14ac:dyDescent="0.3">
      <c r="A1079">
        <v>4292</v>
      </c>
      <c r="B1079" t="s">
        <v>24</v>
      </c>
      <c r="C1079" s="1">
        <v>45760</v>
      </c>
      <c r="D1079" t="s">
        <v>15</v>
      </c>
      <c r="E1079" t="s">
        <v>48</v>
      </c>
      <c r="F1079">
        <v>1</v>
      </c>
      <c r="G1079">
        <v>17.21</v>
      </c>
      <c r="H1079">
        <v>17.21</v>
      </c>
      <c r="I1079">
        <v>1.72</v>
      </c>
      <c r="J1079">
        <v>15.49</v>
      </c>
      <c r="K1079">
        <v>150</v>
      </c>
    </row>
    <row r="1080" spans="1:11" x14ac:dyDescent="0.3">
      <c r="A1080">
        <v>3275</v>
      </c>
      <c r="B1080" t="s">
        <v>11</v>
      </c>
      <c r="C1080" s="1">
        <v>45328</v>
      </c>
      <c r="D1080" t="s">
        <v>28</v>
      </c>
      <c r="E1080" t="s">
        <v>16</v>
      </c>
      <c r="F1080">
        <v>2</v>
      </c>
      <c r="G1080">
        <v>26.06</v>
      </c>
      <c r="H1080">
        <v>52.12</v>
      </c>
      <c r="I1080">
        <v>5.21</v>
      </c>
      <c r="J1080">
        <v>46.91</v>
      </c>
      <c r="K1080">
        <v>403</v>
      </c>
    </row>
    <row r="1081" spans="1:11" x14ac:dyDescent="0.3">
      <c r="A1081">
        <v>9094</v>
      </c>
      <c r="B1081" t="s">
        <v>24</v>
      </c>
      <c r="C1081" s="1">
        <v>45165</v>
      </c>
      <c r="D1081" t="s">
        <v>45</v>
      </c>
      <c r="E1081" t="s">
        <v>16</v>
      </c>
      <c r="F1081">
        <v>5</v>
      </c>
      <c r="G1081">
        <v>18.95</v>
      </c>
      <c r="H1081">
        <v>94.75</v>
      </c>
      <c r="I1081">
        <v>9.4700000000000006</v>
      </c>
      <c r="J1081">
        <v>85.28</v>
      </c>
      <c r="K1081">
        <v>173</v>
      </c>
    </row>
    <row r="1082" spans="1:11" x14ac:dyDescent="0.3">
      <c r="A1082">
        <v>6912</v>
      </c>
      <c r="B1082" t="s">
        <v>14</v>
      </c>
      <c r="C1082" s="1">
        <v>45575</v>
      </c>
      <c r="D1082" t="s">
        <v>22</v>
      </c>
      <c r="E1082" t="s">
        <v>44</v>
      </c>
      <c r="F1082">
        <v>1</v>
      </c>
      <c r="G1082">
        <v>3.97</v>
      </c>
      <c r="H1082">
        <v>3.97</v>
      </c>
      <c r="I1082">
        <v>4.16</v>
      </c>
      <c r="J1082">
        <v>-0.19</v>
      </c>
      <c r="K1082">
        <v>304</v>
      </c>
    </row>
    <row r="1083" spans="1:11" x14ac:dyDescent="0.3">
      <c r="A1083">
        <v>7044</v>
      </c>
      <c r="B1083" t="s">
        <v>42</v>
      </c>
      <c r="C1083" s="1">
        <v>45508</v>
      </c>
      <c r="D1083" t="s">
        <v>28</v>
      </c>
      <c r="E1083" t="s">
        <v>41</v>
      </c>
      <c r="F1083">
        <v>5</v>
      </c>
      <c r="G1083">
        <v>8.42</v>
      </c>
      <c r="H1083">
        <v>42.1</v>
      </c>
      <c r="I1083">
        <v>0</v>
      </c>
      <c r="J1083">
        <v>42.1</v>
      </c>
      <c r="K1083">
        <v>215</v>
      </c>
    </row>
    <row r="1084" spans="1:11" x14ac:dyDescent="0.3">
      <c r="A1084">
        <v>3126</v>
      </c>
      <c r="B1084" t="s">
        <v>26</v>
      </c>
      <c r="C1084" s="1">
        <v>45620</v>
      </c>
      <c r="D1084" t="s">
        <v>34</v>
      </c>
      <c r="E1084" t="s">
        <v>25</v>
      </c>
      <c r="F1084">
        <v>2</v>
      </c>
      <c r="G1084">
        <v>24.1</v>
      </c>
      <c r="H1084">
        <v>48.2</v>
      </c>
      <c r="I1084">
        <v>7.23</v>
      </c>
      <c r="J1084">
        <v>40.97</v>
      </c>
      <c r="K1084">
        <v>30</v>
      </c>
    </row>
    <row r="1085" spans="1:11" x14ac:dyDescent="0.3">
      <c r="A1085">
        <v>2412</v>
      </c>
      <c r="B1085" t="s">
        <v>24</v>
      </c>
      <c r="C1085" s="1">
        <v>45196</v>
      </c>
      <c r="D1085" t="s">
        <v>38</v>
      </c>
      <c r="E1085" t="s">
        <v>23</v>
      </c>
      <c r="F1085">
        <v>3</v>
      </c>
      <c r="G1085">
        <v>17.920000000000002</v>
      </c>
      <c r="H1085">
        <v>53.76</v>
      </c>
      <c r="I1085">
        <v>10.75</v>
      </c>
      <c r="J1085">
        <v>43.01</v>
      </c>
      <c r="K1085">
        <v>277</v>
      </c>
    </row>
    <row r="1086" spans="1:11" x14ac:dyDescent="0.3">
      <c r="A1086">
        <v>6067</v>
      </c>
      <c r="B1086" t="s">
        <v>26</v>
      </c>
      <c r="C1086" s="1">
        <v>45454</v>
      </c>
      <c r="D1086" t="s">
        <v>35</v>
      </c>
      <c r="E1086" t="s">
        <v>21</v>
      </c>
      <c r="F1086">
        <v>3</v>
      </c>
      <c r="G1086">
        <v>11.69</v>
      </c>
      <c r="H1086">
        <v>35.07</v>
      </c>
      <c r="I1086">
        <v>1.95</v>
      </c>
      <c r="J1086">
        <v>33.119999999999997</v>
      </c>
      <c r="K1086">
        <v>4</v>
      </c>
    </row>
    <row r="1087" spans="1:11" x14ac:dyDescent="0.3">
      <c r="A1087">
        <v>8842</v>
      </c>
      <c r="B1087" t="s">
        <v>14</v>
      </c>
      <c r="C1087" s="1">
        <v>45553</v>
      </c>
      <c r="D1087" t="s">
        <v>12</v>
      </c>
      <c r="E1087" t="s">
        <v>16</v>
      </c>
      <c r="F1087">
        <v>3</v>
      </c>
      <c r="G1087">
        <v>6.66</v>
      </c>
      <c r="H1087">
        <v>19.98</v>
      </c>
      <c r="I1087">
        <v>2.37</v>
      </c>
      <c r="J1087">
        <v>17.61</v>
      </c>
      <c r="K1087">
        <v>102</v>
      </c>
    </row>
    <row r="1088" spans="1:11" x14ac:dyDescent="0.3">
      <c r="A1088">
        <v>7730</v>
      </c>
      <c r="B1088" t="s">
        <v>26</v>
      </c>
      <c r="C1088" s="1">
        <v>45742</v>
      </c>
      <c r="D1088" t="s">
        <v>45</v>
      </c>
      <c r="E1088" t="s">
        <v>21</v>
      </c>
      <c r="F1088">
        <v>5</v>
      </c>
      <c r="G1088">
        <v>17.41</v>
      </c>
      <c r="H1088">
        <v>87.05</v>
      </c>
      <c r="I1088">
        <v>8.7100000000000009</v>
      </c>
      <c r="J1088">
        <v>78.34</v>
      </c>
      <c r="K1088">
        <v>171</v>
      </c>
    </row>
    <row r="1089" spans="1:11" x14ac:dyDescent="0.3">
      <c r="A1089">
        <v>7708</v>
      </c>
      <c r="B1089" t="s">
        <v>36</v>
      </c>
      <c r="C1089" s="1">
        <v>45784</v>
      </c>
      <c r="D1089" t="s">
        <v>34</v>
      </c>
      <c r="E1089" t="s">
        <v>48</v>
      </c>
      <c r="F1089">
        <v>4</v>
      </c>
      <c r="G1089">
        <v>26.4</v>
      </c>
      <c r="H1089">
        <v>105.6</v>
      </c>
      <c r="I1089">
        <v>10.56</v>
      </c>
      <c r="J1089">
        <v>95.04</v>
      </c>
      <c r="K1089">
        <v>466</v>
      </c>
    </row>
    <row r="1090" spans="1:11" x14ac:dyDescent="0.3">
      <c r="A1090">
        <v>2208</v>
      </c>
      <c r="B1090" t="s">
        <v>42</v>
      </c>
      <c r="C1090" s="1">
        <v>45242</v>
      </c>
      <c r="D1090" t="s">
        <v>12</v>
      </c>
      <c r="E1090" t="s">
        <v>25</v>
      </c>
      <c r="F1090">
        <v>2</v>
      </c>
      <c r="G1090">
        <v>14.52</v>
      </c>
      <c r="H1090">
        <v>29.04</v>
      </c>
      <c r="I1090">
        <v>2.9</v>
      </c>
      <c r="J1090">
        <v>26.14</v>
      </c>
      <c r="K1090">
        <v>109</v>
      </c>
    </row>
    <row r="1091" spans="1:11" x14ac:dyDescent="0.3">
      <c r="A1091">
        <v>6194</v>
      </c>
      <c r="B1091" t="s">
        <v>36</v>
      </c>
      <c r="C1091" s="1">
        <v>45643</v>
      </c>
      <c r="D1091" t="s">
        <v>20</v>
      </c>
      <c r="E1091" t="s">
        <v>44</v>
      </c>
      <c r="F1091">
        <v>4</v>
      </c>
      <c r="G1091">
        <v>6.33</v>
      </c>
      <c r="H1091">
        <v>25.32</v>
      </c>
      <c r="I1091">
        <v>1.29</v>
      </c>
      <c r="J1091">
        <v>24.03</v>
      </c>
      <c r="K1091">
        <v>3</v>
      </c>
    </row>
    <row r="1092" spans="1:11" x14ac:dyDescent="0.3">
      <c r="A1092">
        <v>2215</v>
      </c>
      <c r="B1092" t="s">
        <v>31</v>
      </c>
      <c r="C1092" s="1">
        <v>45494</v>
      </c>
      <c r="D1092" t="s">
        <v>38</v>
      </c>
      <c r="E1092" t="s">
        <v>48</v>
      </c>
      <c r="F1092">
        <v>2</v>
      </c>
      <c r="G1092">
        <v>9.42</v>
      </c>
      <c r="H1092">
        <v>18.84</v>
      </c>
      <c r="I1092">
        <v>4.9000000000000004</v>
      </c>
      <c r="J1092">
        <v>13.94</v>
      </c>
      <c r="K1092">
        <v>99</v>
      </c>
    </row>
    <row r="1093" spans="1:11" x14ac:dyDescent="0.3">
      <c r="A1093">
        <v>8632</v>
      </c>
      <c r="B1093" t="s">
        <v>42</v>
      </c>
      <c r="C1093" s="1">
        <v>45673</v>
      </c>
      <c r="D1093" t="s">
        <v>17</v>
      </c>
      <c r="E1093" t="s">
        <v>37</v>
      </c>
      <c r="F1093">
        <v>2</v>
      </c>
      <c r="G1093">
        <v>7.34</v>
      </c>
      <c r="H1093">
        <v>14.68</v>
      </c>
      <c r="I1093">
        <v>2.2000000000000002</v>
      </c>
      <c r="J1093">
        <v>12.48</v>
      </c>
      <c r="K1093">
        <v>134</v>
      </c>
    </row>
    <row r="1094" spans="1:11" x14ac:dyDescent="0.3">
      <c r="A1094">
        <v>9476</v>
      </c>
      <c r="B1094" t="s">
        <v>14</v>
      </c>
      <c r="C1094" s="1">
        <v>45412</v>
      </c>
      <c r="D1094" t="s">
        <v>17</v>
      </c>
      <c r="E1094" t="s">
        <v>29</v>
      </c>
      <c r="F1094">
        <v>2</v>
      </c>
      <c r="G1094">
        <v>1.61</v>
      </c>
      <c r="H1094">
        <v>3.22</v>
      </c>
      <c r="I1094">
        <v>1.08</v>
      </c>
      <c r="J1094">
        <v>2.14</v>
      </c>
      <c r="K1094">
        <v>431</v>
      </c>
    </row>
    <row r="1095" spans="1:11" x14ac:dyDescent="0.3">
      <c r="A1095">
        <v>3102</v>
      </c>
      <c r="B1095" t="s">
        <v>19</v>
      </c>
      <c r="C1095" s="1">
        <v>45826</v>
      </c>
      <c r="D1095" t="s">
        <v>20</v>
      </c>
      <c r="E1095" t="s">
        <v>48</v>
      </c>
      <c r="F1095">
        <v>3</v>
      </c>
      <c r="G1095">
        <v>28.14</v>
      </c>
      <c r="H1095">
        <v>84.42</v>
      </c>
      <c r="I1095">
        <v>16.88</v>
      </c>
      <c r="J1095">
        <v>67.540000000000006</v>
      </c>
      <c r="K1095">
        <v>156</v>
      </c>
    </row>
    <row r="1096" spans="1:11" x14ac:dyDescent="0.3">
      <c r="A1096">
        <v>3981</v>
      </c>
      <c r="B1096" t="s">
        <v>36</v>
      </c>
      <c r="C1096" s="1">
        <v>45741</v>
      </c>
      <c r="D1096" t="s">
        <v>22</v>
      </c>
      <c r="E1096" t="s">
        <v>29</v>
      </c>
      <c r="F1096">
        <v>5</v>
      </c>
      <c r="G1096">
        <v>29.33</v>
      </c>
      <c r="H1096">
        <v>146.65</v>
      </c>
      <c r="I1096">
        <v>0</v>
      </c>
      <c r="J1096">
        <v>146.65</v>
      </c>
      <c r="K1096">
        <v>319</v>
      </c>
    </row>
    <row r="1097" spans="1:11" x14ac:dyDescent="0.3">
      <c r="A1097">
        <v>3114</v>
      </c>
      <c r="B1097" t="s">
        <v>11</v>
      </c>
      <c r="C1097" s="1">
        <v>45481</v>
      </c>
      <c r="D1097" t="s">
        <v>15</v>
      </c>
      <c r="E1097" t="s">
        <v>41</v>
      </c>
      <c r="F1097">
        <v>2</v>
      </c>
      <c r="G1097">
        <v>24.04</v>
      </c>
      <c r="H1097">
        <v>48.08</v>
      </c>
      <c r="I1097">
        <v>0</v>
      </c>
      <c r="J1097">
        <v>48.08</v>
      </c>
      <c r="K1097">
        <v>98</v>
      </c>
    </row>
    <row r="1098" spans="1:11" x14ac:dyDescent="0.3">
      <c r="A1098">
        <v>9238</v>
      </c>
      <c r="B1098" t="s">
        <v>36</v>
      </c>
      <c r="C1098" s="1">
        <v>45852</v>
      </c>
      <c r="D1098" t="s">
        <v>22</v>
      </c>
      <c r="E1098" t="s">
        <v>16</v>
      </c>
      <c r="F1098">
        <v>2</v>
      </c>
      <c r="G1098">
        <v>27.7</v>
      </c>
      <c r="H1098">
        <v>55.4</v>
      </c>
      <c r="I1098">
        <v>2.1800000000000002</v>
      </c>
      <c r="J1098">
        <v>53.22</v>
      </c>
      <c r="K1098">
        <v>390</v>
      </c>
    </row>
    <row r="1099" spans="1:11" x14ac:dyDescent="0.3">
      <c r="A1099">
        <v>1907</v>
      </c>
      <c r="B1099" t="s">
        <v>19</v>
      </c>
      <c r="C1099" s="1">
        <v>45790</v>
      </c>
      <c r="D1099" t="s">
        <v>22</v>
      </c>
      <c r="E1099" t="s">
        <v>25</v>
      </c>
      <c r="F1099">
        <v>1</v>
      </c>
      <c r="G1099">
        <v>19.239999999999998</v>
      </c>
      <c r="H1099">
        <v>19.239999999999998</v>
      </c>
      <c r="I1099">
        <v>4.87</v>
      </c>
      <c r="J1099">
        <v>14.37</v>
      </c>
      <c r="K1099">
        <v>143</v>
      </c>
    </row>
    <row r="1100" spans="1:11" x14ac:dyDescent="0.3">
      <c r="A1100">
        <v>3034</v>
      </c>
      <c r="B1100" t="s">
        <v>26</v>
      </c>
      <c r="C1100" s="1">
        <v>45547</v>
      </c>
      <c r="D1100" t="s">
        <v>17</v>
      </c>
      <c r="E1100" t="s">
        <v>43</v>
      </c>
      <c r="F1100">
        <v>4</v>
      </c>
      <c r="G1100">
        <v>23.93</v>
      </c>
      <c r="H1100">
        <v>95.72</v>
      </c>
      <c r="I1100">
        <v>19.14</v>
      </c>
      <c r="J1100">
        <v>76.58</v>
      </c>
      <c r="K1100">
        <v>314</v>
      </c>
    </row>
    <row r="1101" spans="1:11" x14ac:dyDescent="0.3">
      <c r="A1101">
        <v>3507</v>
      </c>
      <c r="B1101" t="s">
        <v>14</v>
      </c>
      <c r="C1101" s="1">
        <v>45381</v>
      </c>
      <c r="D1101" t="s">
        <v>20</v>
      </c>
      <c r="E1101" t="s">
        <v>46</v>
      </c>
      <c r="F1101">
        <v>3</v>
      </c>
      <c r="G1101">
        <v>15.45</v>
      </c>
      <c r="H1101">
        <v>46.35</v>
      </c>
      <c r="I1101">
        <v>6.95</v>
      </c>
      <c r="J1101">
        <v>39.4</v>
      </c>
      <c r="K1101">
        <v>237</v>
      </c>
    </row>
    <row r="1102" spans="1:11" x14ac:dyDescent="0.3">
      <c r="A1102">
        <v>3697</v>
      </c>
      <c r="B1102" t="s">
        <v>36</v>
      </c>
      <c r="C1102" s="1">
        <v>45270</v>
      </c>
      <c r="D1102" t="s">
        <v>38</v>
      </c>
      <c r="E1102" t="s">
        <v>47</v>
      </c>
      <c r="F1102">
        <v>4</v>
      </c>
      <c r="G1102">
        <v>14.73</v>
      </c>
      <c r="H1102">
        <v>58.92</v>
      </c>
      <c r="I1102">
        <v>0</v>
      </c>
      <c r="J1102">
        <v>58.92</v>
      </c>
      <c r="K1102">
        <v>297</v>
      </c>
    </row>
    <row r="1103" spans="1:11" x14ac:dyDescent="0.3">
      <c r="A1103">
        <v>6286</v>
      </c>
      <c r="B1103" t="s">
        <v>31</v>
      </c>
      <c r="C1103" s="1">
        <v>45871</v>
      </c>
      <c r="D1103" t="s">
        <v>17</v>
      </c>
      <c r="E1103" t="s">
        <v>25</v>
      </c>
      <c r="F1103">
        <v>2</v>
      </c>
      <c r="G1103">
        <v>14.1</v>
      </c>
      <c r="H1103">
        <v>28.2</v>
      </c>
      <c r="I1103">
        <v>5.64</v>
      </c>
      <c r="J1103">
        <v>22.56</v>
      </c>
      <c r="K1103">
        <v>120</v>
      </c>
    </row>
    <row r="1104" spans="1:11" x14ac:dyDescent="0.3">
      <c r="A1104">
        <v>4694</v>
      </c>
      <c r="B1104" t="s">
        <v>30</v>
      </c>
      <c r="C1104" s="1">
        <v>45413</v>
      </c>
      <c r="D1104" t="s">
        <v>20</v>
      </c>
      <c r="E1104" t="s">
        <v>32</v>
      </c>
      <c r="F1104">
        <v>5</v>
      </c>
      <c r="G1104">
        <v>5.55</v>
      </c>
      <c r="H1104">
        <v>27.75</v>
      </c>
      <c r="I1104">
        <v>4.16</v>
      </c>
      <c r="J1104">
        <v>23.59</v>
      </c>
      <c r="K1104">
        <v>431</v>
      </c>
    </row>
    <row r="1105" spans="1:11" x14ac:dyDescent="0.3">
      <c r="A1105">
        <v>9501</v>
      </c>
      <c r="B1105" t="s">
        <v>14</v>
      </c>
      <c r="C1105" s="1">
        <v>45840</v>
      </c>
      <c r="D1105" t="s">
        <v>15</v>
      </c>
      <c r="E1105" t="s">
        <v>41</v>
      </c>
      <c r="F1105">
        <v>1</v>
      </c>
      <c r="G1105">
        <v>9.5500000000000007</v>
      </c>
      <c r="H1105">
        <v>9.5500000000000007</v>
      </c>
      <c r="I1105">
        <v>1.91</v>
      </c>
      <c r="J1105">
        <v>7.64</v>
      </c>
      <c r="K1105">
        <v>265</v>
      </c>
    </row>
    <row r="1106" spans="1:11" x14ac:dyDescent="0.3">
      <c r="A1106">
        <v>5653</v>
      </c>
      <c r="B1106" t="s">
        <v>31</v>
      </c>
      <c r="C1106" s="1">
        <v>45802</v>
      </c>
      <c r="D1106" t="s">
        <v>45</v>
      </c>
      <c r="E1106" t="s">
        <v>46</v>
      </c>
      <c r="F1106">
        <v>5</v>
      </c>
      <c r="G1106">
        <v>10.74</v>
      </c>
      <c r="H1106">
        <v>53.7</v>
      </c>
      <c r="I1106">
        <v>5.37</v>
      </c>
      <c r="J1106">
        <v>48.33</v>
      </c>
      <c r="K1106">
        <v>230</v>
      </c>
    </row>
    <row r="1107" spans="1:11" x14ac:dyDescent="0.3">
      <c r="A1107">
        <v>2292</v>
      </c>
      <c r="B1107" t="s">
        <v>24</v>
      </c>
      <c r="C1107" s="1">
        <v>45339</v>
      </c>
      <c r="D1107" t="s">
        <v>22</v>
      </c>
      <c r="E1107" t="s">
        <v>47</v>
      </c>
      <c r="F1107">
        <v>3</v>
      </c>
      <c r="G1107">
        <v>8.91</v>
      </c>
      <c r="H1107">
        <v>26.73</v>
      </c>
      <c r="I1107">
        <v>2.67</v>
      </c>
      <c r="J1107">
        <v>24.06</v>
      </c>
      <c r="K1107">
        <v>12</v>
      </c>
    </row>
    <row r="1108" spans="1:11" x14ac:dyDescent="0.3">
      <c r="A1108">
        <v>4216</v>
      </c>
      <c r="B1108" t="s">
        <v>42</v>
      </c>
      <c r="C1108" s="1">
        <v>45638</v>
      </c>
      <c r="D1108" t="s">
        <v>35</v>
      </c>
      <c r="E1108" t="s">
        <v>43</v>
      </c>
      <c r="F1108">
        <v>3</v>
      </c>
      <c r="G1108">
        <v>27.13</v>
      </c>
      <c r="H1108">
        <v>81.39</v>
      </c>
      <c r="I1108">
        <v>12.21</v>
      </c>
      <c r="J1108">
        <v>69.180000000000007</v>
      </c>
      <c r="K1108">
        <v>150</v>
      </c>
    </row>
    <row r="1109" spans="1:11" x14ac:dyDescent="0.3">
      <c r="A1109">
        <v>5496</v>
      </c>
      <c r="B1109" t="s">
        <v>42</v>
      </c>
      <c r="C1109" s="1">
        <v>45242</v>
      </c>
      <c r="D1109" t="s">
        <v>15</v>
      </c>
      <c r="E1109" t="s">
        <v>48</v>
      </c>
      <c r="F1109">
        <v>1</v>
      </c>
      <c r="G1109">
        <v>11.44</v>
      </c>
      <c r="H1109">
        <v>11.44</v>
      </c>
      <c r="I1109">
        <v>1.72</v>
      </c>
      <c r="J1109">
        <v>9.7200000000000006</v>
      </c>
      <c r="K1109">
        <v>279</v>
      </c>
    </row>
    <row r="1110" spans="1:11" x14ac:dyDescent="0.3">
      <c r="A1110">
        <v>5961</v>
      </c>
      <c r="B1110" t="s">
        <v>42</v>
      </c>
      <c r="C1110" s="1">
        <v>45622</v>
      </c>
      <c r="D1110" t="s">
        <v>27</v>
      </c>
      <c r="E1110" t="s">
        <v>21</v>
      </c>
      <c r="F1110">
        <v>3</v>
      </c>
      <c r="G1110">
        <v>9.77</v>
      </c>
      <c r="H1110">
        <v>29.31</v>
      </c>
      <c r="I1110">
        <v>5.86</v>
      </c>
      <c r="J1110">
        <v>23.45</v>
      </c>
      <c r="K1110">
        <v>417</v>
      </c>
    </row>
    <row r="1111" spans="1:11" x14ac:dyDescent="0.3">
      <c r="A1111">
        <v>9740</v>
      </c>
      <c r="B1111" t="s">
        <v>19</v>
      </c>
      <c r="C1111" s="1">
        <v>45217</v>
      </c>
      <c r="D1111" t="s">
        <v>38</v>
      </c>
      <c r="E1111" t="s">
        <v>13</v>
      </c>
      <c r="F1111">
        <v>1</v>
      </c>
      <c r="G1111">
        <v>23.32</v>
      </c>
      <c r="H1111">
        <v>23.32</v>
      </c>
      <c r="I1111">
        <v>2.33</v>
      </c>
      <c r="J1111">
        <v>20.99</v>
      </c>
      <c r="K1111">
        <v>144</v>
      </c>
    </row>
    <row r="1112" spans="1:11" x14ac:dyDescent="0.3">
      <c r="A1112">
        <v>9234</v>
      </c>
      <c r="B1112" t="s">
        <v>24</v>
      </c>
      <c r="C1112" s="1">
        <v>45642</v>
      </c>
      <c r="D1112" t="s">
        <v>28</v>
      </c>
      <c r="E1112" t="s">
        <v>39</v>
      </c>
      <c r="F1112">
        <v>4</v>
      </c>
      <c r="G1112">
        <v>19.96</v>
      </c>
      <c r="H1112">
        <v>79.84</v>
      </c>
      <c r="I1112">
        <v>7.98</v>
      </c>
      <c r="J1112">
        <v>71.86</v>
      </c>
      <c r="K1112">
        <v>389</v>
      </c>
    </row>
    <row r="1113" spans="1:11" x14ac:dyDescent="0.3">
      <c r="A1113">
        <v>3762</v>
      </c>
      <c r="C1113" s="1">
        <v>45604</v>
      </c>
      <c r="D1113" t="s">
        <v>17</v>
      </c>
      <c r="E1113" t="s">
        <v>44</v>
      </c>
      <c r="F1113">
        <v>4</v>
      </c>
      <c r="G1113">
        <v>7.77</v>
      </c>
      <c r="H1113">
        <v>31.08</v>
      </c>
      <c r="I1113">
        <v>0</v>
      </c>
      <c r="J1113">
        <v>31.08</v>
      </c>
      <c r="K1113">
        <v>300</v>
      </c>
    </row>
    <row r="1114" spans="1:11" x14ac:dyDescent="0.3">
      <c r="A1114">
        <v>3526</v>
      </c>
      <c r="B1114" t="s">
        <v>26</v>
      </c>
      <c r="C1114" s="1">
        <v>45277</v>
      </c>
      <c r="D1114" t="s">
        <v>22</v>
      </c>
      <c r="E1114" t="s">
        <v>43</v>
      </c>
      <c r="F1114">
        <v>3</v>
      </c>
      <c r="G1114">
        <v>25.52</v>
      </c>
      <c r="H1114">
        <v>76.56</v>
      </c>
      <c r="I1114">
        <v>15.31</v>
      </c>
      <c r="J1114">
        <v>61.25</v>
      </c>
      <c r="K1114">
        <v>219</v>
      </c>
    </row>
    <row r="1115" spans="1:11" x14ac:dyDescent="0.3">
      <c r="A1115">
        <v>6531</v>
      </c>
      <c r="B1115" t="s">
        <v>26</v>
      </c>
      <c r="C1115" s="1">
        <v>45799</v>
      </c>
      <c r="D1115" t="s">
        <v>45</v>
      </c>
      <c r="E1115" t="s">
        <v>18</v>
      </c>
      <c r="F1115">
        <v>1</v>
      </c>
      <c r="G1115">
        <v>11.86</v>
      </c>
      <c r="H1115">
        <v>11.86</v>
      </c>
      <c r="I1115">
        <v>1.78</v>
      </c>
      <c r="J1115">
        <v>10.08</v>
      </c>
      <c r="K1115">
        <v>295</v>
      </c>
    </row>
    <row r="1116" spans="1:11" x14ac:dyDescent="0.3">
      <c r="A1116">
        <v>1674</v>
      </c>
      <c r="B1116" t="s">
        <v>31</v>
      </c>
      <c r="C1116" s="1">
        <v>45785</v>
      </c>
      <c r="D1116" t="s">
        <v>45</v>
      </c>
      <c r="E1116" t="s">
        <v>23</v>
      </c>
      <c r="F1116">
        <v>3</v>
      </c>
      <c r="G1116">
        <v>7.53</v>
      </c>
      <c r="H1116">
        <v>22.59</v>
      </c>
      <c r="I1116">
        <v>0</v>
      </c>
      <c r="J1116">
        <v>22.59</v>
      </c>
      <c r="K1116">
        <v>217</v>
      </c>
    </row>
    <row r="1117" spans="1:11" x14ac:dyDescent="0.3">
      <c r="A1117">
        <v>1464</v>
      </c>
      <c r="B1117" t="s">
        <v>14</v>
      </c>
      <c r="C1117" s="1">
        <v>45208</v>
      </c>
      <c r="D1117" t="s">
        <v>35</v>
      </c>
      <c r="E1117" t="s">
        <v>21</v>
      </c>
      <c r="F1117">
        <v>5</v>
      </c>
      <c r="G1117">
        <v>1.66</v>
      </c>
      <c r="H1117">
        <v>8.3000000000000007</v>
      </c>
      <c r="I1117">
        <v>1.66</v>
      </c>
      <c r="J1117">
        <v>6.64</v>
      </c>
      <c r="K1117">
        <v>402</v>
      </c>
    </row>
    <row r="1118" spans="1:11" x14ac:dyDescent="0.3">
      <c r="A1118">
        <v>1744</v>
      </c>
      <c r="B1118" t="s">
        <v>19</v>
      </c>
      <c r="C1118" s="1">
        <v>45643</v>
      </c>
      <c r="D1118" t="s">
        <v>22</v>
      </c>
      <c r="E1118" t="s">
        <v>32</v>
      </c>
      <c r="F1118">
        <v>4</v>
      </c>
      <c r="G1118">
        <v>6.91</v>
      </c>
      <c r="H1118">
        <v>27.64</v>
      </c>
      <c r="I1118">
        <v>2.5499999999999998</v>
      </c>
      <c r="J1118">
        <v>25.09</v>
      </c>
      <c r="K1118">
        <v>200</v>
      </c>
    </row>
    <row r="1119" spans="1:11" x14ac:dyDescent="0.3">
      <c r="A1119">
        <v>5336</v>
      </c>
      <c r="B1119" t="s">
        <v>26</v>
      </c>
      <c r="C1119" s="1">
        <v>45650</v>
      </c>
      <c r="D1119" t="s">
        <v>15</v>
      </c>
      <c r="E1119" t="s">
        <v>21</v>
      </c>
      <c r="F1119">
        <v>5</v>
      </c>
      <c r="G1119">
        <v>28.89</v>
      </c>
      <c r="H1119">
        <v>144.44999999999999</v>
      </c>
      <c r="I1119">
        <v>1.69</v>
      </c>
      <c r="J1119">
        <v>142.76</v>
      </c>
      <c r="K1119">
        <v>327</v>
      </c>
    </row>
    <row r="1120" spans="1:11" x14ac:dyDescent="0.3">
      <c r="A1120">
        <v>4453</v>
      </c>
      <c r="B1120" t="s">
        <v>14</v>
      </c>
      <c r="C1120" s="1">
        <v>45740</v>
      </c>
      <c r="D1120" t="s">
        <v>34</v>
      </c>
      <c r="E1120" t="s">
        <v>40</v>
      </c>
      <c r="F1120">
        <v>5</v>
      </c>
      <c r="G1120">
        <v>15.16</v>
      </c>
      <c r="H1120">
        <v>75.8</v>
      </c>
      <c r="I1120">
        <v>4.6500000000000004</v>
      </c>
      <c r="J1120">
        <v>71.150000000000006</v>
      </c>
      <c r="K1120">
        <v>95</v>
      </c>
    </row>
    <row r="1121" spans="1:11" x14ac:dyDescent="0.3">
      <c r="A1121">
        <v>7825</v>
      </c>
      <c r="B1121" t="s">
        <v>24</v>
      </c>
      <c r="C1121" s="1">
        <v>45625</v>
      </c>
      <c r="D1121" t="s">
        <v>35</v>
      </c>
      <c r="E1121" t="s">
        <v>44</v>
      </c>
      <c r="F1121">
        <v>2</v>
      </c>
      <c r="G1121">
        <v>9.43</v>
      </c>
      <c r="H1121">
        <v>18.86</v>
      </c>
      <c r="I1121">
        <v>1.89</v>
      </c>
      <c r="J1121">
        <v>16.97</v>
      </c>
      <c r="K1121">
        <v>268</v>
      </c>
    </row>
    <row r="1122" spans="1:11" x14ac:dyDescent="0.3">
      <c r="A1122">
        <v>1496</v>
      </c>
      <c r="B1122" t="s">
        <v>31</v>
      </c>
      <c r="C1122" s="1">
        <v>45531</v>
      </c>
      <c r="D1122" t="s">
        <v>22</v>
      </c>
      <c r="E1122" t="s">
        <v>46</v>
      </c>
      <c r="F1122">
        <v>1</v>
      </c>
      <c r="G1122">
        <v>5.97</v>
      </c>
      <c r="H1122">
        <v>5.97</v>
      </c>
      <c r="I1122">
        <v>0.6</v>
      </c>
      <c r="J1122">
        <v>5.37</v>
      </c>
      <c r="K1122">
        <v>440</v>
      </c>
    </row>
    <row r="1123" spans="1:11" x14ac:dyDescent="0.3">
      <c r="A1123">
        <v>9938</v>
      </c>
      <c r="B1123" t="s">
        <v>19</v>
      </c>
      <c r="C1123" s="1">
        <v>45369</v>
      </c>
      <c r="D1123" t="s">
        <v>15</v>
      </c>
      <c r="E1123" t="s">
        <v>41</v>
      </c>
      <c r="F1123">
        <v>5</v>
      </c>
      <c r="G1123">
        <v>13.12</v>
      </c>
      <c r="H1123">
        <v>65.599999999999994</v>
      </c>
      <c r="I1123">
        <v>6.56</v>
      </c>
      <c r="J1123">
        <v>59.04</v>
      </c>
      <c r="K1123">
        <v>380</v>
      </c>
    </row>
    <row r="1124" spans="1:11" x14ac:dyDescent="0.3">
      <c r="A1124">
        <v>5949</v>
      </c>
      <c r="B1124" t="s">
        <v>42</v>
      </c>
      <c r="C1124" s="1">
        <v>45520</v>
      </c>
      <c r="D1124" t="s">
        <v>34</v>
      </c>
      <c r="E1124" t="s">
        <v>44</v>
      </c>
      <c r="F1124">
        <v>3</v>
      </c>
      <c r="G1124">
        <v>13.52</v>
      </c>
      <c r="H1124">
        <v>40.56</v>
      </c>
      <c r="I1124">
        <v>8.11</v>
      </c>
      <c r="J1124">
        <v>32.450000000000003</v>
      </c>
      <c r="K1124">
        <v>363</v>
      </c>
    </row>
    <row r="1125" spans="1:11" x14ac:dyDescent="0.3">
      <c r="A1125">
        <v>5012</v>
      </c>
      <c r="B1125" t="s">
        <v>30</v>
      </c>
      <c r="C1125" s="1">
        <v>45770</v>
      </c>
      <c r="D1125" t="s">
        <v>28</v>
      </c>
      <c r="E1125" t="s">
        <v>44</v>
      </c>
      <c r="F1125">
        <v>5</v>
      </c>
      <c r="G1125">
        <v>21.78</v>
      </c>
      <c r="H1125">
        <v>108.9</v>
      </c>
      <c r="I1125">
        <v>21.78</v>
      </c>
      <c r="J1125">
        <v>87.12</v>
      </c>
      <c r="K1125">
        <v>234</v>
      </c>
    </row>
    <row r="1126" spans="1:11" x14ac:dyDescent="0.3">
      <c r="A1126">
        <v>7653</v>
      </c>
      <c r="B1126" t="s">
        <v>31</v>
      </c>
      <c r="C1126" s="1">
        <v>45376</v>
      </c>
      <c r="D1126" t="s">
        <v>34</v>
      </c>
      <c r="E1126" t="s">
        <v>33</v>
      </c>
      <c r="F1126">
        <v>1</v>
      </c>
      <c r="G1126">
        <v>24.9</v>
      </c>
      <c r="H1126">
        <v>24.9</v>
      </c>
      <c r="I1126">
        <v>2.3199999999999998</v>
      </c>
      <c r="J1126">
        <v>22.58</v>
      </c>
      <c r="K1126">
        <v>309</v>
      </c>
    </row>
    <row r="1127" spans="1:11" x14ac:dyDescent="0.3">
      <c r="A1127">
        <v>8430</v>
      </c>
      <c r="B1127" t="s">
        <v>26</v>
      </c>
      <c r="C1127" s="1">
        <v>45201</v>
      </c>
      <c r="D1127" t="s">
        <v>45</v>
      </c>
      <c r="E1127" t="s">
        <v>33</v>
      </c>
      <c r="F1127">
        <v>5</v>
      </c>
      <c r="G1127">
        <v>2.12</v>
      </c>
      <c r="H1127">
        <v>10.6</v>
      </c>
      <c r="I1127">
        <v>0</v>
      </c>
      <c r="J1127">
        <v>10.6</v>
      </c>
      <c r="K1127">
        <v>46</v>
      </c>
    </row>
    <row r="1128" spans="1:11" x14ac:dyDescent="0.3">
      <c r="A1128">
        <v>1981</v>
      </c>
      <c r="B1128" t="s">
        <v>26</v>
      </c>
      <c r="C1128" s="1">
        <v>45267</v>
      </c>
      <c r="D1128" t="s">
        <v>22</v>
      </c>
      <c r="E1128" t="s">
        <v>37</v>
      </c>
      <c r="F1128">
        <v>4</v>
      </c>
      <c r="G1128">
        <v>18.77</v>
      </c>
      <c r="H1128">
        <v>75.08</v>
      </c>
      <c r="I1128">
        <v>7.51</v>
      </c>
      <c r="J1128">
        <v>67.569999999999993</v>
      </c>
      <c r="K1128">
        <v>414</v>
      </c>
    </row>
    <row r="1129" spans="1:11" x14ac:dyDescent="0.3">
      <c r="A1129">
        <v>8202</v>
      </c>
      <c r="B1129" t="s">
        <v>42</v>
      </c>
      <c r="C1129" s="1">
        <v>45467</v>
      </c>
      <c r="D1129" t="s">
        <v>34</v>
      </c>
      <c r="E1129" t="s">
        <v>16</v>
      </c>
      <c r="F1129">
        <v>4</v>
      </c>
      <c r="G1129">
        <v>12.15</v>
      </c>
      <c r="H1129">
        <v>48.6</v>
      </c>
      <c r="I1129">
        <v>0</v>
      </c>
      <c r="J1129">
        <v>48.6</v>
      </c>
      <c r="K1129">
        <v>337</v>
      </c>
    </row>
    <row r="1130" spans="1:11" x14ac:dyDescent="0.3">
      <c r="A1130">
        <v>8933</v>
      </c>
      <c r="B1130" t="s">
        <v>11</v>
      </c>
      <c r="C1130" s="1">
        <v>45505</v>
      </c>
      <c r="D1130" t="s">
        <v>20</v>
      </c>
      <c r="E1130" t="s">
        <v>40</v>
      </c>
      <c r="F1130">
        <v>2</v>
      </c>
      <c r="G1130">
        <v>26.67</v>
      </c>
      <c r="H1130">
        <v>53.34</v>
      </c>
      <c r="I1130">
        <v>0</v>
      </c>
      <c r="J1130">
        <v>53.34</v>
      </c>
      <c r="K1130">
        <v>80</v>
      </c>
    </row>
    <row r="1131" spans="1:11" x14ac:dyDescent="0.3">
      <c r="A1131">
        <v>4342</v>
      </c>
      <c r="B1131" t="s">
        <v>14</v>
      </c>
      <c r="C1131" s="1">
        <v>45409</v>
      </c>
      <c r="D1131" t="s">
        <v>35</v>
      </c>
      <c r="E1131" t="s">
        <v>43</v>
      </c>
      <c r="F1131">
        <v>2</v>
      </c>
      <c r="G1131">
        <v>27.34</v>
      </c>
      <c r="H1131">
        <v>54.68</v>
      </c>
      <c r="I1131">
        <v>8.1999999999999993</v>
      </c>
      <c r="J1131">
        <v>46.48</v>
      </c>
      <c r="K1131">
        <v>210</v>
      </c>
    </row>
    <row r="1132" spans="1:11" x14ac:dyDescent="0.3">
      <c r="A1132">
        <v>3353</v>
      </c>
      <c r="B1132" t="s">
        <v>11</v>
      </c>
      <c r="C1132" s="1">
        <v>45387</v>
      </c>
      <c r="D1132" t="s">
        <v>15</v>
      </c>
      <c r="E1132" t="s">
        <v>46</v>
      </c>
      <c r="F1132">
        <v>3</v>
      </c>
      <c r="G1132">
        <v>12.88</v>
      </c>
      <c r="H1132">
        <v>38.64</v>
      </c>
      <c r="I1132">
        <v>7.73</v>
      </c>
      <c r="J1132">
        <v>30.91</v>
      </c>
      <c r="K1132">
        <v>84</v>
      </c>
    </row>
    <row r="1133" spans="1:11" x14ac:dyDescent="0.3">
      <c r="A1133">
        <v>6231</v>
      </c>
      <c r="B1133" t="s">
        <v>14</v>
      </c>
      <c r="C1133" s="1">
        <v>45715</v>
      </c>
      <c r="D1133" t="s">
        <v>12</v>
      </c>
      <c r="E1133" t="s">
        <v>33</v>
      </c>
      <c r="F1133">
        <v>1</v>
      </c>
      <c r="G1133">
        <v>3.11</v>
      </c>
      <c r="H1133">
        <v>3.11</v>
      </c>
      <c r="I1133">
        <v>0.31</v>
      </c>
      <c r="J1133">
        <v>2.8</v>
      </c>
      <c r="K1133">
        <v>355</v>
      </c>
    </row>
    <row r="1134" spans="1:11" x14ac:dyDescent="0.3">
      <c r="A1134">
        <v>6658</v>
      </c>
      <c r="C1134" s="1">
        <v>45454</v>
      </c>
      <c r="D1134" t="s">
        <v>20</v>
      </c>
      <c r="E1134" t="s">
        <v>44</v>
      </c>
      <c r="F1134">
        <v>4</v>
      </c>
      <c r="G1134">
        <v>2.09</v>
      </c>
      <c r="H1134">
        <v>8.36</v>
      </c>
      <c r="I1134">
        <v>0</v>
      </c>
      <c r="J1134">
        <v>8.36</v>
      </c>
      <c r="K1134">
        <v>128</v>
      </c>
    </row>
    <row r="1135" spans="1:11" x14ac:dyDescent="0.3">
      <c r="A1135">
        <v>3142</v>
      </c>
      <c r="B1135" t="s">
        <v>19</v>
      </c>
      <c r="C1135" s="1">
        <v>45735</v>
      </c>
      <c r="D1135" t="s">
        <v>22</v>
      </c>
      <c r="E1135" t="s">
        <v>33</v>
      </c>
      <c r="F1135">
        <v>4</v>
      </c>
      <c r="G1135">
        <v>14.37</v>
      </c>
      <c r="H1135">
        <v>57.48</v>
      </c>
      <c r="I1135">
        <v>0</v>
      </c>
      <c r="J1135">
        <v>57.48</v>
      </c>
      <c r="K1135">
        <v>42</v>
      </c>
    </row>
    <row r="1136" spans="1:11" x14ac:dyDescent="0.3">
      <c r="A1136">
        <v>7070</v>
      </c>
      <c r="B1136" t="s">
        <v>26</v>
      </c>
      <c r="C1136" s="1">
        <v>45544</v>
      </c>
      <c r="D1136" t="s">
        <v>34</v>
      </c>
      <c r="E1136" t="s">
        <v>47</v>
      </c>
      <c r="F1136">
        <v>3</v>
      </c>
      <c r="G1136">
        <v>25.4</v>
      </c>
      <c r="H1136">
        <v>76.2</v>
      </c>
      <c r="I1136">
        <v>1.4</v>
      </c>
      <c r="J1136">
        <v>74.8</v>
      </c>
      <c r="K1136">
        <v>87</v>
      </c>
    </row>
    <row r="1137" spans="1:11" x14ac:dyDescent="0.3">
      <c r="A1137">
        <v>2739</v>
      </c>
      <c r="B1137" t="s">
        <v>30</v>
      </c>
      <c r="C1137" s="1">
        <v>45392</v>
      </c>
      <c r="D1137" t="s">
        <v>15</v>
      </c>
      <c r="E1137" t="s">
        <v>18</v>
      </c>
      <c r="F1137">
        <v>4</v>
      </c>
      <c r="G1137">
        <v>5.88</v>
      </c>
      <c r="H1137">
        <v>23.52</v>
      </c>
      <c r="I1137">
        <v>0</v>
      </c>
      <c r="J1137">
        <v>23.52</v>
      </c>
      <c r="K1137">
        <v>343</v>
      </c>
    </row>
    <row r="1138" spans="1:11" x14ac:dyDescent="0.3">
      <c r="A1138">
        <v>4960</v>
      </c>
      <c r="B1138" t="s">
        <v>30</v>
      </c>
      <c r="C1138" s="1">
        <v>45507</v>
      </c>
      <c r="D1138" t="s">
        <v>34</v>
      </c>
      <c r="E1138" t="s">
        <v>33</v>
      </c>
      <c r="F1138">
        <v>3</v>
      </c>
      <c r="G1138">
        <v>6.15</v>
      </c>
      <c r="H1138">
        <v>18.45</v>
      </c>
      <c r="I1138">
        <v>0</v>
      </c>
      <c r="J1138">
        <v>18.45</v>
      </c>
      <c r="K1138">
        <v>365</v>
      </c>
    </row>
    <row r="1139" spans="1:11" x14ac:dyDescent="0.3">
      <c r="A1139">
        <v>3007</v>
      </c>
      <c r="B1139" t="s">
        <v>14</v>
      </c>
      <c r="C1139" s="1">
        <v>45352</v>
      </c>
      <c r="D1139" t="s">
        <v>17</v>
      </c>
      <c r="E1139" t="s">
        <v>33</v>
      </c>
      <c r="F1139">
        <v>1</v>
      </c>
      <c r="G1139">
        <v>25.25</v>
      </c>
      <c r="H1139">
        <v>25.25</v>
      </c>
      <c r="I1139">
        <v>2.5299999999999998</v>
      </c>
      <c r="J1139">
        <v>22.72</v>
      </c>
      <c r="K1139">
        <v>415</v>
      </c>
    </row>
    <row r="1140" spans="1:11" x14ac:dyDescent="0.3">
      <c r="A1140">
        <v>8366</v>
      </c>
      <c r="B1140" t="s">
        <v>30</v>
      </c>
      <c r="C1140" s="1">
        <v>45337</v>
      </c>
      <c r="D1140" t="s">
        <v>45</v>
      </c>
      <c r="E1140" t="s">
        <v>40</v>
      </c>
      <c r="F1140">
        <v>5</v>
      </c>
      <c r="G1140">
        <v>1.1299999999999999</v>
      </c>
      <c r="H1140">
        <v>5.65</v>
      </c>
      <c r="I1140">
        <v>1.1299999999999999</v>
      </c>
      <c r="J1140">
        <v>4.5199999999999996</v>
      </c>
      <c r="K1140">
        <v>395</v>
      </c>
    </row>
    <row r="1141" spans="1:11" x14ac:dyDescent="0.3">
      <c r="A1141">
        <v>3308</v>
      </c>
      <c r="B1141" t="s">
        <v>42</v>
      </c>
      <c r="C1141" s="1">
        <v>45220</v>
      </c>
      <c r="D1141" t="s">
        <v>22</v>
      </c>
      <c r="E1141" t="s">
        <v>25</v>
      </c>
      <c r="F1141">
        <v>2</v>
      </c>
      <c r="G1141">
        <v>3.64</v>
      </c>
      <c r="H1141">
        <v>7.28</v>
      </c>
      <c r="I1141">
        <v>2.35</v>
      </c>
      <c r="J1141">
        <v>4.93</v>
      </c>
      <c r="K1141">
        <v>215</v>
      </c>
    </row>
    <row r="1142" spans="1:11" x14ac:dyDescent="0.3">
      <c r="A1142">
        <v>1829</v>
      </c>
      <c r="B1142" t="s">
        <v>42</v>
      </c>
      <c r="C1142" s="1">
        <v>45370</v>
      </c>
      <c r="D1142" t="s">
        <v>27</v>
      </c>
      <c r="E1142" t="s">
        <v>43</v>
      </c>
      <c r="F1142">
        <v>2</v>
      </c>
      <c r="G1142">
        <v>28.79</v>
      </c>
      <c r="H1142">
        <v>57.58</v>
      </c>
      <c r="I1142">
        <v>0</v>
      </c>
      <c r="J1142">
        <v>57.58</v>
      </c>
      <c r="K1142">
        <v>49</v>
      </c>
    </row>
    <row r="1143" spans="1:11" x14ac:dyDescent="0.3">
      <c r="A1143">
        <v>7293</v>
      </c>
      <c r="B1143" t="s">
        <v>19</v>
      </c>
      <c r="C1143" s="1">
        <v>45816</v>
      </c>
      <c r="D1143" t="s">
        <v>12</v>
      </c>
      <c r="E1143" t="s">
        <v>16</v>
      </c>
      <c r="F1143">
        <v>5</v>
      </c>
      <c r="G1143">
        <v>4.1100000000000003</v>
      </c>
      <c r="H1143">
        <v>20.55</v>
      </c>
      <c r="I1143">
        <v>3.51</v>
      </c>
      <c r="J1143">
        <v>17.04</v>
      </c>
      <c r="K1143">
        <v>167</v>
      </c>
    </row>
    <row r="1144" spans="1:11" x14ac:dyDescent="0.3">
      <c r="A1144">
        <v>7850</v>
      </c>
      <c r="B1144" t="s">
        <v>42</v>
      </c>
      <c r="C1144" s="1">
        <v>45337</v>
      </c>
      <c r="D1144" t="s">
        <v>38</v>
      </c>
      <c r="E1144" t="s">
        <v>32</v>
      </c>
      <c r="F1144">
        <v>4</v>
      </c>
      <c r="G1144">
        <v>4.49</v>
      </c>
      <c r="H1144">
        <v>17.96</v>
      </c>
      <c r="I1144">
        <v>2.69</v>
      </c>
      <c r="J1144">
        <v>15.27</v>
      </c>
      <c r="K1144">
        <v>109</v>
      </c>
    </row>
    <row r="1145" spans="1:11" x14ac:dyDescent="0.3">
      <c r="A1145">
        <v>3616</v>
      </c>
      <c r="B1145" t="s">
        <v>36</v>
      </c>
      <c r="C1145" s="1">
        <v>45776</v>
      </c>
      <c r="D1145" t="s">
        <v>34</v>
      </c>
      <c r="E1145" t="s">
        <v>39</v>
      </c>
      <c r="F1145">
        <v>4</v>
      </c>
      <c r="G1145">
        <v>19.96</v>
      </c>
      <c r="H1145">
        <v>79.84</v>
      </c>
      <c r="I1145">
        <v>15.97</v>
      </c>
      <c r="J1145">
        <v>63.87</v>
      </c>
      <c r="K1145">
        <v>6</v>
      </c>
    </row>
    <row r="1146" spans="1:11" x14ac:dyDescent="0.3">
      <c r="A1146">
        <v>6364</v>
      </c>
      <c r="B1146" t="s">
        <v>26</v>
      </c>
      <c r="C1146" s="1">
        <v>45870</v>
      </c>
      <c r="D1146" t="s">
        <v>17</v>
      </c>
      <c r="E1146" t="s">
        <v>43</v>
      </c>
      <c r="F1146">
        <v>3</v>
      </c>
      <c r="G1146">
        <v>19.84</v>
      </c>
      <c r="H1146">
        <v>59.52</v>
      </c>
      <c r="I1146">
        <v>4.54</v>
      </c>
      <c r="J1146">
        <v>54.98</v>
      </c>
      <c r="K1146">
        <v>188</v>
      </c>
    </row>
    <row r="1147" spans="1:11" x14ac:dyDescent="0.3">
      <c r="A1147">
        <v>6123</v>
      </c>
      <c r="B1147" t="s">
        <v>24</v>
      </c>
      <c r="C1147" s="1">
        <v>45292</v>
      </c>
      <c r="D1147" t="s">
        <v>35</v>
      </c>
      <c r="E1147" t="s">
        <v>47</v>
      </c>
      <c r="F1147">
        <v>1</v>
      </c>
      <c r="G1147">
        <v>21.65</v>
      </c>
      <c r="H1147">
        <v>21.65</v>
      </c>
      <c r="I1147">
        <v>3.25</v>
      </c>
      <c r="J1147">
        <v>18.399999999999999</v>
      </c>
      <c r="K1147">
        <v>405</v>
      </c>
    </row>
    <row r="1148" spans="1:11" x14ac:dyDescent="0.3">
      <c r="A1148">
        <v>3610</v>
      </c>
      <c r="B1148" t="s">
        <v>11</v>
      </c>
      <c r="C1148" s="1">
        <v>45532</v>
      </c>
      <c r="D1148" t="s">
        <v>28</v>
      </c>
      <c r="E1148" t="s">
        <v>21</v>
      </c>
      <c r="F1148">
        <v>4</v>
      </c>
      <c r="G1148">
        <v>20.65</v>
      </c>
      <c r="H1148">
        <v>82.6</v>
      </c>
      <c r="I1148">
        <v>12.39</v>
      </c>
      <c r="J1148">
        <v>70.209999999999994</v>
      </c>
      <c r="K1148">
        <v>497</v>
      </c>
    </row>
    <row r="1149" spans="1:11" x14ac:dyDescent="0.3">
      <c r="A1149">
        <v>9433</v>
      </c>
      <c r="B1149" t="s">
        <v>19</v>
      </c>
      <c r="C1149" s="1">
        <v>45507</v>
      </c>
      <c r="D1149" t="s">
        <v>27</v>
      </c>
      <c r="E1149" t="s">
        <v>21</v>
      </c>
      <c r="F1149">
        <v>4</v>
      </c>
      <c r="G1149">
        <v>2.95</v>
      </c>
      <c r="H1149">
        <v>11.8</v>
      </c>
      <c r="I1149">
        <v>1.18</v>
      </c>
      <c r="J1149">
        <v>10.62</v>
      </c>
      <c r="K1149">
        <v>9</v>
      </c>
    </row>
    <row r="1150" spans="1:11" x14ac:dyDescent="0.3">
      <c r="A1150">
        <v>9171</v>
      </c>
      <c r="B1150" t="s">
        <v>14</v>
      </c>
      <c r="C1150" s="1">
        <v>45827</v>
      </c>
      <c r="D1150" t="s">
        <v>27</v>
      </c>
      <c r="E1150" t="s">
        <v>25</v>
      </c>
      <c r="F1150">
        <v>5</v>
      </c>
      <c r="G1150">
        <v>18.03</v>
      </c>
      <c r="H1150">
        <v>90.15</v>
      </c>
      <c r="I1150">
        <v>3.47</v>
      </c>
      <c r="J1150">
        <v>86.68</v>
      </c>
      <c r="K1150">
        <v>6</v>
      </c>
    </row>
    <row r="1151" spans="1:11" x14ac:dyDescent="0.3">
      <c r="A1151">
        <v>6055</v>
      </c>
      <c r="B1151" t="s">
        <v>11</v>
      </c>
      <c r="C1151" s="1">
        <v>45531</v>
      </c>
      <c r="D1151" t="s">
        <v>35</v>
      </c>
      <c r="E1151" t="s">
        <v>25</v>
      </c>
      <c r="F1151">
        <v>4</v>
      </c>
      <c r="G1151">
        <v>22.95</v>
      </c>
      <c r="H1151">
        <v>91.8</v>
      </c>
      <c r="I1151">
        <v>1.55</v>
      </c>
      <c r="J1151">
        <v>90.25</v>
      </c>
      <c r="K1151">
        <v>317</v>
      </c>
    </row>
    <row r="1152" spans="1:11" x14ac:dyDescent="0.3">
      <c r="A1152">
        <v>1379</v>
      </c>
      <c r="B1152" t="s">
        <v>26</v>
      </c>
      <c r="C1152" s="1">
        <v>45214</v>
      </c>
      <c r="D1152" t="s">
        <v>35</v>
      </c>
      <c r="E1152" t="s">
        <v>44</v>
      </c>
      <c r="F1152">
        <v>2</v>
      </c>
      <c r="G1152">
        <v>11.89</v>
      </c>
      <c r="H1152">
        <v>23.78</v>
      </c>
      <c r="I1152">
        <v>4.76</v>
      </c>
      <c r="J1152">
        <v>19.02</v>
      </c>
      <c r="K1152">
        <v>328</v>
      </c>
    </row>
    <row r="1153" spans="1:11" x14ac:dyDescent="0.3">
      <c r="A1153">
        <v>7442</v>
      </c>
      <c r="B1153" t="s">
        <v>26</v>
      </c>
      <c r="C1153" s="1">
        <v>45537</v>
      </c>
      <c r="D1153" t="s">
        <v>22</v>
      </c>
      <c r="E1153" t="s">
        <v>41</v>
      </c>
      <c r="F1153">
        <v>3</v>
      </c>
      <c r="G1153">
        <v>10.199999999999999</v>
      </c>
      <c r="H1153">
        <v>30.6</v>
      </c>
      <c r="I1153">
        <v>4.17</v>
      </c>
      <c r="J1153">
        <v>26.43</v>
      </c>
      <c r="K1153">
        <v>402</v>
      </c>
    </row>
    <row r="1154" spans="1:11" x14ac:dyDescent="0.3">
      <c r="A1154">
        <v>8491</v>
      </c>
      <c r="B1154" t="s">
        <v>24</v>
      </c>
      <c r="C1154" s="1">
        <v>45331</v>
      </c>
      <c r="D1154" t="s">
        <v>27</v>
      </c>
      <c r="E1154" t="s">
        <v>37</v>
      </c>
      <c r="F1154">
        <v>1</v>
      </c>
      <c r="G1154">
        <v>7.63</v>
      </c>
      <c r="H1154">
        <v>7.63</v>
      </c>
      <c r="I1154">
        <v>1.1399999999999999</v>
      </c>
      <c r="J1154">
        <v>6.49</v>
      </c>
      <c r="K1154">
        <v>375</v>
      </c>
    </row>
    <row r="1155" spans="1:11" x14ac:dyDescent="0.3">
      <c r="A1155">
        <v>4524</v>
      </c>
      <c r="B1155" t="s">
        <v>42</v>
      </c>
      <c r="C1155" s="1">
        <v>45598</v>
      </c>
      <c r="D1155" t="s">
        <v>17</v>
      </c>
      <c r="E1155" t="s">
        <v>18</v>
      </c>
      <c r="F1155">
        <v>1</v>
      </c>
      <c r="G1155">
        <v>27.28</v>
      </c>
      <c r="H1155">
        <v>27.28</v>
      </c>
      <c r="I1155">
        <v>0</v>
      </c>
      <c r="J1155">
        <v>27.28</v>
      </c>
      <c r="K1155">
        <v>340</v>
      </c>
    </row>
    <row r="1156" spans="1:11" x14ac:dyDescent="0.3">
      <c r="A1156">
        <v>6781</v>
      </c>
      <c r="B1156" t="s">
        <v>42</v>
      </c>
      <c r="C1156" s="1">
        <v>45182</v>
      </c>
      <c r="D1156" t="s">
        <v>28</v>
      </c>
      <c r="E1156" t="s">
        <v>32</v>
      </c>
      <c r="F1156">
        <v>5</v>
      </c>
      <c r="G1156">
        <v>10.32</v>
      </c>
      <c r="H1156">
        <v>51.6</v>
      </c>
      <c r="I1156">
        <v>4.4800000000000004</v>
      </c>
      <c r="J1156">
        <v>47.12</v>
      </c>
      <c r="K1156">
        <v>226</v>
      </c>
    </row>
    <row r="1157" spans="1:11" x14ac:dyDescent="0.3">
      <c r="A1157">
        <v>1828</v>
      </c>
      <c r="B1157" t="s">
        <v>11</v>
      </c>
      <c r="C1157" s="1">
        <v>45363</v>
      </c>
      <c r="D1157" t="s">
        <v>17</v>
      </c>
      <c r="E1157" t="s">
        <v>40</v>
      </c>
      <c r="F1157">
        <v>2</v>
      </c>
      <c r="G1157">
        <v>28.2</v>
      </c>
      <c r="H1157">
        <v>56.4</v>
      </c>
      <c r="I1157">
        <v>11.28</v>
      </c>
      <c r="J1157">
        <v>45.12</v>
      </c>
      <c r="K1157">
        <v>64</v>
      </c>
    </row>
    <row r="1158" spans="1:11" x14ac:dyDescent="0.3">
      <c r="A1158">
        <v>9108</v>
      </c>
      <c r="B1158" t="s">
        <v>14</v>
      </c>
      <c r="C1158" s="1">
        <v>45609</v>
      </c>
      <c r="D1158" t="s">
        <v>17</v>
      </c>
      <c r="E1158" t="s">
        <v>25</v>
      </c>
      <c r="F1158">
        <v>5</v>
      </c>
      <c r="G1158">
        <v>3.26</v>
      </c>
      <c r="H1158">
        <v>16.3</v>
      </c>
      <c r="I1158">
        <v>2.44</v>
      </c>
      <c r="J1158">
        <v>13.86</v>
      </c>
      <c r="K1158">
        <v>371</v>
      </c>
    </row>
    <row r="1159" spans="1:11" x14ac:dyDescent="0.3">
      <c r="A1159">
        <v>8710</v>
      </c>
      <c r="B1159" t="s">
        <v>19</v>
      </c>
      <c r="C1159" s="1">
        <v>45366</v>
      </c>
      <c r="D1159" t="s">
        <v>17</v>
      </c>
      <c r="E1159" t="s">
        <v>25</v>
      </c>
      <c r="F1159">
        <v>4</v>
      </c>
      <c r="G1159">
        <v>6.11</v>
      </c>
      <c r="H1159">
        <v>24.44</v>
      </c>
      <c r="I1159">
        <v>3.67</v>
      </c>
      <c r="J1159">
        <v>20.77</v>
      </c>
      <c r="K1159">
        <v>127</v>
      </c>
    </row>
    <row r="1160" spans="1:11" x14ac:dyDescent="0.3">
      <c r="A1160">
        <v>9793</v>
      </c>
      <c r="B1160" t="s">
        <v>26</v>
      </c>
      <c r="C1160" s="1">
        <v>45151</v>
      </c>
      <c r="D1160" t="s">
        <v>27</v>
      </c>
      <c r="E1160" t="s">
        <v>44</v>
      </c>
      <c r="F1160">
        <v>3</v>
      </c>
      <c r="G1160">
        <v>26</v>
      </c>
      <c r="H1160">
        <v>78</v>
      </c>
      <c r="I1160">
        <v>11.7</v>
      </c>
      <c r="J1160">
        <v>66.3</v>
      </c>
      <c r="K1160">
        <v>246</v>
      </c>
    </row>
    <row r="1161" spans="1:11" x14ac:dyDescent="0.3">
      <c r="A1161">
        <v>2761</v>
      </c>
      <c r="B1161" t="s">
        <v>24</v>
      </c>
      <c r="C1161" s="1">
        <v>45479</v>
      </c>
      <c r="D1161" t="s">
        <v>20</v>
      </c>
      <c r="E1161" t="s">
        <v>29</v>
      </c>
      <c r="F1161">
        <v>4</v>
      </c>
      <c r="G1161">
        <v>13.79</v>
      </c>
      <c r="H1161">
        <v>55.16</v>
      </c>
      <c r="I1161">
        <v>11.03</v>
      </c>
      <c r="J1161">
        <v>44.13</v>
      </c>
      <c r="K1161">
        <v>258</v>
      </c>
    </row>
    <row r="1162" spans="1:11" x14ac:dyDescent="0.3">
      <c r="A1162">
        <v>3194</v>
      </c>
      <c r="B1162" t="s">
        <v>26</v>
      </c>
      <c r="C1162" s="1">
        <v>45830</v>
      </c>
      <c r="D1162" t="s">
        <v>12</v>
      </c>
      <c r="E1162" t="s">
        <v>32</v>
      </c>
      <c r="F1162">
        <v>4</v>
      </c>
      <c r="G1162">
        <v>25.76</v>
      </c>
      <c r="H1162">
        <v>103.04</v>
      </c>
      <c r="I1162">
        <v>3.15</v>
      </c>
      <c r="J1162">
        <v>99.89</v>
      </c>
      <c r="K1162">
        <v>388</v>
      </c>
    </row>
    <row r="1163" spans="1:11" x14ac:dyDescent="0.3">
      <c r="A1163">
        <v>5333</v>
      </c>
      <c r="B1163" t="s">
        <v>14</v>
      </c>
      <c r="C1163" s="1">
        <v>45710</v>
      </c>
      <c r="D1163" t="s">
        <v>34</v>
      </c>
      <c r="E1163" t="s">
        <v>13</v>
      </c>
      <c r="F1163">
        <v>4</v>
      </c>
      <c r="G1163">
        <v>14.44</v>
      </c>
      <c r="H1163">
        <v>57.76</v>
      </c>
      <c r="I1163">
        <v>5.78</v>
      </c>
      <c r="J1163">
        <v>51.98</v>
      </c>
      <c r="K1163">
        <v>232</v>
      </c>
    </row>
    <row r="1164" spans="1:11" x14ac:dyDescent="0.3">
      <c r="A1164">
        <v>6992</v>
      </c>
      <c r="B1164" t="s">
        <v>14</v>
      </c>
      <c r="C1164" s="1">
        <v>45738</v>
      </c>
      <c r="D1164" t="s">
        <v>28</v>
      </c>
      <c r="E1164" t="s">
        <v>47</v>
      </c>
      <c r="F1164">
        <v>1</v>
      </c>
      <c r="G1164">
        <v>10.65</v>
      </c>
      <c r="H1164">
        <v>10.65</v>
      </c>
      <c r="I1164">
        <v>2.13</v>
      </c>
      <c r="J1164">
        <v>8.52</v>
      </c>
      <c r="K1164">
        <v>366</v>
      </c>
    </row>
    <row r="1165" spans="1:11" x14ac:dyDescent="0.3">
      <c r="A1165">
        <v>7606</v>
      </c>
      <c r="B1165" t="s">
        <v>19</v>
      </c>
      <c r="C1165" s="1">
        <v>45429</v>
      </c>
      <c r="D1165" t="s">
        <v>17</v>
      </c>
      <c r="E1165" t="s">
        <v>39</v>
      </c>
      <c r="F1165">
        <v>1</v>
      </c>
      <c r="G1165">
        <v>25.98</v>
      </c>
      <c r="H1165">
        <v>25.98</v>
      </c>
      <c r="I1165">
        <v>2.6</v>
      </c>
      <c r="J1165">
        <v>23.38</v>
      </c>
      <c r="K1165">
        <v>373</v>
      </c>
    </row>
    <row r="1166" spans="1:11" x14ac:dyDescent="0.3">
      <c r="A1166">
        <v>1741</v>
      </c>
      <c r="B1166" t="s">
        <v>24</v>
      </c>
      <c r="C1166" s="1">
        <v>45456</v>
      </c>
      <c r="D1166" t="s">
        <v>20</v>
      </c>
      <c r="E1166" t="s">
        <v>32</v>
      </c>
      <c r="F1166">
        <v>3</v>
      </c>
      <c r="G1166">
        <v>12.13</v>
      </c>
      <c r="H1166">
        <v>36.39</v>
      </c>
      <c r="I1166">
        <v>3.64</v>
      </c>
      <c r="J1166">
        <v>32.75</v>
      </c>
      <c r="K1166">
        <v>157</v>
      </c>
    </row>
    <row r="1167" spans="1:11" x14ac:dyDescent="0.3">
      <c r="A1167">
        <v>1838</v>
      </c>
      <c r="B1167" t="s">
        <v>31</v>
      </c>
      <c r="C1167" s="1">
        <v>45587</v>
      </c>
      <c r="D1167" t="s">
        <v>15</v>
      </c>
      <c r="E1167" t="s">
        <v>32</v>
      </c>
      <c r="F1167">
        <v>5</v>
      </c>
      <c r="G1167">
        <v>5.7</v>
      </c>
      <c r="H1167">
        <v>28.5</v>
      </c>
      <c r="I1167">
        <v>4.2699999999999996</v>
      </c>
      <c r="J1167">
        <v>24.23</v>
      </c>
      <c r="K1167">
        <v>390</v>
      </c>
    </row>
    <row r="1168" spans="1:11" x14ac:dyDescent="0.3">
      <c r="A1168">
        <v>4189</v>
      </c>
      <c r="B1168" t="s">
        <v>36</v>
      </c>
      <c r="C1168" s="1">
        <v>45426</v>
      </c>
      <c r="D1168" t="s">
        <v>38</v>
      </c>
      <c r="E1168" t="s">
        <v>47</v>
      </c>
      <c r="F1168">
        <v>3</v>
      </c>
      <c r="G1168">
        <v>21.19</v>
      </c>
      <c r="H1168">
        <v>63.57</v>
      </c>
      <c r="I1168">
        <v>6.36</v>
      </c>
      <c r="J1168">
        <v>57.21</v>
      </c>
      <c r="K1168">
        <v>333</v>
      </c>
    </row>
    <row r="1169" spans="1:11" x14ac:dyDescent="0.3">
      <c r="A1169">
        <v>5728</v>
      </c>
      <c r="B1169" t="s">
        <v>42</v>
      </c>
      <c r="C1169" s="1">
        <v>45202</v>
      </c>
      <c r="D1169" t="s">
        <v>17</v>
      </c>
      <c r="E1169" t="s">
        <v>47</v>
      </c>
      <c r="F1169">
        <v>1</v>
      </c>
      <c r="G1169">
        <v>27.71</v>
      </c>
      <c r="H1169">
        <v>27.71</v>
      </c>
      <c r="I1169">
        <v>0</v>
      </c>
      <c r="J1169">
        <v>27.71</v>
      </c>
      <c r="K1169">
        <v>185</v>
      </c>
    </row>
    <row r="1170" spans="1:11" x14ac:dyDescent="0.3">
      <c r="A1170">
        <v>7329</v>
      </c>
      <c r="B1170" t="s">
        <v>19</v>
      </c>
      <c r="C1170" s="1">
        <v>45536</v>
      </c>
      <c r="D1170" t="s">
        <v>35</v>
      </c>
      <c r="E1170" t="s">
        <v>33</v>
      </c>
      <c r="F1170">
        <v>2</v>
      </c>
      <c r="G1170">
        <v>8.36</v>
      </c>
      <c r="H1170">
        <v>16.72</v>
      </c>
      <c r="I1170">
        <v>1.47</v>
      </c>
      <c r="J1170">
        <v>15.25</v>
      </c>
      <c r="K1170">
        <v>308</v>
      </c>
    </row>
    <row r="1171" spans="1:11" x14ac:dyDescent="0.3">
      <c r="A1171">
        <v>8378</v>
      </c>
      <c r="B1171" t="s">
        <v>11</v>
      </c>
      <c r="C1171" s="1">
        <v>45738</v>
      </c>
      <c r="D1171" t="s">
        <v>27</v>
      </c>
      <c r="E1171" t="s">
        <v>32</v>
      </c>
      <c r="F1171">
        <v>4</v>
      </c>
      <c r="G1171">
        <v>21.47</v>
      </c>
      <c r="H1171">
        <v>85.88</v>
      </c>
      <c r="I1171">
        <v>4.6399999999999997</v>
      </c>
      <c r="J1171">
        <v>81.239999999999995</v>
      </c>
      <c r="K1171">
        <v>498</v>
      </c>
    </row>
    <row r="1172" spans="1:11" x14ac:dyDescent="0.3">
      <c r="A1172">
        <v>5582</v>
      </c>
      <c r="B1172" t="s">
        <v>24</v>
      </c>
      <c r="C1172" s="1">
        <v>45786</v>
      </c>
      <c r="D1172" t="s">
        <v>34</v>
      </c>
      <c r="E1172" t="s">
        <v>16</v>
      </c>
      <c r="F1172">
        <v>3</v>
      </c>
      <c r="G1172">
        <v>21.05</v>
      </c>
      <c r="H1172">
        <v>63.15</v>
      </c>
      <c r="I1172">
        <v>2.23</v>
      </c>
      <c r="J1172">
        <v>60.92</v>
      </c>
      <c r="K1172">
        <v>256</v>
      </c>
    </row>
    <row r="1173" spans="1:11" x14ac:dyDescent="0.3">
      <c r="A1173">
        <v>2946</v>
      </c>
      <c r="B1173" t="s">
        <v>24</v>
      </c>
      <c r="C1173" s="1">
        <v>45244</v>
      </c>
      <c r="D1173" t="s">
        <v>15</v>
      </c>
      <c r="E1173" t="s">
        <v>48</v>
      </c>
      <c r="F1173">
        <v>5</v>
      </c>
      <c r="G1173">
        <v>23.51</v>
      </c>
      <c r="H1173">
        <v>117.55</v>
      </c>
      <c r="I1173">
        <v>17.63</v>
      </c>
      <c r="J1173">
        <v>99.92</v>
      </c>
      <c r="K1173">
        <v>176</v>
      </c>
    </row>
    <row r="1174" spans="1:11" x14ac:dyDescent="0.3">
      <c r="A1174">
        <v>2584</v>
      </c>
      <c r="B1174" t="s">
        <v>42</v>
      </c>
      <c r="C1174" s="1">
        <v>45450</v>
      </c>
      <c r="D1174" t="s">
        <v>20</v>
      </c>
      <c r="E1174" t="s">
        <v>37</v>
      </c>
      <c r="F1174">
        <v>1</v>
      </c>
      <c r="G1174">
        <v>29.61</v>
      </c>
      <c r="H1174">
        <v>29.61</v>
      </c>
      <c r="I1174">
        <v>1.39</v>
      </c>
      <c r="J1174">
        <v>28.22</v>
      </c>
      <c r="K1174">
        <v>417</v>
      </c>
    </row>
    <row r="1175" spans="1:11" x14ac:dyDescent="0.3">
      <c r="A1175">
        <v>7114</v>
      </c>
      <c r="B1175" t="s">
        <v>24</v>
      </c>
      <c r="C1175" s="1">
        <v>45762</v>
      </c>
      <c r="D1175" t="s">
        <v>38</v>
      </c>
      <c r="E1175" t="s">
        <v>16</v>
      </c>
      <c r="F1175">
        <v>3</v>
      </c>
      <c r="G1175">
        <v>22.25</v>
      </c>
      <c r="H1175">
        <v>66.75</v>
      </c>
      <c r="I1175">
        <v>10.01</v>
      </c>
      <c r="J1175">
        <v>56.74</v>
      </c>
      <c r="K1175">
        <v>87</v>
      </c>
    </row>
    <row r="1176" spans="1:11" x14ac:dyDescent="0.3">
      <c r="A1176">
        <v>6555</v>
      </c>
      <c r="B1176" t="s">
        <v>19</v>
      </c>
      <c r="C1176" s="1">
        <v>45578</v>
      </c>
      <c r="D1176" t="s">
        <v>34</v>
      </c>
      <c r="E1176" t="s">
        <v>44</v>
      </c>
      <c r="F1176">
        <v>4</v>
      </c>
      <c r="G1176">
        <v>6.27</v>
      </c>
      <c r="H1176">
        <v>25.08</v>
      </c>
      <c r="I1176">
        <v>2.5099999999999998</v>
      </c>
      <c r="J1176">
        <v>22.57</v>
      </c>
      <c r="K1176">
        <v>485</v>
      </c>
    </row>
    <row r="1177" spans="1:11" x14ac:dyDescent="0.3">
      <c r="A1177">
        <v>6990</v>
      </c>
      <c r="B1177" t="s">
        <v>42</v>
      </c>
      <c r="C1177" s="1">
        <v>45731</v>
      </c>
      <c r="D1177" t="s">
        <v>34</v>
      </c>
      <c r="E1177" t="s">
        <v>44</v>
      </c>
      <c r="F1177">
        <v>1</v>
      </c>
      <c r="G1177">
        <v>22.74</v>
      </c>
      <c r="H1177">
        <v>22.74</v>
      </c>
      <c r="I1177">
        <v>3.41</v>
      </c>
      <c r="J1177">
        <v>19.329999999999998</v>
      </c>
      <c r="K1177">
        <v>414</v>
      </c>
    </row>
    <row r="1178" spans="1:11" x14ac:dyDescent="0.3">
      <c r="A1178">
        <v>3363</v>
      </c>
      <c r="B1178" t="s">
        <v>24</v>
      </c>
      <c r="C1178" s="1">
        <v>45299</v>
      </c>
      <c r="D1178" t="s">
        <v>45</v>
      </c>
      <c r="E1178" t="s">
        <v>48</v>
      </c>
      <c r="F1178">
        <v>2</v>
      </c>
      <c r="G1178">
        <v>3.3</v>
      </c>
      <c r="H1178">
        <v>6.6</v>
      </c>
      <c r="I1178">
        <v>2.11</v>
      </c>
      <c r="J1178">
        <v>4.49</v>
      </c>
      <c r="K1178">
        <v>43</v>
      </c>
    </row>
    <row r="1179" spans="1:11" x14ac:dyDescent="0.3">
      <c r="A1179">
        <v>9341</v>
      </c>
      <c r="B1179" t="s">
        <v>36</v>
      </c>
      <c r="C1179" s="1">
        <v>45456</v>
      </c>
      <c r="D1179" t="s">
        <v>12</v>
      </c>
      <c r="E1179" t="s">
        <v>25</v>
      </c>
      <c r="F1179">
        <v>4</v>
      </c>
      <c r="G1179">
        <v>15.06</v>
      </c>
      <c r="H1179">
        <v>60.24</v>
      </c>
      <c r="I1179">
        <v>1.24</v>
      </c>
      <c r="J1179">
        <v>59</v>
      </c>
      <c r="K1179">
        <v>389</v>
      </c>
    </row>
    <row r="1180" spans="1:11" x14ac:dyDescent="0.3">
      <c r="A1180">
        <v>9193</v>
      </c>
      <c r="B1180" t="s">
        <v>31</v>
      </c>
      <c r="C1180" s="1">
        <v>45176</v>
      </c>
      <c r="D1180" t="s">
        <v>27</v>
      </c>
      <c r="E1180" t="s">
        <v>40</v>
      </c>
      <c r="F1180">
        <v>1</v>
      </c>
      <c r="G1180">
        <v>7.11</v>
      </c>
      <c r="H1180">
        <v>7.11</v>
      </c>
      <c r="I1180">
        <v>0.71</v>
      </c>
      <c r="J1180">
        <v>6.4</v>
      </c>
      <c r="K1180">
        <v>405</v>
      </c>
    </row>
    <row r="1181" spans="1:11" x14ac:dyDescent="0.3">
      <c r="A1181">
        <v>1742</v>
      </c>
      <c r="B1181" t="s">
        <v>14</v>
      </c>
      <c r="C1181" s="1">
        <v>45175</v>
      </c>
      <c r="D1181" t="s">
        <v>35</v>
      </c>
      <c r="E1181" t="s">
        <v>47</v>
      </c>
      <c r="F1181">
        <v>4</v>
      </c>
      <c r="G1181">
        <v>22.94</v>
      </c>
      <c r="H1181">
        <v>91.76</v>
      </c>
      <c r="I1181">
        <v>13.76</v>
      </c>
      <c r="J1181">
        <v>78</v>
      </c>
      <c r="K1181">
        <v>309</v>
      </c>
    </row>
    <row r="1182" spans="1:11" x14ac:dyDescent="0.3">
      <c r="A1182">
        <v>3245</v>
      </c>
      <c r="B1182" t="s">
        <v>36</v>
      </c>
      <c r="C1182" s="1">
        <v>45699</v>
      </c>
      <c r="D1182" t="s">
        <v>27</v>
      </c>
      <c r="E1182" t="s">
        <v>21</v>
      </c>
      <c r="F1182">
        <v>3</v>
      </c>
      <c r="G1182">
        <v>24.68</v>
      </c>
      <c r="H1182">
        <v>74.040000000000006</v>
      </c>
      <c r="I1182">
        <v>0</v>
      </c>
      <c r="J1182">
        <v>74.040000000000006</v>
      </c>
      <c r="K1182">
        <v>481</v>
      </c>
    </row>
    <row r="1183" spans="1:11" x14ac:dyDescent="0.3">
      <c r="A1183">
        <v>6456</v>
      </c>
      <c r="B1183" t="s">
        <v>24</v>
      </c>
      <c r="C1183" s="1">
        <v>45769</v>
      </c>
      <c r="D1183" t="s">
        <v>20</v>
      </c>
      <c r="E1183" t="s">
        <v>40</v>
      </c>
      <c r="F1183">
        <v>3</v>
      </c>
      <c r="G1183">
        <v>26.31</v>
      </c>
      <c r="H1183">
        <v>78.930000000000007</v>
      </c>
      <c r="I1183">
        <v>2.83</v>
      </c>
      <c r="J1183">
        <v>76.099999999999994</v>
      </c>
      <c r="K1183">
        <v>412</v>
      </c>
    </row>
    <row r="1184" spans="1:11" x14ac:dyDescent="0.3">
      <c r="A1184">
        <v>8761</v>
      </c>
      <c r="B1184" t="s">
        <v>24</v>
      </c>
      <c r="C1184" s="1">
        <v>45548</v>
      </c>
      <c r="D1184" t="s">
        <v>34</v>
      </c>
      <c r="E1184" t="s">
        <v>39</v>
      </c>
      <c r="F1184">
        <v>5</v>
      </c>
      <c r="G1184">
        <v>4.55</v>
      </c>
      <c r="H1184">
        <v>22.75</v>
      </c>
      <c r="I1184">
        <v>0</v>
      </c>
      <c r="J1184">
        <v>22.75</v>
      </c>
      <c r="K1184">
        <v>271</v>
      </c>
    </row>
    <row r="1185" spans="1:11" x14ac:dyDescent="0.3">
      <c r="A1185">
        <v>8487</v>
      </c>
      <c r="B1185" t="s">
        <v>42</v>
      </c>
      <c r="C1185" s="1">
        <v>45260</v>
      </c>
      <c r="D1185" t="s">
        <v>22</v>
      </c>
      <c r="E1185" t="s">
        <v>33</v>
      </c>
      <c r="F1185">
        <v>5</v>
      </c>
      <c r="G1185">
        <v>20.89</v>
      </c>
      <c r="H1185">
        <v>104.45</v>
      </c>
      <c r="I1185">
        <v>2.65</v>
      </c>
      <c r="J1185">
        <v>101.8</v>
      </c>
      <c r="K1185">
        <v>445</v>
      </c>
    </row>
    <row r="1186" spans="1:11" x14ac:dyDescent="0.3">
      <c r="A1186">
        <v>9446</v>
      </c>
      <c r="B1186" t="s">
        <v>42</v>
      </c>
      <c r="C1186" s="1">
        <v>45253</v>
      </c>
      <c r="D1186" t="s">
        <v>12</v>
      </c>
      <c r="E1186" t="s">
        <v>21</v>
      </c>
      <c r="F1186">
        <v>1</v>
      </c>
      <c r="G1186">
        <v>19.37</v>
      </c>
      <c r="H1186">
        <v>19.37</v>
      </c>
      <c r="I1186">
        <v>0</v>
      </c>
      <c r="J1186">
        <v>19.37</v>
      </c>
      <c r="K1186">
        <v>447</v>
      </c>
    </row>
    <row r="1187" spans="1:11" x14ac:dyDescent="0.3">
      <c r="A1187">
        <v>6373</v>
      </c>
      <c r="B1187" t="s">
        <v>36</v>
      </c>
      <c r="C1187" s="1">
        <v>45868</v>
      </c>
      <c r="D1187" t="s">
        <v>27</v>
      </c>
      <c r="E1187" t="s">
        <v>33</v>
      </c>
      <c r="F1187">
        <v>2</v>
      </c>
      <c r="G1187">
        <v>18.59</v>
      </c>
      <c r="H1187">
        <v>37.18</v>
      </c>
      <c r="I1187">
        <v>5.58</v>
      </c>
      <c r="J1187">
        <v>31.6</v>
      </c>
      <c r="K1187">
        <v>204</v>
      </c>
    </row>
    <row r="1188" spans="1:11" x14ac:dyDescent="0.3">
      <c r="A1188">
        <v>6218</v>
      </c>
      <c r="B1188" t="s">
        <v>24</v>
      </c>
      <c r="C1188" s="1">
        <v>45271</v>
      </c>
      <c r="D1188" t="s">
        <v>45</v>
      </c>
      <c r="E1188" t="s">
        <v>48</v>
      </c>
      <c r="F1188">
        <v>4</v>
      </c>
      <c r="G1188">
        <v>9.51</v>
      </c>
      <c r="H1188">
        <v>38.04</v>
      </c>
      <c r="I1188">
        <v>4.5</v>
      </c>
      <c r="J1188">
        <v>33.54</v>
      </c>
      <c r="K1188">
        <v>99</v>
      </c>
    </row>
    <row r="1189" spans="1:11" x14ac:dyDescent="0.3">
      <c r="A1189">
        <v>7438</v>
      </c>
      <c r="B1189" t="s">
        <v>14</v>
      </c>
      <c r="C1189" s="1">
        <v>45623</v>
      </c>
      <c r="D1189" t="s">
        <v>12</v>
      </c>
      <c r="E1189" t="s">
        <v>41</v>
      </c>
      <c r="F1189">
        <v>4</v>
      </c>
      <c r="G1189">
        <v>24.1</v>
      </c>
      <c r="H1189">
        <v>96.4</v>
      </c>
      <c r="I1189">
        <v>19.28</v>
      </c>
      <c r="J1189">
        <v>77.12</v>
      </c>
      <c r="K1189">
        <v>154</v>
      </c>
    </row>
    <row r="1190" spans="1:11" x14ac:dyDescent="0.3">
      <c r="A1190">
        <v>5902</v>
      </c>
      <c r="B1190" t="s">
        <v>26</v>
      </c>
      <c r="C1190" s="1">
        <v>45606</v>
      </c>
      <c r="D1190" t="s">
        <v>15</v>
      </c>
      <c r="E1190" t="s">
        <v>47</v>
      </c>
      <c r="F1190">
        <v>5</v>
      </c>
      <c r="G1190">
        <v>7.98</v>
      </c>
      <c r="H1190">
        <v>39.9</v>
      </c>
      <c r="I1190">
        <v>0</v>
      </c>
      <c r="J1190">
        <v>39.9</v>
      </c>
      <c r="K1190">
        <v>108</v>
      </c>
    </row>
    <row r="1191" spans="1:11" x14ac:dyDescent="0.3">
      <c r="A1191">
        <v>6511</v>
      </c>
      <c r="B1191" t="s">
        <v>11</v>
      </c>
      <c r="C1191" s="1">
        <v>45539</v>
      </c>
      <c r="D1191" t="s">
        <v>15</v>
      </c>
      <c r="E1191" t="s">
        <v>16</v>
      </c>
      <c r="F1191">
        <v>1</v>
      </c>
      <c r="G1191">
        <v>5.64</v>
      </c>
      <c r="H1191">
        <v>5.64</v>
      </c>
      <c r="I1191">
        <v>0.56000000000000005</v>
      </c>
      <c r="J1191">
        <v>5.08</v>
      </c>
      <c r="K1191">
        <v>475</v>
      </c>
    </row>
    <row r="1192" spans="1:11" x14ac:dyDescent="0.3">
      <c r="A1192">
        <v>9351</v>
      </c>
      <c r="B1192" t="s">
        <v>30</v>
      </c>
      <c r="C1192" s="1">
        <v>45558</v>
      </c>
      <c r="D1192" t="s">
        <v>17</v>
      </c>
      <c r="E1192" t="s">
        <v>13</v>
      </c>
      <c r="F1192">
        <v>4</v>
      </c>
      <c r="G1192">
        <v>28.58</v>
      </c>
      <c r="H1192">
        <v>114.32</v>
      </c>
      <c r="I1192">
        <v>0</v>
      </c>
      <c r="J1192">
        <v>114.32</v>
      </c>
      <c r="K1192">
        <v>343</v>
      </c>
    </row>
    <row r="1193" spans="1:11" x14ac:dyDescent="0.3">
      <c r="A1193">
        <v>9025</v>
      </c>
      <c r="B1193" t="s">
        <v>19</v>
      </c>
      <c r="C1193" s="1">
        <v>45695</v>
      </c>
      <c r="D1193" t="s">
        <v>38</v>
      </c>
      <c r="E1193" t="s">
        <v>47</v>
      </c>
      <c r="F1193">
        <v>1</v>
      </c>
      <c r="G1193">
        <v>24.06</v>
      </c>
      <c r="H1193">
        <v>24.06</v>
      </c>
      <c r="I1193">
        <v>4.07</v>
      </c>
      <c r="J1193">
        <v>19.989999999999998</v>
      </c>
      <c r="K1193">
        <v>170</v>
      </c>
    </row>
    <row r="1194" spans="1:11" x14ac:dyDescent="0.3">
      <c r="A1194">
        <v>5911</v>
      </c>
      <c r="B1194" t="s">
        <v>11</v>
      </c>
      <c r="C1194" s="1">
        <v>45513</v>
      </c>
      <c r="D1194" t="s">
        <v>27</v>
      </c>
      <c r="E1194" t="s">
        <v>21</v>
      </c>
      <c r="F1194">
        <v>4</v>
      </c>
      <c r="G1194">
        <v>27.38</v>
      </c>
      <c r="H1194">
        <v>109.52</v>
      </c>
      <c r="I1194">
        <v>0</v>
      </c>
      <c r="J1194">
        <v>109.52</v>
      </c>
      <c r="K1194">
        <v>380</v>
      </c>
    </row>
    <row r="1195" spans="1:11" x14ac:dyDescent="0.3">
      <c r="A1195">
        <v>1272</v>
      </c>
      <c r="B1195" t="s">
        <v>14</v>
      </c>
      <c r="C1195" s="1">
        <v>45431</v>
      </c>
      <c r="D1195" t="s">
        <v>20</v>
      </c>
      <c r="E1195" t="s">
        <v>25</v>
      </c>
      <c r="F1195">
        <v>2</v>
      </c>
      <c r="G1195">
        <v>8.5</v>
      </c>
      <c r="H1195">
        <v>17</v>
      </c>
      <c r="I1195">
        <v>1.36</v>
      </c>
      <c r="J1195">
        <v>15.64</v>
      </c>
      <c r="K1195">
        <v>148</v>
      </c>
    </row>
    <row r="1196" spans="1:11" x14ac:dyDescent="0.3">
      <c r="A1196">
        <v>6427</v>
      </c>
      <c r="B1196" t="s">
        <v>42</v>
      </c>
      <c r="C1196" s="1">
        <v>45668</v>
      </c>
      <c r="D1196" t="s">
        <v>15</v>
      </c>
      <c r="E1196" t="s">
        <v>23</v>
      </c>
      <c r="F1196">
        <v>2</v>
      </c>
      <c r="G1196">
        <v>25.74</v>
      </c>
      <c r="H1196">
        <v>51.48</v>
      </c>
      <c r="I1196">
        <v>3.95</v>
      </c>
      <c r="J1196">
        <v>47.53</v>
      </c>
      <c r="K1196">
        <v>488</v>
      </c>
    </row>
    <row r="1197" spans="1:11" x14ac:dyDescent="0.3">
      <c r="A1197">
        <v>2795</v>
      </c>
      <c r="B1197" t="s">
        <v>30</v>
      </c>
      <c r="C1197" s="1">
        <v>45468</v>
      </c>
      <c r="D1197" t="s">
        <v>12</v>
      </c>
      <c r="E1197" t="s">
        <v>18</v>
      </c>
      <c r="F1197">
        <v>2</v>
      </c>
      <c r="G1197">
        <v>25.56</v>
      </c>
      <c r="H1197">
        <v>51.12</v>
      </c>
      <c r="I1197">
        <v>7.67</v>
      </c>
      <c r="J1197">
        <v>43.45</v>
      </c>
      <c r="K1197">
        <v>216</v>
      </c>
    </row>
    <row r="1198" spans="1:11" x14ac:dyDescent="0.3">
      <c r="A1198">
        <v>6040</v>
      </c>
      <c r="B1198" t="s">
        <v>19</v>
      </c>
      <c r="C1198" s="1">
        <v>45763</v>
      </c>
      <c r="D1198" t="s">
        <v>38</v>
      </c>
      <c r="E1198" t="s">
        <v>25</v>
      </c>
      <c r="F1198">
        <v>1</v>
      </c>
      <c r="G1198">
        <v>12.45</v>
      </c>
      <c r="H1198">
        <v>12.45</v>
      </c>
      <c r="I1198">
        <v>1.87</v>
      </c>
      <c r="J1198">
        <v>10.58</v>
      </c>
      <c r="K1198">
        <v>275</v>
      </c>
    </row>
    <row r="1199" spans="1:11" x14ac:dyDescent="0.3">
      <c r="A1199">
        <v>1436</v>
      </c>
      <c r="B1199" t="s">
        <v>19</v>
      </c>
      <c r="C1199" s="1">
        <v>45608</v>
      </c>
      <c r="D1199" t="s">
        <v>35</v>
      </c>
      <c r="E1199" t="s">
        <v>25</v>
      </c>
      <c r="F1199">
        <v>4</v>
      </c>
      <c r="G1199">
        <v>20.71</v>
      </c>
      <c r="H1199">
        <v>82.84</v>
      </c>
      <c r="I1199">
        <v>16.57</v>
      </c>
      <c r="J1199">
        <v>66.27</v>
      </c>
      <c r="K1199">
        <v>75</v>
      </c>
    </row>
    <row r="1200" spans="1:11" x14ac:dyDescent="0.3">
      <c r="A1200">
        <v>8775</v>
      </c>
      <c r="B1200" t="s">
        <v>31</v>
      </c>
      <c r="C1200" s="1">
        <v>45351</v>
      </c>
      <c r="D1200" t="s">
        <v>28</v>
      </c>
      <c r="E1200" t="s">
        <v>21</v>
      </c>
      <c r="F1200">
        <v>3</v>
      </c>
      <c r="G1200">
        <v>15.56</v>
      </c>
      <c r="H1200">
        <v>46.68</v>
      </c>
      <c r="I1200">
        <v>7</v>
      </c>
      <c r="J1200">
        <v>39.68</v>
      </c>
      <c r="K1200">
        <v>352</v>
      </c>
    </row>
    <row r="1201" spans="1:11" x14ac:dyDescent="0.3">
      <c r="A1201">
        <v>4728</v>
      </c>
      <c r="B1201" t="s">
        <v>26</v>
      </c>
      <c r="C1201" s="1">
        <v>45705</v>
      </c>
      <c r="D1201" t="s">
        <v>27</v>
      </c>
      <c r="E1201" t="s">
        <v>44</v>
      </c>
      <c r="F1201">
        <v>4</v>
      </c>
      <c r="G1201">
        <v>9.44</v>
      </c>
      <c r="H1201">
        <v>37.76</v>
      </c>
      <c r="I1201">
        <v>4.92</v>
      </c>
      <c r="J1201">
        <v>32.840000000000003</v>
      </c>
      <c r="K1201">
        <v>494</v>
      </c>
    </row>
    <row r="1202" spans="1:11" x14ac:dyDescent="0.3">
      <c r="A1202">
        <v>1841</v>
      </c>
      <c r="B1202" t="s">
        <v>36</v>
      </c>
      <c r="C1202" s="1">
        <v>45598</v>
      </c>
      <c r="D1202" t="s">
        <v>34</v>
      </c>
      <c r="E1202" t="s">
        <v>44</v>
      </c>
      <c r="F1202">
        <v>2</v>
      </c>
      <c r="G1202">
        <v>21.3</v>
      </c>
      <c r="H1202">
        <v>42.6</v>
      </c>
      <c r="I1202">
        <v>4.26</v>
      </c>
      <c r="J1202">
        <v>38.340000000000003</v>
      </c>
      <c r="K1202">
        <v>26</v>
      </c>
    </row>
    <row r="1203" spans="1:11" x14ac:dyDescent="0.3">
      <c r="A1203">
        <v>8871</v>
      </c>
      <c r="B1203" t="s">
        <v>24</v>
      </c>
      <c r="C1203" s="1">
        <v>45277</v>
      </c>
      <c r="D1203" t="s">
        <v>35</v>
      </c>
      <c r="E1203" t="s">
        <v>29</v>
      </c>
      <c r="F1203">
        <v>1</v>
      </c>
      <c r="G1203">
        <v>16.88</v>
      </c>
      <c r="H1203">
        <v>16.88</v>
      </c>
      <c r="I1203">
        <v>0</v>
      </c>
      <c r="J1203">
        <v>16.88</v>
      </c>
      <c r="K1203">
        <v>172</v>
      </c>
    </row>
    <row r="1204" spans="1:11" x14ac:dyDescent="0.3">
      <c r="A1204">
        <v>9589</v>
      </c>
      <c r="B1204" t="s">
        <v>26</v>
      </c>
      <c r="C1204" s="1">
        <v>45633</v>
      </c>
      <c r="D1204" t="s">
        <v>22</v>
      </c>
      <c r="E1204" t="s">
        <v>32</v>
      </c>
      <c r="F1204">
        <v>4</v>
      </c>
      <c r="G1204">
        <v>3.07</v>
      </c>
      <c r="H1204">
        <v>12.28</v>
      </c>
      <c r="I1204">
        <v>1.84</v>
      </c>
      <c r="J1204">
        <v>10.44</v>
      </c>
      <c r="K1204">
        <v>372</v>
      </c>
    </row>
    <row r="1205" spans="1:11" x14ac:dyDescent="0.3">
      <c r="A1205">
        <v>7229</v>
      </c>
      <c r="B1205" t="s">
        <v>42</v>
      </c>
      <c r="C1205" s="1">
        <v>45259</v>
      </c>
      <c r="D1205" t="s">
        <v>38</v>
      </c>
      <c r="E1205" t="s">
        <v>32</v>
      </c>
      <c r="F1205">
        <v>1</v>
      </c>
      <c r="G1205">
        <v>4.79</v>
      </c>
      <c r="H1205">
        <v>4.79</v>
      </c>
      <c r="I1205">
        <v>0</v>
      </c>
      <c r="J1205">
        <v>4.79</v>
      </c>
      <c r="K1205">
        <v>385</v>
      </c>
    </row>
    <row r="1206" spans="1:11" x14ac:dyDescent="0.3">
      <c r="A1206">
        <v>4968</v>
      </c>
      <c r="B1206" t="s">
        <v>30</v>
      </c>
      <c r="C1206" s="1">
        <v>45169</v>
      </c>
      <c r="D1206" t="s">
        <v>45</v>
      </c>
      <c r="E1206" t="s">
        <v>29</v>
      </c>
      <c r="F1206">
        <v>5</v>
      </c>
      <c r="G1206">
        <v>4.9800000000000004</v>
      </c>
      <c r="H1206">
        <v>24.9</v>
      </c>
      <c r="I1206">
        <v>3.73</v>
      </c>
      <c r="J1206">
        <v>21.17</v>
      </c>
      <c r="K1206">
        <v>356</v>
      </c>
    </row>
    <row r="1207" spans="1:11" x14ac:dyDescent="0.3">
      <c r="A1207">
        <v>2800</v>
      </c>
      <c r="B1207" t="s">
        <v>19</v>
      </c>
      <c r="C1207" s="1">
        <v>45293</v>
      </c>
      <c r="D1207" t="s">
        <v>17</v>
      </c>
      <c r="E1207" t="s">
        <v>44</v>
      </c>
      <c r="F1207">
        <v>2</v>
      </c>
      <c r="G1207">
        <v>22.31</v>
      </c>
      <c r="H1207">
        <v>44.62</v>
      </c>
      <c r="I1207">
        <v>0</v>
      </c>
      <c r="J1207">
        <v>44.62</v>
      </c>
      <c r="K1207">
        <v>4</v>
      </c>
    </row>
    <row r="1208" spans="1:11" x14ac:dyDescent="0.3">
      <c r="A1208">
        <v>1310</v>
      </c>
      <c r="B1208" t="s">
        <v>11</v>
      </c>
      <c r="C1208" s="1">
        <v>45487</v>
      </c>
      <c r="D1208" t="s">
        <v>27</v>
      </c>
      <c r="E1208" t="s">
        <v>41</v>
      </c>
      <c r="F1208">
        <v>4</v>
      </c>
      <c r="G1208">
        <v>28.55</v>
      </c>
      <c r="H1208">
        <v>114.2</v>
      </c>
      <c r="I1208">
        <v>1.38</v>
      </c>
      <c r="J1208">
        <v>112.82</v>
      </c>
      <c r="K1208">
        <v>218</v>
      </c>
    </row>
    <row r="1209" spans="1:11" x14ac:dyDescent="0.3">
      <c r="A1209">
        <v>6139</v>
      </c>
      <c r="B1209" t="s">
        <v>26</v>
      </c>
      <c r="C1209" s="1">
        <v>45470</v>
      </c>
      <c r="D1209" t="s">
        <v>34</v>
      </c>
      <c r="E1209" t="s">
        <v>40</v>
      </c>
      <c r="F1209">
        <v>1</v>
      </c>
      <c r="G1209">
        <v>29.42</v>
      </c>
      <c r="H1209">
        <v>29.42</v>
      </c>
      <c r="I1209">
        <v>2.74</v>
      </c>
      <c r="J1209">
        <v>26.68</v>
      </c>
      <c r="K1209">
        <v>332</v>
      </c>
    </row>
    <row r="1210" spans="1:11" x14ac:dyDescent="0.3">
      <c r="A1210">
        <v>3481</v>
      </c>
      <c r="B1210" t="s">
        <v>19</v>
      </c>
      <c r="C1210" s="1">
        <v>45465</v>
      </c>
      <c r="D1210" t="s">
        <v>27</v>
      </c>
      <c r="E1210" t="s">
        <v>32</v>
      </c>
      <c r="F1210">
        <v>2</v>
      </c>
      <c r="G1210">
        <v>1.98</v>
      </c>
      <c r="H1210">
        <v>3.96</v>
      </c>
      <c r="I1210">
        <v>0.4</v>
      </c>
      <c r="J1210">
        <v>3.56</v>
      </c>
      <c r="K1210">
        <v>123</v>
      </c>
    </row>
    <row r="1211" spans="1:11" x14ac:dyDescent="0.3">
      <c r="A1211">
        <v>4340</v>
      </c>
      <c r="B1211" t="s">
        <v>30</v>
      </c>
      <c r="C1211" s="1">
        <v>45463</v>
      </c>
      <c r="D1211" t="s">
        <v>28</v>
      </c>
      <c r="E1211" t="s">
        <v>29</v>
      </c>
      <c r="F1211">
        <v>4</v>
      </c>
      <c r="G1211">
        <v>23.49</v>
      </c>
      <c r="H1211">
        <v>93.96</v>
      </c>
      <c r="I1211">
        <v>9.4</v>
      </c>
      <c r="J1211">
        <v>84.56</v>
      </c>
      <c r="K1211">
        <v>407</v>
      </c>
    </row>
    <row r="1212" spans="1:11" x14ac:dyDescent="0.3">
      <c r="A1212">
        <v>9221</v>
      </c>
      <c r="B1212" t="s">
        <v>24</v>
      </c>
      <c r="C1212" s="1">
        <v>45746</v>
      </c>
      <c r="D1212" t="s">
        <v>35</v>
      </c>
      <c r="E1212" t="s">
        <v>33</v>
      </c>
      <c r="F1212">
        <v>3</v>
      </c>
      <c r="G1212">
        <v>1.33</v>
      </c>
      <c r="H1212">
        <v>3.99</v>
      </c>
      <c r="I1212">
        <v>2.96</v>
      </c>
      <c r="J1212">
        <v>1.03</v>
      </c>
      <c r="K1212">
        <v>59</v>
      </c>
    </row>
    <row r="1213" spans="1:11" x14ac:dyDescent="0.3">
      <c r="A1213">
        <v>8726</v>
      </c>
      <c r="B1213" t="s">
        <v>14</v>
      </c>
      <c r="C1213" s="1">
        <v>45822</v>
      </c>
      <c r="D1213" t="s">
        <v>17</v>
      </c>
      <c r="E1213" t="s">
        <v>39</v>
      </c>
      <c r="F1213">
        <v>5</v>
      </c>
      <c r="G1213">
        <v>17.61</v>
      </c>
      <c r="H1213">
        <v>88.05</v>
      </c>
      <c r="I1213">
        <v>13.21</v>
      </c>
      <c r="J1213">
        <v>74.84</v>
      </c>
      <c r="K1213">
        <v>293</v>
      </c>
    </row>
    <row r="1214" spans="1:11" x14ac:dyDescent="0.3">
      <c r="A1214">
        <v>2020</v>
      </c>
      <c r="B1214" t="s">
        <v>11</v>
      </c>
      <c r="C1214" s="1">
        <v>45693</v>
      </c>
      <c r="D1214" t="s">
        <v>28</v>
      </c>
      <c r="E1214" t="s">
        <v>29</v>
      </c>
      <c r="F1214">
        <v>4</v>
      </c>
      <c r="G1214">
        <v>15.03</v>
      </c>
      <c r="H1214">
        <v>60.12</v>
      </c>
      <c r="I1214">
        <v>9.02</v>
      </c>
      <c r="J1214">
        <v>51.1</v>
      </c>
      <c r="K1214">
        <v>330</v>
      </c>
    </row>
    <row r="1215" spans="1:11" x14ac:dyDescent="0.3">
      <c r="A1215">
        <v>3262</v>
      </c>
      <c r="B1215" t="s">
        <v>19</v>
      </c>
      <c r="C1215" s="1">
        <v>45547</v>
      </c>
      <c r="D1215" t="s">
        <v>15</v>
      </c>
      <c r="E1215" t="s">
        <v>21</v>
      </c>
      <c r="F1215">
        <v>1</v>
      </c>
      <c r="G1215">
        <v>21.69</v>
      </c>
      <c r="H1215">
        <v>21.69</v>
      </c>
      <c r="I1215">
        <v>2.17</v>
      </c>
      <c r="J1215">
        <v>19.52</v>
      </c>
      <c r="K1215">
        <v>441</v>
      </c>
    </row>
    <row r="1216" spans="1:11" x14ac:dyDescent="0.3">
      <c r="A1216">
        <v>4397</v>
      </c>
      <c r="B1216" t="s">
        <v>31</v>
      </c>
      <c r="C1216" s="1">
        <v>45580</v>
      </c>
      <c r="D1216" t="s">
        <v>20</v>
      </c>
      <c r="E1216" t="s">
        <v>18</v>
      </c>
      <c r="F1216">
        <v>5</v>
      </c>
      <c r="G1216">
        <v>23.71</v>
      </c>
      <c r="H1216">
        <v>118.55</v>
      </c>
      <c r="I1216">
        <v>3.08</v>
      </c>
      <c r="J1216">
        <v>115.47</v>
      </c>
      <c r="K1216">
        <v>271</v>
      </c>
    </row>
    <row r="1217" spans="1:11" x14ac:dyDescent="0.3">
      <c r="A1217">
        <v>6325</v>
      </c>
      <c r="B1217" t="s">
        <v>14</v>
      </c>
      <c r="C1217" s="1">
        <v>45659</v>
      </c>
      <c r="D1217" t="s">
        <v>27</v>
      </c>
      <c r="E1217" t="s">
        <v>48</v>
      </c>
      <c r="F1217">
        <v>2</v>
      </c>
      <c r="G1217">
        <v>28.99</v>
      </c>
      <c r="H1217">
        <v>57.98</v>
      </c>
      <c r="I1217">
        <v>11.6</v>
      </c>
      <c r="J1217">
        <v>46.38</v>
      </c>
      <c r="K1217">
        <v>459</v>
      </c>
    </row>
    <row r="1218" spans="1:11" x14ac:dyDescent="0.3">
      <c r="A1218">
        <v>8837</v>
      </c>
      <c r="B1218" t="s">
        <v>19</v>
      </c>
      <c r="C1218" s="1">
        <v>45553</v>
      </c>
      <c r="D1218" t="s">
        <v>12</v>
      </c>
      <c r="E1218" t="s">
        <v>18</v>
      </c>
      <c r="F1218">
        <v>4</v>
      </c>
      <c r="G1218">
        <v>24.2</v>
      </c>
      <c r="H1218">
        <v>96.8</v>
      </c>
      <c r="I1218">
        <v>19.36</v>
      </c>
      <c r="J1218">
        <v>77.44</v>
      </c>
      <c r="K1218">
        <v>62</v>
      </c>
    </row>
    <row r="1219" spans="1:11" x14ac:dyDescent="0.3">
      <c r="A1219">
        <v>7173</v>
      </c>
      <c r="B1219" t="s">
        <v>42</v>
      </c>
      <c r="C1219" s="1">
        <v>45388</v>
      </c>
      <c r="D1219" t="s">
        <v>27</v>
      </c>
      <c r="E1219" t="s">
        <v>29</v>
      </c>
      <c r="F1219">
        <v>1</v>
      </c>
      <c r="G1219">
        <v>17.3</v>
      </c>
      <c r="H1219">
        <v>17.3</v>
      </c>
      <c r="I1219">
        <v>4.92</v>
      </c>
      <c r="J1219">
        <v>12.38</v>
      </c>
      <c r="K1219">
        <v>435</v>
      </c>
    </row>
    <row r="1220" spans="1:11" x14ac:dyDescent="0.3">
      <c r="A1220">
        <v>3837</v>
      </c>
      <c r="B1220" t="s">
        <v>14</v>
      </c>
      <c r="C1220" s="1">
        <v>45502</v>
      </c>
      <c r="D1220" t="s">
        <v>35</v>
      </c>
      <c r="E1220" t="s">
        <v>23</v>
      </c>
      <c r="F1220">
        <v>5</v>
      </c>
      <c r="G1220">
        <v>5.97</v>
      </c>
      <c r="H1220">
        <v>29.85</v>
      </c>
      <c r="I1220">
        <v>5.97</v>
      </c>
      <c r="J1220">
        <v>23.88</v>
      </c>
      <c r="K1220">
        <v>500</v>
      </c>
    </row>
    <row r="1221" spans="1:11" x14ac:dyDescent="0.3">
      <c r="A1221">
        <v>9734</v>
      </c>
      <c r="B1221" t="s">
        <v>30</v>
      </c>
      <c r="C1221" s="1">
        <v>45410</v>
      </c>
      <c r="D1221" t="s">
        <v>12</v>
      </c>
      <c r="E1221" t="s">
        <v>46</v>
      </c>
      <c r="F1221">
        <v>3</v>
      </c>
      <c r="G1221">
        <v>20.11</v>
      </c>
      <c r="H1221">
        <v>60.33</v>
      </c>
      <c r="I1221">
        <v>2.96</v>
      </c>
      <c r="J1221">
        <v>57.37</v>
      </c>
      <c r="K1221">
        <v>227</v>
      </c>
    </row>
    <row r="1222" spans="1:11" x14ac:dyDescent="0.3">
      <c r="A1222">
        <v>9950</v>
      </c>
      <c r="B1222" t="s">
        <v>36</v>
      </c>
      <c r="C1222" s="1">
        <v>45420</v>
      </c>
      <c r="D1222" t="s">
        <v>38</v>
      </c>
      <c r="E1222" t="s">
        <v>23</v>
      </c>
      <c r="F1222">
        <v>5</v>
      </c>
      <c r="G1222">
        <v>16.600000000000001</v>
      </c>
      <c r="H1222">
        <v>83</v>
      </c>
      <c r="I1222">
        <v>0</v>
      </c>
      <c r="J1222">
        <v>83</v>
      </c>
      <c r="K1222">
        <v>107</v>
      </c>
    </row>
    <row r="1223" spans="1:11" x14ac:dyDescent="0.3">
      <c r="A1223">
        <v>5331</v>
      </c>
      <c r="B1223" t="s">
        <v>31</v>
      </c>
      <c r="C1223" s="1">
        <v>45618</v>
      </c>
      <c r="D1223" t="s">
        <v>17</v>
      </c>
      <c r="E1223" t="s">
        <v>40</v>
      </c>
      <c r="F1223">
        <v>2</v>
      </c>
      <c r="G1223">
        <v>5.0999999999999996</v>
      </c>
      <c r="H1223">
        <v>10.199999999999999</v>
      </c>
      <c r="I1223">
        <v>2.04</v>
      </c>
      <c r="J1223">
        <v>8.16</v>
      </c>
      <c r="K1223">
        <v>438</v>
      </c>
    </row>
    <row r="1224" spans="1:11" x14ac:dyDescent="0.3">
      <c r="A1224">
        <v>8932</v>
      </c>
      <c r="B1224" t="s">
        <v>14</v>
      </c>
      <c r="C1224" s="1">
        <v>45294</v>
      </c>
      <c r="D1224" t="s">
        <v>17</v>
      </c>
      <c r="E1224" t="s">
        <v>23</v>
      </c>
      <c r="F1224">
        <v>3</v>
      </c>
      <c r="G1224">
        <v>4.72</v>
      </c>
      <c r="H1224">
        <v>14.16</v>
      </c>
      <c r="I1224">
        <v>3.2</v>
      </c>
      <c r="J1224">
        <v>10.96</v>
      </c>
      <c r="K1224">
        <v>318</v>
      </c>
    </row>
    <row r="1225" spans="1:11" x14ac:dyDescent="0.3">
      <c r="A1225">
        <v>5038</v>
      </c>
      <c r="B1225" t="s">
        <v>30</v>
      </c>
      <c r="C1225" s="1">
        <v>45361</v>
      </c>
      <c r="D1225" t="s">
        <v>20</v>
      </c>
      <c r="E1225" t="s">
        <v>29</v>
      </c>
      <c r="F1225">
        <v>4</v>
      </c>
      <c r="G1225">
        <v>14.22</v>
      </c>
      <c r="H1225">
        <v>56.88</v>
      </c>
      <c r="I1225">
        <v>0</v>
      </c>
      <c r="J1225">
        <v>56.88</v>
      </c>
      <c r="K1225">
        <v>483</v>
      </c>
    </row>
    <row r="1226" spans="1:11" x14ac:dyDescent="0.3">
      <c r="A1226">
        <v>5890</v>
      </c>
      <c r="C1226" s="1">
        <v>45319</v>
      </c>
      <c r="D1226" t="s">
        <v>34</v>
      </c>
      <c r="E1226" t="s">
        <v>18</v>
      </c>
      <c r="F1226">
        <v>2</v>
      </c>
      <c r="G1226">
        <v>3.04</v>
      </c>
      <c r="H1226">
        <v>6.08</v>
      </c>
      <c r="I1226">
        <v>0</v>
      </c>
      <c r="J1226">
        <v>6.08</v>
      </c>
      <c r="K1226">
        <v>375</v>
      </c>
    </row>
    <row r="1227" spans="1:11" x14ac:dyDescent="0.3">
      <c r="A1227">
        <v>5876</v>
      </c>
      <c r="B1227" t="s">
        <v>42</v>
      </c>
      <c r="C1227" s="1">
        <v>45743</v>
      </c>
      <c r="D1227" t="s">
        <v>22</v>
      </c>
      <c r="E1227" t="s">
        <v>46</v>
      </c>
      <c r="F1227">
        <v>5</v>
      </c>
      <c r="G1227">
        <v>5.75</v>
      </c>
      <c r="H1227">
        <v>28.75</v>
      </c>
      <c r="I1227">
        <v>4.3099999999999996</v>
      </c>
      <c r="J1227">
        <v>24.44</v>
      </c>
      <c r="K1227">
        <v>420</v>
      </c>
    </row>
    <row r="1228" spans="1:11" x14ac:dyDescent="0.3">
      <c r="A1228">
        <v>5735</v>
      </c>
      <c r="B1228" t="s">
        <v>24</v>
      </c>
      <c r="C1228" s="1">
        <v>45692</v>
      </c>
      <c r="D1228" t="s">
        <v>20</v>
      </c>
      <c r="E1228" t="s">
        <v>39</v>
      </c>
      <c r="F1228">
        <v>5</v>
      </c>
      <c r="G1228">
        <v>8.17</v>
      </c>
      <c r="H1228">
        <v>40.85</v>
      </c>
      <c r="I1228">
        <v>1.44</v>
      </c>
      <c r="J1228">
        <v>39.409999999999997</v>
      </c>
      <c r="K1228">
        <v>138</v>
      </c>
    </row>
    <row r="1229" spans="1:11" x14ac:dyDescent="0.3">
      <c r="A1229">
        <v>4396</v>
      </c>
      <c r="B1229" t="s">
        <v>14</v>
      </c>
      <c r="C1229" s="1">
        <v>45681</v>
      </c>
      <c r="D1229" t="s">
        <v>20</v>
      </c>
      <c r="E1229" t="s">
        <v>43</v>
      </c>
      <c r="F1229">
        <v>3</v>
      </c>
      <c r="G1229">
        <v>19.559999999999999</v>
      </c>
      <c r="H1229">
        <v>58.68</v>
      </c>
      <c r="I1229">
        <v>8.8000000000000007</v>
      </c>
      <c r="J1229">
        <v>49.88</v>
      </c>
      <c r="K1229">
        <v>185</v>
      </c>
    </row>
    <row r="1230" spans="1:11" x14ac:dyDescent="0.3">
      <c r="A1230">
        <v>9011</v>
      </c>
      <c r="B1230" t="s">
        <v>19</v>
      </c>
      <c r="C1230" s="1">
        <v>45391</v>
      </c>
      <c r="D1230" t="s">
        <v>17</v>
      </c>
      <c r="E1230" t="s">
        <v>13</v>
      </c>
      <c r="F1230">
        <v>1</v>
      </c>
      <c r="G1230">
        <v>3.83</v>
      </c>
      <c r="H1230">
        <v>3.83</v>
      </c>
      <c r="I1230">
        <v>0.38</v>
      </c>
      <c r="J1230">
        <v>3.45</v>
      </c>
      <c r="K1230">
        <v>496</v>
      </c>
    </row>
    <row r="1231" spans="1:11" x14ac:dyDescent="0.3">
      <c r="A1231">
        <v>8861</v>
      </c>
      <c r="B1231" t="s">
        <v>11</v>
      </c>
      <c r="C1231" s="1">
        <v>45415</v>
      </c>
      <c r="D1231" t="s">
        <v>15</v>
      </c>
      <c r="E1231" t="s">
        <v>29</v>
      </c>
      <c r="F1231">
        <v>5</v>
      </c>
      <c r="G1231">
        <v>22.11</v>
      </c>
      <c r="H1231">
        <v>110.55</v>
      </c>
      <c r="I1231">
        <v>3.12</v>
      </c>
      <c r="J1231">
        <v>107.43</v>
      </c>
      <c r="K1231">
        <v>156</v>
      </c>
    </row>
    <row r="1232" spans="1:11" x14ac:dyDescent="0.3">
      <c r="A1232">
        <v>5480</v>
      </c>
      <c r="B1232" t="s">
        <v>30</v>
      </c>
      <c r="C1232" s="1">
        <v>45368</v>
      </c>
      <c r="D1232" t="s">
        <v>38</v>
      </c>
      <c r="E1232" t="s">
        <v>13</v>
      </c>
      <c r="F1232">
        <v>5</v>
      </c>
      <c r="G1232">
        <v>3.86</v>
      </c>
      <c r="H1232">
        <v>19.3</v>
      </c>
      <c r="I1232">
        <v>2.9</v>
      </c>
      <c r="J1232">
        <v>16.399999999999999</v>
      </c>
      <c r="K1232">
        <v>24</v>
      </c>
    </row>
    <row r="1233" spans="1:11" x14ac:dyDescent="0.3">
      <c r="A1233">
        <v>2996</v>
      </c>
      <c r="B1233" t="s">
        <v>24</v>
      </c>
      <c r="C1233" s="1">
        <v>45590</v>
      </c>
      <c r="D1233" t="s">
        <v>34</v>
      </c>
      <c r="E1233" t="s">
        <v>23</v>
      </c>
      <c r="F1233">
        <v>5</v>
      </c>
      <c r="G1233">
        <v>16.989999999999998</v>
      </c>
      <c r="H1233">
        <v>84.95</v>
      </c>
      <c r="I1233">
        <v>8.5</v>
      </c>
      <c r="J1233">
        <v>76.45</v>
      </c>
      <c r="K1233">
        <v>451</v>
      </c>
    </row>
    <row r="1234" spans="1:11" x14ac:dyDescent="0.3">
      <c r="A1234">
        <v>9899</v>
      </c>
      <c r="B1234" t="s">
        <v>19</v>
      </c>
      <c r="C1234" s="1">
        <v>45439</v>
      </c>
      <c r="D1234" t="s">
        <v>35</v>
      </c>
      <c r="E1234" t="s">
        <v>39</v>
      </c>
      <c r="F1234">
        <v>5</v>
      </c>
      <c r="G1234">
        <v>21.67</v>
      </c>
      <c r="H1234">
        <v>108.35</v>
      </c>
      <c r="I1234">
        <v>21.67</v>
      </c>
      <c r="J1234">
        <v>86.68</v>
      </c>
      <c r="K1234">
        <v>336</v>
      </c>
    </row>
    <row r="1235" spans="1:11" x14ac:dyDescent="0.3">
      <c r="A1235">
        <v>7464</v>
      </c>
      <c r="B1235" t="s">
        <v>24</v>
      </c>
      <c r="C1235" s="1">
        <v>45780</v>
      </c>
      <c r="D1235" t="s">
        <v>28</v>
      </c>
      <c r="E1235" t="s">
        <v>13</v>
      </c>
      <c r="F1235">
        <v>1</v>
      </c>
      <c r="G1235">
        <v>27.62</v>
      </c>
      <c r="H1235">
        <v>27.62</v>
      </c>
      <c r="I1235">
        <v>0</v>
      </c>
      <c r="J1235">
        <v>27.62</v>
      </c>
      <c r="K1235">
        <v>327</v>
      </c>
    </row>
    <row r="1236" spans="1:11" x14ac:dyDescent="0.3">
      <c r="A1236">
        <v>6654</v>
      </c>
      <c r="B1236" t="s">
        <v>42</v>
      </c>
      <c r="C1236" s="1">
        <v>45745</v>
      </c>
      <c r="D1236" t="s">
        <v>27</v>
      </c>
      <c r="E1236" t="s">
        <v>16</v>
      </c>
      <c r="F1236">
        <v>4</v>
      </c>
      <c r="G1236">
        <v>6.3</v>
      </c>
      <c r="H1236">
        <v>25.2</v>
      </c>
      <c r="I1236">
        <v>2.15</v>
      </c>
      <c r="J1236">
        <v>23.05</v>
      </c>
      <c r="K1236">
        <v>181</v>
      </c>
    </row>
    <row r="1237" spans="1:11" x14ac:dyDescent="0.3">
      <c r="A1237">
        <v>3399</v>
      </c>
      <c r="B1237" t="s">
        <v>24</v>
      </c>
      <c r="C1237" s="1">
        <v>45370</v>
      </c>
      <c r="D1237" t="s">
        <v>38</v>
      </c>
      <c r="E1237" t="s">
        <v>25</v>
      </c>
      <c r="F1237">
        <v>3</v>
      </c>
      <c r="G1237">
        <v>19.420000000000002</v>
      </c>
      <c r="H1237">
        <v>58.26</v>
      </c>
      <c r="I1237">
        <v>5.83</v>
      </c>
      <c r="J1237">
        <v>52.43</v>
      </c>
      <c r="K1237">
        <v>44</v>
      </c>
    </row>
    <row r="1238" spans="1:11" x14ac:dyDescent="0.3">
      <c r="A1238">
        <v>1689</v>
      </c>
      <c r="B1238" t="s">
        <v>36</v>
      </c>
      <c r="C1238" s="1">
        <v>45368</v>
      </c>
      <c r="D1238" t="s">
        <v>15</v>
      </c>
      <c r="E1238" t="s">
        <v>43</v>
      </c>
      <c r="F1238">
        <v>1</v>
      </c>
      <c r="G1238">
        <v>22.16</v>
      </c>
      <c r="H1238">
        <v>22.16</v>
      </c>
      <c r="I1238">
        <v>4.43</v>
      </c>
      <c r="J1238">
        <v>17.73</v>
      </c>
      <c r="K1238">
        <v>483</v>
      </c>
    </row>
    <row r="1239" spans="1:11" x14ac:dyDescent="0.3">
      <c r="A1239">
        <v>2294</v>
      </c>
      <c r="B1239" t="s">
        <v>31</v>
      </c>
      <c r="C1239" s="1">
        <v>45414</v>
      </c>
      <c r="D1239" t="s">
        <v>15</v>
      </c>
      <c r="E1239" t="s">
        <v>37</v>
      </c>
      <c r="F1239">
        <v>5</v>
      </c>
      <c r="G1239">
        <v>27.95</v>
      </c>
      <c r="H1239">
        <v>139.75</v>
      </c>
      <c r="I1239">
        <v>13.98</v>
      </c>
      <c r="J1239">
        <v>125.77</v>
      </c>
      <c r="K1239">
        <v>413</v>
      </c>
    </row>
    <row r="1240" spans="1:11" x14ac:dyDescent="0.3">
      <c r="A1240">
        <v>8247</v>
      </c>
      <c r="B1240" t="s">
        <v>14</v>
      </c>
      <c r="C1240" s="1">
        <v>45654</v>
      </c>
      <c r="D1240" t="s">
        <v>34</v>
      </c>
      <c r="E1240" t="s">
        <v>47</v>
      </c>
      <c r="F1240">
        <v>4</v>
      </c>
      <c r="G1240">
        <v>15.93</v>
      </c>
      <c r="H1240">
        <v>63.72</v>
      </c>
      <c r="I1240">
        <v>6.37</v>
      </c>
      <c r="J1240">
        <v>57.35</v>
      </c>
      <c r="K1240">
        <v>346</v>
      </c>
    </row>
    <row r="1241" spans="1:11" x14ac:dyDescent="0.3">
      <c r="A1241">
        <v>5201</v>
      </c>
      <c r="B1241" t="s">
        <v>31</v>
      </c>
      <c r="C1241" s="1">
        <v>45725</v>
      </c>
      <c r="D1241" t="s">
        <v>28</v>
      </c>
      <c r="E1241" t="s">
        <v>44</v>
      </c>
      <c r="F1241">
        <v>1</v>
      </c>
      <c r="G1241">
        <v>21.7</v>
      </c>
      <c r="H1241">
        <v>21.7</v>
      </c>
      <c r="I1241">
        <v>4.34</v>
      </c>
      <c r="J1241">
        <v>17.36</v>
      </c>
      <c r="K1241">
        <v>359</v>
      </c>
    </row>
    <row r="1242" spans="1:11" x14ac:dyDescent="0.3">
      <c r="A1242">
        <v>8849</v>
      </c>
      <c r="B1242" t="s">
        <v>14</v>
      </c>
      <c r="C1242" s="1">
        <v>45311</v>
      </c>
      <c r="D1242" t="s">
        <v>27</v>
      </c>
      <c r="E1242" t="s">
        <v>40</v>
      </c>
      <c r="F1242">
        <v>5</v>
      </c>
      <c r="G1242">
        <v>14</v>
      </c>
      <c r="H1242">
        <v>70</v>
      </c>
      <c r="I1242">
        <v>14</v>
      </c>
      <c r="J1242">
        <v>56</v>
      </c>
      <c r="K1242">
        <v>86</v>
      </c>
    </row>
    <row r="1243" spans="1:11" x14ac:dyDescent="0.3">
      <c r="A1243">
        <v>4310</v>
      </c>
      <c r="B1243" t="s">
        <v>11</v>
      </c>
      <c r="C1243" s="1">
        <v>45788</v>
      </c>
      <c r="D1243" t="s">
        <v>22</v>
      </c>
      <c r="E1243" t="s">
        <v>41</v>
      </c>
      <c r="F1243">
        <v>5</v>
      </c>
      <c r="G1243">
        <v>11.24</v>
      </c>
      <c r="H1243">
        <v>56.2</v>
      </c>
      <c r="I1243">
        <v>5.62</v>
      </c>
      <c r="J1243">
        <v>50.58</v>
      </c>
      <c r="K1243">
        <v>26</v>
      </c>
    </row>
    <row r="1244" spans="1:11" x14ac:dyDescent="0.3">
      <c r="A1244">
        <v>9824</v>
      </c>
      <c r="B1244" t="s">
        <v>24</v>
      </c>
      <c r="C1244" s="1">
        <v>45355</v>
      </c>
      <c r="D1244" t="s">
        <v>34</v>
      </c>
      <c r="E1244" t="s">
        <v>23</v>
      </c>
      <c r="F1244">
        <v>1</v>
      </c>
      <c r="G1244">
        <v>10.79</v>
      </c>
      <c r="H1244">
        <v>10.79</v>
      </c>
      <c r="I1244">
        <v>4.4000000000000004</v>
      </c>
      <c r="J1244">
        <v>6.39</v>
      </c>
      <c r="K1244">
        <v>347</v>
      </c>
    </row>
    <row r="1245" spans="1:11" x14ac:dyDescent="0.3">
      <c r="A1245">
        <v>5450</v>
      </c>
      <c r="B1245" t="s">
        <v>11</v>
      </c>
      <c r="C1245" s="1">
        <v>45251</v>
      </c>
      <c r="D1245" t="s">
        <v>35</v>
      </c>
      <c r="E1245" t="s">
        <v>37</v>
      </c>
      <c r="F1245">
        <v>4</v>
      </c>
      <c r="G1245">
        <v>9.5</v>
      </c>
      <c r="H1245">
        <v>38</v>
      </c>
      <c r="I1245">
        <v>0</v>
      </c>
      <c r="J1245">
        <v>38</v>
      </c>
      <c r="K1245">
        <v>109</v>
      </c>
    </row>
    <row r="1246" spans="1:11" x14ac:dyDescent="0.3">
      <c r="A1246">
        <v>2789</v>
      </c>
      <c r="B1246" t="s">
        <v>24</v>
      </c>
      <c r="C1246" s="1">
        <v>45623</v>
      </c>
      <c r="D1246" t="s">
        <v>17</v>
      </c>
      <c r="E1246" t="s">
        <v>37</v>
      </c>
      <c r="F1246">
        <v>5</v>
      </c>
      <c r="G1246">
        <v>24.94</v>
      </c>
      <c r="H1246">
        <v>124.7</v>
      </c>
      <c r="I1246">
        <v>4.3899999999999997</v>
      </c>
      <c r="J1246">
        <v>120.31</v>
      </c>
      <c r="K1246">
        <v>18</v>
      </c>
    </row>
    <row r="1247" spans="1:11" x14ac:dyDescent="0.3">
      <c r="A1247">
        <v>4920</v>
      </c>
      <c r="B1247" t="s">
        <v>31</v>
      </c>
      <c r="C1247" s="1">
        <v>45333</v>
      </c>
      <c r="D1247" t="s">
        <v>22</v>
      </c>
      <c r="E1247" t="s">
        <v>39</v>
      </c>
      <c r="F1247">
        <v>5</v>
      </c>
      <c r="G1247">
        <v>14.34</v>
      </c>
      <c r="H1247">
        <v>71.7</v>
      </c>
      <c r="I1247">
        <v>1.02</v>
      </c>
      <c r="J1247">
        <v>70.680000000000007</v>
      </c>
      <c r="K1247">
        <v>152</v>
      </c>
    </row>
    <row r="1248" spans="1:11" x14ac:dyDescent="0.3">
      <c r="A1248">
        <v>1831</v>
      </c>
      <c r="B1248" t="s">
        <v>19</v>
      </c>
      <c r="C1248" s="1">
        <v>45665</v>
      </c>
      <c r="D1248" t="s">
        <v>20</v>
      </c>
      <c r="E1248" t="s">
        <v>23</v>
      </c>
      <c r="F1248">
        <v>1</v>
      </c>
      <c r="G1248">
        <v>3.93</v>
      </c>
      <c r="H1248">
        <v>3.93</v>
      </c>
      <c r="I1248">
        <v>3.12</v>
      </c>
      <c r="J1248">
        <v>0.81</v>
      </c>
      <c r="K1248">
        <v>251</v>
      </c>
    </row>
    <row r="1249" spans="1:11" x14ac:dyDescent="0.3">
      <c r="A1249">
        <v>9700</v>
      </c>
      <c r="B1249" t="s">
        <v>19</v>
      </c>
      <c r="C1249" s="1">
        <v>45320</v>
      </c>
      <c r="D1249" t="s">
        <v>20</v>
      </c>
      <c r="E1249" t="s">
        <v>48</v>
      </c>
      <c r="F1249">
        <v>4</v>
      </c>
      <c r="G1249">
        <v>1.19</v>
      </c>
      <c r="H1249">
        <v>4.76</v>
      </c>
      <c r="I1249">
        <v>0.95</v>
      </c>
      <c r="J1249">
        <v>3.81</v>
      </c>
      <c r="K1249">
        <v>393</v>
      </c>
    </row>
    <row r="1250" spans="1:11" x14ac:dyDescent="0.3">
      <c r="A1250">
        <v>4814</v>
      </c>
      <c r="B1250" t="s">
        <v>26</v>
      </c>
      <c r="C1250" s="1">
        <v>45185</v>
      </c>
      <c r="D1250" t="s">
        <v>20</v>
      </c>
      <c r="E1250" t="s">
        <v>23</v>
      </c>
      <c r="F1250">
        <v>3</v>
      </c>
      <c r="G1250">
        <v>11.56</v>
      </c>
      <c r="H1250">
        <v>34.68</v>
      </c>
      <c r="I1250">
        <v>4.25</v>
      </c>
      <c r="J1250">
        <v>30.43</v>
      </c>
      <c r="K1250">
        <v>456</v>
      </c>
    </row>
    <row r="1251" spans="1:11" x14ac:dyDescent="0.3">
      <c r="A1251">
        <v>2641</v>
      </c>
      <c r="B1251" t="s">
        <v>11</v>
      </c>
      <c r="C1251" s="1">
        <v>45466</v>
      </c>
      <c r="D1251" t="s">
        <v>45</v>
      </c>
      <c r="E1251" t="s">
        <v>33</v>
      </c>
      <c r="F1251">
        <v>2</v>
      </c>
      <c r="G1251">
        <v>5.05</v>
      </c>
      <c r="H1251">
        <v>10.1</v>
      </c>
      <c r="I1251">
        <v>2.44</v>
      </c>
      <c r="J1251">
        <v>7.66</v>
      </c>
      <c r="K1251">
        <v>382</v>
      </c>
    </row>
    <row r="1252" spans="1:11" x14ac:dyDescent="0.3">
      <c r="A1252">
        <v>6411</v>
      </c>
      <c r="B1252" t="s">
        <v>42</v>
      </c>
      <c r="C1252" s="1">
        <v>45702</v>
      </c>
      <c r="D1252" t="s">
        <v>15</v>
      </c>
      <c r="E1252" t="s">
        <v>44</v>
      </c>
      <c r="F1252">
        <v>3</v>
      </c>
      <c r="G1252">
        <v>2.16</v>
      </c>
      <c r="H1252">
        <v>6.48</v>
      </c>
      <c r="I1252">
        <v>0</v>
      </c>
      <c r="J1252">
        <v>6.48</v>
      </c>
      <c r="K1252">
        <v>202</v>
      </c>
    </row>
    <row r="1253" spans="1:11" x14ac:dyDescent="0.3">
      <c r="A1253">
        <v>8739</v>
      </c>
      <c r="B1253" t="s">
        <v>36</v>
      </c>
      <c r="C1253" s="1">
        <v>45223</v>
      </c>
      <c r="D1253" t="s">
        <v>12</v>
      </c>
      <c r="E1253" t="s">
        <v>29</v>
      </c>
      <c r="F1253">
        <v>2</v>
      </c>
      <c r="G1253">
        <v>28.49</v>
      </c>
      <c r="H1253">
        <v>56.98</v>
      </c>
      <c r="I1253">
        <v>2.68</v>
      </c>
      <c r="J1253">
        <v>54.3</v>
      </c>
      <c r="K1253">
        <v>491</v>
      </c>
    </row>
    <row r="1254" spans="1:11" x14ac:dyDescent="0.3">
      <c r="A1254">
        <v>3252</v>
      </c>
      <c r="B1254" t="s">
        <v>14</v>
      </c>
      <c r="C1254" s="1">
        <v>45149</v>
      </c>
      <c r="D1254" t="s">
        <v>45</v>
      </c>
      <c r="E1254" t="s">
        <v>41</v>
      </c>
      <c r="F1254">
        <v>3</v>
      </c>
      <c r="G1254">
        <v>22.77</v>
      </c>
      <c r="H1254">
        <v>68.31</v>
      </c>
      <c r="I1254">
        <v>3.9</v>
      </c>
      <c r="J1254">
        <v>64.41</v>
      </c>
      <c r="K1254">
        <v>399</v>
      </c>
    </row>
    <row r="1255" spans="1:11" x14ac:dyDescent="0.3">
      <c r="A1255">
        <v>3587</v>
      </c>
      <c r="B1255" t="s">
        <v>24</v>
      </c>
      <c r="C1255" s="1">
        <v>45461</v>
      </c>
      <c r="D1255" t="s">
        <v>34</v>
      </c>
      <c r="E1255" t="s">
        <v>48</v>
      </c>
      <c r="F1255">
        <v>1</v>
      </c>
      <c r="G1255">
        <v>23.98</v>
      </c>
      <c r="H1255">
        <v>23.98</v>
      </c>
      <c r="I1255">
        <v>3.6</v>
      </c>
      <c r="J1255">
        <v>20.38</v>
      </c>
      <c r="K1255">
        <v>64</v>
      </c>
    </row>
    <row r="1256" spans="1:11" x14ac:dyDescent="0.3">
      <c r="A1256">
        <v>8793</v>
      </c>
      <c r="B1256" t="s">
        <v>14</v>
      </c>
      <c r="C1256" s="1">
        <v>45515</v>
      </c>
      <c r="D1256" t="s">
        <v>12</v>
      </c>
      <c r="E1256" t="s">
        <v>25</v>
      </c>
      <c r="F1256">
        <v>1</v>
      </c>
      <c r="G1256">
        <v>20.66</v>
      </c>
      <c r="H1256">
        <v>20.66</v>
      </c>
      <c r="I1256">
        <v>3.95</v>
      </c>
      <c r="J1256">
        <v>16.71</v>
      </c>
      <c r="K1256">
        <v>175</v>
      </c>
    </row>
    <row r="1257" spans="1:11" x14ac:dyDescent="0.3">
      <c r="A1257">
        <v>4267</v>
      </c>
      <c r="C1257" s="1">
        <v>45732</v>
      </c>
      <c r="D1257" t="s">
        <v>45</v>
      </c>
      <c r="E1257" t="s">
        <v>37</v>
      </c>
      <c r="F1257">
        <v>3</v>
      </c>
      <c r="G1257">
        <v>15.08</v>
      </c>
      <c r="H1257">
        <v>45.24</v>
      </c>
      <c r="I1257">
        <v>9.0500000000000007</v>
      </c>
      <c r="J1257">
        <v>36.19</v>
      </c>
      <c r="K1257">
        <v>389</v>
      </c>
    </row>
    <row r="1258" spans="1:11" x14ac:dyDescent="0.3">
      <c r="A1258">
        <v>5706</v>
      </c>
      <c r="B1258" t="s">
        <v>19</v>
      </c>
      <c r="C1258" s="1">
        <v>45394</v>
      </c>
      <c r="D1258" t="s">
        <v>38</v>
      </c>
      <c r="E1258" t="s">
        <v>29</v>
      </c>
      <c r="F1258">
        <v>2</v>
      </c>
      <c r="G1258">
        <v>9.14</v>
      </c>
      <c r="H1258">
        <v>18.28</v>
      </c>
      <c r="I1258">
        <v>0</v>
      </c>
      <c r="J1258">
        <v>18.28</v>
      </c>
      <c r="K1258">
        <v>58</v>
      </c>
    </row>
    <row r="1259" spans="1:11" x14ac:dyDescent="0.3">
      <c r="A1259">
        <v>5676</v>
      </c>
      <c r="B1259" t="s">
        <v>42</v>
      </c>
      <c r="C1259" s="1">
        <v>45646</v>
      </c>
      <c r="D1259" t="s">
        <v>27</v>
      </c>
      <c r="E1259" t="s">
        <v>16</v>
      </c>
      <c r="F1259">
        <v>2</v>
      </c>
      <c r="G1259">
        <v>14.73</v>
      </c>
      <c r="H1259">
        <v>29.46</v>
      </c>
      <c r="I1259">
        <v>0</v>
      </c>
      <c r="J1259">
        <v>29.46</v>
      </c>
      <c r="K1259">
        <v>400</v>
      </c>
    </row>
    <row r="1260" spans="1:11" x14ac:dyDescent="0.3">
      <c r="A1260">
        <v>1969</v>
      </c>
      <c r="B1260" t="s">
        <v>14</v>
      </c>
      <c r="C1260" s="1">
        <v>45850</v>
      </c>
      <c r="D1260" t="s">
        <v>28</v>
      </c>
      <c r="E1260" t="s">
        <v>29</v>
      </c>
      <c r="F1260">
        <v>2</v>
      </c>
      <c r="G1260">
        <v>29.77</v>
      </c>
      <c r="H1260">
        <v>59.54</v>
      </c>
      <c r="I1260">
        <v>11.91</v>
      </c>
      <c r="J1260">
        <v>47.63</v>
      </c>
      <c r="K1260">
        <v>302</v>
      </c>
    </row>
    <row r="1261" spans="1:11" x14ac:dyDescent="0.3">
      <c r="A1261">
        <v>2465</v>
      </c>
      <c r="B1261" t="s">
        <v>11</v>
      </c>
      <c r="C1261" s="1">
        <v>45651</v>
      </c>
      <c r="D1261" t="s">
        <v>34</v>
      </c>
      <c r="E1261" t="s">
        <v>32</v>
      </c>
      <c r="F1261">
        <v>1</v>
      </c>
      <c r="G1261">
        <v>8.93</v>
      </c>
      <c r="H1261">
        <v>8.93</v>
      </c>
      <c r="I1261">
        <v>0.89</v>
      </c>
      <c r="J1261">
        <v>8.0399999999999991</v>
      </c>
      <c r="K1261">
        <v>98</v>
      </c>
    </row>
    <row r="1262" spans="1:11" x14ac:dyDescent="0.3">
      <c r="A1262">
        <v>4804</v>
      </c>
      <c r="B1262" t="s">
        <v>31</v>
      </c>
      <c r="C1262" s="1">
        <v>45560</v>
      </c>
      <c r="D1262" t="s">
        <v>28</v>
      </c>
      <c r="E1262" t="s">
        <v>44</v>
      </c>
      <c r="F1262">
        <v>1</v>
      </c>
      <c r="G1262">
        <v>26.06</v>
      </c>
      <c r="H1262">
        <v>26.06</v>
      </c>
      <c r="I1262">
        <v>2.23</v>
      </c>
      <c r="J1262">
        <v>23.83</v>
      </c>
      <c r="K1262">
        <v>194</v>
      </c>
    </row>
    <row r="1263" spans="1:11" x14ac:dyDescent="0.3">
      <c r="A1263">
        <v>1611</v>
      </c>
      <c r="B1263" t="s">
        <v>42</v>
      </c>
      <c r="C1263" s="1">
        <v>45854</v>
      </c>
      <c r="D1263" t="s">
        <v>17</v>
      </c>
      <c r="E1263" t="s">
        <v>21</v>
      </c>
      <c r="F1263">
        <v>4</v>
      </c>
      <c r="G1263">
        <v>14.89</v>
      </c>
      <c r="H1263">
        <v>59.56</v>
      </c>
      <c r="I1263">
        <v>0</v>
      </c>
      <c r="J1263">
        <v>59.56</v>
      </c>
      <c r="K1263">
        <v>261</v>
      </c>
    </row>
    <row r="1264" spans="1:11" x14ac:dyDescent="0.3">
      <c r="A1264">
        <v>3868</v>
      </c>
      <c r="B1264" t="s">
        <v>31</v>
      </c>
      <c r="C1264" s="1">
        <v>45469</v>
      </c>
      <c r="D1264" t="s">
        <v>35</v>
      </c>
      <c r="E1264" t="s">
        <v>48</v>
      </c>
      <c r="F1264">
        <v>3</v>
      </c>
      <c r="G1264">
        <v>11.53</v>
      </c>
      <c r="H1264">
        <v>34.590000000000003</v>
      </c>
      <c r="I1264">
        <v>0</v>
      </c>
      <c r="J1264">
        <v>34.590000000000003</v>
      </c>
      <c r="K1264">
        <v>482</v>
      </c>
    </row>
    <row r="1265" spans="1:11" x14ac:dyDescent="0.3">
      <c r="A1265">
        <v>3880</v>
      </c>
      <c r="B1265" t="s">
        <v>24</v>
      </c>
      <c r="C1265" s="1">
        <v>45870</v>
      </c>
      <c r="D1265" t="s">
        <v>17</v>
      </c>
      <c r="E1265" t="s">
        <v>21</v>
      </c>
      <c r="F1265">
        <v>1</v>
      </c>
      <c r="G1265">
        <v>6.26</v>
      </c>
      <c r="H1265">
        <v>6.26</v>
      </c>
      <c r="I1265">
        <v>0</v>
      </c>
      <c r="J1265">
        <v>6.26</v>
      </c>
      <c r="K1265">
        <v>0</v>
      </c>
    </row>
    <row r="1266" spans="1:11" x14ac:dyDescent="0.3">
      <c r="A1266">
        <v>1595</v>
      </c>
      <c r="B1266" t="s">
        <v>36</v>
      </c>
      <c r="C1266" s="1">
        <v>45794</v>
      </c>
      <c r="D1266" t="s">
        <v>17</v>
      </c>
      <c r="E1266" t="s">
        <v>37</v>
      </c>
      <c r="F1266">
        <v>4</v>
      </c>
      <c r="G1266">
        <v>9.11</v>
      </c>
      <c r="H1266">
        <v>36.44</v>
      </c>
      <c r="I1266">
        <v>3.64</v>
      </c>
      <c r="J1266">
        <v>32.799999999999997</v>
      </c>
      <c r="K1266">
        <v>310</v>
      </c>
    </row>
    <row r="1267" spans="1:11" x14ac:dyDescent="0.3">
      <c r="A1267">
        <v>7504</v>
      </c>
      <c r="B1267" t="s">
        <v>19</v>
      </c>
      <c r="C1267" s="1">
        <v>45757</v>
      </c>
      <c r="D1267" t="s">
        <v>35</v>
      </c>
      <c r="E1267" t="s">
        <v>47</v>
      </c>
      <c r="F1267">
        <v>3</v>
      </c>
      <c r="G1267">
        <v>10.68</v>
      </c>
      <c r="H1267">
        <v>32.04</v>
      </c>
      <c r="I1267">
        <v>0</v>
      </c>
      <c r="J1267">
        <v>32.04</v>
      </c>
      <c r="K1267">
        <v>57</v>
      </c>
    </row>
    <row r="1268" spans="1:11" x14ac:dyDescent="0.3">
      <c r="A1268">
        <v>9116</v>
      </c>
      <c r="B1268" t="s">
        <v>31</v>
      </c>
      <c r="C1268" s="1">
        <v>45289</v>
      </c>
      <c r="D1268" t="s">
        <v>27</v>
      </c>
      <c r="E1268" t="s">
        <v>18</v>
      </c>
      <c r="F1268">
        <v>2</v>
      </c>
      <c r="G1268">
        <v>10.6</v>
      </c>
      <c r="H1268">
        <v>21.2</v>
      </c>
      <c r="I1268">
        <v>0</v>
      </c>
      <c r="J1268">
        <v>21.2</v>
      </c>
      <c r="K1268">
        <v>379</v>
      </c>
    </row>
    <row r="1269" spans="1:11" x14ac:dyDescent="0.3">
      <c r="A1269">
        <v>5742</v>
      </c>
      <c r="B1269" t="s">
        <v>14</v>
      </c>
      <c r="C1269" s="1">
        <v>45825</v>
      </c>
      <c r="D1269" t="s">
        <v>28</v>
      </c>
      <c r="E1269" t="s">
        <v>23</v>
      </c>
      <c r="F1269">
        <v>2</v>
      </c>
      <c r="G1269">
        <v>19.850000000000001</v>
      </c>
      <c r="H1269">
        <v>39.700000000000003</v>
      </c>
      <c r="I1269">
        <v>4.55</v>
      </c>
      <c r="J1269">
        <v>35.15</v>
      </c>
      <c r="K1269">
        <v>107</v>
      </c>
    </row>
    <row r="1270" spans="1:11" x14ac:dyDescent="0.3">
      <c r="A1270">
        <v>1613</v>
      </c>
      <c r="B1270" t="s">
        <v>19</v>
      </c>
      <c r="C1270" s="1">
        <v>45152</v>
      </c>
      <c r="D1270" t="s">
        <v>27</v>
      </c>
      <c r="E1270" t="s">
        <v>48</v>
      </c>
      <c r="F1270">
        <v>1</v>
      </c>
      <c r="G1270">
        <v>18</v>
      </c>
      <c r="H1270">
        <v>18</v>
      </c>
      <c r="I1270">
        <v>3.6</v>
      </c>
      <c r="J1270">
        <v>14.4</v>
      </c>
      <c r="K1270">
        <v>467</v>
      </c>
    </row>
    <row r="1271" spans="1:11" x14ac:dyDescent="0.3">
      <c r="A1271">
        <v>5888</v>
      </c>
      <c r="B1271" t="s">
        <v>26</v>
      </c>
      <c r="C1271" s="1">
        <v>45586</v>
      </c>
      <c r="D1271" t="s">
        <v>15</v>
      </c>
      <c r="E1271" t="s">
        <v>43</v>
      </c>
      <c r="F1271">
        <v>5</v>
      </c>
      <c r="G1271">
        <v>18.940000000000001</v>
      </c>
      <c r="H1271">
        <v>94.7</v>
      </c>
      <c r="I1271">
        <v>18.940000000000001</v>
      </c>
      <c r="J1271">
        <v>75.760000000000005</v>
      </c>
      <c r="K1271">
        <v>154</v>
      </c>
    </row>
    <row r="1272" spans="1:11" x14ac:dyDescent="0.3">
      <c r="A1272">
        <v>2758</v>
      </c>
      <c r="B1272" t="s">
        <v>14</v>
      </c>
      <c r="C1272" s="1">
        <v>45866</v>
      </c>
      <c r="D1272" t="s">
        <v>34</v>
      </c>
      <c r="E1272" t="s">
        <v>40</v>
      </c>
      <c r="F1272">
        <v>2</v>
      </c>
      <c r="G1272">
        <v>6.55</v>
      </c>
      <c r="H1272">
        <v>13.1</v>
      </c>
      <c r="I1272">
        <v>4.9000000000000004</v>
      </c>
      <c r="J1272">
        <v>8.1999999999999993</v>
      </c>
      <c r="K1272">
        <v>281</v>
      </c>
    </row>
    <row r="1273" spans="1:11" x14ac:dyDescent="0.3">
      <c r="A1273">
        <v>6489</v>
      </c>
      <c r="B1273" t="s">
        <v>36</v>
      </c>
      <c r="C1273" s="1">
        <v>45366</v>
      </c>
      <c r="D1273" t="s">
        <v>45</v>
      </c>
      <c r="E1273" t="s">
        <v>48</v>
      </c>
      <c r="F1273">
        <v>4</v>
      </c>
      <c r="G1273">
        <v>2.95</v>
      </c>
      <c r="H1273">
        <v>11.8</v>
      </c>
      <c r="I1273">
        <v>2.36</v>
      </c>
      <c r="J1273">
        <v>9.44</v>
      </c>
      <c r="K1273">
        <v>214</v>
      </c>
    </row>
    <row r="1274" spans="1:11" x14ac:dyDescent="0.3">
      <c r="A1274">
        <v>8444</v>
      </c>
      <c r="B1274" t="s">
        <v>30</v>
      </c>
      <c r="C1274" s="1">
        <v>45643</v>
      </c>
      <c r="D1274" t="s">
        <v>34</v>
      </c>
      <c r="E1274" t="s">
        <v>37</v>
      </c>
      <c r="F1274">
        <v>1</v>
      </c>
      <c r="G1274">
        <v>28.71</v>
      </c>
      <c r="H1274">
        <v>28.71</v>
      </c>
      <c r="I1274">
        <v>0</v>
      </c>
      <c r="J1274">
        <v>28.71</v>
      </c>
      <c r="K1274">
        <v>31</v>
      </c>
    </row>
    <row r="1275" spans="1:11" x14ac:dyDescent="0.3">
      <c r="A1275">
        <v>9901</v>
      </c>
      <c r="B1275" t="s">
        <v>24</v>
      </c>
      <c r="C1275" s="1">
        <v>45552</v>
      </c>
      <c r="D1275" t="s">
        <v>45</v>
      </c>
      <c r="E1275" t="s">
        <v>18</v>
      </c>
      <c r="F1275">
        <v>5</v>
      </c>
      <c r="G1275">
        <v>29.16</v>
      </c>
      <c r="H1275">
        <v>145.80000000000001</v>
      </c>
      <c r="I1275">
        <v>2.54</v>
      </c>
      <c r="J1275">
        <v>143.26</v>
      </c>
      <c r="K1275">
        <v>84</v>
      </c>
    </row>
    <row r="1276" spans="1:11" x14ac:dyDescent="0.3">
      <c r="A1276">
        <v>9092</v>
      </c>
      <c r="B1276" t="s">
        <v>24</v>
      </c>
      <c r="C1276" s="1">
        <v>45835</v>
      </c>
      <c r="D1276" t="s">
        <v>20</v>
      </c>
      <c r="E1276" t="s">
        <v>13</v>
      </c>
      <c r="F1276">
        <v>2</v>
      </c>
      <c r="G1276">
        <v>6.33</v>
      </c>
      <c r="H1276">
        <v>12.66</v>
      </c>
      <c r="I1276">
        <v>3.79</v>
      </c>
      <c r="J1276">
        <v>8.8699999999999992</v>
      </c>
      <c r="K1276">
        <v>81</v>
      </c>
    </row>
    <row r="1277" spans="1:11" x14ac:dyDescent="0.3">
      <c r="A1277">
        <v>3198</v>
      </c>
      <c r="B1277" t="s">
        <v>14</v>
      </c>
      <c r="C1277" s="1">
        <v>45806</v>
      </c>
      <c r="D1277" t="s">
        <v>45</v>
      </c>
      <c r="E1277" t="s">
        <v>46</v>
      </c>
      <c r="F1277">
        <v>5</v>
      </c>
      <c r="G1277">
        <v>8.5</v>
      </c>
      <c r="H1277">
        <v>42.5</v>
      </c>
      <c r="I1277">
        <v>6.38</v>
      </c>
      <c r="J1277">
        <v>36.119999999999997</v>
      </c>
      <c r="K1277">
        <v>436</v>
      </c>
    </row>
    <row r="1278" spans="1:11" x14ac:dyDescent="0.3">
      <c r="A1278">
        <v>9261</v>
      </c>
      <c r="B1278" t="s">
        <v>30</v>
      </c>
      <c r="C1278" s="1">
        <v>45508</v>
      </c>
      <c r="D1278" t="s">
        <v>38</v>
      </c>
      <c r="E1278" t="s">
        <v>48</v>
      </c>
      <c r="F1278">
        <v>2</v>
      </c>
      <c r="G1278">
        <v>7.48</v>
      </c>
      <c r="H1278">
        <v>14.96</v>
      </c>
      <c r="I1278">
        <v>2.2400000000000002</v>
      </c>
      <c r="J1278">
        <v>12.72</v>
      </c>
      <c r="K1278">
        <v>273</v>
      </c>
    </row>
    <row r="1279" spans="1:11" x14ac:dyDescent="0.3">
      <c r="A1279">
        <v>5470</v>
      </c>
      <c r="B1279" t="s">
        <v>31</v>
      </c>
      <c r="C1279" s="1">
        <v>45294</v>
      </c>
      <c r="D1279" t="s">
        <v>27</v>
      </c>
      <c r="E1279" t="s">
        <v>41</v>
      </c>
      <c r="F1279">
        <v>3</v>
      </c>
      <c r="G1279">
        <v>27.88</v>
      </c>
      <c r="H1279">
        <v>83.64</v>
      </c>
      <c r="I1279">
        <v>0</v>
      </c>
      <c r="J1279">
        <v>83.64</v>
      </c>
      <c r="K1279">
        <v>138</v>
      </c>
    </row>
    <row r="1280" spans="1:11" x14ac:dyDescent="0.3">
      <c r="A1280">
        <v>2845</v>
      </c>
      <c r="B1280" t="s">
        <v>42</v>
      </c>
      <c r="C1280" s="1">
        <v>45401</v>
      </c>
      <c r="D1280" t="s">
        <v>17</v>
      </c>
      <c r="E1280" t="s">
        <v>18</v>
      </c>
      <c r="F1280">
        <v>1</v>
      </c>
      <c r="G1280">
        <v>1.03</v>
      </c>
      <c r="H1280">
        <v>1.03</v>
      </c>
      <c r="I1280">
        <v>0.15</v>
      </c>
      <c r="J1280">
        <v>0.88</v>
      </c>
      <c r="K1280">
        <v>177</v>
      </c>
    </row>
    <row r="1281" spans="1:11" x14ac:dyDescent="0.3">
      <c r="A1281">
        <v>3662</v>
      </c>
      <c r="B1281" t="s">
        <v>11</v>
      </c>
      <c r="C1281" s="1">
        <v>45712</v>
      </c>
      <c r="D1281" t="s">
        <v>38</v>
      </c>
      <c r="E1281" t="s">
        <v>13</v>
      </c>
      <c r="F1281">
        <v>2</v>
      </c>
      <c r="G1281">
        <v>12.83</v>
      </c>
      <c r="H1281">
        <v>25.66</v>
      </c>
      <c r="I1281">
        <v>3.85</v>
      </c>
      <c r="J1281">
        <v>21.81</v>
      </c>
      <c r="K1281">
        <v>313</v>
      </c>
    </row>
    <row r="1282" spans="1:11" x14ac:dyDescent="0.3">
      <c r="A1282">
        <v>8518</v>
      </c>
      <c r="B1282" t="s">
        <v>31</v>
      </c>
      <c r="C1282" s="1">
        <v>45648</v>
      </c>
      <c r="D1282" t="s">
        <v>27</v>
      </c>
      <c r="E1282" t="s">
        <v>39</v>
      </c>
      <c r="F1282">
        <v>3</v>
      </c>
      <c r="G1282">
        <v>7.35</v>
      </c>
      <c r="H1282">
        <v>22.05</v>
      </c>
      <c r="I1282">
        <v>4.41</v>
      </c>
      <c r="J1282">
        <v>17.64</v>
      </c>
      <c r="K1282">
        <v>494</v>
      </c>
    </row>
    <row r="1283" spans="1:11" x14ac:dyDescent="0.3">
      <c r="A1283">
        <v>5215</v>
      </c>
      <c r="B1283" t="s">
        <v>30</v>
      </c>
      <c r="C1283" s="1">
        <v>45703</v>
      </c>
      <c r="D1283" t="s">
        <v>12</v>
      </c>
      <c r="E1283" t="s">
        <v>18</v>
      </c>
      <c r="F1283">
        <v>5</v>
      </c>
      <c r="G1283">
        <v>4.08</v>
      </c>
      <c r="H1283">
        <v>20.399999999999999</v>
      </c>
      <c r="I1283">
        <v>0</v>
      </c>
      <c r="J1283">
        <v>20.399999999999999</v>
      </c>
      <c r="K1283">
        <v>381</v>
      </c>
    </row>
    <row r="1284" spans="1:11" x14ac:dyDescent="0.3">
      <c r="A1284">
        <v>4050</v>
      </c>
      <c r="B1284" t="s">
        <v>30</v>
      </c>
      <c r="C1284" s="1">
        <v>45155</v>
      </c>
      <c r="D1284" t="s">
        <v>27</v>
      </c>
      <c r="E1284" t="s">
        <v>18</v>
      </c>
      <c r="F1284">
        <v>2</v>
      </c>
      <c r="G1284">
        <v>24.68</v>
      </c>
      <c r="H1284">
        <v>49.36</v>
      </c>
      <c r="I1284">
        <v>7.4</v>
      </c>
      <c r="J1284">
        <v>41.96</v>
      </c>
      <c r="K1284">
        <v>112</v>
      </c>
    </row>
    <row r="1285" spans="1:11" x14ac:dyDescent="0.3">
      <c r="A1285">
        <v>6523</v>
      </c>
      <c r="B1285" t="s">
        <v>42</v>
      </c>
      <c r="C1285" s="1">
        <v>45759</v>
      </c>
      <c r="D1285" t="s">
        <v>28</v>
      </c>
      <c r="E1285" t="s">
        <v>32</v>
      </c>
      <c r="F1285">
        <v>2</v>
      </c>
      <c r="G1285">
        <v>13.93</v>
      </c>
      <c r="H1285">
        <v>27.86</v>
      </c>
      <c r="I1285">
        <v>4.18</v>
      </c>
      <c r="J1285">
        <v>23.68</v>
      </c>
      <c r="K1285">
        <v>373</v>
      </c>
    </row>
    <row r="1286" spans="1:11" x14ac:dyDescent="0.3">
      <c r="A1286">
        <v>5833</v>
      </c>
      <c r="B1286" t="s">
        <v>19</v>
      </c>
      <c r="C1286" s="1">
        <v>45586</v>
      </c>
      <c r="D1286" t="s">
        <v>45</v>
      </c>
      <c r="E1286" t="s">
        <v>43</v>
      </c>
      <c r="F1286">
        <v>4</v>
      </c>
      <c r="G1286">
        <v>6.25</v>
      </c>
      <c r="H1286">
        <v>25</v>
      </c>
      <c r="I1286">
        <v>5</v>
      </c>
      <c r="J1286">
        <v>20</v>
      </c>
      <c r="K1286">
        <v>94</v>
      </c>
    </row>
    <row r="1287" spans="1:11" x14ac:dyDescent="0.3">
      <c r="A1287">
        <v>4164</v>
      </c>
      <c r="B1287" t="s">
        <v>26</v>
      </c>
      <c r="C1287" s="1">
        <v>45281</v>
      </c>
      <c r="D1287" t="s">
        <v>34</v>
      </c>
      <c r="E1287" t="s">
        <v>37</v>
      </c>
      <c r="F1287">
        <v>1</v>
      </c>
      <c r="G1287">
        <v>9.98</v>
      </c>
      <c r="H1287">
        <v>9.98</v>
      </c>
      <c r="I1287">
        <v>1</v>
      </c>
      <c r="J1287">
        <v>8.98</v>
      </c>
      <c r="K1287">
        <v>453</v>
      </c>
    </row>
    <row r="1288" spans="1:11" x14ac:dyDescent="0.3">
      <c r="A1288">
        <v>7643</v>
      </c>
      <c r="B1288" t="s">
        <v>42</v>
      </c>
      <c r="C1288" s="1">
        <v>45787</v>
      </c>
      <c r="D1288" t="s">
        <v>15</v>
      </c>
      <c r="E1288" t="s">
        <v>41</v>
      </c>
      <c r="F1288">
        <v>1</v>
      </c>
      <c r="G1288">
        <v>13.36</v>
      </c>
      <c r="H1288">
        <v>13.36</v>
      </c>
      <c r="I1288">
        <v>3.9</v>
      </c>
      <c r="J1288">
        <v>9.4600000000000009</v>
      </c>
      <c r="K1288">
        <v>232</v>
      </c>
    </row>
    <row r="1289" spans="1:11" x14ac:dyDescent="0.3">
      <c r="A1289">
        <v>8007</v>
      </c>
      <c r="B1289" t="s">
        <v>19</v>
      </c>
      <c r="C1289" s="1">
        <v>45545</v>
      </c>
      <c r="D1289" t="s">
        <v>12</v>
      </c>
      <c r="E1289" t="s">
        <v>48</v>
      </c>
      <c r="F1289">
        <v>4</v>
      </c>
      <c r="G1289">
        <v>12.13</v>
      </c>
      <c r="H1289">
        <v>48.52</v>
      </c>
      <c r="I1289">
        <v>0</v>
      </c>
      <c r="J1289">
        <v>48.52</v>
      </c>
      <c r="K1289">
        <v>56</v>
      </c>
    </row>
    <row r="1290" spans="1:11" x14ac:dyDescent="0.3">
      <c r="A1290">
        <v>6372</v>
      </c>
      <c r="B1290" t="s">
        <v>31</v>
      </c>
      <c r="C1290" s="1">
        <v>45212</v>
      </c>
      <c r="D1290" t="s">
        <v>34</v>
      </c>
      <c r="E1290" t="s">
        <v>25</v>
      </c>
      <c r="F1290">
        <v>1</v>
      </c>
      <c r="G1290">
        <v>8.75</v>
      </c>
      <c r="H1290">
        <v>8.75</v>
      </c>
      <c r="I1290">
        <v>4.83</v>
      </c>
      <c r="J1290">
        <v>3.92</v>
      </c>
      <c r="K1290">
        <v>480</v>
      </c>
    </row>
    <row r="1291" spans="1:11" x14ac:dyDescent="0.3">
      <c r="A1291">
        <v>7567</v>
      </c>
      <c r="B1291" t="s">
        <v>11</v>
      </c>
      <c r="C1291" s="1">
        <v>45664</v>
      </c>
      <c r="D1291" t="s">
        <v>38</v>
      </c>
      <c r="E1291" t="s">
        <v>21</v>
      </c>
      <c r="F1291">
        <v>1</v>
      </c>
      <c r="G1291">
        <v>6.86</v>
      </c>
      <c r="H1291">
        <v>6.86</v>
      </c>
      <c r="I1291">
        <v>1.37</v>
      </c>
      <c r="J1291">
        <v>5.49</v>
      </c>
      <c r="K1291">
        <v>245</v>
      </c>
    </row>
    <row r="1292" spans="1:11" x14ac:dyDescent="0.3">
      <c r="A1292">
        <v>2562</v>
      </c>
      <c r="B1292" t="s">
        <v>30</v>
      </c>
      <c r="C1292" s="1">
        <v>45288</v>
      </c>
      <c r="D1292" t="s">
        <v>22</v>
      </c>
      <c r="E1292" t="s">
        <v>47</v>
      </c>
      <c r="F1292">
        <v>2</v>
      </c>
      <c r="G1292">
        <v>8.06</v>
      </c>
      <c r="H1292">
        <v>16.12</v>
      </c>
      <c r="I1292">
        <v>0</v>
      </c>
      <c r="J1292">
        <v>16.12</v>
      </c>
      <c r="K1292">
        <v>278</v>
      </c>
    </row>
    <row r="1293" spans="1:11" x14ac:dyDescent="0.3">
      <c r="A1293">
        <v>3303</v>
      </c>
      <c r="B1293" t="s">
        <v>14</v>
      </c>
      <c r="C1293" s="1">
        <v>45515</v>
      </c>
      <c r="D1293" t="s">
        <v>15</v>
      </c>
      <c r="E1293" t="s">
        <v>39</v>
      </c>
      <c r="F1293">
        <v>1</v>
      </c>
      <c r="G1293">
        <v>3.97</v>
      </c>
      <c r="H1293">
        <v>3.97</v>
      </c>
      <c r="I1293">
        <v>4.55</v>
      </c>
      <c r="J1293">
        <v>-0.57999999999999996</v>
      </c>
      <c r="K1293">
        <v>151</v>
      </c>
    </row>
    <row r="1294" spans="1:11" x14ac:dyDescent="0.3">
      <c r="A1294">
        <v>6301</v>
      </c>
      <c r="B1294" t="s">
        <v>24</v>
      </c>
      <c r="C1294" s="1">
        <v>45871</v>
      </c>
      <c r="D1294" t="s">
        <v>34</v>
      </c>
      <c r="E1294" t="s">
        <v>39</v>
      </c>
      <c r="F1294">
        <v>2</v>
      </c>
      <c r="G1294">
        <v>1.69</v>
      </c>
      <c r="H1294">
        <v>3.38</v>
      </c>
      <c r="I1294">
        <v>0.68</v>
      </c>
      <c r="J1294">
        <v>2.7</v>
      </c>
      <c r="K1294">
        <v>218</v>
      </c>
    </row>
    <row r="1295" spans="1:11" x14ac:dyDescent="0.3">
      <c r="A1295">
        <v>5064</v>
      </c>
      <c r="B1295" t="s">
        <v>36</v>
      </c>
      <c r="C1295" s="1">
        <v>45150</v>
      </c>
      <c r="D1295" t="s">
        <v>27</v>
      </c>
      <c r="E1295" t="s">
        <v>37</v>
      </c>
      <c r="F1295">
        <v>2</v>
      </c>
      <c r="G1295">
        <v>27.72</v>
      </c>
      <c r="H1295">
        <v>55.44</v>
      </c>
      <c r="I1295">
        <v>0</v>
      </c>
      <c r="J1295">
        <v>55.44</v>
      </c>
      <c r="K1295">
        <v>350</v>
      </c>
    </row>
    <row r="1296" spans="1:11" x14ac:dyDescent="0.3">
      <c r="A1296">
        <v>5272</v>
      </c>
      <c r="B1296" t="s">
        <v>11</v>
      </c>
      <c r="C1296" s="1">
        <v>45442</v>
      </c>
      <c r="D1296" t="s">
        <v>45</v>
      </c>
      <c r="E1296" t="s">
        <v>29</v>
      </c>
      <c r="F1296">
        <v>1</v>
      </c>
      <c r="G1296">
        <v>7.5</v>
      </c>
      <c r="H1296">
        <v>7.5</v>
      </c>
      <c r="I1296">
        <v>1.1200000000000001</v>
      </c>
      <c r="J1296">
        <v>6.38</v>
      </c>
      <c r="K1296">
        <v>489</v>
      </c>
    </row>
    <row r="1297" spans="1:11" x14ac:dyDescent="0.3">
      <c r="A1297">
        <v>4858</v>
      </c>
      <c r="B1297" t="s">
        <v>11</v>
      </c>
      <c r="C1297" s="1">
        <v>45491</v>
      </c>
      <c r="D1297" t="s">
        <v>28</v>
      </c>
      <c r="E1297" t="s">
        <v>21</v>
      </c>
      <c r="F1297">
        <v>1</v>
      </c>
      <c r="G1297">
        <v>11.44</v>
      </c>
      <c r="H1297">
        <v>11.44</v>
      </c>
      <c r="I1297">
        <v>3.42</v>
      </c>
      <c r="J1297">
        <v>8.02</v>
      </c>
      <c r="K1297">
        <v>473</v>
      </c>
    </row>
    <row r="1298" spans="1:11" x14ac:dyDescent="0.3">
      <c r="A1298">
        <v>5374</v>
      </c>
      <c r="B1298" t="s">
        <v>19</v>
      </c>
      <c r="C1298" s="1">
        <v>45401</v>
      </c>
      <c r="D1298" t="s">
        <v>20</v>
      </c>
      <c r="E1298" t="s">
        <v>46</v>
      </c>
      <c r="F1298">
        <v>3</v>
      </c>
      <c r="G1298">
        <v>18.38</v>
      </c>
      <c r="H1298">
        <v>55.14</v>
      </c>
      <c r="I1298">
        <v>11.03</v>
      </c>
      <c r="J1298">
        <v>44.11</v>
      </c>
      <c r="K1298">
        <v>347</v>
      </c>
    </row>
    <row r="1299" spans="1:11" x14ac:dyDescent="0.3">
      <c r="A1299">
        <v>5947</v>
      </c>
      <c r="B1299" t="s">
        <v>30</v>
      </c>
      <c r="C1299" s="1">
        <v>45597</v>
      </c>
      <c r="D1299" t="s">
        <v>28</v>
      </c>
      <c r="E1299" t="s">
        <v>37</v>
      </c>
      <c r="F1299">
        <v>3</v>
      </c>
      <c r="G1299">
        <v>26.38</v>
      </c>
      <c r="H1299">
        <v>79.14</v>
      </c>
      <c r="I1299">
        <v>0</v>
      </c>
      <c r="J1299">
        <v>79.14</v>
      </c>
      <c r="K1299">
        <v>138</v>
      </c>
    </row>
    <row r="1300" spans="1:11" x14ac:dyDescent="0.3">
      <c r="A1300">
        <v>1187</v>
      </c>
      <c r="B1300" t="s">
        <v>36</v>
      </c>
      <c r="C1300" s="1">
        <v>45348</v>
      </c>
      <c r="D1300" t="s">
        <v>35</v>
      </c>
      <c r="E1300" t="s">
        <v>43</v>
      </c>
      <c r="F1300">
        <v>1</v>
      </c>
      <c r="G1300">
        <v>25.98</v>
      </c>
      <c r="H1300">
        <v>25.98</v>
      </c>
      <c r="I1300">
        <v>0</v>
      </c>
      <c r="J1300">
        <v>25.98</v>
      </c>
      <c r="K1300">
        <v>500</v>
      </c>
    </row>
    <row r="1301" spans="1:11" x14ac:dyDescent="0.3">
      <c r="A1301">
        <v>6890</v>
      </c>
      <c r="B1301" t="s">
        <v>19</v>
      </c>
      <c r="C1301" s="1">
        <v>45683</v>
      </c>
      <c r="D1301" t="s">
        <v>22</v>
      </c>
      <c r="E1301" t="s">
        <v>41</v>
      </c>
      <c r="F1301">
        <v>4</v>
      </c>
      <c r="G1301">
        <v>13.94</v>
      </c>
      <c r="H1301">
        <v>55.76</v>
      </c>
      <c r="I1301">
        <v>1.45</v>
      </c>
      <c r="J1301">
        <v>54.31</v>
      </c>
      <c r="K1301">
        <v>407</v>
      </c>
    </row>
    <row r="1302" spans="1:11" x14ac:dyDescent="0.3">
      <c r="A1302">
        <v>4871</v>
      </c>
      <c r="B1302" t="s">
        <v>24</v>
      </c>
      <c r="C1302" s="1">
        <v>45193</v>
      </c>
      <c r="D1302" t="s">
        <v>35</v>
      </c>
      <c r="E1302" t="s">
        <v>41</v>
      </c>
      <c r="F1302">
        <v>1</v>
      </c>
      <c r="G1302">
        <v>10.36</v>
      </c>
      <c r="H1302">
        <v>10.36</v>
      </c>
      <c r="I1302">
        <v>1.04</v>
      </c>
      <c r="J1302">
        <v>9.32</v>
      </c>
      <c r="K1302">
        <v>65</v>
      </c>
    </row>
    <row r="1303" spans="1:11" x14ac:dyDescent="0.3">
      <c r="A1303">
        <v>2936</v>
      </c>
      <c r="B1303" t="s">
        <v>36</v>
      </c>
      <c r="C1303" s="1">
        <v>45506</v>
      </c>
      <c r="D1303" t="s">
        <v>22</v>
      </c>
      <c r="E1303" t="s">
        <v>47</v>
      </c>
      <c r="F1303">
        <v>4</v>
      </c>
      <c r="G1303">
        <v>14.95</v>
      </c>
      <c r="H1303">
        <v>59.8</v>
      </c>
      <c r="I1303">
        <v>4.17</v>
      </c>
      <c r="J1303">
        <v>55.63</v>
      </c>
      <c r="K1303">
        <v>498</v>
      </c>
    </row>
    <row r="1304" spans="1:11" x14ac:dyDescent="0.3">
      <c r="A1304">
        <v>6026</v>
      </c>
      <c r="B1304" t="s">
        <v>36</v>
      </c>
      <c r="C1304" s="1">
        <v>45269</v>
      </c>
      <c r="D1304" t="s">
        <v>34</v>
      </c>
      <c r="E1304" t="s">
        <v>25</v>
      </c>
      <c r="F1304">
        <v>4</v>
      </c>
      <c r="G1304">
        <v>13.13</v>
      </c>
      <c r="H1304">
        <v>52.52</v>
      </c>
      <c r="I1304">
        <v>3.14</v>
      </c>
      <c r="J1304">
        <v>49.38</v>
      </c>
      <c r="K1304">
        <v>254</v>
      </c>
    </row>
    <row r="1305" spans="1:11" x14ac:dyDescent="0.3">
      <c r="A1305">
        <v>7642</v>
      </c>
      <c r="B1305" t="s">
        <v>42</v>
      </c>
      <c r="C1305" s="1">
        <v>45677</v>
      </c>
      <c r="D1305" t="s">
        <v>20</v>
      </c>
      <c r="E1305" t="s">
        <v>43</v>
      </c>
      <c r="F1305">
        <v>5</v>
      </c>
      <c r="G1305">
        <v>21.72</v>
      </c>
      <c r="H1305">
        <v>108.6</v>
      </c>
      <c r="I1305">
        <v>0</v>
      </c>
      <c r="J1305">
        <v>108.6</v>
      </c>
      <c r="K1305">
        <v>269</v>
      </c>
    </row>
    <row r="1306" spans="1:11" x14ac:dyDescent="0.3">
      <c r="A1306">
        <v>9233</v>
      </c>
      <c r="B1306" t="s">
        <v>11</v>
      </c>
      <c r="C1306" s="1">
        <v>45861</v>
      </c>
      <c r="D1306" t="s">
        <v>17</v>
      </c>
      <c r="E1306" t="s">
        <v>23</v>
      </c>
      <c r="F1306">
        <v>1</v>
      </c>
      <c r="G1306">
        <v>6.89</v>
      </c>
      <c r="H1306">
        <v>6.89</v>
      </c>
      <c r="I1306">
        <v>1.03</v>
      </c>
      <c r="J1306">
        <v>5.86</v>
      </c>
      <c r="K1306">
        <v>435</v>
      </c>
    </row>
    <row r="1307" spans="1:11" x14ac:dyDescent="0.3">
      <c r="A1307">
        <v>6095</v>
      </c>
      <c r="B1307" t="s">
        <v>14</v>
      </c>
      <c r="C1307" s="1">
        <v>45681</v>
      </c>
      <c r="D1307" t="s">
        <v>45</v>
      </c>
      <c r="E1307" t="s">
        <v>41</v>
      </c>
      <c r="F1307">
        <v>1</v>
      </c>
      <c r="G1307">
        <v>2.72</v>
      </c>
      <c r="H1307">
        <v>2.72</v>
      </c>
      <c r="I1307">
        <v>0.54</v>
      </c>
      <c r="J1307">
        <v>2.1800000000000002</v>
      </c>
      <c r="K1307">
        <v>178</v>
      </c>
    </row>
    <row r="1308" spans="1:11" x14ac:dyDescent="0.3">
      <c r="A1308">
        <v>2923</v>
      </c>
      <c r="B1308" t="s">
        <v>30</v>
      </c>
      <c r="C1308" s="1">
        <v>45641</v>
      </c>
      <c r="D1308" t="s">
        <v>45</v>
      </c>
      <c r="E1308" t="s">
        <v>41</v>
      </c>
      <c r="F1308">
        <v>5</v>
      </c>
      <c r="G1308">
        <v>29.17</v>
      </c>
      <c r="H1308">
        <v>145.85</v>
      </c>
      <c r="I1308">
        <v>29.17</v>
      </c>
      <c r="J1308">
        <v>116.68</v>
      </c>
      <c r="K1308">
        <v>467</v>
      </c>
    </row>
    <row r="1309" spans="1:11" x14ac:dyDescent="0.3">
      <c r="A1309">
        <v>5833</v>
      </c>
      <c r="B1309" t="s">
        <v>42</v>
      </c>
      <c r="C1309" s="1">
        <v>45430</v>
      </c>
      <c r="D1309" t="s">
        <v>17</v>
      </c>
      <c r="E1309" t="s">
        <v>40</v>
      </c>
      <c r="F1309">
        <v>2</v>
      </c>
      <c r="G1309">
        <v>4.3899999999999997</v>
      </c>
      <c r="H1309">
        <v>8.7799999999999994</v>
      </c>
      <c r="I1309">
        <v>0.88</v>
      </c>
      <c r="J1309">
        <v>7.9</v>
      </c>
      <c r="K1309">
        <v>356</v>
      </c>
    </row>
    <row r="1310" spans="1:11" x14ac:dyDescent="0.3">
      <c r="A1310">
        <v>4618</v>
      </c>
      <c r="B1310" t="s">
        <v>31</v>
      </c>
      <c r="C1310" s="1">
        <v>45315</v>
      </c>
      <c r="D1310" t="s">
        <v>20</v>
      </c>
      <c r="E1310" t="s">
        <v>23</v>
      </c>
      <c r="F1310">
        <v>1</v>
      </c>
      <c r="G1310">
        <v>21.33</v>
      </c>
      <c r="H1310">
        <v>21.33</v>
      </c>
      <c r="I1310">
        <v>2.13</v>
      </c>
      <c r="J1310">
        <v>19.2</v>
      </c>
      <c r="K1310">
        <v>339</v>
      </c>
    </row>
    <row r="1311" spans="1:11" x14ac:dyDescent="0.3">
      <c r="A1311">
        <v>3188</v>
      </c>
      <c r="B1311" t="s">
        <v>19</v>
      </c>
      <c r="C1311" s="1">
        <v>45516</v>
      </c>
      <c r="D1311" t="s">
        <v>12</v>
      </c>
      <c r="E1311" t="s">
        <v>41</v>
      </c>
      <c r="F1311">
        <v>3</v>
      </c>
      <c r="G1311">
        <v>5.09</v>
      </c>
      <c r="H1311">
        <v>15.27</v>
      </c>
      <c r="I1311">
        <v>3.28</v>
      </c>
      <c r="J1311">
        <v>11.99</v>
      </c>
      <c r="K1311">
        <v>125</v>
      </c>
    </row>
    <row r="1312" spans="1:11" x14ac:dyDescent="0.3">
      <c r="A1312">
        <v>3509</v>
      </c>
      <c r="B1312" t="s">
        <v>24</v>
      </c>
      <c r="C1312" s="1">
        <v>45498</v>
      </c>
      <c r="D1312" t="s">
        <v>34</v>
      </c>
      <c r="E1312" t="s">
        <v>29</v>
      </c>
      <c r="F1312">
        <v>4</v>
      </c>
      <c r="G1312">
        <v>22.55</v>
      </c>
      <c r="H1312">
        <v>90.2</v>
      </c>
      <c r="I1312">
        <v>9.02</v>
      </c>
      <c r="J1312">
        <v>81.180000000000007</v>
      </c>
      <c r="K1312">
        <v>383</v>
      </c>
    </row>
    <row r="1313" spans="1:11" x14ac:dyDescent="0.3">
      <c r="A1313">
        <v>7121</v>
      </c>
      <c r="B1313" t="s">
        <v>24</v>
      </c>
      <c r="C1313" s="1">
        <v>45467</v>
      </c>
      <c r="D1313" t="s">
        <v>22</v>
      </c>
      <c r="E1313" t="s">
        <v>33</v>
      </c>
      <c r="F1313">
        <v>1</v>
      </c>
      <c r="G1313">
        <v>9.31</v>
      </c>
      <c r="H1313">
        <v>9.31</v>
      </c>
      <c r="I1313">
        <v>0</v>
      </c>
      <c r="J1313">
        <v>9.31</v>
      </c>
      <c r="K1313">
        <v>79</v>
      </c>
    </row>
    <row r="1314" spans="1:11" x14ac:dyDescent="0.3">
      <c r="A1314">
        <v>9998</v>
      </c>
      <c r="B1314" t="s">
        <v>31</v>
      </c>
      <c r="C1314" s="1">
        <v>45853</v>
      </c>
      <c r="D1314" t="s">
        <v>28</v>
      </c>
      <c r="E1314" t="s">
        <v>29</v>
      </c>
      <c r="F1314">
        <v>5</v>
      </c>
      <c r="G1314">
        <v>5.64</v>
      </c>
      <c r="H1314">
        <v>28.2</v>
      </c>
      <c r="I1314">
        <v>0</v>
      </c>
      <c r="J1314">
        <v>28.2</v>
      </c>
      <c r="K1314">
        <v>202</v>
      </c>
    </row>
    <row r="1315" spans="1:11" x14ac:dyDescent="0.3">
      <c r="A1315">
        <v>8714</v>
      </c>
      <c r="B1315" t="s">
        <v>26</v>
      </c>
      <c r="C1315" s="1">
        <v>45733</v>
      </c>
      <c r="D1315" t="s">
        <v>38</v>
      </c>
      <c r="E1315" t="s">
        <v>13</v>
      </c>
      <c r="F1315">
        <v>5</v>
      </c>
      <c r="G1315">
        <v>15.54</v>
      </c>
      <c r="H1315">
        <v>77.7</v>
      </c>
      <c r="I1315">
        <v>7.77</v>
      </c>
      <c r="J1315">
        <v>69.930000000000007</v>
      </c>
      <c r="K1315">
        <v>363</v>
      </c>
    </row>
    <row r="1316" spans="1:11" x14ac:dyDescent="0.3">
      <c r="A1316">
        <v>9806</v>
      </c>
      <c r="B1316" t="s">
        <v>19</v>
      </c>
      <c r="C1316" s="1">
        <v>45767</v>
      </c>
      <c r="D1316" t="s">
        <v>35</v>
      </c>
      <c r="E1316" t="s">
        <v>43</v>
      </c>
      <c r="F1316">
        <v>5</v>
      </c>
      <c r="G1316">
        <v>11.94</v>
      </c>
      <c r="H1316">
        <v>59.7</v>
      </c>
      <c r="I1316">
        <v>0</v>
      </c>
      <c r="J1316">
        <v>59.7</v>
      </c>
      <c r="K1316">
        <v>486</v>
      </c>
    </row>
    <row r="1317" spans="1:11" x14ac:dyDescent="0.3">
      <c r="A1317">
        <v>4578</v>
      </c>
      <c r="B1317" t="s">
        <v>42</v>
      </c>
      <c r="C1317" s="1">
        <v>45736</v>
      </c>
      <c r="D1317" t="s">
        <v>20</v>
      </c>
      <c r="E1317" t="s">
        <v>40</v>
      </c>
      <c r="F1317">
        <v>2</v>
      </c>
      <c r="G1317">
        <v>12.37</v>
      </c>
      <c r="H1317">
        <v>24.74</v>
      </c>
      <c r="I1317">
        <v>0</v>
      </c>
      <c r="J1317">
        <v>24.74</v>
      </c>
      <c r="K1317">
        <v>421</v>
      </c>
    </row>
    <row r="1318" spans="1:11" x14ac:dyDescent="0.3">
      <c r="A1318">
        <v>5054</v>
      </c>
      <c r="B1318" t="s">
        <v>26</v>
      </c>
      <c r="C1318" s="1">
        <v>45673</v>
      </c>
      <c r="D1318" t="s">
        <v>45</v>
      </c>
      <c r="E1318" t="s">
        <v>21</v>
      </c>
      <c r="F1318">
        <v>4</v>
      </c>
      <c r="G1318">
        <v>24.98</v>
      </c>
      <c r="H1318">
        <v>99.92</v>
      </c>
      <c r="I1318">
        <v>14.99</v>
      </c>
      <c r="J1318">
        <v>84.93</v>
      </c>
      <c r="K1318">
        <v>84</v>
      </c>
    </row>
    <row r="1319" spans="1:11" x14ac:dyDescent="0.3">
      <c r="A1319">
        <v>2341</v>
      </c>
      <c r="B1319" t="s">
        <v>24</v>
      </c>
      <c r="C1319" s="1">
        <v>45553</v>
      </c>
      <c r="D1319" t="s">
        <v>17</v>
      </c>
      <c r="E1319" t="s">
        <v>13</v>
      </c>
      <c r="F1319">
        <v>1</v>
      </c>
      <c r="G1319">
        <v>4.0199999999999996</v>
      </c>
      <c r="H1319">
        <v>4.0199999999999996</v>
      </c>
      <c r="I1319">
        <v>1.96</v>
      </c>
      <c r="J1319">
        <v>2.06</v>
      </c>
      <c r="K1319">
        <v>185</v>
      </c>
    </row>
    <row r="1320" spans="1:11" x14ac:dyDescent="0.3">
      <c r="A1320">
        <v>8319</v>
      </c>
      <c r="B1320" t="s">
        <v>19</v>
      </c>
      <c r="C1320" s="1">
        <v>45555</v>
      </c>
      <c r="D1320" t="s">
        <v>38</v>
      </c>
      <c r="E1320" t="s">
        <v>48</v>
      </c>
      <c r="F1320">
        <v>1</v>
      </c>
      <c r="G1320">
        <v>7.14</v>
      </c>
      <c r="H1320">
        <v>7.14</v>
      </c>
      <c r="I1320">
        <v>1.43</v>
      </c>
      <c r="J1320">
        <v>5.71</v>
      </c>
      <c r="K1320">
        <v>5</v>
      </c>
    </row>
    <row r="1321" spans="1:11" x14ac:dyDescent="0.3">
      <c r="A1321">
        <v>6927</v>
      </c>
      <c r="B1321" t="s">
        <v>14</v>
      </c>
      <c r="C1321" s="1">
        <v>45205</v>
      </c>
      <c r="D1321" t="s">
        <v>17</v>
      </c>
      <c r="E1321" t="s">
        <v>40</v>
      </c>
      <c r="F1321">
        <v>2</v>
      </c>
      <c r="G1321">
        <v>8.8000000000000007</v>
      </c>
      <c r="H1321">
        <v>17.600000000000001</v>
      </c>
      <c r="I1321">
        <v>4.95</v>
      </c>
      <c r="J1321">
        <v>12.65</v>
      </c>
      <c r="K1321">
        <v>500</v>
      </c>
    </row>
    <row r="1322" spans="1:11" x14ac:dyDescent="0.3">
      <c r="A1322">
        <v>2838</v>
      </c>
      <c r="B1322" t="s">
        <v>26</v>
      </c>
      <c r="C1322" s="1">
        <v>45192</v>
      </c>
      <c r="D1322" t="s">
        <v>12</v>
      </c>
      <c r="E1322" t="s">
        <v>40</v>
      </c>
      <c r="F1322">
        <v>3</v>
      </c>
      <c r="G1322">
        <v>3.69</v>
      </c>
      <c r="H1322">
        <v>11.07</v>
      </c>
      <c r="I1322">
        <v>1.66</v>
      </c>
      <c r="J1322">
        <v>9.41</v>
      </c>
      <c r="K1322">
        <v>158</v>
      </c>
    </row>
    <row r="1323" spans="1:11" x14ac:dyDescent="0.3">
      <c r="A1323">
        <v>9972</v>
      </c>
      <c r="B1323" t="s">
        <v>30</v>
      </c>
      <c r="C1323" s="1">
        <v>45846</v>
      </c>
      <c r="D1323" t="s">
        <v>20</v>
      </c>
      <c r="E1323" t="s">
        <v>46</v>
      </c>
      <c r="F1323">
        <v>2</v>
      </c>
      <c r="G1323">
        <v>10.11</v>
      </c>
      <c r="H1323">
        <v>20.22</v>
      </c>
      <c r="I1323">
        <v>4.04</v>
      </c>
      <c r="J1323">
        <v>16.18</v>
      </c>
      <c r="K1323">
        <v>200</v>
      </c>
    </row>
    <row r="1324" spans="1:11" x14ac:dyDescent="0.3">
      <c r="A1324">
        <v>9281</v>
      </c>
      <c r="B1324" t="s">
        <v>11</v>
      </c>
      <c r="C1324" s="1">
        <v>45302</v>
      </c>
      <c r="D1324" t="s">
        <v>22</v>
      </c>
      <c r="E1324" t="s">
        <v>16</v>
      </c>
      <c r="F1324">
        <v>5</v>
      </c>
      <c r="G1324">
        <v>3.92</v>
      </c>
      <c r="H1324">
        <v>19.600000000000001</v>
      </c>
      <c r="I1324">
        <v>3.35</v>
      </c>
      <c r="J1324">
        <v>16.25</v>
      </c>
      <c r="K1324">
        <v>413</v>
      </c>
    </row>
    <row r="1325" spans="1:11" x14ac:dyDescent="0.3">
      <c r="A1325">
        <v>9792</v>
      </c>
      <c r="B1325" t="s">
        <v>24</v>
      </c>
      <c r="C1325" s="1">
        <v>45261</v>
      </c>
      <c r="D1325" t="s">
        <v>45</v>
      </c>
      <c r="E1325" t="s">
        <v>40</v>
      </c>
      <c r="F1325">
        <v>3</v>
      </c>
      <c r="G1325">
        <v>5.67</v>
      </c>
      <c r="H1325">
        <v>17.010000000000002</v>
      </c>
      <c r="I1325">
        <v>4.54</v>
      </c>
      <c r="J1325">
        <v>12.47</v>
      </c>
      <c r="K1325">
        <v>349</v>
      </c>
    </row>
    <row r="1326" spans="1:11" x14ac:dyDescent="0.3">
      <c r="A1326">
        <v>3695</v>
      </c>
      <c r="B1326" t="s">
        <v>11</v>
      </c>
      <c r="C1326" s="1">
        <v>45399</v>
      </c>
      <c r="D1326" t="s">
        <v>17</v>
      </c>
      <c r="E1326" t="s">
        <v>44</v>
      </c>
      <c r="F1326">
        <v>2</v>
      </c>
      <c r="G1326">
        <v>23.29</v>
      </c>
      <c r="H1326">
        <v>46.58</v>
      </c>
      <c r="I1326">
        <v>4.66</v>
      </c>
      <c r="J1326">
        <v>41.92</v>
      </c>
      <c r="K1326">
        <v>82</v>
      </c>
    </row>
    <row r="1327" spans="1:11" x14ac:dyDescent="0.3">
      <c r="A1327">
        <v>9525</v>
      </c>
      <c r="B1327" t="s">
        <v>19</v>
      </c>
      <c r="C1327" s="1">
        <v>45488</v>
      </c>
      <c r="D1327" t="s">
        <v>22</v>
      </c>
      <c r="E1327" t="s">
        <v>37</v>
      </c>
      <c r="F1327">
        <v>3</v>
      </c>
      <c r="G1327">
        <v>19.07</v>
      </c>
      <c r="H1327">
        <v>57.21</v>
      </c>
      <c r="I1327">
        <v>4.5599999999999996</v>
      </c>
      <c r="J1327">
        <v>52.65</v>
      </c>
      <c r="K1327">
        <v>481</v>
      </c>
    </row>
    <row r="1328" spans="1:11" x14ac:dyDescent="0.3">
      <c r="A1328">
        <v>2904</v>
      </c>
      <c r="B1328" t="s">
        <v>24</v>
      </c>
      <c r="C1328" s="1">
        <v>45673</v>
      </c>
      <c r="D1328" t="s">
        <v>17</v>
      </c>
      <c r="E1328" t="s">
        <v>44</v>
      </c>
      <c r="F1328">
        <v>5</v>
      </c>
      <c r="G1328">
        <v>18.59</v>
      </c>
      <c r="H1328">
        <v>92.95</v>
      </c>
      <c r="I1328">
        <v>3.51</v>
      </c>
      <c r="J1328">
        <v>89.44</v>
      </c>
      <c r="K1328">
        <v>490</v>
      </c>
    </row>
    <row r="1329" spans="1:11" x14ac:dyDescent="0.3">
      <c r="A1329">
        <v>4365</v>
      </c>
      <c r="B1329" t="s">
        <v>26</v>
      </c>
      <c r="C1329" s="1">
        <v>45701</v>
      </c>
      <c r="D1329" t="s">
        <v>15</v>
      </c>
      <c r="E1329" t="s">
        <v>39</v>
      </c>
      <c r="F1329">
        <v>2</v>
      </c>
      <c r="G1329">
        <v>23.21</v>
      </c>
      <c r="H1329">
        <v>46.42</v>
      </c>
      <c r="I1329">
        <v>4.6399999999999997</v>
      </c>
      <c r="J1329">
        <v>41.78</v>
      </c>
      <c r="K1329">
        <v>158</v>
      </c>
    </row>
    <row r="1330" spans="1:11" x14ac:dyDescent="0.3">
      <c r="A1330">
        <v>9008</v>
      </c>
      <c r="B1330" t="s">
        <v>11</v>
      </c>
      <c r="C1330" s="1">
        <v>45215</v>
      </c>
      <c r="D1330" t="s">
        <v>45</v>
      </c>
      <c r="E1330" t="s">
        <v>21</v>
      </c>
      <c r="F1330">
        <v>2</v>
      </c>
      <c r="G1330">
        <v>28.08</v>
      </c>
      <c r="H1330">
        <v>56.16</v>
      </c>
      <c r="I1330">
        <v>8.42</v>
      </c>
      <c r="J1330">
        <v>47.74</v>
      </c>
      <c r="K1330">
        <v>82</v>
      </c>
    </row>
    <row r="1331" spans="1:11" x14ac:dyDescent="0.3">
      <c r="A1331">
        <v>9361</v>
      </c>
      <c r="B1331" t="s">
        <v>36</v>
      </c>
      <c r="C1331" s="1">
        <v>45491</v>
      </c>
      <c r="D1331" t="s">
        <v>22</v>
      </c>
      <c r="E1331" t="s">
        <v>43</v>
      </c>
      <c r="F1331">
        <v>1</v>
      </c>
      <c r="G1331">
        <v>6.19</v>
      </c>
      <c r="H1331">
        <v>6.19</v>
      </c>
      <c r="I1331">
        <v>0.93</v>
      </c>
      <c r="J1331">
        <v>5.26</v>
      </c>
      <c r="K1331">
        <v>395</v>
      </c>
    </row>
    <row r="1332" spans="1:11" x14ac:dyDescent="0.3">
      <c r="A1332">
        <v>1911</v>
      </c>
      <c r="B1332" t="s">
        <v>26</v>
      </c>
      <c r="C1332" s="1">
        <v>45497</v>
      </c>
      <c r="D1332" t="s">
        <v>35</v>
      </c>
      <c r="E1332" t="s">
        <v>33</v>
      </c>
      <c r="F1332">
        <v>2</v>
      </c>
      <c r="G1332">
        <v>28.25</v>
      </c>
      <c r="H1332">
        <v>56.5</v>
      </c>
      <c r="I1332">
        <v>2.4500000000000002</v>
      </c>
      <c r="J1332">
        <v>54.05</v>
      </c>
      <c r="K1332">
        <v>497</v>
      </c>
    </row>
    <row r="1333" spans="1:11" x14ac:dyDescent="0.3">
      <c r="A1333">
        <v>3161</v>
      </c>
      <c r="B1333" t="s">
        <v>30</v>
      </c>
      <c r="C1333" s="1">
        <v>45543</v>
      </c>
      <c r="D1333" t="s">
        <v>20</v>
      </c>
      <c r="E1333" t="s">
        <v>16</v>
      </c>
      <c r="F1333">
        <v>5</v>
      </c>
      <c r="G1333">
        <v>27.59</v>
      </c>
      <c r="H1333">
        <v>137.94999999999999</v>
      </c>
      <c r="I1333">
        <v>20.69</v>
      </c>
      <c r="J1333">
        <v>117.26</v>
      </c>
      <c r="K1333">
        <v>66</v>
      </c>
    </row>
    <row r="1334" spans="1:11" x14ac:dyDescent="0.3">
      <c r="A1334">
        <v>7806</v>
      </c>
      <c r="B1334" t="s">
        <v>14</v>
      </c>
      <c r="C1334" s="1">
        <v>45499</v>
      </c>
      <c r="D1334" t="s">
        <v>28</v>
      </c>
      <c r="E1334" t="s">
        <v>21</v>
      </c>
      <c r="F1334">
        <v>3</v>
      </c>
      <c r="G1334">
        <v>3.41</v>
      </c>
      <c r="H1334">
        <v>10.23</v>
      </c>
      <c r="I1334">
        <v>1.53</v>
      </c>
      <c r="J1334">
        <v>8.6999999999999993</v>
      </c>
      <c r="K1334">
        <v>211</v>
      </c>
    </row>
    <row r="1335" spans="1:11" x14ac:dyDescent="0.3">
      <c r="A1335">
        <v>1945</v>
      </c>
      <c r="B1335" t="s">
        <v>31</v>
      </c>
      <c r="C1335" s="1">
        <v>45579</v>
      </c>
      <c r="D1335" t="s">
        <v>28</v>
      </c>
      <c r="E1335" t="s">
        <v>40</v>
      </c>
      <c r="F1335">
        <v>2</v>
      </c>
      <c r="G1335">
        <v>21.28</v>
      </c>
      <c r="H1335">
        <v>42.56</v>
      </c>
      <c r="I1335">
        <v>8.51</v>
      </c>
      <c r="J1335">
        <v>34.049999999999997</v>
      </c>
      <c r="K1335">
        <v>287</v>
      </c>
    </row>
    <row r="1336" spans="1:11" x14ac:dyDescent="0.3">
      <c r="A1336">
        <v>8575</v>
      </c>
      <c r="B1336" t="s">
        <v>11</v>
      </c>
      <c r="C1336" s="1">
        <v>45667</v>
      </c>
      <c r="D1336" t="s">
        <v>35</v>
      </c>
      <c r="E1336" t="s">
        <v>32</v>
      </c>
      <c r="F1336">
        <v>2</v>
      </c>
      <c r="G1336">
        <v>17.52</v>
      </c>
      <c r="H1336">
        <v>35.04</v>
      </c>
      <c r="I1336">
        <v>7.01</v>
      </c>
      <c r="J1336">
        <v>28.03</v>
      </c>
      <c r="K1336">
        <v>437</v>
      </c>
    </row>
    <row r="1337" spans="1:11" x14ac:dyDescent="0.3">
      <c r="A1337">
        <v>6049</v>
      </c>
      <c r="B1337" t="s">
        <v>24</v>
      </c>
      <c r="C1337" s="1">
        <v>45706</v>
      </c>
      <c r="D1337" t="s">
        <v>45</v>
      </c>
      <c r="E1337" t="s">
        <v>43</v>
      </c>
      <c r="F1337">
        <v>3</v>
      </c>
      <c r="G1337">
        <v>14.5</v>
      </c>
      <c r="H1337">
        <v>43.5</v>
      </c>
      <c r="I1337">
        <v>1.34</v>
      </c>
      <c r="J1337">
        <v>42.16</v>
      </c>
      <c r="K1337">
        <v>328</v>
      </c>
    </row>
    <row r="1338" spans="1:11" x14ac:dyDescent="0.3">
      <c r="A1338">
        <v>1356</v>
      </c>
      <c r="B1338" t="s">
        <v>11</v>
      </c>
      <c r="C1338" s="1">
        <v>45452</v>
      </c>
      <c r="D1338" t="s">
        <v>20</v>
      </c>
      <c r="E1338" t="s">
        <v>16</v>
      </c>
      <c r="F1338">
        <v>2</v>
      </c>
      <c r="G1338">
        <v>12.63</v>
      </c>
      <c r="H1338">
        <v>25.26</v>
      </c>
      <c r="I1338">
        <v>3.79</v>
      </c>
      <c r="J1338">
        <v>21.47</v>
      </c>
      <c r="K1338">
        <v>33</v>
      </c>
    </row>
    <row r="1339" spans="1:11" x14ac:dyDescent="0.3">
      <c r="A1339">
        <v>5169</v>
      </c>
      <c r="B1339" t="s">
        <v>26</v>
      </c>
      <c r="C1339" s="1">
        <v>45779</v>
      </c>
      <c r="D1339" t="s">
        <v>17</v>
      </c>
      <c r="E1339" t="s">
        <v>47</v>
      </c>
      <c r="F1339">
        <v>1</v>
      </c>
      <c r="G1339">
        <v>9.06</v>
      </c>
      <c r="H1339">
        <v>9.06</v>
      </c>
      <c r="I1339">
        <v>0.91</v>
      </c>
      <c r="J1339">
        <v>8.15</v>
      </c>
      <c r="K1339">
        <v>19</v>
      </c>
    </row>
    <row r="1340" spans="1:11" x14ac:dyDescent="0.3">
      <c r="A1340">
        <v>1049</v>
      </c>
      <c r="B1340" t="s">
        <v>19</v>
      </c>
      <c r="C1340" s="1">
        <v>45724</v>
      </c>
      <c r="D1340" t="s">
        <v>27</v>
      </c>
      <c r="E1340" t="s">
        <v>44</v>
      </c>
      <c r="F1340">
        <v>3</v>
      </c>
      <c r="G1340">
        <v>17.47</v>
      </c>
      <c r="H1340">
        <v>52.41</v>
      </c>
      <c r="I1340">
        <v>4.75</v>
      </c>
      <c r="J1340">
        <v>47.66</v>
      </c>
      <c r="K1340">
        <v>307</v>
      </c>
    </row>
    <row r="1341" spans="1:11" x14ac:dyDescent="0.3">
      <c r="A1341">
        <v>4570</v>
      </c>
      <c r="B1341" t="s">
        <v>36</v>
      </c>
      <c r="C1341" s="1">
        <v>45594</v>
      </c>
      <c r="D1341" t="s">
        <v>20</v>
      </c>
      <c r="E1341" t="s">
        <v>47</v>
      </c>
      <c r="F1341">
        <v>2</v>
      </c>
      <c r="G1341">
        <v>2.56</v>
      </c>
      <c r="H1341">
        <v>5.12</v>
      </c>
      <c r="I1341">
        <v>0</v>
      </c>
      <c r="J1341">
        <v>5.12</v>
      </c>
      <c r="K1341">
        <v>444</v>
      </c>
    </row>
    <row r="1342" spans="1:11" x14ac:dyDescent="0.3">
      <c r="A1342">
        <v>2196</v>
      </c>
      <c r="B1342" t="s">
        <v>24</v>
      </c>
      <c r="C1342" s="1">
        <v>45180</v>
      </c>
      <c r="D1342" t="s">
        <v>35</v>
      </c>
      <c r="E1342" t="s">
        <v>13</v>
      </c>
      <c r="F1342">
        <v>2</v>
      </c>
      <c r="G1342">
        <v>3.41</v>
      </c>
      <c r="H1342">
        <v>6.82</v>
      </c>
      <c r="I1342">
        <v>0.68</v>
      </c>
      <c r="J1342">
        <v>6.14</v>
      </c>
      <c r="K1342">
        <v>35</v>
      </c>
    </row>
    <row r="1343" spans="1:11" x14ac:dyDescent="0.3">
      <c r="A1343">
        <v>7941</v>
      </c>
      <c r="B1343" t="s">
        <v>11</v>
      </c>
      <c r="C1343" s="1">
        <v>45412</v>
      </c>
      <c r="D1343" t="s">
        <v>35</v>
      </c>
      <c r="E1343" t="s">
        <v>33</v>
      </c>
      <c r="F1343">
        <v>4</v>
      </c>
      <c r="G1343">
        <v>16.21</v>
      </c>
      <c r="H1343">
        <v>64.84</v>
      </c>
      <c r="I1343">
        <v>12.97</v>
      </c>
      <c r="J1343">
        <v>51.87</v>
      </c>
      <c r="K1343">
        <v>342</v>
      </c>
    </row>
    <row r="1344" spans="1:11" x14ac:dyDescent="0.3">
      <c r="A1344">
        <v>2044</v>
      </c>
      <c r="B1344" t="s">
        <v>31</v>
      </c>
      <c r="C1344" s="1">
        <v>45565</v>
      </c>
      <c r="D1344" t="s">
        <v>15</v>
      </c>
      <c r="E1344" t="s">
        <v>16</v>
      </c>
      <c r="F1344">
        <v>3</v>
      </c>
      <c r="G1344">
        <v>28.93</v>
      </c>
      <c r="H1344">
        <v>86.79</v>
      </c>
      <c r="I1344">
        <v>17.36</v>
      </c>
      <c r="J1344">
        <v>69.430000000000007</v>
      </c>
      <c r="K1344">
        <v>152</v>
      </c>
    </row>
    <row r="1345" spans="1:11" x14ac:dyDescent="0.3">
      <c r="A1345">
        <v>1987</v>
      </c>
      <c r="B1345" t="s">
        <v>36</v>
      </c>
      <c r="C1345" s="1">
        <v>45870</v>
      </c>
      <c r="D1345" t="s">
        <v>20</v>
      </c>
      <c r="E1345" t="s">
        <v>47</v>
      </c>
      <c r="F1345">
        <v>4</v>
      </c>
      <c r="G1345">
        <v>16.52</v>
      </c>
      <c r="H1345">
        <v>66.08</v>
      </c>
      <c r="I1345">
        <v>0</v>
      </c>
      <c r="J1345">
        <v>66.08</v>
      </c>
      <c r="K1345">
        <v>401</v>
      </c>
    </row>
    <row r="1346" spans="1:11" x14ac:dyDescent="0.3">
      <c r="A1346">
        <v>2130</v>
      </c>
      <c r="B1346" t="s">
        <v>24</v>
      </c>
      <c r="C1346" s="1">
        <v>45870</v>
      </c>
      <c r="D1346" t="s">
        <v>22</v>
      </c>
      <c r="E1346" t="s">
        <v>32</v>
      </c>
      <c r="F1346">
        <v>1</v>
      </c>
      <c r="G1346">
        <v>17.260000000000002</v>
      </c>
      <c r="H1346">
        <v>17.260000000000002</v>
      </c>
      <c r="I1346">
        <v>3.89</v>
      </c>
      <c r="J1346">
        <v>13.37</v>
      </c>
      <c r="K1346">
        <v>457</v>
      </c>
    </row>
    <row r="1347" spans="1:11" x14ac:dyDescent="0.3">
      <c r="A1347">
        <v>8734</v>
      </c>
      <c r="B1347" t="s">
        <v>19</v>
      </c>
      <c r="C1347" s="1">
        <v>45169</v>
      </c>
      <c r="D1347" t="s">
        <v>22</v>
      </c>
      <c r="E1347" t="s">
        <v>21</v>
      </c>
      <c r="F1347">
        <v>1</v>
      </c>
      <c r="G1347">
        <v>5.35</v>
      </c>
      <c r="H1347">
        <v>5.35</v>
      </c>
      <c r="I1347">
        <v>0.54</v>
      </c>
      <c r="J1347">
        <v>4.8099999999999996</v>
      </c>
      <c r="K1347">
        <v>234</v>
      </c>
    </row>
    <row r="1348" spans="1:11" x14ac:dyDescent="0.3">
      <c r="A1348">
        <v>5703</v>
      </c>
      <c r="B1348" t="s">
        <v>36</v>
      </c>
      <c r="C1348" s="1">
        <v>45462</v>
      </c>
      <c r="D1348" t="s">
        <v>15</v>
      </c>
      <c r="E1348" t="s">
        <v>16</v>
      </c>
      <c r="F1348">
        <v>3</v>
      </c>
      <c r="G1348">
        <v>16.09</v>
      </c>
      <c r="H1348">
        <v>48.27</v>
      </c>
      <c r="I1348">
        <v>9.65</v>
      </c>
      <c r="J1348">
        <v>38.619999999999997</v>
      </c>
      <c r="K1348">
        <v>1</v>
      </c>
    </row>
    <row r="1349" spans="1:11" x14ac:dyDescent="0.3">
      <c r="A1349">
        <v>3948</v>
      </c>
      <c r="B1349" t="s">
        <v>26</v>
      </c>
      <c r="C1349" s="1">
        <v>45742</v>
      </c>
      <c r="D1349" t="s">
        <v>27</v>
      </c>
      <c r="E1349" t="s">
        <v>48</v>
      </c>
      <c r="F1349">
        <v>1</v>
      </c>
      <c r="G1349">
        <v>7.33</v>
      </c>
      <c r="H1349">
        <v>7.33</v>
      </c>
      <c r="I1349">
        <v>0</v>
      </c>
      <c r="J1349">
        <v>7.33</v>
      </c>
      <c r="K1349">
        <v>96</v>
      </c>
    </row>
    <row r="1350" spans="1:11" x14ac:dyDescent="0.3">
      <c r="A1350">
        <v>3218</v>
      </c>
      <c r="B1350" t="s">
        <v>14</v>
      </c>
      <c r="C1350" s="1">
        <v>45739</v>
      </c>
      <c r="D1350" t="s">
        <v>34</v>
      </c>
      <c r="E1350" t="s">
        <v>32</v>
      </c>
      <c r="F1350">
        <v>2</v>
      </c>
      <c r="G1350">
        <v>11.08</v>
      </c>
      <c r="H1350">
        <v>22.16</v>
      </c>
      <c r="I1350">
        <v>0</v>
      </c>
      <c r="J1350">
        <v>22.16</v>
      </c>
      <c r="K1350">
        <v>487</v>
      </c>
    </row>
    <row r="1351" spans="1:11" x14ac:dyDescent="0.3">
      <c r="A1351">
        <v>7887</v>
      </c>
      <c r="C1351" s="1">
        <v>45435</v>
      </c>
      <c r="D1351" t="s">
        <v>22</v>
      </c>
      <c r="E1351" t="s">
        <v>23</v>
      </c>
      <c r="F1351">
        <v>1</v>
      </c>
      <c r="G1351">
        <v>9.75</v>
      </c>
      <c r="H1351">
        <v>9.75</v>
      </c>
      <c r="I1351">
        <v>0</v>
      </c>
      <c r="J1351">
        <v>9.75</v>
      </c>
      <c r="K1351">
        <v>157</v>
      </c>
    </row>
    <row r="1352" spans="1:11" x14ac:dyDescent="0.3">
      <c r="A1352">
        <v>7266</v>
      </c>
      <c r="B1352" t="s">
        <v>26</v>
      </c>
      <c r="C1352" s="1">
        <v>45493</v>
      </c>
      <c r="D1352" t="s">
        <v>27</v>
      </c>
      <c r="E1352" t="s">
        <v>33</v>
      </c>
      <c r="F1352">
        <v>4</v>
      </c>
      <c r="G1352">
        <v>12.89</v>
      </c>
      <c r="H1352">
        <v>51.56</v>
      </c>
      <c r="I1352">
        <v>4.9000000000000004</v>
      </c>
      <c r="J1352">
        <v>46.66</v>
      </c>
      <c r="K1352">
        <v>180</v>
      </c>
    </row>
    <row r="1353" spans="1:11" x14ac:dyDescent="0.3">
      <c r="A1353">
        <v>7184</v>
      </c>
      <c r="B1353" t="s">
        <v>36</v>
      </c>
      <c r="C1353" s="1">
        <v>45436</v>
      </c>
      <c r="D1353" t="s">
        <v>15</v>
      </c>
      <c r="E1353" t="s">
        <v>29</v>
      </c>
      <c r="F1353">
        <v>4</v>
      </c>
      <c r="G1353">
        <v>13.41</v>
      </c>
      <c r="H1353">
        <v>53.64</v>
      </c>
      <c r="I1353">
        <v>2.74</v>
      </c>
      <c r="J1353">
        <v>50.9</v>
      </c>
      <c r="K1353">
        <v>90</v>
      </c>
    </row>
    <row r="1354" spans="1:11" x14ac:dyDescent="0.3">
      <c r="A1354">
        <v>2314</v>
      </c>
      <c r="B1354" t="s">
        <v>30</v>
      </c>
      <c r="C1354" s="1">
        <v>45675</v>
      </c>
      <c r="D1354" t="s">
        <v>27</v>
      </c>
      <c r="E1354" t="s">
        <v>16</v>
      </c>
      <c r="F1354">
        <v>3</v>
      </c>
      <c r="G1354">
        <v>21.35</v>
      </c>
      <c r="H1354">
        <v>64.05</v>
      </c>
      <c r="I1354">
        <v>4.22</v>
      </c>
      <c r="J1354">
        <v>59.83</v>
      </c>
      <c r="K1354">
        <v>480</v>
      </c>
    </row>
    <row r="1355" spans="1:11" x14ac:dyDescent="0.3">
      <c r="A1355">
        <v>9835</v>
      </c>
      <c r="B1355" t="s">
        <v>11</v>
      </c>
      <c r="C1355" s="1">
        <v>45248</v>
      </c>
      <c r="D1355" t="s">
        <v>15</v>
      </c>
      <c r="E1355" t="s">
        <v>39</v>
      </c>
      <c r="F1355">
        <v>5</v>
      </c>
      <c r="G1355">
        <v>28.03</v>
      </c>
      <c r="H1355">
        <v>140.15</v>
      </c>
      <c r="I1355">
        <v>0</v>
      </c>
      <c r="J1355">
        <v>140.15</v>
      </c>
      <c r="K1355">
        <v>53</v>
      </c>
    </row>
    <row r="1356" spans="1:11" x14ac:dyDescent="0.3">
      <c r="A1356">
        <v>6697</v>
      </c>
      <c r="B1356" t="s">
        <v>14</v>
      </c>
      <c r="C1356" s="1">
        <v>45237</v>
      </c>
      <c r="D1356" t="s">
        <v>15</v>
      </c>
      <c r="E1356" t="s">
        <v>33</v>
      </c>
      <c r="F1356">
        <v>5</v>
      </c>
      <c r="G1356">
        <v>17.850000000000001</v>
      </c>
      <c r="H1356">
        <v>89.25</v>
      </c>
      <c r="I1356">
        <v>8.93</v>
      </c>
      <c r="J1356">
        <v>80.319999999999993</v>
      </c>
      <c r="K1356">
        <v>16</v>
      </c>
    </row>
    <row r="1357" spans="1:11" x14ac:dyDescent="0.3">
      <c r="A1357">
        <v>3924</v>
      </c>
      <c r="B1357" t="s">
        <v>42</v>
      </c>
      <c r="C1357" s="1">
        <v>45562</v>
      </c>
      <c r="D1357" t="s">
        <v>17</v>
      </c>
      <c r="E1357" t="s">
        <v>33</v>
      </c>
      <c r="F1357">
        <v>5</v>
      </c>
      <c r="G1357">
        <v>12.04</v>
      </c>
      <c r="H1357">
        <v>60.2</v>
      </c>
      <c r="I1357">
        <v>2.4</v>
      </c>
      <c r="J1357">
        <v>57.8</v>
      </c>
      <c r="K1357">
        <v>100</v>
      </c>
    </row>
    <row r="1358" spans="1:11" x14ac:dyDescent="0.3">
      <c r="A1358">
        <v>7439</v>
      </c>
      <c r="B1358" t="s">
        <v>26</v>
      </c>
      <c r="C1358" s="1">
        <v>45555</v>
      </c>
      <c r="D1358" t="s">
        <v>20</v>
      </c>
      <c r="E1358" t="s">
        <v>32</v>
      </c>
      <c r="F1358">
        <v>1</v>
      </c>
      <c r="G1358">
        <v>28.24</v>
      </c>
      <c r="H1358">
        <v>28.24</v>
      </c>
      <c r="I1358">
        <v>2.13</v>
      </c>
      <c r="J1358">
        <v>26.11</v>
      </c>
      <c r="K1358">
        <v>400</v>
      </c>
    </row>
    <row r="1359" spans="1:11" x14ac:dyDescent="0.3">
      <c r="A1359">
        <v>3086</v>
      </c>
      <c r="B1359" t="s">
        <v>30</v>
      </c>
      <c r="C1359" s="1">
        <v>45710</v>
      </c>
      <c r="D1359" t="s">
        <v>35</v>
      </c>
      <c r="E1359" t="s">
        <v>16</v>
      </c>
      <c r="F1359">
        <v>2</v>
      </c>
      <c r="G1359">
        <v>1.1100000000000001</v>
      </c>
      <c r="H1359">
        <v>2.2200000000000002</v>
      </c>
      <c r="I1359">
        <v>1.06</v>
      </c>
      <c r="J1359">
        <v>1.1599999999999999</v>
      </c>
      <c r="K1359">
        <v>465</v>
      </c>
    </row>
    <row r="1360" spans="1:11" x14ac:dyDescent="0.3">
      <c r="A1360">
        <v>4648</v>
      </c>
      <c r="B1360" t="s">
        <v>19</v>
      </c>
      <c r="C1360" s="1">
        <v>45793</v>
      </c>
      <c r="D1360" t="s">
        <v>22</v>
      </c>
      <c r="E1360" t="s">
        <v>46</v>
      </c>
      <c r="F1360">
        <v>5</v>
      </c>
      <c r="G1360">
        <v>10.199999999999999</v>
      </c>
      <c r="H1360">
        <v>51</v>
      </c>
      <c r="I1360">
        <v>10.199999999999999</v>
      </c>
      <c r="J1360">
        <v>40.799999999999997</v>
      </c>
      <c r="K1360">
        <v>87</v>
      </c>
    </row>
    <row r="1361" spans="1:11" x14ac:dyDescent="0.3">
      <c r="A1361">
        <v>1056</v>
      </c>
      <c r="B1361" t="s">
        <v>14</v>
      </c>
      <c r="C1361" s="1">
        <v>45732</v>
      </c>
      <c r="D1361" t="s">
        <v>20</v>
      </c>
      <c r="E1361" t="s">
        <v>44</v>
      </c>
      <c r="F1361">
        <v>5</v>
      </c>
      <c r="G1361">
        <v>19.68</v>
      </c>
      <c r="H1361">
        <v>98.4</v>
      </c>
      <c r="I1361">
        <v>2.72</v>
      </c>
      <c r="J1361">
        <v>95.68</v>
      </c>
      <c r="K1361">
        <v>424</v>
      </c>
    </row>
    <row r="1362" spans="1:11" x14ac:dyDescent="0.3">
      <c r="A1362">
        <v>1372</v>
      </c>
      <c r="B1362" t="s">
        <v>24</v>
      </c>
      <c r="C1362" s="1">
        <v>45376</v>
      </c>
      <c r="D1362" t="s">
        <v>34</v>
      </c>
      <c r="E1362" t="s">
        <v>32</v>
      </c>
      <c r="F1362">
        <v>3</v>
      </c>
      <c r="G1362">
        <v>15.99</v>
      </c>
      <c r="H1362">
        <v>47.97</v>
      </c>
      <c r="I1362">
        <v>3.84</v>
      </c>
      <c r="J1362">
        <v>44.13</v>
      </c>
      <c r="K1362">
        <v>223</v>
      </c>
    </row>
    <row r="1363" spans="1:11" x14ac:dyDescent="0.3">
      <c r="A1363">
        <v>8585</v>
      </c>
      <c r="B1363" t="s">
        <v>19</v>
      </c>
      <c r="C1363" s="1">
        <v>45668</v>
      </c>
      <c r="D1363" t="s">
        <v>38</v>
      </c>
      <c r="E1363" t="s">
        <v>48</v>
      </c>
      <c r="F1363">
        <v>5</v>
      </c>
      <c r="G1363">
        <v>23.73</v>
      </c>
      <c r="H1363">
        <v>118.65</v>
      </c>
      <c r="I1363">
        <v>1.64</v>
      </c>
      <c r="J1363">
        <v>117.01</v>
      </c>
      <c r="K1363">
        <v>431</v>
      </c>
    </row>
    <row r="1364" spans="1:11" x14ac:dyDescent="0.3">
      <c r="A1364">
        <v>9920</v>
      </c>
      <c r="B1364" t="s">
        <v>36</v>
      </c>
      <c r="C1364" s="1">
        <v>45474</v>
      </c>
      <c r="D1364" t="s">
        <v>17</v>
      </c>
      <c r="E1364" t="s">
        <v>43</v>
      </c>
      <c r="F1364">
        <v>1</v>
      </c>
      <c r="G1364">
        <v>1.73</v>
      </c>
      <c r="H1364">
        <v>1.73</v>
      </c>
      <c r="I1364">
        <v>3.47</v>
      </c>
      <c r="J1364">
        <v>-1.74</v>
      </c>
      <c r="K1364">
        <v>5</v>
      </c>
    </row>
    <row r="1365" spans="1:11" x14ac:dyDescent="0.3">
      <c r="A1365">
        <v>9715</v>
      </c>
      <c r="B1365" t="s">
        <v>14</v>
      </c>
      <c r="C1365" s="1">
        <v>45439</v>
      </c>
      <c r="D1365" t="s">
        <v>15</v>
      </c>
      <c r="E1365" t="s">
        <v>32</v>
      </c>
      <c r="F1365">
        <v>1</v>
      </c>
      <c r="G1365">
        <v>22.52</v>
      </c>
      <c r="H1365">
        <v>22.52</v>
      </c>
      <c r="I1365">
        <v>0</v>
      </c>
      <c r="J1365">
        <v>22.52</v>
      </c>
      <c r="K1365">
        <v>66</v>
      </c>
    </row>
    <row r="1366" spans="1:11" x14ac:dyDescent="0.3">
      <c r="A1366">
        <v>4762</v>
      </c>
      <c r="B1366" t="s">
        <v>36</v>
      </c>
      <c r="C1366" s="1">
        <v>45337</v>
      </c>
      <c r="D1366" t="s">
        <v>34</v>
      </c>
      <c r="E1366" t="s">
        <v>25</v>
      </c>
      <c r="F1366">
        <v>2</v>
      </c>
      <c r="G1366">
        <v>9.6</v>
      </c>
      <c r="H1366">
        <v>19.2</v>
      </c>
      <c r="I1366">
        <v>0</v>
      </c>
      <c r="J1366">
        <v>19.2</v>
      </c>
      <c r="K1366">
        <v>274</v>
      </c>
    </row>
    <row r="1367" spans="1:11" x14ac:dyDescent="0.3">
      <c r="A1367">
        <v>8546</v>
      </c>
      <c r="B1367" t="s">
        <v>24</v>
      </c>
      <c r="C1367" s="1">
        <v>45413</v>
      </c>
      <c r="D1367" t="s">
        <v>35</v>
      </c>
      <c r="E1367" t="s">
        <v>40</v>
      </c>
      <c r="F1367">
        <v>3</v>
      </c>
      <c r="G1367">
        <v>3.4</v>
      </c>
      <c r="H1367">
        <v>10.199999999999999</v>
      </c>
      <c r="I1367">
        <v>0</v>
      </c>
      <c r="J1367">
        <v>10.199999999999999</v>
      </c>
      <c r="K1367">
        <v>73</v>
      </c>
    </row>
    <row r="1368" spans="1:11" x14ac:dyDescent="0.3">
      <c r="A1368">
        <v>3541</v>
      </c>
      <c r="B1368" t="s">
        <v>11</v>
      </c>
      <c r="C1368" s="1">
        <v>45359</v>
      </c>
      <c r="D1368" t="s">
        <v>15</v>
      </c>
      <c r="E1368" t="s">
        <v>33</v>
      </c>
      <c r="F1368">
        <v>5</v>
      </c>
      <c r="G1368">
        <v>4.55</v>
      </c>
      <c r="H1368">
        <v>22.75</v>
      </c>
      <c r="I1368">
        <v>3.41</v>
      </c>
      <c r="J1368">
        <v>19.34</v>
      </c>
      <c r="K1368">
        <v>72</v>
      </c>
    </row>
    <row r="1369" spans="1:11" x14ac:dyDescent="0.3">
      <c r="A1369">
        <v>4088</v>
      </c>
      <c r="B1369" t="s">
        <v>19</v>
      </c>
      <c r="C1369" s="1">
        <v>45873</v>
      </c>
      <c r="D1369" t="s">
        <v>15</v>
      </c>
      <c r="E1369" t="s">
        <v>43</v>
      </c>
      <c r="F1369">
        <v>4</v>
      </c>
      <c r="G1369">
        <v>25.48</v>
      </c>
      <c r="H1369">
        <v>101.92</v>
      </c>
      <c r="I1369">
        <v>10.19</v>
      </c>
      <c r="J1369">
        <v>91.73</v>
      </c>
      <c r="K1369">
        <v>467</v>
      </c>
    </row>
    <row r="1370" spans="1:11" x14ac:dyDescent="0.3">
      <c r="A1370">
        <v>2848</v>
      </c>
      <c r="B1370" t="s">
        <v>11</v>
      </c>
      <c r="C1370" s="1">
        <v>45170</v>
      </c>
      <c r="D1370" t="s">
        <v>45</v>
      </c>
      <c r="E1370" t="s">
        <v>39</v>
      </c>
      <c r="F1370">
        <v>4</v>
      </c>
      <c r="G1370">
        <v>3.12</v>
      </c>
      <c r="H1370">
        <v>12.48</v>
      </c>
      <c r="I1370">
        <v>2.5</v>
      </c>
      <c r="J1370">
        <v>9.98</v>
      </c>
      <c r="K1370">
        <v>491</v>
      </c>
    </row>
    <row r="1371" spans="1:11" x14ac:dyDescent="0.3">
      <c r="A1371">
        <v>7868</v>
      </c>
      <c r="B1371" t="s">
        <v>24</v>
      </c>
      <c r="C1371" s="1">
        <v>45622</v>
      </c>
      <c r="D1371" t="s">
        <v>20</v>
      </c>
      <c r="E1371" t="s">
        <v>21</v>
      </c>
      <c r="F1371">
        <v>4</v>
      </c>
      <c r="G1371">
        <v>24.44</v>
      </c>
      <c r="H1371">
        <v>97.76</v>
      </c>
      <c r="I1371">
        <v>4.6100000000000003</v>
      </c>
      <c r="J1371">
        <v>93.15</v>
      </c>
      <c r="K1371">
        <v>92</v>
      </c>
    </row>
    <row r="1372" spans="1:11" x14ac:dyDescent="0.3">
      <c r="A1372">
        <v>1256</v>
      </c>
      <c r="B1372" t="s">
        <v>31</v>
      </c>
      <c r="C1372" s="1">
        <v>45331</v>
      </c>
      <c r="D1372" t="s">
        <v>15</v>
      </c>
      <c r="E1372" t="s">
        <v>21</v>
      </c>
      <c r="F1372">
        <v>3</v>
      </c>
      <c r="G1372">
        <v>15.02</v>
      </c>
      <c r="H1372">
        <v>45.06</v>
      </c>
      <c r="I1372">
        <v>9.01</v>
      </c>
      <c r="J1372">
        <v>36.049999999999997</v>
      </c>
      <c r="K1372">
        <v>314</v>
      </c>
    </row>
    <row r="1373" spans="1:11" x14ac:dyDescent="0.3">
      <c r="A1373">
        <v>4376</v>
      </c>
      <c r="C1373" s="1">
        <v>45197</v>
      </c>
      <c r="D1373" t="s">
        <v>35</v>
      </c>
      <c r="E1373" t="s">
        <v>48</v>
      </c>
      <c r="F1373">
        <v>2</v>
      </c>
      <c r="G1373">
        <v>18.57</v>
      </c>
      <c r="H1373">
        <v>37.14</v>
      </c>
      <c r="I1373">
        <v>3.05</v>
      </c>
      <c r="J1373">
        <v>34.090000000000003</v>
      </c>
      <c r="K1373">
        <v>274</v>
      </c>
    </row>
    <row r="1374" spans="1:11" x14ac:dyDescent="0.3">
      <c r="A1374">
        <v>2653</v>
      </c>
      <c r="B1374" t="s">
        <v>19</v>
      </c>
      <c r="C1374" s="1">
        <v>45606</v>
      </c>
      <c r="D1374" t="s">
        <v>17</v>
      </c>
      <c r="E1374" t="s">
        <v>23</v>
      </c>
      <c r="F1374">
        <v>1</v>
      </c>
      <c r="G1374">
        <v>27.05</v>
      </c>
      <c r="H1374">
        <v>27.05</v>
      </c>
      <c r="I1374">
        <v>5.41</v>
      </c>
      <c r="J1374">
        <v>21.64</v>
      </c>
      <c r="K1374">
        <v>15</v>
      </c>
    </row>
    <row r="1375" spans="1:11" x14ac:dyDescent="0.3">
      <c r="A1375">
        <v>1550</v>
      </c>
      <c r="B1375" t="s">
        <v>42</v>
      </c>
      <c r="C1375" s="1">
        <v>45491</v>
      </c>
      <c r="D1375" t="s">
        <v>15</v>
      </c>
      <c r="E1375" t="s">
        <v>41</v>
      </c>
      <c r="F1375">
        <v>3</v>
      </c>
      <c r="G1375">
        <v>8.93</v>
      </c>
      <c r="H1375">
        <v>26.79</v>
      </c>
      <c r="I1375">
        <v>4.0199999999999996</v>
      </c>
      <c r="J1375">
        <v>22.77</v>
      </c>
      <c r="K1375">
        <v>102</v>
      </c>
    </row>
    <row r="1376" spans="1:11" x14ac:dyDescent="0.3">
      <c r="A1376">
        <v>1797</v>
      </c>
      <c r="B1376" t="s">
        <v>14</v>
      </c>
      <c r="C1376" s="1">
        <v>45335</v>
      </c>
      <c r="D1376" t="s">
        <v>27</v>
      </c>
      <c r="E1376" t="s">
        <v>37</v>
      </c>
      <c r="F1376">
        <v>4</v>
      </c>
      <c r="G1376">
        <v>22.6</v>
      </c>
      <c r="H1376">
        <v>90.4</v>
      </c>
      <c r="I1376">
        <v>4.79</v>
      </c>
      <c r="J1376">
        <v>85.61</v>
      </c>
      <c r="K1376">
        <v>253</v>
      </c>
    </row>
    <row r="1377" spans="1:11" x14ac:dyDescent="0.3">
      <c r="A1377">
        <v>1724</v>
      </c>
      <c r="B1377" t="s">
        <v>42</v>
      </c>
      <c r="C1377" s="1">
        <v>45457</v>
      </c>
      <c r="D1377" t="s">
        <v>35</v>
      </c>
      <c r="E1377" t="s">
        <v>29</v>
      </c>
      <c r="F1377">
        <v>2</v>
      </c>
      <c r="G1377">
        <v>20.91</v>
      </c>
      <c r="H1377">
        <v>41.82</v>
      </c>
      <c r="I1377">
        <v>4.18</v>
      </c>
      <c r="J1377">
        <v>37.64</v>
      </c>
      <c r="K1377">
        <v>454</v>
      </c>
    </row>
    <row r="1378" spans="1:11" x14ac:dyDescent="0.3">
      <c r="A1378">
        <v>8191</v>
      </c>
      <c r="B1378" t="s">
        <v>11</v>
      </c>
      <c r="C1378" s="1">
        <v>45327</v>
      </c>
      <c r="D1378" t="s">
        <v>28</v>
      </c>
      <c r="E1378" t="s">
        <v>37</v>
      </c>
      <c r="F1378">
        <v>2</v>
      </c>
      <c r="G1378">
        <v>24.02</v>
      </c>
      <c r="H1378">
        <v>48.04</v>
      </c>
      <c r="I1378">
        <v>4.8</v>
      </c>
      <c r="J1378">
        <v>43.24</v>
      </c>
      <c r="K1378">
        <v>488</v>
      </c>
    </row>
    <row r="1379" spans="1:11" x14ac:dyDescent="0.3">
      <c r="A1379">
        <v>9843</v>
      </c>
      <c r="B1379" t="s">
        <v>26</v>
      </c>
      <c r="C1379" s="1">
        <v>45313</v>
      </c>
      <c r="D1379" t="s">
        <v>20</v>
      </c>
      <c r="E1379" t="s">
        <v>13</v>
      </c>
      <c r="F1379">
        <v>3</v>
      </c>
      <c r="G1379">
        <v>19.05</v>
      </c>
      <c r="H1379">
        <v>57.15</v>
      </c>
      <c r="I1379">
        <v>5.71</v>
      </c>
      <c r="J1379">
        <v>51.44</v>
      </c>
      <c r="K1379">
        <v>310</v>
      </c>
    </row>
    <row r="1380" spans="1:11" x14ac:dyDescent="0.3">
      <c r="A1380">
        <v>1924</v>
      </c>
      <c r="B1380" t="s">
        <v>42</v>
      </c>
      <c r="C1380" s="1">
        <v>45253</v>
      </c>
      <c r="D1380" t="s">
        <v>28</v>
      </c>
      <c r="E1380" t="s">
        <v>23</v>
      </c>
      <c r="F1380">
        <v>3</v>
      </c>
      <c r="G1380">
        <v>27.03</v>
      </c>
      <c r="H1380">
        <v>81.09</v>
      </c>
      <c r="I1380">
        <v>8.11</v>
      </c>
      <c r="J1380">
        <v>72.98</v>
      </c>
      <c r="K1380">
        <v>419</v>
      </c>
    </row>
    <row r="1381" spans="1:11" x14ac:dyDescent="0.3">
      <c r="A1381">
        <v>9255</v>
      </c>
      <c r="B1381" t="s">
        <v>19</v>
      </c>
      <c r="C1381" s="1">
        <v>45369</v>
      </c>
      <c r="D1381" t="s">
        <v>12</v>
      </c>
      <c r="E1381" t="s">
        <v>46</v>
      </c>
      <c r="F1381">
        <v>3</v>
      </c>
      <c r="G1381">
        <v>18.010000000000002</v>
      </c>
      <c r="H1381">
        <v>54.03</v>
      </c>
      <c r="I1381">
        <v>5.4</v>
      </c>
      <c r="J1381">
        <v>48.63</v>
      </c>
      <c r="K1381">
        <v>150</v>
      </c>
    </row>
    <row r="1382" spans="1:11" x14ac:dyDescent="0.3">
      <c r="A1382">
        <v>4836</v>
      </c>
      <c r="B1382" t="s">
        <v>31</v>
      </c>
      <c r="C1382" s="1">
        <v>45778</v>
      </c>
      <c r="D1382" t="s">
        <v>15</v>
      </c>
      <c r="E1382" t="s">
        <v>29</v>
      </c>
      <c r="F1382">
        <v>3</v>
      </c>
      <c r="G1382">
        <v>13.44</v>
      </c>
      <c r="H1382">
        <v>40.32</v>
      </c>
      <c r="I1382">
        <v>8.06</v>
      </c>
      <c r="J1382">
        <v>32.26</v>
      </c>
      <c r="K1382">
        <v>95</v>
      </c>
    </row>
    <row r="1383" spans="1:11" x14ac:dyDescent="0.3">
      <c r="A1383">
        <v>6224</v>
      </c>
      <c r="B1383" t="s">
        <v>11</v>
      </c>
      <c r="C1383" s="1">
        <v>45593</v>
      </c>
      <c r="D1383" t="s">
        <v>17</v>
      </c>
      <c r="E1383" t="s">
        <v>23</v>
      </c>
      <c r="F1383">
        <v>3</v>
      </c>
      <c r="G1383">
        <v>5.2</v>
      </c>
      <c r="H1383">
        <v>15.6</v>
      </c>
      <c r="I1383">
        <v>2.27</v>
      </c>
      <c r="J1383">
        <v>13.33</v>
      </c>
      <c r="K1383">
        <v>160</v>
      </c>
    </row>
    <row r="1384" spans="1:11" x14ac:dyDescent="0.3">
      <c r="A1384">
        <v>6253</v>
      </c>
      <c r="B1384" t="s">
        <v>31</v>
      </c>
      <c r="C1384" s="1">
        <v>45329</v>
      </c>
      <c r="D1384" t="s">
        <v>22</v>
      </c>
      <c r="E1384" t="s">
        <v>44</v>
      </c>
      <c r="F1384">
        <v>4</v>
      </c>
      <c r="G1384">
        <v>17.45</v>
      </c>
      <c r="H1384">
        <v>69.8</v>
      </c>
      <c r="I1384">
        <v>1.26</v>
      </c>
      <c r="J1384">
        <v>68.540000000000006</v>
      </c>
      <c r="K1384">
        <v>164</v>
      </c>
    </row>
    <row r="1385" spans="1:11" x14ac:dyDescent="0.3">
      <c r="A1385">
        <v>5944</v>
      </c>
      <c r="B1385" t="s">
        <v>30</v>
      </c>
      <c r="C1385" s="1">
        <v>45825</v>
      </c>
      <c r="D1385" t="s">
        <v>28</v>
      </c>
      <c r="E1385" t="s">
        <v>44</v>
      </c>
      <c r="F1385">
        <v>5</v>
      </c>
      <c r="G1385">
        <v>7.3</v>
      </c>
      <c r="H1385">
        <v>36.5</v>
      </c>
      <c r="I1385">
        <v>0</v>
      </c>
      <c r="J1385">
        <v>36.5</v>
      </c>
      <c r="K1385">
        <v>287</v>
      </c>
    </row>
    <row r="1386" spans="1:11" x14ac:dyDescent="0.3">
      <c r="A1386">
        <v>3347</v>
      </c>
      <c r="B1386" t="s">
        <v>11</v>
      </c>
      <c r="C1386" s="1">
        <v>45657</v>
      </c>
      <c r="D1386" t="s">
        <v>28</v>
      </c>
      <c r="E1386" t="s">
        <v>16</v>
      </c>
      <c r="F1386">
        <v>4</v>
      </c>
      <c r="G1386">
        <v>10.210000000000001</v>
      </c>
      <c r="H1386">
        <v>40.840000000000003</v>
      </c>
      <c r="I1386">
        <v>8.17</v>
      </c>
      <c r="J1386">
        <v>32.67</v>
      </c>
      <c r="K1386">
        <v>163</v>
      </c>
    </row>
    <row r="1387" spans="1:11" x14ac:dyDescent="0.3">
      <c r="A1387">
        <v>9540</v>
      </c>
      <c r="B1387" t="s">
        <v>31</v>
      </c>
      <c r="C1387" s="1">
        <v>45316</v>
      </c>
      <c r="D1387" t="s">
        <v>45</v>
      </c>
      <c r="E1387" t="s">
        <v>47</v>
      </c>
      <c r="F1387">
        <v>1</v>
      </c>
      <c r="G1387">
        <v>29.71</v>
      </c>
      <c r="H1387">
        <v>29.71</v>
      </c>
      <c r="I1387">
        <v>2.81</v>
      </c>
      <c r="J1387">
        <v>26.9</v>
      </c>
      <c r="K1387">
        <v>215</v>
      </c>
    </row>
    <row r="1388" spans="1:11" x14ac:dyDescent="0.3">
      <c r="A1388">
        <v>7775</v>
      </c>
      <c r="B1388" t="s">
        <v>36</v>
      </c>
      <c r="C1388" s="1">
        <v>45378</v>
      </c>
      <c r="D1388" t="s">
        <v>28</v>
      </c>
      <c r="E1388" t="s">
        <v>32</v>
      </c>
      <c r="F1388">
        <v>2</v>
      </c>
      <c r="G1388">
        <v>17.71</v>
      </c>
      <c r="H1388">
        <v>35.42</v>
      </c>
      <c r="I1388">
        <v>0</v>
      </c>
      <c r="J1388">
        <v>35.42</v>
      </c>
      <c r="K1388">
        <v>145</v>
      </c>
    </row>
    <row r="1389" spans="1:11" x14ac:dyDescent="0.3">
      <c r="A1389">
        <v>5508</v>
      </c>
      <c r="B1389" t="s">
        <v>31</v>
      </c>
      <c r="C1389" s="1">
        <v>45192</v>
      </c>
      <c r="D1389" t="s">
        <v>45</v>
      </c>
      <c r="E1389" t="s">
        <v>37</v>
      </c>
      <c r="F1389">
        <v>2</v>
      </c>
      <c r="G1389">
        <v>25.4</v>
      </c>
      <c r="H1389">
        <v>50.8</v>
      </c>
      <c r="I1389">
        <v>4.67</v>
      </c>
      <c r="J1389">
        <v>46.13</v>
      </c>
      <c r="K1389">
        <v>206</v>
      </c>
    </row>
    <row r="1390" spans="1:11" x14ac:dyDescent="0.3">
      <c r="A1390">
        <v>3869</v>
      </c>
      <c r="B1390" t="s">
        <v>31</v>
      </c>
      <c r="C1390" s="1">
        <v>45631</v>
      </c>
      <c r="D1390" t="s">
        <v>22</v>
      </c>
      <c r="E1390" t="s">
        <v>39</v>
      </c>
      <c r="F1390">
        <v>1</v>
      </c>
      <c r="G1390">
        <v>14.62</v>
      </c>
      <c r="H1390">
        <v>14.62</v>
      </c>
      <c r="I1390">
        <v>0</v>
      </c>
      <c r="J1390">
        <v>14.62</v>
      </c>
      <c r="K1390">
        <v>424</v>
      </c>
    </row>
    <row r="1391" spans="1:11" x14ac:dyDescent="0.3">
      <c r="A1391">
        <v>7999</v>
      </c>
      <c r="B1391" t="s">
        <v>30</v>
      </c>
      <c r="C1391" s="1">
        <v>45576</v>
      </c>
      <c r="D1391" t="s">
        <v>35</v>
      </c>
      <c r="E1391" t="s">
        <v>21</v>
      </c>
      <c r="F1391">
        <v>3</v>
      </c>
      <c r="G1391">
        <v>12.6</v>
      </c>
      <c r="H1391">
        <v>37.799999999999997</v>
      </c>
      <c r="I1391">
        <v>3.78</v>
      </c>
      <c r="J1391">
        <v>34.020000000000003</v>
      </c>
      <c r="K1391">
        <v>284</v>
      </c>
    </row>
    <row r="1392" spans="1:11" x14ac:dyDescent="0.3">
      <c r="A1392">
        <v>9120</v>
      </c>
      <c r="B1392" t="s">
        <v>31</v>
      </c>
      <c r="C1392" s="1">
        <v>45181</v>
      </c>
      <c r="D1392" t="s">
        <v>20</v>
      </c>
      <c r="E1392" t="s">
        <v>37</v>
      </c>
      <c r="F1392">
        <v>4</v>
      </c>
      <c r="G1392">
        <v>15.3</v>
      </c>
      <c r="H1392">
        <v>61.2</v>
      </c>
      <c r="I1392">
        <v>9.18</v>
      </c>
      <c r="J1392">
        <v>52.02</v>
      </c>
      <c r="K1392">
        <v>328</v>
      </c>
    </row>
    <row r="1393" spans="1:11" x14ac:dyDescent="0.3">
      <c r="A1393">
        <v>6642</v>
      </c>
      <c r="B1393" t="s">
        <v>11</v>
      </c>
      <c r="C1393" s="1">
        <v>45644</v>
      </c>
      <c r="D1393" t="s">
        <v>12</v>
      </c>
      <c r="E1393" t="s">
        <v>25</v>
      </c>
      <c r="F1393">
        <v>1</v>
      </c>
      <c r="G1393">
        <v>24.93</v>
      </c>
      <c r="H1393">
        <v>24.93</v>
      </c>
      <c r="I1393">
        <v>3.74</v>
      </c>
      <c r="J1393">
        <v>21.19</v>
      </c>
      <c r="K1393">
        <v>71</v>
      </c>
    </row>
    <row r="1394" spans="1:11" x14ac:dyDescent="0.3">
      <c r="A1394">
        <v>7244</v>
      </c>
      <c r="B1394" t="s">
        <v>24</v>
      </c>
      <c r="C1394" s="1">
        <v>45755</v>
      </c>
      <c r="D1394" t="s">
        <v>17</v>
      </c>
      <c r="E1394" t="s">
        <v>29</v>
      </c>
      <c r="F1394">
        <v>1</v>
      </c>
      <c r="G1394">
        <v>6.53</v>
      </c>
      <c r="H1394">
        <v>6.53</v>
      </c>
      <c r="I1394">
        <v>4.96</v>
      </c>
      <c r="J1394">
        <v>1.57</v>
      </c>
      <c r="K1394">
        <v>461</v>
      </c>
    </row>
    <row r="1395" spans="1:11" x14ac:dyDescent="0.3">
      <c r="A1395">
        <v>9592</v>
      </c>
      <c r="B1395" t="s">
        <v>31</v>
      </c>
      <c r="C1395" s="1">
        <v>45392</v>
      </c>
      <c r="D1395" t="s">
        <v>35</v>
      </c>
      <c r="E1395" t="s">
        <v>40</v>
      </c>
      <c r="F1395">
        <v>1</v>
      </c>
      <c r="G1395">
        <v>2.38</v>
      </c>
      <c r="H1395">
        <v>2.38</v>
      </c>
      <c r="I1395">
        <v>0.36</v>
      </c>
      <c r="J1395">
        <v>2.02</v>
      </c>
      <c r="K1395">
        <v>155</v>
      </c>
    </row>
    <row r="1396" spans="1:11" x14ac:dyDescent="0.3">
      <c r="A1396">
        <v>7821</v>
      </c>
      <c r="B1396" t="s">
        <v>36</v>
      </c>
      <c r="C1396" s="1">
        <v>45462</v>
      </c>
      <c r="D1396" t="s">
        <v>28</v>
      </c>
      <c r="E1396" t="s">
        <v>32</v>
      </c>
      <c r="F1396">
        <v>3</v>
      </c>
      <c r="G1396">
        <v>21.25</v>
      </c>
      <c r="H1396">
        <v>63.75</v>
      </c>
      <c r="I1396">
        <v>2.84</v>
      </c>
      <c r="J1396">
        <v>60.91</v>
      </c>
      <c r="K1396">
        <v>473</v>
      </c>
    </row>
    <row r="1397" spans="1:11" x14ac:dyDescent="0.3">
      <c r="A1397">
        <v>3444</v>
      </c>
      <c r="B1397" t="s">
        <v>19</v>
      </c>
      <c r="C1397" s="1">
        <v>45377</v>
      </c>
      <c r="D1397" t="s">
        <v>22</v>
      </c>
      <c r="E1397" t="s">
        <v>41</v>
      </c>
      <c r="F1397">
        <v>5</v>
      </c>
      <c r="G1397">
        <v>26.74</v>
      </c>
      <c r="H1397">
        <v>133.69999999999999</v>
      </c>
      <c r="I1397">
        <v>0</v>
      </c>
      <c r="J1397">
        <v>133.69999999999999</v>
      </c>
      <c r="K1397">
        <v>494</v>
      </c>
    </row>
    <row r="1398" spans="1:11" x14ac:dyDescent="0.3">
      <c r="A1398">
        <v>7167</v>
      </c>
      <c r="B1398" t="s">
        <v>26</v>
      </c>
      <c r="C1398" s="1">
        <v>45287</v>
      </c>
      <c r="D1398" t="s">
        <v>27</v>
      </c>
      <c r="E1398" t="s">
        <v>48</v>
      </c>
      <c r="F1398">
        <v>5</v>
      </c>
      <c r="G1398">
        <v>16.29</v>
      </c>
      <c r="H1398">
        <v>81.45</v>
      </c>
      <c r="I1398">
        <v>0</v>
      </c>
      <c r="J1398">
        <v>81.45</v>
      </c>
      <c r="K1398">
        <v>295</v>
      </c>
    </row>
    <row r="1399" spans="1:11" x14ac:dyDescent="0.3">
      <c r="A1399">
        <v>9813</v>
      </c>
      <c r="B1399" t="s">
        <v>26</v>
      </c>
      <c r="C1399" s="1">
        <v>45512</v>
      </c>
      <c r="D1399" t="s">
        <v>35</v>
      </c>
      <c r="E1399" t="s">
        <v>21</v>
      </c>
      <c r="F1399">
        <v>4</v>
      </c>
      <c r="G1399">
        <v>7.54</v>
      </c>
      <c r="H1399">
        <v>30.16</v>
      </c>
      <c r="I1399">
        <v>0</v>
      </c>
      <c r="J1399">
        <v>30.16</v>
      </c>
      <c r="K1399">
        <v>135</v>
      </c>
    </row>
    <row r="1400" spans="1:11" x14ac:dyDescent="0.3">
      <c r="A1400">
        <v>4948</v>
      </c>
      <c r="B1400" t="s">
        <v>11</v>
      </c>
      <c r="C1400" s="1">
        <v>45804</v>
      </c>
      <c r="D1400" t="s">
        <v>22</v>
      </c>
      <c r="E1400" t="s">
        <v>18</v>
      </c>
      <c r="F1400">
        <v>2</v>
      </c>
      <c r="G1400">
        <v>20.11</v>
      </c>
      <c r="H1400">
        <v>40.22</v>
      </c>
      <c r="I1400">
        <v>0</v>
      </c>
      <c r="J1400">
        <v>40.22</v>
      </c>
      <c r="K1400">
        <v>376</v>
      </c>
    </row>
    <row r="1401" spans="1:11" x14ac:dyDescent="0.3">
      <c r="A1401">
        <v>4692</v>
      </c>
      <c r="B1401" t="s">
        <v>11</v>
      </c>
      <c r="C1401" s="1">
        <v>45378</v>
      </c>
      <c r="D1401" t="s">
        <v>15</v>
      </c>
      <c r="E1401" t="s">
        <v>47</v>
      </c>
      <c r="F1401">
        <v>1</v>
      </c>
      <c r="G1401">
        <v>7.15</v>
      </c>
      <c r="H1401">
        <v>7.15</v>
      </c>
      <c r="I1401">
        <v>0.72</v>
      </c>
      <c r="J1401">
        <v>6.43</v>
      </c>
      <c r="K1401">
        <v>343</v>
      </c>
    </row>
    <row r="1402" spans="1:11" x14ac:dyDescent="0.3">
      <c r="A1402">
        <v>3365</v>
      </c>
      <c r="B1402" t="s">
        <v>24</v>
      </c>
      <c r="C1402" s="1">
        <v>45770</v>
      </c>
      <c r="D1402" t="s">
        <v>17</v>
      </c>
      <c r="E1402" t="s">
        <v>47</v>
      </c>
      <c r="F1402">
        <v>1</v>
      </c>
      <c r="G1402">
        <v>10.86</v>
      </c>
      <c r="H1402">
        <v>10.86</v>
      </c>
      <c r="I1402">
        <v>1.63</v>
      </c>
      <c r="J1402">
        <v>9.23</v>
      </c>
      <c r="K1402">
        <v>416</v>
      </c>
    </row>
    <row r="1403" spans="1:11" x14ac:dyDescent="0.3">
      <c r="A1403">
        <v>8586</v>
      </c>
      <c r="B1403" t="s">
        <v>26</v>
      </c>
      <c r="C1403" s="1">
        <v>45855</v>
      </c>
      <c r="D1403" t="s">
        <v>27</v>
      </c>
      <c r="E1403" t="s">
        <v>41</v>
      </c>
      <c r="F1403">
        <v>5</v>
      </c>
      <c r="G1403">
        <v>4.05</v>
      </c>
      <c r="H1403">
        <v>20.25</v>
      </c>
      <c r="I1403">
        <v>3.04</v>
      </c>
      <c r="J1403">
        <v>17.21</v>
      </c>
      <c r="K1403">
        <v>66</v>
      </c>
    </row>
    <row r="1404" spans="1:11" x14ac:dyDescent="0.3">
      <c r="A1404">
        <v>1944</v>
      </c>
      <c r="B1404" t="s">
        <v>24</v>
      </c>
      <c r="C1404" s="1">
        <v>45581</v>
      </c>
      <c r="D1404" t="s">
        <v>45</v>
      </c>
      <c r="E1404" t="s">
        <v>46</v>
      </c>
      <c r="F1404">
        <v>2</v>
      </c>
      <c r="G1404">
        <v>23.61</v>
      </c>
      <c r="H1404">
        <v>47.22</v>
      </c>
      <c r="I1404">
        <v>7.08</v>
      </c>
      <c r="J1404">
        <v>40.14</v>
      </c>
      <c r="K1404">
        <v>96</v>
      </c>
    </row>
    <row r="1405" spans="1:11" x14ac:dyDescent="0.3">
      <c r="A1405">
        <v>7761</v>
      </c>
      <c r="B1405" t="s">
        <v>24</v>
      </c>
      <c r="C1405" s="1">
        <v>45468</v>
      </c>
      <c r="D1405" t="s">
        <v>34</v>
      </c>
      <c r="E1405" t="s">
        <v>37</v>
      </c>
      <c r="F1405">
        <v>5</v>
      </c>
      <c r="G1405">
        <v>19.79</v>
      </c>
      <c r="H1405">
        <v>98.95</v>
      </c>
      <c r="I1405">
        <v>3.98</v>
      </c>
      <c r="J1405">
        <v>94.97</v>
      </c>
      <c r="K1405">
        <v>75</v>
      </c>
    </row>
    <row r="1406" spans="1:11" x14ac:dyDescent="0.3">
      <c r="A1406">
        <v>9683</v>
      </c>
      <c r="C1406" s="1">
        <v>45249</v>
      </c>
      <c r="D1406" t="s">
        <v>12</v>
      </c>
      <c r="E1406" t="s">
        <v>33</v>
      </c>
      <c r="F1406">
        <v>2</v>
      </c>
      <c r="G1406">
        <v>8.73</v>
      </c>
      <c r="H1406">
        <v>17.46</v>
      </c>
      <c r="I1406">
        <v>2.62</v>
      </c>
      <c r="J1406">
        <v>14.84</v>
      </c>
      <c r="K1406">
        <v>243</v>
      </c>
    </row>
    <row r="1407" spans="1:11" x14ac:dyDescent="0.3">
      <c r="A1407">
        <v>7363</v>
      </c>
      <c r="B1407" t="s">
        <v>30</v>
      </c>
      <c r="C1407" s="1">
        <v>45333</v>
      </c>
      <c r="D1407" t="s">
        <v>15</v>
      </c>
      <c r="E1407" t="s">
        <v>18</v>
      </c>
      <c r="F1407">
        <v>1</v>
      </c>
      <c r="G1407">
        <v>11.27</v>
      </c>
      <c r="H1407">
        <v>11.27</v>
      </c>
      <c r="I1407">
        <v>1.1299999999999999</v>
      </c>
      <c r="J1407">
        <v>10.14</v>
      </c>
      <c r="K1407">
        <v>108</v>
      </c>
    </row>
    <row r="1408" spans="1:11" x14ac:dyDescent="0.3">
      <c r="A1408">
        <v>5177</v>
      </c>
      <c r="B1408" t="s">
        <v>14</v>
      </c>
      <c r="C1408" s="1">
        <v>45302</v>
      </c>
      <c r="D1408" t="s">
        <v>20</v>
      </c>
      <c r="E1408" t="s">
        <v>46</v>
      </c>
      <c r="F1408">
        <v>3</v>
      </c>
      <c r="G1408">
        <v>2.5299999999999998</v>
      </c>
      <c r="H1408">
        <v>7.59</v>
      </c>
      <c r="I1408">
        <v>1.2</v>
      </c>
      <c r="J1408">
        <v>6.39</v>
      </c>
      <c r="K1408">
        <v>139</v>
      </c>
    </row>
    <row r="1409" spans="1:11" x14ac:dyDescent="0.3">
      <c r="A1409">
        <v>6411</v>
      </c>
      <c r="C1409" s="1">
        <v>45647</v>
      </c>
      <c r="D1409" t="s">
        <v>20</v>
      </c>
      <c r="E1409" t="s">
        <v>44</v>
      </c>
      <c r="F1409">
        <v>3</v>
      </c>
      <c r="G1409">
        <v>6.48</v>
      </c>
      <c r="H1409">
        <v>19.440000000000001</v>
      </c>
      <c r="I1409">
        <v>3.43</v>
      </c>
      <c r="J1409">
        <v>16.010000000000002</v>
      </c>
      <c r="K1409">
        <v>90</v>
      </c>
    </row>
    <row r="1410" spans="1:11" x14ac:dyDescent="0.3">
      <c r="A1410">
        <v>2295</v>
      </c>
      <c r="B1410" t="s">
        <v>14</v>
      </c>
      <c r="C1410" s="1">
        <v>45861</v>
      </c>
      <c r="D1410" t="s">
        <v>20</v>
      </c>
      <c r="E1410" t="s">
        <v>48</v>
      </c>
      <c r="F1410">
        <v>1</v>
      </c>
      <c r="G1410">
        <v>19.73</v>
      </c>
      <c r="H1410">
        <v>19.73</v>
      </c>
      <c r="I1410">
        <v>3.95</v>
      </c>
      <c r="J1410">
        <v>15.78</v>
      </c>
      <c r="K1410">
        <v>490</v>
      </c>
    </row>
    <row r="1411" spans="1:11" x14ac:dyDescent="0.3">
      <c r="A1411">
        <v>8369</v>
      </c>
      <c r="C1411" s="1">
        <v>45802</v>
      </c>
      <c r="D1411" t="s">
        <v>12</v>
      </c>
      <c r="E1411" t="s">
        <v>40</v>
      </c>
      <c r="F1411">
        <v>5</v>
      </c>
      <c r="G1411">
        <v>8.7100000000000009</v>
      </c>
      <c r="H1411">
        <v>43.55</v>
      </c>
      <c r="I1411">
        <v>6.53</v>
      </c>
      <c r="J1411">
        <v>37.020000000000003</v>
      </c>
      <c r="K1411">
        <v>33</v>
      </c>
    </row>
    <row r="1412" spans="1:11" x14ac:dyDescent="0.3">
      <c r="A1412">
        <v>7079</v>
      </c>
      <c r="B1412" t="s">
        <v>42</v>
      </c>
      <c r="C1412" s="1">
        <v>45216</v>
      </c>
      <c r="D1412" t="s">
        <v>28</v>
      </c>
      <c r="E1412" t="s">
        <v>32</v>
      </c>
      <c r="F1412">
        <v>4</v>
      </c>
      <c r="G1412">
        <v>12.38</v>
      </c>
      <c r="H1412">
        <v>49.52</v>
      </c>
      <c r="I1412">
        <v>4.95</v>
      </c>
      <c r="J1412">
        <v>44.57</v>
      </c>
      <c r="K1412">
        <v>112</v>
      </c>
    </row>
    <row r="1413" spans="1:11" x14ac:dyDescent="0.3">
      <c r="A1413">
        <v>9775</v>
      </c>
      <c r="B1413" t="s">
        <v>42</v>
      </c>
      <c r="C1413" s="1">
        <v>45707</v>
      </c>
      <c r="D1413" t="s">
        <v>34</v>
      </c>
      <c r="E1413" t="s">
        <v>44</v>
      </c>
      <c r="F1413">
        <v>3</v>
      </c>
      <c r="G1413">
        <v>19.46</v>
      </c>
      <c r="H1413">
        <v>58.38</v>
      </c>
      <c r="I1413">
        <v>0</v>
      </c>
      <c r="J1413">
        <v>58.38</v>
      </c>
      <c r="K1413">
        <v>361</v>
      </c>
    </row>
    <row r="1414" spans="1:11" x14ac:dyDescent="0.3">
      <c r="A1414">
        <v>4120</v>
      </c>
      <c r="B1414" t="s">
        <v>31</v>
      </c>
      <c r="C1414" s="1">
        <v>45185</v>
      </c>
      <c r="D1414" t="s">
        <v>15</v>
      </c>
      <c r="E1414" t="s">
        <v>29</v>
      </c>
      <c r="F1414">
        <v>5</v>
      </c>
      <c r="G1414">
        <v>27.32</v>
      </c>
      <c r="H1414">
        <v>136.6</v>
      </c>
      <c r="I1414">
        <v>0</v>
      </c>
      <c r="J1414">
        <v>136.6</v>
      </c>
      <c r="K1414">
        <v>318</v>
      </c>
    </row>
    <row r="1415" spans="1:11" x14ac:dyDescent="0.3">
      <c r="A1415">
        <v>5398</v>
      </c>
      <c r="B1415" t="s">
        <v>30</v>
      </c>
      <c r="C1415" s="1">
        <v>45437</v>
      </c>
      <c r="D1415" t="s">
        <v>17</v>
      </c>
      <c r="E1415" t="s">
        <v>29</v>
      </c>
      <c r="F1415">
        <v>3</v>
      </c>
      <c r="G1415">
        <v>20.75</v>
      </c>
      <c r="H1415">
        <v>62.25</v>
      </c>
      <c r="I1415">
        <v>9.34</v>
      </c>
      <c r="J1415">
        <v>52.91</v>
      </c>
      <c r="K1415">
        <v>85</v>
      </c>
    </row>
    <row r="1416" spans="1:11" x14ac:dyDescent="0.3">
      <c r="A1416">
        <v>1647</v>
      </c>
      <c r="B1416" t="s">
        <v>26</v>
      </c>
      <c r="C1416" s="1">
        <v>45823</v>
      </c>
      <c r="D1416" t="s">
        <v>34</v>
      </c>
      <c r="E1416" t="s">
        <v>39</v>
      </c>
      <c r="F1416">
        <v>4</v>
      </c>
      <c r="G1416">
        <v>13.4</v>
      </c>
      <c r="H1416">
        <v>53.6</v>
      </c>
      <c r="I1416">
        <v>8.0399999999999991</v>
      </c>
      <c r="J1416">
        <v>45.56</v>
      </c>
      <c r="K1416">
        <v>10</v>
      </c>
    </row>
    <row r="1417" spans="1:11" x14ac:dyDescent="0.3">
      <c r="A1417">
        <v>2192</v>
      </c>
      <c r="B1417" t="s">
        <v>11</v>
      </c>
      <c r="C1417" s="1">
        <v>45291</v>
      </c>
      <c r="D1417" t="s">
        <v>34</v>
      </c>
      <c r="E1417" t="s">
        <v>39</v>
      </c>
      <c r="F1417">
        <v>5</v>
      </c>
      <c r="G1417">
        <v>11.2</v>
      </c>
      <c r="H1417">
        <v>56</v>
      </c>
      <c r="I1417">
        <v>5.6</v>
      </c>
      <c r="J1417">
        <v>50.4</v>
      </c>
      <c r="K1417">
        <v>242</v>
      </c>
    </row>
    <row r="1418" spans="1:11" x14ac:dyDescent="0.3">
      <c r="A1418">
        <v>4555</v>
      </c>
      <c r="B1418" t="s">
        <v>42</v>
      </c>
      <c r="C1418" s="1">
        <v>45517</v>
      </c>
      <c r="D1418" t="s">
        <v>45</v>
      </c>
      <c r="E1418" t="s">
        <v>48</v>
      </c>
      <c r="F1418">
        <v>1</v>
      </c>
      <c r="G1418">
        <v>24.74</v>
      </c>
      <c r="H1418">
        <v>24.74</v>
      </c>
      <c r="I1418">
        <v>4.95</v>
      </c>
      <c r="J1418">
        <v>19.79</v>
      </c>
      <c r="K1418">
        <v>290</v>
      </c>
    </row>
    <row r="1419" spans="1:11" x14ac:dyDescent="0.3">
      <c r="A1419">
        <v>4422</v>
      </c>
      <c r="B1419" t="s">
        <v>14</v>
      </c>
      <c r="C1419" s="1">
        <v>45820</v>
      </c>
      <c r="D1419" t="s">
        <v>38</v>
      </c>
      <c r="E1419" t="s">
        <v>29</v>
      </c>
      <c r="F1419">
        <v>2</v>
      </c>
      <c r="G1419">
        <v>23.47</v>
      </c>
      <c r="H1419">
        <v>46.94</v>
      </c>
      <c r="I1419">
        <v>0</v>
      </c>
      <c r="J1419">
        <v>46.94</v>
      </c>
      <c r="K1419">
        <v>51</v>
      </c>
    </row>
    <row r="1420" spans="1:11" x14ac:dyDescent="0.3">
      <c r="A1420">
        <v>6455</v>
      </c>
      <c r="B1420" t="s">
        <v>36</v>
      </c>
      <c r="C1420" s="1">
        <v>45380</v>
      </c>
      <c r="D1420" t="s">
        <v>45</v>
      </c>
      <c r="E1420" t="s">
        <v>47</v>
      </c>
      <c r="F1420">
        <v>3</v>
      </c>
      <c r="G1420">
        <v>29.69</v>
      </c>
      <c r="H1420">
        <v>89.07</v>
      </c>
      <c r="I1420">
        <v>13.36</v>
      </c>
      <c r="J1420">
        <v>75.709999999999994</v>
      </c>
      <c r="K1420">
        <v>131</v>
      </c>
    </row>
    <row r="1421" spans="1:11" x14ac:dyDescent="0.3">
      <c r="A1421">
        <v>1251</v>
      </c>
      <c r="B1421" t="s">
        <v>36</v>
      </c>
      <c r="C1421" s="1">
        <v>45309</v>
      </c>
      <c r="D1421" t="s">
        <v>45</v>
      </c>
      <c r="E1421" t="s">
        <v>39</v>
      </c>
      <c r="F1421">
        <v>3</v>
      </c>
      <c r="G1421">
        <v>9.7200000000000006</v>
      </c>
      <c r="H1421">
        <v>29.16</v>
      </c>
      <c r="I1421">
        <v>2.08</v>
      </c>
      <c r="J1421">
        <v>27.08</v>
      </c>
      <c r="K1421">
        <v>170</v>
      </c>
    </row>
    <row r="1422" spans="1:11" x14ac:dyDescent="0.3">
      <c r="A1422">
        <v>4113</v>
      </c>
      <c r="B1422" t="s">
        <v>14</v>
      </c>
      <c r="C1422" s="1">
        <v>45720</v>
      </c>
      <c r="D1422" t="s">
        <v>27</v>
      </c>
      <c r="E1422" t="s">
        <v>39</v>
      </c>
      <c r="F1422">
        <v>2</v>
      </c>
      <c r="G1422">
        <v>29.37</v>
      </c>
      <c r="H1422">
        <v>58.74</v>
      </c>
      <c r="I1422">
        <v>0</v>
      </c>
      <c r="J1422">
        <v>58.74</v>
      </c>
      <c r="K1422">
        <v>438</v>
      </c>
    </row>
    <row r="1423" spans="1:11" x14ac:dyDescent="0.3">
      <c r="A1423">
        <v>2922</v>
      </c>
      <c r="B1423" t="s">
        <v>19</v>
      </c>
      <c r="C1423" s="1">
        <v>45725</v>
      </c>
      <c r="D1423" t="s">
        <v>22</v>
      </c>
      <c r="E1423" t="s">
        <v>47</v>
      </c>
      <c r="F1423">
        <v>1</v>
      </c>
      <c r="G1423">
        <v>8.08</v>
      </c>
      <c r="H1423">
        <v>8.08</v>
      </c>
      <c r="I1423">
        <v>1.21</v>
      </c>
      <c r="J1423">
        <v>6.87</v>
      </c>
      <c r="K1423">
        <v>379</v>
      </c>
    </row>
    <row r="1424" spans="1:11" x14ac:dyDescent="0.3">
      <c r="A1424">
        <v>8846</v>
      </c>
      <c r="B1424" t="s">
        <v>42</v>
      </c>
      <c r="C1424" s="1">
        <v>45855</v>
      </c>
      <c r="D1424" t="s">
        <v>15</v>
      </c>
      <c r="E1424" t="s">
        <v>44</v>
      </c>
      <c r="F1424">
        <v>4</v>
      </c>
      <c r="G1424">
        <v>19.510000000000002</v>
      </c>
      <c r="H1424">
        <v>78.040000000000006</v>
      </c>
      <c r="I1424">
        <v>0</v>
      </c>
      <c r="J1424">
        <v>78.040000000000006</v>
      </c>
      <c r="K1424">
        <v>494</v>
      </c>
    </row>
    <row r="1425" spans="1:11" x14ac:dyDescent="0.3">
      <c r="A1425">
        <v>4974</v>
      </c>
      <c r="B1425" t="s">
        <v>14</v>
      </c>
      <c r="C1425" s="1">
        <v>45685</v>
      </c>
      <c r="D1425" t="s">
        <v>45</v>
      </c>
      <c r="E1425" t="s">
        <v>46</v>
      </c>
      <c r="F1425">
        <v>2</v>
      </c>
      <c r="G1425">
        <v>8.68</v>
      </c>
      <c r="H1425">
        <v>17.36</v>
      </c>
      <c r="I1425">
        <v>2.6</v>
      </c>
      <c r="J1425">
        <v>14.76</v>
      </c>
      <c r="K1425">
        <v>347</v>
      </c>
    </row>
    <row r="1426" spans="1:11" x14ac:dyDescent="0.3">
      <c r="A1426">
        <v>4350</v>
      </c>
      <c r="B1426" t="s">
        <v>24</v>
      </c>
      <c r="C1426" s="1">
        <v>45453</v>
      </c>
      <c r="D1426" t="s">
        <v>28</v>
      </c>
      <c r="E1426" t="s">
        <v>16</v>
      </c>
      <c r="F1426">
        <v>3</v>
      </c>
      <c r="G1426">
        <v>9.9600000000000009</v>
      </c>
      <c r="H1426">
        <v>29.88</v>
      </c>
      <c r="I1426">
        <v>1.49</v>
      </c>
      <c r="J1426">
        <v>28.39</v>
      </c>
      <c r="K1426">
        <v>21</v>
      </c>
    </row>
    <row r="1427" spans="1:11" x14ac:dyDescent="0.3">
      <c r="A1427">
        <v>4921</v>
      </c>
      <c r="B1427" t="s">
        <v>26</v>
      </c>
      <c r="C1427" s="1">
        <v>45573</v>
      </c>
      <c r="D1427" t="s">
        <v>28</v>
      </c>
      <c r="E1427" t="s">
        <v>23</v>
      </c>
      <c r="F1427">
        <v>3</v>
      </c>
      <c r="G1427">
        <v>4.1900000000000004</v>
      </c>
      <c r="H1427">
        <v>12.57</v>
      </c>
      <c r="I1427">
        <v>0</v>
      </c>
      <c r="J1427">
        <v>12.57</v>
      </c>
      <c r="K1427">
        <v>4</v>
      </c>
    </row>
    <row r="1428" spans="1:11" x14ac:dyDescent="0.3">
      <c r="A1428">
        <v>6269</v>
      </c>
      <c r="B1428" t="s">
        <v>19</v>
      </c>
      <c r="C1428" s="1">
        <v>45747</v>
      </c>
      <c r="D1428" t="s">
        <v>45</v>
      </c>
      <c r="E1428" t="s">
        <v>41</v>
      </c>
      <c r="F1428">
        <v>5</v>
      </c>
      <c r="G1428">
        <v>29.02</v>
      </c>
      <c r="H1428">
        <v>145.1</v>
      </c>
      <c r="I1428">
        <v>21.76</v>
      </c>
      <c r="J1428">
        <v>123.34</v>
      </c>
      <c r="K1428">
        <v>319</v>
      </c>
    </row>
    <row r="1429" spans="1:11" x14ac:dyDescent="0.3">
      <c r="A1429">
        <v>5637</v>
      </c>
      <c r="B1429" t="s">
        <v>26</v>
      </c>
      <c r="C1429" s="1">
        <v>45440</v>
      </c>
      <c r="D1429" t="s">
        <v>35</v>
      </c>
      <c r="E1429" t="s">
        <v>43</v>
      </c>
      <c r="F1429">
        <v>3</v>
      </c>
      <c r="G1429">
        <v>1.44</v>
      </c>
      <c r="H1429">
        <v>4.32</v>
      </c>
      <c r="I1429">
        <v>0.65</v>
      </c>
      <c r="J1429">
        <v>3.67</v>
      </c>
      <c r="K1429">
        <v>20</v>
      </c>
    </row>
    <row r="1430" spans="1:11" x14ac:dyDescent="0.3">
      <c r="A1430">
        <v>8639</v>
      </c>
      <c r="B1430" t="s">
        <v>11</v>
      </c>
      <c r="C1430" s="1">
        <v>45559</v>
      </c>
      <c r="D1430" t="s">
        <v>12</v>
      </c>
      <c r="E1430" t="s">
        <v>47</v>
      </c>
      <c r="F1430">
        <v>3</v>
      </c>
      <c r="G1430">
        <v>1.1399999999999999</v>
      </c>
      <c r="H1430">
        <v>3.42</v>
      </c>
      <c r="I1430">
        <v>2.0099999999999998</v>
      </c>
      <c r="J1430">
        <v>1.41</v>
      </c>
      <c r="K1430">
        <v>180</v>
      </c>
    </row>
    <row r="1431" spans="1:11" x14ac:dyDescent="0.3">
      <c r="A1431">
        <v>6886</v>
      </c>
      <c r="B1431" t="s">
        <v>36</v>
      </c>
      <c r="C1431" s="1">
        <v>45384</v>
      </c>
      <c r="D1431" t="s">
        <v>35</v>
      </c>
      <c r="E1431" t="s">
        <v>46</v>
      </c>
      <c r="F1431">
        <v>5</v>
      </c>
      <c r="G1431">
        <v>5.49</v>
      </c>
      <c r="H1431">
        <v>27.45</v>
      </c>
      <c r="I1431">
        <v>5.49</v>
      </c>
      <c r="J1431">
        <v>21.96</v>
      </c>
      <c r="K1431">
        <v>44</v>
      </c>
    </row>
    <row r="1432" spans="1:11" x14ac:dyDescent="0.3">
      <c r="A1432">
        <v>5285</v>
      </c>
      <c r="B1432" t="s">
        <v>42</v>
      </c>
      <c r="C1432" s="1">
        <v>45424</v>
      </c>
      <c r="D1432" t="s">
        <v>20</v>
      </c>
      <c r="E1432" t="s">
        <v>43</v>
      </c>
      <c r="F1432">
        <v>3</v>
      </c>
      <c r="G1432">
        <v>7.34</v>
      </c>
      <c r="H1432">
        <v>22.02</v>
      </c>
      <c r="I1432">
        <v>4.4000000000000004</v>
      </c>
      <c r="J1432">
        <v>17.62</v>
      </c>
      <c r="K1432">
        <v>242</v>
      </c>
    </row>
    <row r="1433" spans="1:11" x14ac:dyDescent="0.3">
      <c r="A1433">
        <v>9401</v>
      </c>
      <c r="B1433" t="s">
        <v>24</v>
      </c>
      <c r="C1433" s="1">
        <v>45830</v>
      </c>
      <c r="D1433" t="s">
        <v>20</v>
      </c>
      <c r="E1433" t="s">
        <v>32</v>
      </c>
      <c r="F1433">
        <v>1</v>
      </c>
      <c r="G1433">
        <v>26.89</v>
      </c>
      <c r="H1433">
        <v>26.89</v>
      </c>
      <c r="I1433">
        <v>2.2400000000000002</v>
      </c>
      <c r="J1433">
        <v>24.65</v>
      </c>
      <c r="K1433">
        <v>471</v>
      </c>
    </row>
    <row r="1434" spans="1:11" x14ac:dyDescent="0.3">
      <c r="A1434">
        <v>9147</v>
      </c>
      <c r="B1434" t="s">
        <v>24</v>
      </c>
      <c r="C1434" s="1">
        <v>45506</v>
      </c>
      <c r="D1434" t="s">
        <v>27</v>
      </c>
      <c r="E1434" t="s">
        <v>21</v>
      </c>
      <c r="F1434">
        <v>5</v>
      </c>
      <c r="G1434">
        <v>5.03</v>
      </c>
      <c r="H1434">
        <v>25.15</v>
      </c>
      <c r="I1434">
        <v>3.77</v>
      </c>
      <c r="J1434">
        <v>21.38</v>
      </c>
      <c r="K1434">
        <v>393</v>
      </c>
    </row>
    <row r="1435" spans="1:11" x14ac:dyDescent="0.3">
      <c r="A1435">
        <v>2615</v>
      </c>
      <c r="B1435" t="s">
        <v>19</v>
      </c>
      <c r="C1435" s="1">
        <v>45768</v>
      </c>
      <c r="D1435" t="s">
        <v>20</v>
      </c>
      <c r="E1435" t="s">
        <v>18</v>
      </c>
      <c r="F1435">
        <v>2</v>
      </c>
      <c r="G1435">
        <v>9.7200000000000006</v>
      </c>
      <c r="H1435">
        <v>19.440000000000001</v>
      </c>
      <c r="I1435">
        <v>4.71</v>
      </c>
      <c r="J1435">
        <v>14.73</v>
      </c>
      <c r="K1435">
        <v>43</v>
      </c>
    </row>
    <row r="1436" spans="1:11" x14ac:dyDescent="0.3">
      <c r="A1436">
        <v>8692</v>
      </c>
      <c r="B1436" t="s">
        <v>26</v>
      </c>
      <c r="C1436" s="1">
        <v>45736</v>
      </c>
      <c r="D1436" t="s">
        <v>38</v>
      </c>
      <c r="E1436" t="s">
        <v>29</v>
      </c>
      <c r="F1436">
        <v>4</v>
      </c>
      <c r="G1436">
        <v>23.68</v>
      </c>
      <c r="H1436">
        <v>94.72</v>
      </c>
      <c r="I1436">
        <v>1.55</v>
      </c>
      <c r="J1436">
        <v>93.17</v>
      </c>
      <c r="K1436">
        <v>426</v>
      </c>
    </row>
    <row r="1437" spans="1:11" x14ac:dyDescent="0.3">
      <c r="A1437">
        <v>6246</v>
      </c>
      <c r="B1437" t="s">
        <v>26</v>
      </c>
      <c r="C1437" s="1">
        <v>45855</v>
      </c>
      <c r="D1437" t="s">
        <v>22</v>
      </c>
      <c r="E1437" t="s">
        <v>46</v>
      </c>
      <c r="F1437">
        <v>3</v>
      </c>
      <c r="G1437">
        <v>14.57</v>
      </c>
      <c r="H1437">
        <v>43.71</v>
      </c>
      <c r="I1437">
        <v>4.37</v>
      </c>
      <c r="J1437">
        <v>39.340000000000003</v>
      </c>
      <c r="K1437">
        <v>218</v>
      </c>
    </row>
    <row r="1438" spans="1:11" x14ac:dyDescent="0.3">
      <c r="A1438">
        <v>4328</v>
      </c>
      <c r="B1438" t="s">
        <v>24</v>
      </c>
      <c r="C1438" s="1">
        <v>45432</v>
      </c>
      <c r="D1438" t="s">
        <v>45</v>
      </c>
      <c r="E1438" t="s">
        <v>39</v>
      </c>
      <c r="F1438">
        <v>5</v>
      </c>
      <c r="G1438">
        <v>1.76</v>
      </c>
      <c r="H1438">
        <v>8.8000000000000007</v>
      </c>
      <c r="I1438">
        <v>4.0199999999999996</v>
      </c>
      <c r="J1438">
        <v>4.78</v>
      </c>
      <c r="K1438">
        <v>392</v>
      </c>
    </row>
    <row r="1439" spans="1:11" x14ac:dyDescent="0.3">
      <c r="A1439">
        <v>6126</v>
      </c>
      <c r="B1439" t="s">
        <v>30</v>
      </c>
      <c r="C1439" s="1">
        <v>45466</v>
      </c>
      <c r="D1439" t="s">
        <v>17</v>
      </c>
      <c r="E1439" t="s">
        <v>46</v>
      </c>
      <c r="F1439">
        <v>3</v>
      </c>
      <c r="G1439">
        <v>4.68</v>
      </c>
      <c r="H1439">
        <v>14.04</v>
      </c>
      <c r="I1439">
        <v>4.0199999999999996</v>
      </c>
      <c r="J1439">
        <v>10.02</v>
      </c>
      <c r="K1439">
        <v>278</v>
      </c>
    </row>
    <row r="1440" spans="1:11" x14ac:dyDescent="0.3">
      <c r="A1440">
        <v>1749</v>
      </c>
      <c r="B1440" t="s">
        <v>24</v>
      </c>
      <c r="C1440" s="1">
        <v>45581</v>
      </c>
      <c r="D1440" t="s">
        <v>34</v>
      </c>
      <c r="E1440" t="s">
        <v>32</v>
      </c>
      <c r="F1440">
        <v>1</v>
      </c>
      <c r="G1440">
        <v>14.41</v>
      </c>
      <c r="H1440">
        <v>14.41</v>
      </c>
      <c r="I1440">
        <v>1.34</v>
      </c>
      <c r="J1440">
        <v>13.07</v>
      </c>
      <c r="K1440">
        <v>390</v>
      </c>
    </row>
    <row r="1441" spans="1:11" x14ac:dyDescent="0.3">
      <c r="A1441">
        <v>4625</v>
      </c>
      <c r="B1441" t="s">
        <v>30</v>
      </c>
      <c r="C1441" s="1">
        <v>45720</v>
      </c>
      <c r="D1441" t="s">
        <v>27</v>
      </c>
      <c r="E1441" t="s">
        <v>48</v>
      </c>
      <c r="F1441">
        <v>3</v>
      </c>
      <c r="G1441">
        <v>18.23</v>
      </c>
      <c r="H1441">
        <v>54.69</v>
      </c>
      <c r="I1441">
        <v>2.93</v>
      </c>
      <c r="J1441">
        <v>51.76</v>
      </c>
      <c r="K1441">
        <v>420</v>
      </c>
    </row>
    <row r="1442" spans="1:11" x14ac:dyDescent="0.3">
      <c r="A1442">
        <v>3390</v>
      </c>
      <c r="B1442" t="s">
        <v>36</v>
      </c>
      <c r="C1442" s="1">
        <v>45157</v>
      </c>
      <c r="D1442" t="s">
        <v>12</v>
      </c>
      <c r="E1442" t="s">
        <v>48</v>
      </c>
      <c r="F1442">
        <v>5</v>
      </c>
      <c r="G1442">
        <v>20.55</v>
      </c>
      <c r="H1442">
        <v>102.75</v>
      </c>
      <c r="I1442">
        <v>0</v>
      </c>
      <c r="J1442">
        <v>102.75</v>
      </c>
      <c r="K1442">
        <v>378</v>
      </c>
    </row>
    <row r="1443" spans="1:11" x14ac:dyDescent="0.3">
      <c r="A1443">
        <v>5272</v>
      </c>
      <c r="B1443" t="s">
        <v>42</v>
      </c>
      <c r="C1443" s="1">
        <v>45574</v>
      </c>
      <c r="D1443" t="s">
        <v>38</v>
      </c>
      <c r="E1443" t="s">
        <v>41</v>
      </c>
      <c r="F1443">
        <v>5</v>
      </c>
      <c r="G1443">
        <v>22.46</v>
      </c>
      <c r="H1443">
        <v>112.3</v>
      </c>
      <c r="I1443">
        <v>22.46</v>
      </c>
      <c r="J1443">
        <v>89.84</v>
      </c>
      <c r="K1443">
        <v>253</v>
      </c>
    </row>
    <row r="1444" spans="1:11" x14ac:dyDescent="0.3">
      <c r="A1444">
        <v>7841</v>
      </c>
      <c r="B1444" t="s">
        <v>19</v>
      </c>
      <c r="C1444" s="1">
        <v>45374</v>
      </c>
      <c r="D1444" t="s">
        <v>35</v>
      </c>
      <c r="E1444" t="s">
        <v>37</v>
      </c>
      <c r="F1444">
        <v>1</v>
      </c>
      <c r="G1444">
        <v>24.35</v>
      </c>
      <c r="H1444">
        <v>24.35</v>
      </c>
      <c r="I1444">
        <v>1.27</v>
      </c>
      <c r="J1444">
        <v>23.08</v>
      </c>
      <c r="K1444">
        <v>319</v>
      </c>
    </row>
    <row r="1445" spans="1:11" x14ac:dyDescent="0.3">
      <c r="A1445">
        <v>3497</v>
      </c>
      <c r="B1445" t="s">
        <v>19</v>
      </c>
      <c r="C1445" s="1">
        <v>45297</v>
      </c>
      <c r="D1445" t="s">
        <v>28</v>
      </c>
      <c r="E1445" t="s">
        <v>48</v>
      </c>
      <c r="F1445">
        <v>5</v>
      </c>
      <c r="G1445">
        <v>3.8</v>
      </c>
      <c r="H1445">
        <v>19</v>
      </c>
      <c r="I1445">
        <v>1.9</v>
      </c>
      <c r="J1445">
        <v>17.100000000000001</v>
      </c>
      <c r="K1445">
        <v>104</v>
      </c>
    </row>
    <row r="1446" spans="1:11" x14ac:dyDescent="0.3">
      <c r="A1446">
        <v>6404</v>
      </c>
      <c r="B1446" t="s">
        <v>31</v>
      </c>
      <c r="C1446" s="1">
        <v>45323</v>
      </c>
      <c r="D1446" t="s">
        <v>38</v>
      </c>
      <c r="E1446" t="s">
        <v>33</v>
      </c>
      <c r="F1446">
        <v>4</v>
      </c>
      <c r="G1446">
        <v>2.6</v>
      </c>
      <c r="H1446">
        <v>10.4</v>
      </c>
      <c r="I1446">
        <v>1.04</v>
      </c>
      <c r="J1446">
        <v>9.36</v>
      </c>
      <c r="K1446">
        <v>62</v>
      </c>
    </row>
    <row r="1447" spans="1:11" x14ac:dyDescent="0.3">
      <c r="A1447">
        <v>7223</v>
      </c>
      <c r="B1447" t="s">
        <v>26</v>
      </c>
      <c r="C1447" s="1">
        <v>45587</v>
      </c>
      <c r="D1447" t="s">
        <v>34</v>
      </c>
      <c r="E1447" t="s">
        <v>25</v>
      </c>
      <c r="F1447">
        <v>5</v>
      </c>
      <c r="G1447">
        <v>8.5399999999999991</v>
      </c>
      <c r="H1447">
        <v>42.7</v>
      </c>
      <c r="I1447">
        <v>0</v>
      </c>
      <c r="J1447">
        <v>42.7</v>
      </c>
      <c r="K1447">
        <v>313</v>
      </c>
    </row>
    <row r="1448" spans="1:11" x14ac:dyDescent="0.3">
      <c r="A1448">
        <v>5026</v>
      </c>
      <c r="B1448" t="s">
        <v>11</v>
      </c>
      <c r="C1448" s="1">
        <v>45532</v>
      </c>
      <c r="D1448" t="s">
        <v>20</v>
      </c>
      <c r="E1448" t="s">
        <v>41</v>
      </c>
      <c r="F1448">
        <v>1</v>
      </c>
      <c r="G1448">
        <v>6.35</v>
      </c>
      <c r="H1448">
        <v>6.35</v>
      </c>
      <c r="I1448">
        <v>1.27</v>
      </c>
      <c r="J1448">
        <v>5.08</v>
      </c>
      <c r="K1448">
        <v>419</v>
      </c>
    </row>
    <row r="1449" spans="1:11" x14ac:dyDescent="0.3">
      <c r="A1449">
        <v>6530</v>
      </c>
      <c r="B1449" t="s">
        <v>14</v>
      </c>
      <c r="C1449" s="1">
        <v>45344</v>
      </c>
      <c r="D1449" t="s">
        <v>38</v>
      </c>
      <c r="E1449" t="s">
        <v>44</v>
      </c>
      <c r="F1449">
        <v>4</v>
      </c>
      <c r="G1449">
        <v>14.92</v>
      </c>
      <c r="H1449">
        <v>59.68</v>
      </c>
      <c r="I1449">
        <v>2.97</v>
      </c>
      <c r="J1449">
        <v>56.71</v>
      </c>
      <c r="K1449">
        <v>148</v>
      </c>
    </row>
    <row r="1450" spans="1:11" x14ac:dyDescent="0.3">
      <c r="A1450">
        <v>9005</v>
      </c>
      <c r="B1450" t="s">
        <v>30</v>
      </c>
      <c r="C1450" s="1">
        <v>45707</v>
      </c>
      <c r="D1450" t="s">
        <v>20</v>
      </c>
      <c r="E1450" t="s">
        <v>32</v>
      </c>
      <c r="F1450">
        <v>1</v>
      </c>
      <c r="G1450">
        <v>14.44</v>
      </c>
      <c r="H1450">
        <v>14.44</v>
      </c>
      <c r="I1450">
        <v>2.89</v>
      </c>
      <c r="J1450">
        <v>11.55</v>
      </c>
      <c r="K1450">
        <v>416</v>
      </c>
    </row>
    <row r="1451" spans="1:11" x14ac:dyDescent="0.3">
      <c r="A1451">
        <v>9037</v>
      </c>
      <c r="B1451" t="s">
        <v>31</v>
      </c>
      <c r="C1451" s="1">
        <v>45502</v>
      </c>
      <c r="D1451" t="s">
        <v>35</v>
      </c>
      <c r="E1451" t="s">
        <v>33</v>
      </c>
      <c r="F1451">
        <v>1</v>
      </c>
      <c r="G1451">
        <v>17.350000000000001</v>
      </c>
      <c r="H1451">
        <v>17.350000000000001</v>
      </c>
      <c r="I1451">
        <v>3.58</v>
      </c>
      <c r="J1451">
        <v>13.77</v>
      </c>
      <c r="K1451">
        <v>5</v>
      </c>
    </row>
    <row r="1452" spans="1:11" x14ac:dyDescent="0.3">
      <c r="A1452">
        <v>3756</v>
      </c>
      <c r="B1452" t="s">
        <v>26</v>
      </c>
      <c r="C1452" s="1">
        <v>45714</v>
      </c>
      <c r="D1452" t="s">
        <v>12</v>
      </c>
      <c r="E1452" t="s">
        <v>23</v>
      </c>
      <c r="F1452">
        <v>2</v>
      </c>
      <c r="G1452">
        <v>14.56</v>
      </c>
      <c r="H1452">
        <v>29.12</v>
      </c>
      <c r="I1452">
        <v>4.37</v>
      </c>
      <c r="J1452">
        <v>24.75</v>
      </c>
      <c r="K1452">
        <v>370</v>
      </c>
    </row>
    <row r="1453" spans="1:11" x14ac:dyDescent="0.3">
      <c r="A1453">
        <v>6770</v>
      </c>
      <c r="B1453" t="s">
        <v>31</v>
      </c>
      <c r="C1453" s="1">
        <v>45276</v>
      </c>
      <c r="D1453" t="s">
        <v>34</v>
      </c>
      <c r="E1453" t="s">
        <v>23</v>
      </c>
      <c r="F1453">
        <v>5</v>
      </c>
      <c r="G1453">
        <v>25.81</v>
      </c>
      <c r="H1453">
        <v>129.05000000000001</v>
      </c>
      <c r="I1453">
        <v>19.36</v>
      </c>
      <c r="J1453">
        <v>109.69</v>
      </c>
      <c r="K1453">
        <v>257</v>
      </c>
    </row>
    <row r="1454" spans="1:11" x14ac:dyDescent="0.3">
      <c r="A1454">
        <v>3293</v>
      </c>
      <c r="B1454" t="s">
        <v>14</v>
      </c>
      <c r="C1454" s="1">
        <v>45704</v>
      </c>
      <c r="D1454" t="s">
        <v>20</v>
      </c>
      <c r="E1454" t="s">
        <v>46</v>
      </c>
      <c r="F1454">
        <v>1</v>
      </c>
      <c r="G1454">
        <v>6.05</v>
      </c>
      <c r="H1454">
        <v>6.05</v>
      </c>
      <c r="I1454">
        <v>0</v>
      </c>
      <c r="J1454">
        <v>6.05</v>
      </c>
      <c r="K1454">
        <v>77</v>
      </c>
    </row>
    <row r="1455" spans="1:11" x14ac:dyDescent="0.3">
      <c r="A1455">
        <v>9954</v>
      </c>
      <c r="B1455" t="s">
        <v>36</v>
      </c>
      <c r="C1455" s="1">
        <v>45524</v>
      </c>
      <c r="D1455" t="s">
        <v>45</v>
      </c>
      <c r="E1455" t="s">
        <v>41</v>
      </c>
      <c r="F1455">
        <v>3</v>
      </c>
      <c r="G1455">
        <v>23.75</v>
      </c>
      <c r="H1455">
        <v>71.25</v>
      </c>
      <c r="I1455">
        <v>7.12</v>
      </c>
      <c r="J1455">
        <v>64.13</v>
      </c>
      <c r="K1455">
        <v>337</v>
      </c>
    </row>
    <row r="1456" spans="1:11" x14ac:dyDescent="0.3">
      <c r="A1456">
        <v>4015</v>
      </c>
      <c r="B1456" t="s">
        <v>11</v>
      </c>
      <c r="C1456" s="1">
        <v>45857</v>
      </c>
      <c r="D1456" t="s">
        <v>27</v>
      </c>
      <c r="E1456" t="s">
        <v>47</v>
      </c>
      <c r="F1456">
        <v>4</v>
      </c>
      <c r="G1456">
        <v>28.9</v>
      </c>
      <c r="H1456">
        <v>115.6</v>
      </c>
      <c r="I1456">
        <v>3.83</v>
      </c>
      <c r="J1456">
        <v>111.77</v>
      </c>
      <c r="K1456">
        <v>310</v>
      </c>
    </row>
    <row r="1457" spans="1:11" x14ac:dyDescent="0.3">
      <c r="A1457">
        <v>9882</v>
      </c>
      <c r="B1457" t="s">
        <v>14</v>
      </c>
      <c r="C1457" s="1">
        <v>45643</v>
      </c>
      <c r="D1457" t="s">
        <v>27</v>
      </c>
      <c r="E1457" t="s">
        <v>46</v>
      </c>
      <c r="F1457">
        <v>3</v>
      </c>
      <c r="G1457">
        <v>4.74</v>
      </c>
      <c r="H1457">
        <v>14.22</v>
      </c>
      <c r="I1457">
        <v>3.47</v>
      </c>
      <c r="J1457">
        <v>10.75</v>
      </c>
      <c r="K1457">
        <v>165</v>
      </c>
    </row>
    <row r="1458" spans="1:11" x14ac:dyDescent="0.3">
      <c r="A1458">
        <v>1962</v>
      </c>
      <c r="B1458" t="s">
        <v>24</v>
      </c>
      <c r="C1458" s="1">
        <v>45551</v>
      </c>
      <c r="D1458" t="s">
        <v>15</v>
      </c>
      <c r="E1458" t="s">
        <v>40</v>
      </c>
      <c r="F1458">
        <v>1</v>
      </c>
      <c r="G1458">
        <v>25.7</v>
      </c>
      <c r="H1458">
        <v>25.7</v>
      </c>
      <c r="I1458">
        <v>3.66</v>
      </c>
      <c r="J1458">
        <v>22.04</v>
      </c>
      <c r="K1458">
        <v>81</v>
      </c>
    </row>
    <row r="1459" spans="1:11" x14ac:dyDescent="0.3">
      <c r="A1459">
        <v>1554</v>
      </c>
      <c r="B1459" t="s">
        <v>26</v>
      </c>
      <c r="C1459" s="1">
        <v>45796</v>
      </c>
      <c r="D1459" t="s">
        <v>27</v>
      </c>
      <c r="E1459" t="s">
        <v>47</v>
      </c>
      <c r="F1459">
        <v>3</v>
      </c>
      <c r="G1459">
        <v>23.03</v>
      </c>
      <c r="H1459">
        <v>69.09</v>
      </c>
      <c r="I1459">
        <v>4.5999999999999996</v>
      </c>
      <c r="J1459">
        <v>64.489999999999995</v>
      </c>
      <c r="K1459">
        <v>395</v>
      </c>
    </row>
    <row r="1460" spans="1:11" x14ac:dyDescent="0.3">
      <c r="A1460">
        <v>2217</v>
      </c>
      <c r="B1460" t="s">
        <v>19</v>
      </c>
      <c r="C1460" s="1">
        <v>45780</v>
      </c>
      <c r="D1460" t="s">
        <v>20</v>
      </c>
      <c r="E1460" t="s">
        <v>16</v>
      </c>
      <c r="F1460">
        <v>1</v>
      </c>
      <c r="G1460">
        <v>2.79</v>
      </c>
      <c r="H1460">
        <v>2.79</v>
      </c>
      <c r="I1460">
        <v>4.3899999999999997</v>
      </c>
      <c r="J1460">
        <v>-1.6</v>
      </c>
      <c r="K1460">
        <v>128</v>
      </c>
    </row>
    <row r="1461" spans="1:11" x14ac:dyDescent="0.3">
      <c r="A1461">
        <v>1794</v>
      </c>
      <c r="C1461" s="1">
        <v>45738</v>
      </c>
      <c r="D1461" t="s">
        <v>45</v>
      </c>
      <c r="E1461" t="s">
        <v>23</v>
      </c>
      <c r="F1461">
        <v>5</v>
      </c>
      <c r="G1461">
        <v>19.3</v>
      </c>
      <c r="H1461">
        <v>96.5</v>
      </c>
      <c r="I1461">
        <v>14.47</v>
      </c>
      <c r="J1461">
        <v>82.03</v>
      </c>
      <c r="K1461">
        <v>15</v>
      </c>
    </row>
    <row r="1462" spans="1:11" x14ac:dyDescent="0.3">
      <c r="A1462">
        <v>1104</v>
      </c>
      <c r="B1462" t="s">
        <v>11</v>
      </c>
      <c r="C1462" s="1">
        <v>45465</v>
      </c>
      <c r="D1462" t="s">
        <v>45</v>
      </c>
      <c r="E1462" t="s">
        <v>32</v>
      </c>
      <c r="F1462">
        <v>2</v>
      </c>
      <c r="G1462">
        <v>29.67</v>
      </c>
      <c r="H1462">
        <v>59.34</v>
      </c>
      <c r="I1462">
        <v>11.87</v>
      </c>
      <c r="J1462">
        <v>47.47</v>
      </c>
      <c r="K1462">
        <v>293</v>
      </c>
    </row>
    <row r="1463" spans="1:11" x14ac:dyDescent="0.3">
      <c r="A1463">
        <v>3252</v>
      </c>
      <c r="B1463" t="s">
        <v>30</v>
      </c>
      <c r="C1463" s="1">
        <v>45799</v>
      </c>
      <c r="D1463" t="s">
        <v>45</v>
      </c>
      <c r="E1463" t="s">
        <v>33</v>
      </c>
      <c r="F1463">
        <v>3</v>
      </c>
      <c r="G1463">
        <v>7.53</v>
      </c>
      <c r="H1463">
        <v>22.59</v>
      </c>
      <c r="I1463">
        <v>2.2599999999999998</v>
      </c>
      <c r="J1463">
        <v>20.329999999999998</v>
      </c>
      <c r="K1463">
        <v>379</v>
      </c>
    </row>
    <row r="1464" spans="1:11" x14ac:dyDescent="0.3">
      <c r="A1464">
        <v>4791</v>
      </c>
      <c r="B1464" t="s">
        <v>14</v>
      </c>
      <c r="C1464" s="1">
        <v>45197</v>
      </c>
      <c r="D1464" t="s">
        <v>17</v>
      </c>
      <c r="E1464" t="s">
        <v>43</v>
      </c>
      <c r="F1464">
        <v>5</v>
      </c>
      <c r="G1464">
        <v>1.69</v>
      </c>
      <c r="H1464">
        <v>8.4499999999999993</v>
      </c>
      <c r="I1464">
        <v>1.69</v>
      </c>
      <c r="J1464">
        <v>6.76</v>
      </c>
      <c r="K1464">
        <v>491</v>
      </c>
    </row>
    <row r="1465" spans="1:11" x14ac:dyDescent="0.3">
      <c r="A1465">
        <v>3474</v>
      </c>
      <c r="B1465" t="s">
        <v>31</v>
      </c>
      <c r="C1465" s="1">
        <v>45152</v>
      </c>
      <c r="D1465" t="s">
        <v>34</v>
      </c>
      <c r="E1465" t="s">
        <v>39</v>
      </c>
      <c r="F1465">
        <v>3</v>
      </c>
      <c r="G1465">
        <v>23.45</v>
      </c>
      <c r="H1465">
        <v>70.349999999999994</v>
      </c>
      <c r="I1465">
        <v>10.55</v>
      </c>
      <c r="J1465">
        <v>59.8</v>
      </c>
      <c r="K1465">
        <v>290</v>
      </c>
    </row>
    <row r="1466" spans="1:11" x14ac:dyDescent="0.3">
      <c r="A1466">
        <v>4583</v>
      </c>
      <c r="B1466" t="s">
        <v>19</v>
      </c>
      <c r="C1466" s="1">
        <v>45537</v>
      </c>
      <c r="D1466" t="s">
        <v>27</v>
      </c>
      <c r="E1466" t="s">
        <v>46</v>
      </c>
      <c r="F1466">
        <v>4</v>
      </c>
      <c r="G1466">
        <v>6.5</v>
      </c>
      <c r="H1466">
        <v>26</v>
      </c>
      <c r="I1466">
        <v>2.41</v>
      </c>
      <c r="J1466">
        <v>23.59</v>
      </c>
      <c r="K1466">
        <v>106</v>
      </c>
    </row>
    <row r="1467" spans="1:11" x14ac:dyDescent="0.3">
      <c r="A1467">
        <v>8471</v>
      </c>
      <c r="B1467" t="s">
        <v>14</v>
      </c>
      <c r="C1467" s="1">
        <v>45434</v>
      </c>
      <c r="D1467" t="s">
        <v>34</v>
      </c>
      <c r="E1467" t="s">
        <v>43</v>
      </c>
      <c r="F1467">
        <v>4</v>
      </c>
      <c r="G1467">
        <v>13.39</v>
      </c>
      <c r="H1467">
        <v>53.56</v>
      </c>
      <c r="I1467">
        <v>1.31</v>
      </c>
      <c r="J1467">
        <v>52.25</v>
      </c>
      <c r="K1467">
        <v>192</v>
      </c>
    </row>
    <row r="1468" spans="1:11" x14ac:dyDescent="0.3">
      <c r="A1468">
        <v>1990</v>
      </c>
      <c r="B1468" t="s">
        <v>14</v>
      </c>
      <c r="C1468" s="1">
        <v>45624</v>
      </c>
      <c r="D1468" t="s">
        <v>35</v>
      </c>
      <c r="E1468" t="s">
        <v>48</v>
      </c>
      <c r="F1468">
        <v>1</v>
      </c>
      <c r="G1468">
        <v>15.45</v>
      </c>
      <c r="H1468">
        <v>15.45</v>
      </c>
      <c r="I1468">
        <v>1.9</v>
      </c>
      <c r="J1468">
        <v>13.55</v>
      </c>
      <c r="K1468">
        <v>26</v>
      </c>
    </row>
    <row r="1469" spans="1:11" x14ac:dyDescent="0.3">
      <c r="A1469">
        <v>8916</v>
      </c>
      <c r="B1469" t="s">
        <v>30</v>
      </c>
      <c r="C1469" s="1">
        <v>45657</v>
      </c>
      <c r="D1469" t="s">
        <v>35</v>
      </c>
      <c r="E1469" t="s">
        <v>32</v>
      </c>
      <c r="F1469">
        <v>3</v>
      </c>
      <c r="G1469">
        <v>2.96</v>
      </c>
      <c r="H1469">
        <v>8.8800000000000008</v>
      </c>
      <c r="I1469">
        <v>1.33</v>
      </c>
      <c r="J1469">
        <v>7.55</v>
      </c>
      <c r="K1469">
        <v>446</v>
      </c>
    </row>
    <row r="1470" spans="1:11" x14ac:dyDescent="0.3">
      <c r="A1470">
        <v>8993</v>
      </c>
      <c r="B1470" t="s">
        <v>11</v>
      </c>
      <c r="C1470" s="1">
        <v>45157</v>
      </c>
      <c r="D1470" t="s">
        <v>38</v>
      </c>
      <c r="E1470" t="s">
        <v>25</v>
      </c>
      <c r="F1470">
        <v>5</v>
      </c>
      <c r="G1470">
        <v>28.01</v>
      </c>
      <c r="H1470">
        <v>140.05000000000001</v>
      </c>
      <c r="I1470">
        <v>14.01</v>
      </c>
      <c r="J1470">
        <v>126.04</v>
      </c>
      <c r="K1470">
        <v>256</v>
      </c>
    </row>
    <row r="1471" spans="1:11" x14ac:dyDescent="0.3">
      <c r="A1471">
        <v>1108</v>
      </c>
      <c r="B1471" t="s">
        <v>31</v>
      </c>
      <c r="C1471" s="1">
        <v>45558</v>
      </c>
      <c r="D1471" t="s">
        <v>38</v>
      </c>
      <c r="E1471" t="s">
        <v>48</v>
      </c>
      <c r="F1471">
        <v>5</v>
      </c>
      <c r="G1471">
        <v>14.65</v>
      </c>
      <c r="H1471">
        <v>73.25</v>
      </c>
      <c r="I1471">
        <v>0</v>
      </c>
      <c r="J1471">
        <v>73.25</v>
      </c>
      <c r="K1471">
        <v>469</v>
      </c>
    </row>
    <row r="1472" spans="1:11" x14ac:dyDescent="0.3">
      <c r="A1472">
        <v>7739</v>
      </c>
      <c r="B1472" t="s">
        <v>31</v>
      </c>
      <c r="C1472" s="1">
        <v>45154</v>
      </c>
      <c r="D1472" t="s">
        <v>12</v>
      </c>
      <c r="E1472" t="s">
        <v>21</v>
      </c>
      <c r="F1472">
        <v>4</v>
      </c>
      <c r="G1472">
        <v>8.56</v>
      </c>
      <c r="H1472">
        <v>34.24</v>
      </c>
      <c r="I1472">
        <v>6.85</v>
      </c>
      <c r="J1472">
        <v>27.39</v>
      </c>
      <c r="K1472">
        <v>171</v>
      </c>
    </row>
    <row r="1473" spans="1:11" x14ac:dyDescent="0.3">
      <c r="A1473">
        <v>1274</v>
      </c>
      <c r="B1473" t="s">
        <v>42</v>
      </c>
      <c r="C1473" s="1">
        <v>45556</v>
      </c>
      <c r="D1473" t="s">
        <v>38</v>
      </c>
      <c r="E1473" t="s">
        <v>21</v>
      </c>
      <c r="F1473">
        <v>1</v>
      </c>
      <c r="G1473">
        <v>7.82</v>
      </c>
      <c r="H1473">
        <v>7.82</v>
      </c>
      <c r="I1473">
        <v>1.17</v>
      </c>
      <c r="J1473">
        <v>6.65</v>
      </c>
      <c r="K1473">
        <v>37</v>
      </c>
    </row>
    <row r="1474" spans="1:11" x14ac:dyDescent="0.3">
      <c r="A1474">
        <v>5501</v>
      </c>
      <c r="B1474" t="s">
        <v>11</v>
      </c>
      <c r="C1474" s="1">
        <v>45561</v>
      </c>
      <c r="D1474" t="s">
        <v>20</v>
      </c>
      <c r="E1474" t="s">
        <v>43</v>
      </c>
      <c r="F1474">
        <v>5</v>
      </c>
      <c r="G1474">
        <v>14.87</v>
      </c>
      <c r="H1474">
        <v>74.349999999999994</v>
      </c>
      <c r="I1474">
        <v>0</v>
      </c>
      <c r="J1474">
        <v>74.349999999999994</v>
      </c>
      <c r="K1474">
        <v>66</v>
      </c>
    </row>
    <row r="1475" spans="1:11" x14ac:dyDescent="0.3">
      <c r="A1475">
        <v>5697</v>
      </c>
      <c r="B1475" t="s">
        <v>31</v>
      </c>
      <c r="C1475" s="1">
        <v>45158</v>
      </c>
      <c r="D1475" t="s">
        <v>15</v>
      </c>
      <c r="E1475" t="s">
        <v>40</v>
      </c>
      <c r="F1475">
        <v>4</v>
      </c>
      <c r="G1475">
        <v>15.71</v>
      </c>
      <c r="H1475">
        <v>62.84</v>
      </c>
      <c r="I1475">
        <v>6.28</v>
      </c>
      <c r="J1475">
        <v>56.56</v>
      </c>
      <c r="K1475">
        <v>332</v>
      </c>
    </row>
    <row r="1476" spans="1:11" x14ac:dyDescent="0.3">
      <c r="A1476">
        <v>9228</v>
      </c>
      <c r="B1476" t="s">
        <v>26</v>
      </c>
      <c r="C1476" s="1">
        <v>45776</v>
      </c>
      <c r="D1476" t="s">
        <v>35</v>
      </c>
      <c r="E1476" t="s">
        <v>25</v>
      </c>
      <c r="F1476">
        <v>1</v>
      </c>
      <c r="G1476">
        <v>28</v>
      </c>
      <c r="H1476">
        <v>28</v>
      </c>
      <c r="I1476">
        <v>3.43</v>
      </c>
      <c r="J1476">
        <v>24.57</v>
      </c>
      <c r="K1476">
        <v>13</v>
      </c>
    </row>
    <row r="1477" spans="1:11" x14ac:dyDescent="0.3">
      <c r="A1477">
        <v>8054</v>
      </c>
      <c r="B1477" t="s">
        <v>24</v>
      </c>
      <c r="C1477" s="1">
        <v>45771</v>
      </c>
      <c r="D1477" t="s">
        <v>27</v>
      </c>
      <c r="E1477" t="s">
        <v>39</v>
      </c>
      <c r="F1477">
        <v>5</v>
      </c>
      <c r="G1477">
        <v>14.97</v>
      </c>
      <c r="H1477">
        <v>74.849999999999994</v>
      </c>
      <c r="I1477">
        <v>0</v>
      </c>
      <c r="J1477">
        <v>74.849999999999994</v>
      </c>
      <c r="K1477">
        <v>198</v>
      </c>
    </row>
    <row r="1478" spans="1:11" x14ac:dyDescent="0.3">
      <c r="A1478">
        <v>3937</v>
      </c>
      <c r="B1478" t="s">
        <v>19</v>
      </c>
      <c r="C1478" s="1">
        <v>45228</v>
      </c>
      <c r="D1478" t="s">
        <v>20</v>
      </c>
      <c r="E1478" t="s">
        <v>16</v>
      </c>
      <c r="F1478">
        <v>5</v>
      </c>
      <c r="G1478">
        <v>4.99</v>
      </c>
      <c r="H1478">
        <v>24.95</v>
      </c>
      <c r="I1478">
        <v>4.93</v>
      </c>
      <c r="J1478">
        <v>20.02</v>
      </c>
      <c r="K1478">
        <v>224</v>
      </c>
    </row>
    <row r="1479" spans="1:11" x14ac:dyDescent="0.3">
      <c r="A1479">
        <v>2578</v>
      </c>
      <c r="B1479" t="s">
        <v>36</v>
      </c>
      <c r="C1479" s="1">
        <v>45552</v>
      </c>
      <c r="D1479" t="s">
        <v>22</v>
      </c>
      <c r="E1479" t="s">
        <v>44</v>
      </c>
      <c r="F1479">
        <v>3</v>
      </c>
      <c r="G1479">
        <v>13.65</v>
      </c>
      <c r="H1479">
        <v>40.950000000000003</v>
      </c>
      <c r="I1479">
        <v>8.19</v>
      </c>
      <c r="J1479">
        <v>32.76</v>
      </c>
      <c r="K1479">
        <v>29</v>
      </c>
    </row>
    <row r="1480" spans="1:11" x14ac:dyDescent="0.3">
      <c r="A1480">
        <v>3439</v>
      </c>
      <c r="B1480" t="s">
        <v>11</v>
      </c>
      <c r="C1480" s="1">
        <v>45332</v>
      </c>
      <c r="D1480" t="s">
        <v>28</v>
      </c>
      <c r="E1480" t="s">
        <v>39</v>
      </c>
      <c r="F1480">
        <v>2</v>
      </c>
      <c r="G1480">
        <v>12.97</v>
      </c>
      <c r="H1480">
        <v>25.94</v>
      </c>
      <c r="I1480">
        <v>4.49</v>
      </c>
      <c r="J1480">
        <v>21.45</v>
      </c>
      <c r="K1480">
        <v>385</v>
      </c>
    </row>
    <row r="1481" spans="1:11" x14ac:dyDescent="0.3">
      <c r="A1481">
        <v>4144</v>
      </c>
      <c r="B1481" t="s">
        <v>42</v>
      </c>
      <c r="C1481" s="1">
        <v>45626</v>
      </c>
      <c r="D1481" t="s">
        <v>12</v>
      </c>
      <c r="E1481" t="s">
        <v>43</v>
      </c>
      <c r="F1481">
        <v>1</v>
      </c>
      <c r="G1481">
        <v>4.66</v>
      </c>
      <c r="H1481">
        <v>4.66</v>
      </c>
      <c r="I1481">
        <v>2.2599999999999998</v>
      </c>
      <c r="J1481">
        <v>2.4</v>
      </c>
      <c r="K1481">
        <v>92</v>
      </c>
    </row>
    <row r="1482" spans="1:11" x14ac:dyDescent="0.3">
      <c r="A1482">
        <v>9625</v>
      </c>
      <c r="B1482" t="s">
        <v>42</v>
      </c>
      <c r="C1482" s="1">
        <v>45341</v>
      </c>
      <c r="D1482" t="s">
        <v>35</v>
      </c>
      <c r="E1482" t="s">
        <v>41</v>
      </c>
      <c r="F1482">
        <v>5</v>
      </c>
      <c r="G1482">
        <v>12.53</v>
      </c>
      <c r="H1482">
        <v>62.65</v>
      </c>
      <c r="I1482">
        <v>0</v>
      </c>
      <c r="J1482">
        <v>62.65</v>
      </c>
      <c r="K1482">
        <v>336</v>
      </c>
    </row>
    <row r="1483" spans="1:11" x14ac:dyDescent="0.3">
      <c r="A1483">
        <v>6807</v>
      </c>
      <c r="B1483" t="s">
        <v>11</v>
      </c>
      <c r="C1483" s="1">
        <v>45352</v>
      </c>
      <c r="D1483" t="s">
        <v>15</v>
      </c>
      <c r="E1483" t="s">
        <v>13</v>
      </c>
      <c r="F1483">
        <v>5</v>
      </c>
      <c r="G1483">
        <v>6.96</v>
      </c>
      <c r="H1483">
        <v>34.799999999999997</v>
      </c>
      <c r="I1483">
        <v>6.96</v>
      </c>
      <c r="J1483">
        <v>27.84</v>
      </c>
      <c r="K1483">
        <v>361</v>
      </c>
    </row>
    <row r="1484" spans="1:11" x14ac:dyDescent="0.3">
      <c r="A1484">
        <v>7502</v>
      </c>
      <c r="B1484" t="s">
        <v>26</v>
      </c>
      <c r="C1484" s="1">
        <v>45206</v>
      </c>
      <c r="D1484" t="s">
        <v>35</v>
      </c>
      <c r="E1484" t="s">
        <v>23</v>
      </c>
      <c r="F1484">
        <v>5</v>
      </c>
      <c r="G1484">
        <v>9.48</v>
      </c>
      <c r="H1484">
        <v>47.4</v>
      </c>
      <c r="I1484">
        <v>4.57</v>
      </c>
      <c r="J1484">
        <v>42.83</v>
      </c>
      <c r="K1484">
        <v>334</v>
      </c>
    </row>
    <row r="1485" spans="1:11" x14ac:dyDescent="0.3">
      <c r="A1485">
        <v>7112</v>
      </c>
      <c r="B1485" t="s">
        <v>36</v>
      </c>
      <c r="C1485" s="1">
        <v>45460</v>
      </c>
      <c r="D1485" t="s">
        <v>38</v>
      </c>
      <c r="E1485" t="s">
        <v>46</v>
      </c>
      <c r="F1485">
        <v>1</v>
      </c>
      <c r="G1485">
        <v>2.56</v>
      </c>
      <c r="H1485">
        <v>2.56</v>
      </c>
      <c r="I1485">
        <v>0</v>
      </c>
      <c r="J1485">
        <v>2.56</v>
      </c>
      <c r="K1485">
        <v>461</v>
      </c>
    </row>
    <row r="1486" spans="1:11" x14ac:dyDescent="0.3">
      <c r="A1486">
        <v>8520</v>
      </c>
      <c r="B1486" t="s">
        <v>26</v>
      </c>
      <c r="C1486" s="1">
        <v>45583</v>
      </c>
      <c r="D1486" t="s">
        <v>35</v>
      </c>
      <c r="E1486" t="s">
        <v>43</v>
      </c>
      <c r="F1486">
        <v>2</v>
      </c>
      <c r="G1486">
        <v>27.44</v>
      </c>
      <c r="H1486">
        <v>54.88</v>
      </c>
      <c r="I1486">
        <v>8.23</v>
      </c>
      <c r="J1486">
        <v>46.65</v>
      </c>
      <c r="K1486">
        <v>430</v>
      </c>
    </row>
    <row r="1487" spans="1:11" x14ac:dyDescent="0.3">
      <c r="A1487">
        <v>4984</v>
      </c>
      <c r="B1487" t="s">
        <v>14</v>
      </c>
      <c r="C1487" s="1">
        <v>45686</v>
      </c>
      <c r="D1487" t="s">
        <v>17</v>
      </c>
      <c r="E1487" t="s">
        <v>48</v>
      </c>
      <c r="F1487">
        <v>3</v>
      </c>
      <c r="G1487">
        <v>22.01</v>
      </c>
      <c r="H1487">
        <v>66.03</v>
      </c>
      <c r="I1487">
        <v>4.91</v>
      </c>
      <c r="J1487">
        <v>61.12</v>
      </c>
      <c r="K1487">
        <v>403</v>
      </c>
    </row>
    <row r="1488" spans="1:11" x14ac:dyDescent="0.3">
      <c r="A1488">
        <v>4700</v>
      </c>
      <c r="B1488" t="s">
        <v>26</v>
      </c>
      <c r="C1488" s="1">
        <v>45377</v>
      </c>
      <c r="D1488" t="s">
        <v>27</v>
      </c>
      <c r="E1488" t="s">
        <v>33</v>
      </c>
      <c r="F1488">
        <v>1</v>
      </c>
      <c r="G1488">
        <v>1.61</v>
      </c>
      <c r="H1488">
        <v>1.61</v>
      </c>
      <c r="I1488">
        <v>0.24</v>
      </c>
      <c r="J1488">
        <v>1.37</v>
      </c>
      <c r="K1488">
        <v>428</v>
      </c>
    </row>
    <row r="1489" spans="1:11" x14ac:dyDescent="0.3">
      <c r="A1489">
        <v>2320</v>
      </c>
      <c r="B1489" t="s">
        <v>30</v>
      </c>
      <c r="C1489" s="1">
        <v>45652</v>
      </c>
      <c r="D1489" t="s">
        <v>28</v>
      </c>
      <c r="E1489" t="s">
        <v>32</v>
      </c>
      <c r="F1489">
        <v>3</v>
      </c>
      <c r="G1489">
        <v>24.98</v>
      </c>
      <c r="H1489">
        <v>74.94</v>
      </c>
      <c r="I1489">
        <v>11.24</v>
      </c>
      <c r="J1489">
        <v>63.7</v>
      </c>
      <c r="K1489">
        <v>43</v>
      </c>
    </row>
    <row r="1490" spans="1:11" x14ac:dyDescent="0.3">
      <c r="A1490">
        <v>1519</v>
      </c>
      <c r="B1490" t="s">
        <v>24</v>
      </c>
      <c r="C1490" s="1">
        <v>45217</v>
      </c>
      <c r="D1490" t="s">
        <v>45</v>
      </c>
      <c r="E1490" t="s">
        <v>39</v>
      </c>
      <c r="F1490">
        <v>4</v>
      </c>
      <c r="G1490">
        <v>12.15</v>
      </c>
      <c r="H1490">
        <v>48.6</v>
      </c>
      <c r="I1490">
        <v>9.7200000000000006</v>
      </c>
      <c r="J1490">
        <v>38.880000000000003</v>
      </c>
      <c r="K1490">
        <v>22</v>
      </c>
    </row>
    <row r="1491" spans="1:11" x14ac:dyDescent="0.3">
      <c r="A1491">
        <v>7640</v>
      </c>
      <c r="B1491" t="s">
        <v>24</v>
      </c>
      <c r="C1491" s="1">
        <v>45439</v>
      </c>
      <c r="D1491" t="s">
        <v>34</v>
      </c>
      <c r="E1491" t="s">
        <v>16</v>
      </c>
      <c r="F1491">
        <v>5</v>
      </c>
      <c r="G1491">
        <v>2.5099999999999998</v>
      </c>
      <c r="H1491">
        <v>12.55</v>
      </c>
      <c r="I1491">
        <v>4.05</v>
      </c>
      <c r="J1491">
        <v>8.5</v>
      </c>
      <c r="K1491">
        <v>156</v>
      </c>
    </row>
    <row r="1492" spans="1:11" x14ac:dyDescent="0.3">
      <c r="A1492">
        <v>7179</v>
      </c>
      <c r="B1492" t="s">
        <v>31</v>
      </c>
      <c r="C1492" s="1">
        <v>45574</v>
      </c>
      <c r="D1492" t="s">
        <v>28</v>
      </c>
      <c r="E1492" t="s">
        <v>21</v>
      </c>
      <c r="F1492">
        <v>3</v>
      </c>
      <c r="G1492">
        <v>24.49</v>
      </c>
      <c r="H1492">
        <v>73.47</v>
      </c>
      <c r="I1492">
        <v>2.36</v>
      </c>
      <c r="J1492">
        <v>71.11</v>
      </c>
      <c r="K1492">
        <v>302</v>
      </c>
    </row>
    <row r="1493" spans="1:11" x14ac:dyDescent="0.3">
      <c r="A1493">
        <v>8798</v>
      </c>
      <c r="B1493" t="s">
        <v>24</v>
      </c>
      <c r="C1493" s="1">
        <v>45188</v>
      </c>
      <c r="D1493" t="s">
        <v>20</v>
      </c>
      <c r="E1493" t="s">
        <v>40</v>
      </c>
      <c r="F1493">
        <v>1</v>
      </c>
      <c r="G1493">
        <v>17.04</v>
      </c>
      <c r="H1493">
        <v>17.04</v>
      </c>
      <c r="I1493">
        <v>2.85</v>
      </c>
      <c r="J1493">
        <v>14.19</v>
      </c>
      <c r="K1493">
        <v>487</v>
      </c>
    </row>
    <row r="1494" spans="1:11" x14ac:dyDescent="0.3">
      <c r="A1494">
        <v>1154</v>
      </c>
      <c r="B1494" t="s">
        <v>14</v>
      </c>
      <c r="C1494" s="1">
        <v>45690</v>
      </c>
      <c r="D1494" t="s">
        <v>35</v>
      </c>
      <c r="E1494" t="s">
        <v>29</v>
      </c>
      <c r="F1494">
        <v>4</v>
      </c>
      <c r="G1494">
        <v>14.54</v>
      </c>
      <c r="H1494">
        <v>58.16</v>
      </c>
      <c r="I1494">
        <v>11.63</v>
      </c>
      <c r="J1494">
        <v>46.53</v>
      </c>
      <c r="K1494">
        <v>473</v>
      </c>
    </row>
    <row r="1495" spans="1:11" x14ac:dyDescent="0.3">
      <c r="A1495">
        <v>3807</v>
      </c>
      <c r="B1495" t="s">
        <v>31</v>
      </c>
      <c r="C1495" s="1">
        <v>45209</v>
      </c>
      <c r="D1495" t="s">
        <v>35</v>
      </c>
      <c r="E1495" t="s">
        <v>13</v>
      </c>
      <c r="F1495">
        <v>1</v>
      </c>
      <c r="G1495">
        <v>29.96</v>
      </c>
      <c r="H1495">
        <v>29.96</v>
      </c>
      <c r="I1495">
        <v>4.49</v>
      </c>
      <c r="J1495">
        <v>25.47</v>
      </c>
      <c r="K1495">
        <v>394</v>
      </c>
    </row>
    <row r="1496" spans="1:11" x14ac:dyDescent="0.3">
      <c r="A1496">
        <v>9189</v>
      </c>
      <c r="B1496" t="s">
        <v>24</v>
      </c>
      <c r="C1496" s="1">
        <v>45801</v>
      </c>
      <c r="D1496" t="s">
        <v>12</v>
      </c>
      <c r="E1496" t="s">
        <v>13</v>
      </c>
      <c r="F1496">
        <v>3</v>
      </c>
      <c r="G1496">
        <v>8.7799999999999994</v>
      </c>
      <c r="H1496">
        <v>26.34</v>
      </c>
      <c r="I1496">
        <v>2.23</v>
      </c>
      <c r="J1496">
        <v>24.11</v>
      </c>
      <c r="K1496">
        <v>128</v>
      </c>
    </row>
    <row r="1497" spans="1:11" x14ac:dyDescent="0.3">
      <c r="A1497">
        <v>8109</v>
      </c>
      <c r="B1497" t="s">
        <v>36</v>
      </c>
      <c r="C1497" s="1">
        <v>45645</v>
      </c>
      <c r="D1497" t="s">
        <v>35</v>
      </c>
      <c r="E1497" t="s">
        <v>29</v>
      </c>
      <c r="F1497">
        <v>4</v>
      </c>
      <c r="G1497">
        <v>14.41</v>
      </c>
      <c r="H1497">
        <v>57.64</v>
      </c>
      <c r="I1497">
        <v>5.76</v>
      </c>
      <c r="J1497">
        <v>51.88</v>
      </c>
      <c r="K1497">
        <v>225</v>
      </c>
    </row>
    <row r="1498" spans="1:11" x14ac:dyDescent="0.3">
      <c r="A1498">
        <v>6427</v>
      </c>
      <c r="B1498" t="s">
        <v>31</v>
      </c>
      <c r="C1498" s="1">
        <v>45584</v>
      </c>
      <c r="D1498" t="s">
        <v>22</v>
      </c>
      <c r="E1498" t="s">
        <v>47</v>
      </c>
      <c r="F1498">
        <v>5</v>
      </c>
      <c r="G1498">
        <v>7.31</v>
      </c>
      <c r="H1498">
        <v>36.549999999999997</v>
      </c>
      <c r="I1498">
        <v>5.48</v>
      </c>
      <c r="J1498">
        <v>31.07</v>
      </c>
      <c r="K1498">
        <v>29</v>
      </c>
    </row>
    <row r="1499" spans="1:11" x14ac:dyDescent="0.3">
      <c r="A1499">
        <v>2562</v>
      </c>
      <c r="B1499" t="s">
        <v>14</v>
      </c>
      <c r="C1499" s="1">
        <v>45840</v>
      </c>
      <c r="D1499" t="s">
        <v>22</v>
      </c>
      <c r="E1499" t="s">
        <v>43</v>
      </c>
      <c r="F1499">
        <v>4</v>
      </c>
      <c r="G1499">
        <v>6.2</v>
      </c>
      <c r="H1499">
        <v>24.8</v>
      </c>
      <c r="I1499">
        <v>3.72</v>
      </c>
      <c r="J1499">
        <v>21.08</v>
      </c>
      <c r="K1499">
        <v>392</v>
      </c>
    </row>
    <row r="1500" spans="1:11" x14ac:dyDescent="0.3">
      <c r="A1500">
        <v>9653</v>
      </c>
      <c r="B1500" t="s">
        <v>26</v>
      </c>
      <c r="C1500" s="1">
        <v>45858</v>
      </c>
      <c r="D1500" t="s">
        <v>34</v>
      </c>
      <c r="E1500" t="s">
        <v>25</v>
      </c>
      <c r="F1500">
        <v>2</v>
      </c>
      <c r="G1500">
        <v>5.25</v>
      </c>
      <c r="H1500">
        <v>10.5</v>
      </c>
      <c r="I1500">
        <v>2.1</v>
      </c>
      <c r="J1500">
        <v>8.4</v>
      </c>
      <c r="K1500">
        <v>316</v>
      </c>
    </row>
    <row r="1501" spans="1:11" x14ac:dyDescent="0.3">
      <c r="A1501">
        <v>1697</v>
      </c>
      <c r="B1501" t="s">
        <v>11</v>
      </c>
      <c r="C1501" s="1">
        <v>45323</v>
      </c>
      <c r="D1501" t="s">
        <v>27</v>
      </c>
      <c r="E1501" t="s">
        <v>40</v>
      </c>
      <c r="F1501">
        <v>2</v>
      </c>
      <c r="G1501">
        <v>20.84</v>
      </c>
      <c r="H1501">
        <v>41.68</v>
      </c>
      <c r="I1501">
        <v>2.27</v>
      </c>
      <c r="J1501">
        <v>39.409999999999997</v>
      </c>
      <c r="K1501">
        <v>440</v>
      </c>
    </row>
    <row r="1502" spans="1:11" x14ac:dyDescent="0.3">
      <c r="A1502">
        <v>4463</v>
      </c>
      <c r="B1502" t="s">
        <v>14</v>
      </c>
      <c r="C1502" s="1">
        <v>45845</v>
      </c>
      <c r="D1502" t="s">
        <v>17</v>
      </c>
      <c r="E1502" t="s">
        <v>40</v>
      </c>
      <c r="F1502">
        <v>3</v>
      </c>
      <c r="G1502">
        <v>29.27</v>
      </c>
      <c r="H1502">
        <v>87.81</v>
      </c>
      <c r="I1502">
        <v>3.87</v>
      </c>
      <c r="J1502">
        <v>83.94</v>
      </c>
      <c r="K1502">
        <v>8</v>
      </c>
    </row>
    <row r="1503" spans="1:11" x14ac:dyDescent="0.3">
      <c r="A1503">
        <v>8790</v>
      </c>
      <c r="B1503" t="s">
        <v>42</v>
      </c>
      <c r="C1503" s="1">
        <v>45355</v>
      </c>
      <c r="D1503" t="s">
        <v>22</v>
      </c>
      <c r="E1503" t="s">
        <v>48</v>
      </c>
      <c r="F1503">
        <v>1</v>
      </c>
      <c r="G1503">
        <v>15.69</v>
      </c>
      <c r="H1503">
        <v>15.69</v>
      </c>
      <c r="I1503">
        <v>3.14</v>
      </c>
      <c r="J1503">
        <v>12.55</v>
      </c>
      <c r="K1503">
        <v>57</v>
      </c>
    </row>
    <row r="1504" spans="1:11" x14ac:dyDescent="0.3">
      <c r="A1504">
        <v>1762</v>
      </c>
      <c r="B1504" t="s">
        <v>42</v>
      </c>
      <c r="C1504" s="1">
        <v>45862</v>
      </c>
      <c r="D1504" t="s">
        <v>22</v>
      </c>
      <c r="E1504" t="s">
        <v>23</v>
      </c>
      <c r="F1504">
        <v>4</v>
      </c>
      <c r="G1504">
        <v>3.06</v>
      </c>
      <c r="H1504">
        <v>12.24</v>
      </c>
      <c r="I1504">
        <v>2.4500000000000002</v>
      </c>
      <c r="J1504">
        <v>9.7899999999999991</v>
      </c>
      <c r="K1504">
        <v>218</v>
      </c>
    </row>
    <row r="1505" spans="1:11" x14ac:dyDescent="0.3">
      <c r="A1505">
        <v>2218</v>
      </c>
      <c r="B1505" t="s">
        <v>31</v>
      </c>
      <c r="C1505" s="1">
        <v>45676</v>
      </c>
      <c r="D1505" t="s">
        <v>22</v>
      </c>
      <c r="E1505" t="s">
        <v>23</v>
      </c>
      <c r="F1505">
        <v>3</v>
      </c>
      <c r="G1505">
        <v>29.27</v>
      </c>
      <c r="H1505">
        <v>87.81</v>
      </c>
      <c r="I1505">
        <v>8.7799999999999994</v>
      </c>
      <c r="J1505">
        <v>79.03</v>
      </c>
      <c r="K1505">
        <v>459</v>
      </c>
    </row>
    <row r="1506" spans="1:11" x14ac:dyDescent="0.3">
      <c r="A1506">
        <v>5593</v>
      </c>
      <c r="B1506" t="s">
        <v>30</v>
      </c>
      <c r="C1506" s="1">
        <v>45843</v>
      </c>
      <c r="D1506" t="s">
        <v>28</v>
      </c>
      <c r="E1506" t="s">
        <v>39</v>
      </c>
      <c r="F1506">
        <v>2</v>
      </c>
      <c r="G1506">
        <v>11.67</v>
      </c>
      <c r="H1506">
        <v>23.34</v>
      </c>
      <c r="I1506">
        <v>1.1000000000000001</v>
      </c>
      <c r="J1506">
        <v>22.24</v>
      </c>
      <c r="K1506">
        <v>148</v>
      </c>
    </row>
    <row r="1507" spans="1:11" x14ac:dyDescent="0.3">
      <c r="A1507">
        <v>9897</v>
      </c>
      <c r="B1507" t="s">
        <v>42</v>
      </c>
      <c r="C1507" s="1">
        <v>45582</v>
      </c>
      <c r="D1507" t="s">
        <v>22</v>
      </c>
      <c r="E1507" t="s">
        <v>46</v>
      </c>
      <c r="F1507">
        <v>5</v>
      </c>
      <c r="G1507">
        <v>23.71</v>
      </c>
      <c r="H1507">
        <v>118.55</v>
      </c>
      <c r="I1507">
        <v>23.71</v>
      </c>
      <c r="J1507">
        <v>94.84</v>
      </c>
      <c r="K1507">
        <v>364</v>
      </c>
    </row>
    <row r="1508" spans="1:11" x14ac:dyDescent="0.3">
      <c r="A1508">
        <v>1539</v>
      </c>
      <c r="B1508" t="s">
        <v>24</v>
      </c>
      <c r="C1508" s="1">
        <v>45284</v>
      </c>
      <c r="D1508" t="s">
        <v>28</v>
      </c>
      <c r="E1508" t="s">
        <v>40</v>
      </c>
      <c r="F1508">
        <v>2</v>
      </c>
      <c r="G1508">
        <v>12.04</v>
      </c>
      <c r="H1508">
        <v>24.08</v>
      </c>
      <c r="I1508">
        <v>4.83</v>
      </c>
      <c r="J1508">
        <v>19.25</v>
      </c>
      <c r="K1508">
        <v>332</v>
      </c>
    </row>
    <row r="1509" spans="1:11" x14ac:dyDescent="0.3">
      <c r="A1509">
        <v>6152</v>
      </c>
      <c r="B1509" t="s">
        <v>42</v>
      </c>
      <c r="C1509" s="1">
        <v>45157</v>
      </c>
      <c r="D1509" t="s">
        <v>28</v>
      </c>
      <c r="E1509" t="s">
        <v>46</v>
      </c>
      <c r="F1509">
        <v>5</v>
      </c>
      <c r="G1509">
        <v>19.27</v>
      </c>
      <c r="H1509">
        <v>96.35</v>
      </c>
      <c r="I1509">
        <v>3.93</v>
      </c>
      <c r="J1509">
        <v>92.42</v>
      </c>
      <c r="K1509">
        <v>375</v>
      </c>
    </row>
    <row r="1510" spans="1:11" x14ac:dyDescent="0.3">
      <c r="A1510">
        <v>4394</v>
      </c>
      <c r="B1510" t="s">
        <v>14</v>
      </c>
      <c r="C1510" s="1">
        <v>45600</v>
      </c>
      <c r="D1510" t="s">
        <v>12</v>
      </c>
      <c r="E1510" t="s">
        <v>47</v>
      </c>
      <c r="F1510">
        <v>5</v>
      </c>
      <c r="G1510">
        <v>16.079999999999998</v>
      </c>
      <c r="H1510">
        <v>80.400000000000006</v>
      </c>
      <c r="I1510">
        <v>16.079999999999998</v>
      </c>
      <c r="J1510">
        <v>64.319999999999993</v>
      </c>
      <c r="K1510">
        <v>162</v>
      </c>
    </row>
    <row r="1511" spans="1:11" x14ac:dyDescent="0.3">
      <c r="A1511">
        <v>3362</v>
      </c>
      <c r="B1511" t="s">
        <v>30</v>
      </c>
      <c r="C1511" s="1">
        <v>45729</v>
      </c>
      <c r="D1511" t="s">
        <v>17</v>
      </c>
      <c r="E1511" t="s">
        <v>21</v>
      </c>
      <c r="F1511">
        <v>2</v>
      </c>
      <c r="G1511">
        <v>24.16</v>
      </c>
      <c r="H1511">
        <v>48.32</v>
      </c>
      <c r="I1511">
        <v>9.66</v>
      </c>
      <c r="J1511">
        <v>38.659999999999997</v>
      </c>
      <c r="K1511">
        <v>500</v>
      </c>
    </row>
    <row r="1512" spans="1:11" x14ac:dyDescent="0.3">
      <c r="A1512">
        <v>7525</v>
      </c>
      <c r="B1512" t="s">
        <v>26</v>
      </c>
      <c r="C1512" s="1">
        <v>45866</v>
      </c>
      <c r="D1512" t="s">
        <v>22</v>
      </c>
      <c r="E1512" t="s">
        <v>48</v>
      </c>
      <c r="F1512">
        <v>2</v>
      </c>
      <c r="G1512">
        <v>13.9</v>
      </c>
      <c r="H1512">
        <v>27.8</v>
      </c>
      <c r="I1512">
        <v>4.17</v>
      </c>
      <c r="J1512">
        <v>23.63</v>
      </c>
      <c r="K1512">
        <v>490</v>
      </c>
    </row>
    <row r="1513" spans="1:11" x14ac:dyDescent="0.3">
      <c r="A1513">
        <v>2260</v>
      </c>
      <c r="B1513" t="s">
        <v>11</v>
      </c>
      <c r="C1513" s="1">
        <v>45377</v>
      </c>
      <c r="D1513" t="s">
        <v>22</v>
      </c>
      <c r="E1513" t="s">
        <v>18</v>
      </c>
      <c r="F1513">
        <v>5</v>
      </c>
      <c r="G1513">
        <v>3.21</v>
      </c>
      <c r="H1513">
        <v>16.05</v>
      </c>
      <c r="I1513">
        <v>1.92</v>
      </c>
      <c r="J1513">
        <v>14.13</v>
      </c>
      <c r="K1513">
        <v>185</v>
      </c>
    </row>
    <row r="1514" spans="1:11" x14ac:dyDescent="0.3">
      <c r="A1514">
        <v>3661</v>
      </c>
      <c r="B1514" t="s">
        <v>24</v>
      </c>
      <c r="C1514" s="1">
        <v>45583</v>
      </c>
      <c r="D1514" t="s">
        <v>17</v>
      </c>
      <c r="E1514" t="s">
        <v>41</v>
      </c>
      <c r="F1514">
        <v>5</v>
      </c>
      <c r="G1514">
        <v>8.09</v>
      </c>
      <c r="H1514">
        <v>40.450000000000003</v>
      </c>
      <c r="I1514">
        <v>0</v>
      </c>
      <c r="J1514">
        <v>40.450000000000003</v>
      </c>
      <c r="K1514">
        <v>465</v>
      </c>
    </row>
    <row r="1515" spans="1:11" x14ac:dyDescent="0.3">
      <c r="A1515">
        <v>4939</v>
      </c>
      <c r="B1515" t="s">
        <v>19</v>
      </c>
      <c r="C1515" s="1">
        <v>45585</v>
      </c>
      <c r="D1515" t="s">
        <v>28</v>
      </c>
      <c r="E1515" t="s">
        <v>13</v>
      </c>
      <c r="F1515">
        <v>3</v>
      </c>
      <c r="G1515">
        <v>10.9</v>
      </c>
      <c r="H1515">
        <v>32.700000000000003</v>
      </c>
      <c r="I1515">
        <v>3.27</v>
      </c>
      <c r="J1515">
        <v>29.43</v>
      </c>
      <c r="K1515">
        <v>60</v>
      </c>
    </row>
    <row r="1516" spans="1:11" x14ac:dyDescent="0.3">
      <c r="A1516">
        <v>7375</v>
      </c>
      <c r="B1516" t="s">
        <v>24</v>
      </c>
      <c r="C1516" s="1">
        <v>45670</v>
      </c>
      <c r="D1516" t="s">
        <v>38</v>
      </c>
      <c r="E1516" t="s">
        <v>41</v>
      </c>
      <c r="F1516">
        <v>5</v>
      </c>
      <c r="G1516">
        <v>15.32</v>
      </c>
      <c r="H1516">
        <v>76.599999999999994</v>
      </c>
      <c r="I1516">
        <v>15.32</v>
      </c>
      <c r="J1516">
        <v>61.28</v>
      </c>
      <c r="K1516">
        <v>451</v>
      </c>
    </row>
    <row r="1517" spans="1:11" x14ac:dyDescent="0.3">
      <c r="A1517">
        <v>9856</v>
      </c>
      <c r="B1517" t="s">
        <v>26</v>
      </c>
      <c r="C1517" s="1">
        <v>45402</v>
      </c>
      <c r="D1517" t="s">
        <v>12</v>
      </c>
      <c r="E1517" t="s">
        <v>29</v>
      </c>
      <c r="F1517">
        <v>1</v>
      </c>
      <c r="G1517">
        <v>13.13</v>
      </c>
      <c r="H1517">
        <v>13.13</v>
      </c>
      <c r="I1517">
        <v>0</v>
      </c>
      <c r="J1517">
        <v>13.13</v>
      </c>
      <c r="K1517">
        <v>391</v>
      </c>
    </row>
    <row r="1518" spans="1:11" x14ac:dyDescent="0.3">
      <c r="A1518">
        <v>7288</v>
      </c>
      <c r="B1518" t="s">
        <v>11</v>
      </c>
      <c r="C1518" s="1">
        <v>45731</v>
      </c>
      <c r="D1518" t="s">
        <v>34</v>
      </c>
      <c r="E1518" t="s">
        <v>40</v>
      </c>
      <c r="F1518">
        <v>4</v>
      </c>
      <c r="G1518">
        <v>1.68</v>
      </c>
      <c r="H1518">
        <v>6.72</v>
      </c>
      <c r="I1518">
        <v>1.34</v>
      </c>
      <c r="J1518">
        <v>5.38</v>
      </c>
      <c r="K1518">
        <v>85</v>
      </c>
    </row>
    <row r="1519" spans="1:11" x14ac:dyDescent="0.3">
      <c r="A1519">
        <v>3292</v>
      </c>
      <c r="B1519" t="s">
        <v>14</v>
      </c>
      <c r="C1519" s="1">
        <v>45758</v>
      </c>
      <c r="D1519" t="s">
        <v>38</v>
      </c>
      <c r="E1519" t="s">
        <v>32</v>
      </c>
      <c r="F1519">
        <v>4</v>
      </c>
      <c r="G1519">
        <v>11.27</v>
      </c>
      <c r="H1519">
        <v>45.08</v>
      </c>
      <c r="I1519">
        <v>0</v>
      </c>
      <c r="J1519">
        <v>45.08</v>
      </c>
      <c r="K1519">
        <v>205</v>
      </c>
    </row>
    <row r="1520" spans="1:11" x14ac:dyDescent="0.3">
      <c r="A1520">
        <v>2284</v>
      </c>
      <c r="B1520" t="s">
        <v>30</v>
      </c>
      <c r="C1520" s="1">
        <v>45533</v>
      </c>
      <c r="D1520" t="s">
        <v>15</v>
      </c>
      <c r="E1520" t="s">
        <v>21</v>
      </c>
      <c r="F1520">
        <v>3</v>
      </c>
      <c r="G1520">
        <v>18.14</v>
      </c>
      <c r="H1520">
        <v>54.42</v>
      </c>
      <c r="I1520">
        <v>0</v>
      </c>
      <c r="J1520">
        <v>54.42</v>
      </c>
      <c r="K1520">
        <v>315</v>
      </c>
    </row>
    <row r="1521" spans="1:11" x14ac:dyDescent="0.3">
      <c r="A1521">
        <v>6666</v>
      </c>
      <c r="B1521" t="s">
        <v>31</v>
      </c>
      <c r="C1521" s="1">
        <v>45186</v>
      </c>
      <c r="D1521" t="s">
        <v>15</v>
      </c>
      <c r="E1521" t="s">
        <v>23</v>
      </c>
      <c r="F1521">
        <v>4</v>
      </c>
      <c r="G1521">
        <v>27.4</v>
      </c>
      <c r="H1521">
        <v>109.6</v>
      </c>
      <c r="I1521">
        <v>0</v>
      </c>
      <c r="J1521">
        <v>109.6</v>
      </c>
      <c r="K1521">
        <v>322</v>
      </c>
    </row>
    <row r="1522" spans="1:11" x14ac:dyDescent="0.3">
      <c r="A1522">
        <v>2600</v>
      </c>
      <c r="B1522" t="s">
        <v>24</v>
      </c>
      <c r="C1522" s="1">
        <v>45484</v>
      </c>
      <c r="D1522" t="s">
        <v>35</v>
      </c>
      <c r="E1522" t="s">
        <v>47</v>
      </c>
      <c r="F1522">
        <v>2</v>
      </c>
      <c r="G1522">
        <v>22.26</v>
      </c>
      <c r="H1522">
        <v>44.52</v>
      </c>
      <c r="I1522">
        <v>8.9</v>
      </c>
      <c r="J1522">
        <v>35.619999999999997</v>
      </c>
      <c r="K1522">
        <v>370</v>
      </c>
    </row>
    <row r="1523" spans="1:11" x14ac:dyDescent="0.3">
      <c r="A1523">
        <v>4803</v>
      </c>
      <c r="B1523" t="s">
        <v>31</v>
      </c>
      <c r="C1523" s="1">
        <v>45796</v>
      </c>
      <c r="D1523" t="s">
        <v>28</v>
      </c>
      <c r="E1523" t="s">
        <v>23</v>
      </c>
      <c r="F1523">
        <v>4</v>
      </c>
      <c r="G1523">
        <v>11.99</v>
      </c>
      <c r="H1523">
        <v>47.96</v>
      </c>
      <c r="I1523">
        <v>3.89</v>
      </c>
      <c r="J1523">
        <v>44.07</v>
      </c>
      <c r="K1523">
        <v>224</v>
      </c>
    </row>
    <row r="1524" spans="1:11" x14ac:dyDescent="0.3">
      <c r="A1524">
        <v>2245</v>
      </c>
      <c r="B1524" t="s">
        <v>30</v>
      </c>
      <c r="C1524" s="1">
        <v>45409</v>
      </c>
      <c r="D1524" t="s">
        <v>15</v>
      </c>
      <c r="E1524" t="s">
        <v>25</v>
      </c>
      <c r="F1524">
        <v>3</v>
      </c>
      <c r="G1524">
        <v>15.3</v>
      </c>
      <c r="H1524">
        <v>45.9</v>
      </c>
      <c r="I1524">
        <v>6.88</v>
      </c>
      <c r="J1524">
        <v>39.020000000000003</v>
      </c>
      <c r="K1524">
        <v>24</v>
      </c>
    </row>
    <row r="1525" spans="1:11" x14ac:dyDescent="0.3">
      <c r="A1525">
        <v>7499</v>
      </c>
      <c r="B1525" t="s">
        <v>36</v>
      </c>
      <c r="C1525" s="1">
        <v>45745</v>
      </c>
      <c r="D1525" t="s">
        <v>20</v>
      </c>
      <c r="E1525" t="s">
        <v>21</v>
      </c>
      <c r="F1525">
        <v>2</v>
      </c>
      <c r="G1525">
        <v>28.64</v>
      </c>
      <c r="H1525">
        <v>57.28</v>
      </c>
      <c r="I1525">
        <v>5.73</v>
      </c>
      <c r="J1525">
        <v>51.55</v>
      </c>
      <c r="K1525">
        <v>21</v>
      </c>
    </row>
    <row r="1526" spans="1:11" x14ac:dyDescent="0.3">
      <c r="A1526">
        <v>6347</v>
      </c>
      <c r="B1526" t="s">
        <v>14</v>
      </c>
      <c r="C1526" s="1">
        <v>45168</v>
      </c>
      <c r="D1526" t="s">
        <v>35</v>
      </c>
      <c r="E1526" t="s">
        <v>21</v>
      </c>
      <c r="F1526">
        <v>1</v>
      </c>
      <c r="G1526">
        <v>11.06</v>
      </c>
      <c r="H1526">
        <v>11.06</v>
      </c>
      <c r="I1526">
        <v>1.66</v>
      </c>
      <c r="J1526">
        <v>9.4</v>
      </c>
      <c r="K1526">
        <v>84</v>
      </c>
    </row>
    <row r="1527" spans="1:11" x14ac:dyDescent="0.3">
      <c r="A1527">
        <v>5478</v>
      </c>
      <c r="B1527" t="s">
        <v>30</v>
      </c>
      <c r="C1527" s="1">
        <v>45753</v>
      </c>
      <c r="D1527" t="s">
        <v>45</v>
      </c>
      <c r="E1527" t="s">
        <v>33</v>
      </c>
      <c r="F1527">
        <v>2</v>
      </c>
      <c r="G1527">
        <v>26.67</v>
      </c>
      <c r="H1527">
        <v>53.34</v>
      </c>
      <c r="I1527">
        <v>4.01</v>
      </c>
      <c r="J1527">
        <v>49.33</v>
      </c>
      <c r="K1527">
        <v>147</v>
      </c>
    </row>
    <row r="1528" spans="1:11" x14ac:dyDescent="0.3">
      <c r="A1528">
        <v>8381</v>
      </c>
      <c r="B1528" t="s">
        <v>42</v>
      </c>
      <c r="C1528" s="1">
        <v>45526</v>
      </c>
      <c r="D1528" t="s">
        <v>27</v>
      </c>
      <c r="E1528" t="s">
        <v>13</v>
      </c>
      <c r="F1528">
        <v>2</v>
      </c>
      <c r="G1528">
        <v>3.77</v>
      </c>
      <c r="H1528">
        <v>7.54</v>
      </c>
      <c r="I1528">
        <v>3.39</v>
      </c>
      <c r="J1528">
        <v>4.1500000000000004</v>
      </c>
      <c r="K1528">
        <v>282</v>
      </c>
    </row>
    <row r="1529" spans="1:11" x14ac:dyDescent="0.3">
      <c r="A1529">
        <v>4737</v>
      </c>
      <c r="B1529" t="s">
        <v>31</v>
      </c>
      <c r="C1529" s="1">
        <v>45421</v>
      </c>
      <c r="D1529" t="s">
        <v>38</v>
      </c>
      <c r="E1529" t="s">
        <v>18</v>
      </c>
      <c r="F1529">
        <v>2</v>
      </c>
      <c r="G1529">
        <v>1.18</v>
      </c>
      <c r="H1529">
        <v>2.36</v>
      </c>
      <c r="I1529">
        <v>0.35</v>
      </c>
      <c r="J1529">
        <v>2.0099999999999998</v>
      </c>
      <c r="K1529">
        <v>426</v>
      </c>
    </row>
    <row r="1530" spans="1:11" x14ac:dyDescent="0.3">
      <c r="A1530">
        <v>7150</v>
      </c>
      <c r="B1530" t="s">
        <v>42</v>
      </c>
      <c r="C1530" s="1">
        <v>45480</v>
      </c>
      <c r="D1530" t="s">
        <v>35</v>
      </c>
      <c r="E1530" t="s">
        <v>16</v>
      </c>
      <c r="F1530">
        <v>4</v>
      </c>
      <c r="G1530">
        <v>16.100000000000001</v>
      </c>
      <c r="H1530">
        <v>64.400000000000006</v>
      </c>
      <c r="I1530">
        <v>9.66</v>
      </c>
      <c r="J1530">
        <v>54.74</v>
      </c>
      <c r="K1530">
        <v>425</v>
      </c>
    </row>
    <row r="1531" spans="1:11" x14ac:dyDescent="0.3">
      <c r="A1531">
        <v>4043</v>
      </c>
      <c r="B1531" t="s">
        <v>11</v>
      </c>
      <c r="C1531" s="1">
        <v>45672</v>
      </c>
      <c r="D1531" t="s">
        <v>15</v>
      </c>
      <c r="E1531" t="s">
        <v>33</v>
      </c>
      <c r="F1531">
        <v>4</v>
      </c>
      <c r="G1531">
        <v>15.29</v>
      </c>
      <c r="H1531">
        <v>61.16</v>
      </c>
      <c r="I1531">
        <v>9.17</v>
      </c>
      <c r="J1531">
        <v>51.99</v>
      </c>
      <c r="K1531">
        <v>44</v>
      </c>
    </row>
    <row r="1532" spans="1:11" x14ac:dyDescent="0.3">
      <c r="A1532">
        <v>7227</v>
      </c>
      <c r="B1532" t="s">
        <v>11</v>
      </c>
      <c r="C1532" s="1">
        <v>45211</v>
      </c>
      <c r="D1532" t="s">
        <v>22</v>
      </c>
      <c r="E1532" t="s">
        <v>43</v>
      </c>
      <c r="F1532">
        <v>2</v>
      </c>
      <c r="G1532">
        <v>22.08</v>
      </c>
      <c r="H1532">
        <v>44.16</v>
      </c>
      <c r="I1532">
        <v>2.34</v>
      </c>
      <c r="J1532">
        <v>41.82</v>
      </c>
      <c r="K1532">
        <v>167</v>
      </c>
    </row>
    <row r="1533" spans="1:11" x14ac:dyDescent="0.3">
      <c r="A1533">
        <v>5839</v>
      </c>
      <c r="B1533" t="s">
        <v>26</v>
      </c>
      <c r="C1533" s="1">
        <v>45764</v>
      </c>
      <c r="D1533" t="s">
        <v>27</v>
      </c>
      <c r="E1533" t="s">
        <v>46</v>
      </c>
      <c r="F1533">
        <v>1</v>
      </c>
      <c r="G1533">
        <v>21.49</v>
      </c>
      <c r="H1533">
        <v>21.49</v>
      </c>
      <c r="I1533">
        <v>2.15</v>
      </c>
      <c r="J1533">
        <v>19.34</v>
      </c>
      <c r="K1533">
        <v>161</v>
      </c>
    </row>
    <row r="1534" spans="1:11" x14ac:dyDescent="0.3">
      <c r="A1534">
        <v>5037</v>
      </c>
      <c r="B1534" t="s">
        <v>11</v>
      </c>
      <c r="C1534" s="1">
        <v>45698</v>
      </c>
      <c r="D1534" t="s">
        <v>38</v>
      </c>
      <c r="E1534" t="s">
        <v>21</v>
      </c>
      <c r="F1534">
        <v>2</v>
      </c>
      <c r="G1534">
        <v>25.39</v>
      </c>
      <c r="H1534">
        <v>50.78</v>
      </c>
      <c r="I1534">
        <v>0</v>
      </c>
      <c r="J1534">
        <v>50.78</v>
      </c>
      <c r="K1534">
        <v>338</v>
      </c>
    </row>
    <row r="1535" spans="1:11" x14ac:dyDescent="0.3">
      <c r="A1535">
        <v>2204</v>
      </c>
      <c r="B1535" t="s">
        <v>31</v>
      </c>
      <c r="C1535" s="1">
        <v>45208</v>
      </c>
      <c r="D1535" t="s">
        <v>17</v>
      </c>
      <c r="E1535" t="s">
        <v>41</v>
      </c>
      <c r="F1535">
        <v>5</v>
      </c>
      <c r="G1535">
        <v>11.9</v>
      </c>
      <c r="H1535">
        <v>59.5</v>
      </c>
      <c r="I1535">
        <v>0</v>
      </c>
      <c r="J1535">
        <v>59.5</v>
      </c>
      <c r="K1535">
        <v>482</v>
      </c>
    </row>
    <row r="1536" spans="1:11" x14ac:dyDescent="0.3">
      <c r="A1536">
        <v>5390</v>
      </c>
      <c r="B1536" t="s">
        <v>42</v>
      </c>
      <c r="C1536" s="1">
        <v>45264</v>
      </c>
      <c r="D1536" t="s">
        <v>35</v>
      </c>
      <c r="E1536" t="s">
        <v>47</v>
      </c>
      <c r="F1536">
        <v>2</v>
      </c>
      <c r="G1536">
        <v>15.04</v>
      </c>
      <c r="H1536">
        <v>30.08</v>
      </c>
      <c r="I1536">
        <v>4.51</v>
      </c>
      <c r="J1536">
        <v>25.57</v>
      </c>
      <c r="K1536">
        <v>95</v>
      </c>
    </row>
    <row r="1537" spans="1:11" x14ac:dyDescent="0.3">
      <c r="A1537">
        <v>7225</v>
      </c>
      <c r="B1537" t="s">
        <v>19</v>
      </c>
      <c r="C1537" s="1">
        <v>45697</v>
      </c>
      <c r="D1537" t="s">
        <v>17</v>
      </c>
      <c r="E1537" t="s">
        <v>43</v>
      </c>
      <c r="F1537">
        <v>5</v>
      </c>
      <c r="G1537">
        <v>25.85</v>
      </c>
      <c r="H1537">
        <v>129.25</v>
      </c>
      <c r="I1537">
        <v>2.74</v>
      </c>
      <c r="J1537">
        <v>126.51</v>
      </c>
      <c r="K1537">
        <v>383</v>
      </c>
    </row>
    <row r="1538" spans="1:11" x14ac:dyDescent="0.3">
      <c r="A1538">
        <v>3527</v>
      </c>
      <c r="B1538" t="s">
        <v>26</v>
      </c>
      <c r="C1538" s="1">
        <v>45719</v>
      </c>
      <c r="D1538" t="s">
        <v>38</v>
      </c>
      <c r="E1538" t="s">
        <v>44</v>
      </c>
      <c r="F1538">
        <v>2</v>
      </c>
      <c r="G1538">
        <v>2.12</v>
      </c>
      <c r="H1538">
        <v>4.24</v>
      </c>
      <c r="I1538">
        <v>2.52</v>
      </c>
      <c r="J1538">
        <v>1.72</v>
      </c>
      <c r="K1538">
        <v>352</v>
      </c>
    </row>
    <row r="1539" spans="1:11" x14ac:dyDescent="0.3">
      <c r="A1539">
        <v>7383</v>
      </c>
      <c r="B1539" t="s">
        <v>42</v>
      </c>
      <c r="C1539" s="1">
        <v>45390</v>
      </c>
      <c r="D1539" t="s">
        <v>27</v>
      </c>
      <c r="E1539" t="s">
        <v>23</v>
      </c>
      <c r="F1539">
        <v>4</v>
      </c>
      <c r="G1539">
        <v>16.37</v>
      </c>
      <c r="H1539">
        <v>65.48</v>
      </c>
      <c r="I1539">
        <v>9.82</v>
      </c>
      <c r="J1539">
        <v>55.66</v>
      </c>
      <c r="K1539">
        <v>488</v>
      </c>
    </row>
    <row r="1540" spans="1:11" x14ac:dyDescent="0.3">
      <c r="A1540">
        <v>6909</v>
      </c>
      <c r="B1540" t="s">
        <v>42</v>
      </c>
      <c r="C1540" s="1">
        <v>45227</v>
      </c>
      <c r="D1540" t="s">
        <v>35</v>
      </c>
      <c r="E1540" t="s">
        <v>47</v>
      </c>
      <c r="F1540">
        <v>4</v>
      </c>
      <c r="G1540">
        <v>24.1</v>
      </c>
      <c r="H1540">
        <v>96.4</v>
      </c>
      <c r="I1540">
        <v>2.92</v>
      </c>
      <c r="J1540">
        <v>93.48</v>
      </c>
      <c r="K1540">
        <v>200</v>
      </c>
    </row>
    <row r="1541" spans="1:11" x14ac:dyDescent="0.3">
      <c r="A1541">
        <v>2499</v>
      </c>
      <c r="B1541" t="s">
        <v>11</v>
      </c>
      <c r="C1541" s="1">
        <v>45149</v>
      </c>
      <c r="D1541" t="s">
        <v>17</v>
      </c>
      <c r="E1541" t="s">
        <v>48</v>
      </c>
      <c r="F1541">
        <v>3</v>
      </c>
      <c r="G1541">
        <v>13.16</v>
      </c>
      <c r="H1541">
        <v>39.479999999999997</v>
      </c>
      <c r="I1541">
        <v>7.9</v>
      </c>
      <c r="J1541">
        <v>31.58</v>
      </c>
      <c r="K1541">
        <v>228</v>
      </c>
    </row>
    <row r="1542" spans="1:11" x14ac:dyDescent="0.3">
      <c r="A1542">
        <v>6050</v>
      </c>
      <c r="B1542" t="s">
        <v>24</v>
      </c>
      <c r="C1542" s="1">
        <v>45490</v>
      </c>
      <c r="D1542" t="s">
        <v>15</v>
      </c>
      <c r="E1542" t="s">
        <v>29</v>
      </c>
      <c r="F1542">
        <v>4</v>
      </c>
      <c r="G1542">
        <v>28.72</v>
      </c>
      <c r="H1542">
        <v>114.88</v>
      </c>
      <c r="I1542">
        <v>17.23</v>
      </c>
      <c r="J1542">
        <v>97.65</v>
      </c>
      <c r="K1542">
        <v>338</v>
      </c>
    </row>
    <row r="1543" spans="1:11" x14ac:dyDescent="0.3">
      <c r="A1543">
        <v>6896</v>
      </c>
      <c r="B1543" t="s">
        <v>24</v>
      </c>
      <c r="C1543" s="1">
        <v>45736</v>
      </c>
      <c r="D1543" t="s">
        <v>34</v>
      </c>
      <c r="E1543" t="s">
        <v>47</v>
      </c>
      <c r="F1543">
        <v>4</v>
      </c>
      <c r="G1543">
        <v>18.420000000000002</v>
      </c>
      <c r="H1543">
        <v>73.680000000000007</v>
      </c>
      <c r="I1543">
        <v>2.16</v>
      </c>
      <c r="J1543">
        <v>71.52</v>
      </c>
      <c r="K1543">
        <v>351</v>
      </c>
    </row>
    <row r="1544" spans="1:11" x14ac:dyDescent="0.3">
      <c r="A1544">
        <v>5419</v>
      </c>
      <c r="B1544" t="s">
        <v>14</v>
      </c>
      <c r="C1544" s="1">
        <v>45224</v>
      </c>
      <c r="D1544" t="s">
        <v>17</v>
      </c>
      <c r="E1544" t="s">
        <v>16</v>
      </c>
      <c r="F1544">
        <v>1</v>
      </c>
      <c r="G1544">
        <v>17.3</v>
      </c>
      <c r="H1544">
        <v>17.3</v>
      </c>
      <c r="I1544">
        <v>0</v>
      </c>
      <c r="J1544">
        <v>17.3</v>
      </c>
      <c r="K1544">
        <v>165</v>
      </c>
    </row>
    <row r="1545" spans="1:11" x14ac:dyDescent="0.3">
      <c r="A1545">
        <v>3170</v>
      </c>
      <c r="B1545" t="s">
        <v>36</v>
      </c>
      <c r="C1545" s="1">
        <v>45212</v>
      </c>
      <c r="D1545" t="s">
        <v>20</v>
      </c>
      <c r="E1545" t="s">
        <v>32</v>
      </c>
      <c r="F1545">
        <v>4</v>
      </c>
      <c r="G1545">
        <v>13.32</v>
      </c>
      <c r="H1545">
        <v>53.28</v>
      </c>
      <c r="I1545">
        <v>7.99</v>
      </c>
      <c r="J1545">
        <v>45.29</v>
      </c>
      <c r="K1545">
        <v>133</v>
      </c>
    </row>
    <row r="1546" spans="1:11" x14ac:dyDescent="0.3">
      <c r="A1546">
        <v>4070</v>
      </c>
      <c r="B1546" t="s">
        <v>26</v>
      </c>
      <c r="C1546" s="1">
        <v>45479</v>
      </c>
      <c r="D1546" t="s">
        <v>17</v>
      </c>
      <c r="E1546" t="s">
        <v>21</v>
      </c>
      <c r="F1546">
        <v>1</v>
      </c>
      <c r="G1546">
        <v>9.94</v>
      </c>
      <c r="H1546">
        <v>9.94</v>
      </c>
      <c r="I1546">
        <v>4.5</v>
      </c>
      <c r="J1546">
        <v>5.44</v>
      </c>
      <c r="K1546">
        <v>209</v>
      </c>
    </row>
    <row r="1547" spans="1:11" x14ac:dyDescent="0.3">
      <c r="A1547">
        <v>8353</v>
      </c>
      <c r="B1547" t="s">
        <v>14</v>
      </c>
      <c r="C1547" s="1">
        <v>45577</v>
      </c>
      <c r="D1547" t="s">
        <v>17</v>
      </c>
      <c r="E1547" t="s">
        <v>48</v>
      </c>
      <c r="F1547">
        <v>5</v>
      </c>
      <c r="G1547">
        <v>18.7</v>
      </c>
      <c r="H1547">
        <v>93.5</v>
      </c>
      <c r="I1547">
        <v>0</v>
      </c>
      <c r="J1547">
        <v>93.5</v>
      </c>
      <c r="K1547">
        <v>66</v>
      </c>
    </row>
    <row r="1548" spans="1:11" x14ac:dyDescent="0.3">
      <c r="A1548">
        <v>9395</v>
      </c>
      <c r="B1548" t="s">
        <v>31</v>
      </c>
      <c r="C1548" s="1">
        <v>45461</v>
      </c>
      <c r="D1548" t="s">
        <v>20</v>
      </c>
      <c r="E1548" t="s">
        <v>43</v>
      </c>
      <c r="F1548">
        <v>3</v>
      </c>
      <c r="G1548">
        <v>27.44</v>
      </c>
      <c r="H1548">
        <v>82.32</v>
      </c>
      <c r="I1548">
        <v>0</v>
      </c>
      <c r="J1548">
        <v>82.32</v>
      </c>
      <c r="K1548">
        <v>392</v>
      </c>
    </row>
    <row r="1549" spans="1:11" x14ac:dyDescent="0.3">
      <c r="A1549">
        <v>2692</v>
      </c>
      <c r="B1549" t="s">
        <v>31</v>
      </c>
      <c r="C1549" s="1">
        <v>45165</v>
      </c>
      <c r="D1549" t="s">
        <v>38</v>
      </c>
      <c r="E1549" t="s">
        <v>44</v>
      </c>
      <c r="F1549">
        <v>3</v>
      </c>
      <c r="G1549">
        <v>16.52</v>
      </c>
      <c r="H1549">
        <v>49.56</v>
      </c>
      <c r="I1549">
        <v>0</v>
      </c>
      <c r="J1549">
        <v>49.56</v>
      </c>
      <c r="K1549">
        <v>80</v>
      </c>
    </row>
    <row r="1550" spans="1:11" x14ac:dyDescent="0.3">
      <c r="A1550">
        <v>2468</v>
      </c>
      <c r="B1550" t="s">
        <v>42</v>
      </c>
      <c r="C1550" s="1">
        <v>45419</v>
      </c>
      <c r="D1550" t="s">
        <v>35</v>
      </c>
      <c r="E1550" t="s">
        <v>29</v>
      </c>
      <c r="F1550">
        <v>3</v>
      </c>
      <c r="G1550">
        <v>10.6</v>
      </c>
      <c r="H1550">
        <v>31.8</v>
      </c>
      <c r="I1550">
        <v>1.1399999999999999</v>
      </c>
      <c r="J1550">
        <v>30.66</v>
      </c>
      <c r="K1550">
        <v>110</v>
      </c>
    </row>
    <row r="1551" spans="1:11" x14ac:dyDescent="0.3">
      <c r="A1551">
        <v>2524</v>
      </c>
      <c r="B1551" t="s">
        <v>31</v>
      </c>
      <c r="C1551" s="1">
        <v>45608</v>
      </c>
      <c r="D1551" t="s">
        <v>38</v>
      </c>
      <c r="E1551" t="s">
        <v>48</v>
      </c>
      <c r="F1551">
        <v>5</v>
      </c>
      <c r="G1551">
        <v>12.53</v>
      </c>
      <c r="H1551">
        <v>62.65</v>
      </c>
      <c r="I1551">
        <v>12.53</v>
      </c>
      <c r="J1551">
        <v>50.12</v>
      </c>
      <c r="K1551">
        <v>248</v>
      </c>
    </row>
    <row r="1552" spans="1:11" x14ac:dyDescent="0.3">
      <c r="A1552">
        <v>6315</v>
      </c>
      <c r="B1552" t="s">
        <v>30</v>
      </c>
      <c r="C1552" s="1">
        <v>45815</v>
      </c>
      <c r="D1552" t="s">
        <v>35</v>
      </c>
      <c r="E1552" t="s">
        <v>39</v>
      </c>
      <c r="F1552">
        <v>2</v>
      </c>
      <c r="G1552">
        <v>19.309999999999999</v>
      </c>
      <c r="H1552">
        <v>38.619999999999997</v>
      </c>
      <c r="I1552">
        <v>2.09</v>
      </c>
      <c r="J1552">
        <v>36.53</v>
      </c>
      <c r="K1552">
        <v>352</v>
      </c>
    </row>
    <row r="1553" spans="1:11" x14ac:dyDescent="0.3">
      <c r="A1553">
        <v>7311</v>
      </c>
      <c r="B1553" t="s">
        <v>11</v>
      </c>
      <c r="C1553" s="1">
        <v>45154</v>
      </c>
      <c r="D1553" t="s">
        <v>20</v>
      </c>
      <c r="E1553" t="s">
        <v>32</v>
      </c>
      <c r="F1553">
        <v>2</v>
      </c>
      <c r="G1553">
        <v>24.72</v>
      </c>
      <c r="H1553">
        <v>49.44</v>
      </c>
      <c r="I1553">
        <v>1.31</v>
      </c>
      <c r="J1553">
        <v>48.13</v>
      </c>
      <c r="K1553">
        <v>448</v>
      </c>
    </row>
    <row r="1554" spans="1:11" x14ac:dyDescent="0.3">
      <c r="A1554">
        <v>5781</v>
      </c>
      <c r="B1554" t="s">
        <v>14</v>
      </c>
      <c r="C1554" s="1">
        <v>45466</v>
      </c>
      <c r="D1554" t="s">
        <v>20</v>
      </c>
      <c r="E1554" t="s">
        <v>39</v>
      </c>
      <c r="F1554">
        <v>1</v>
      </c>
      <c r="G1554">
        <v>22.53</v>
      </c>
      <c r="H1554">
        <v>22.53</v>
      </c>
      <c r="I1554">
        <v>3.94</v>
      </c>
      <c r="J1554">
        <v>18.59</v>
      </c>
      <c r="K1554">
        <v>277</v>
      </c>
    </row>
    <row r="1555" spans="1:11" x14ac:dyDescent="0.3">
      <c r="A1555">
        <v>7353</v>
      </c>
      <c r="B1555" t="s">
        <v>24</v>
      </c>
      <c r="C1555" s="1">
        <v>45750</v>
      </c>
      <c r="D1555" t="s">
        <v>17</v>
      </c>
      <c r="E1555" t="s">
        <v>37</v>
      </c>
      <c r="F1555">
        <v>3</v>
      </c>
      <c r="G1555">
        <v>13.32</v>
      </c>
      <c r="H1555">
        <v>39.96</v>
      </c>
      <c r="I1555">
        <v>5.99</v>
      </c>
      <c r="J1555">
        <v>33.97</v>
      </c>
      <c r="K1555">
        <v>380</v>
      </c>
    </row>
    <row r="1556" spans="1:11" x14ac:dyDescent="0.3">
      <c r="A1556">
        <v>2387</v>
      </c>
      <c r="B1556" t="s">
        <v>30</v>
      </c>
      <c r="C1556" s="1">
        <v>45708</v>
      </c>
      <c r="D1556" t="s">
        <v>45</v>
      </c>
      <c r="E1556" t="s">
        <v>44</v>
      </c>
      <c r="F1556">
        <v>1</v>
      </c>
      <c r="G1556">
        <v>8.65</v>
      </c>
      <c r="H1556">
        <v>8.65</v>
      </c>
      <c r="I1556">
        <v>0.87</v>
      </c>
      <c r="J1556">
        <v>7.78</v>
      </c>
      <c r="K1556">
        <v>335</v>
      </c>
    </row>
    <row r="1557" spans="1:11" x14ac:dyDescent="0.3">
      <c r="A1557">
        <v>4977</v>
      </c>
      <c r="B1557" t="s">
        <v>30</v>
      </c>
      <c r="C1557" s="1">
        <v>45589</v>
      </c>
      <c r="D1557" t="s">
        <v>20</v>
      </c>
      <c r="E1557" t="s">
        <v>43</v>
      </c>
      <c r="F1557">
        <v>2</v>
      </c>
      <c r="G1557">
        <v>29.03</v>
      </c>
      <c r="H1557">
        <v>58.06</v>
      </c>
      <c r="I1557">
        <v>5.81</v>
      </c>
      <c r="J1557">
        <v>52.25</v>
      </c>
      <c r="K1557">
        <v>287</v>
      </c>
    </row>
    <row r="1558" spans="1:11" x14ac:dyDescent="0.3">
      <c r="A1558">
        <v>9537</v>
      </c>
      <c r="B1558" t="s">
        <v>30</v>
      </c>
      <c r="C1558" s="1">
        <v>45276</v>
      </c>
      <c r="D1558" t="s">
        <v>38</v>
      </c>
      <c r="E1558" t="s">
        <v>46</v>
      </c>
      <c r="F1558">
        <v>2</v>
      </c>
      <c r="G1558">
        <v>12.08</v>
      </c>
      <c r="H1558">
        <v>24.16</v>
      </c>
      <c r="I1558">
        <v>3.62</v>
      </c>
      <c r="J1558">
        <v>20.54</v>
      </c>
      <c r="K1558">
        <v>254</v>
      </c>
    </row>
    <row r="1559" spans="1:11" x14ac:dyDescent="0.3">
      <c r="A1559">
        <v>7237</v>
      </c>
      <c r="B1559" t="s">
        <v>14</v>
      </c>
      <c r="C1559" s="1">
        <v>45276</v>
      </c>
      <c r="D1559" t="s">
        <v>15</v>
      </c>
      <c r="E1559" t="s">
        <v>33</v>
      </c>
      <c r="F1559">
        <v>2</v>
      </c>
      <c r="G1559">
        <v>17.75</v>
      </c>
      <c r="H1559">
        <v>35.5</v>
      </c>
      <c r="I1559">
        <v>7.1</v>
      </c>
      <c r="J1559">
        <v>28.4</v>
      </c>
      <c r="K1559">
        <v>12</v>
      </c>
    </row>
    <row r="1560" spans="1:11" x14ac:dyDescent="0.3">
      <c r="A1560">
        <v>3274</v>
      </c>
      <c r="B1560" t="s">
        <v>26</v>
      </c>
      <c r="C1560" s="1">
        <v>45353</v>
      </c>
      <c r="D1560" t="s">
        <v>22</v>
      </c>
      <c r="E1560" t="s">
        <v>47</v>
      </c>
      <c r="F1560">
        <v>5</v>
      </c>
      <c r="G1560">
        <v>4.1500000000000004</v>
      </c>
      <c r="H1560">
        <v>20.75</v>
      </c>
      <c r="I1560">
        <v>4.1500000000000004</v>
      </c>
      <c r="J1560">
        <v>16.600000000000001</v>
      </c>
      <c r="K1560">
        <v>159</v>
      </c>
    </row>
    <row r="1561" spans="1:11" x14ac:dyDescent="0.3">
      <c r="A1561">
        <v>5933</v>
      </c>
      <c r="B1561" t="s">
        <v>11</v>
      </c>
      <c r="C1561" s="1">
        <v>45353</v>
      </c>
      <c r="D1561" t="s">
        <v>15</v>
      </c>
      <c r="E1561" t="s">
        <v>18</v>
      </c>
      <c r="F1561">
        <v>2</v>
      </c>
      <c r="G1561">
        <v>7.01</v>
      </c>
      <c r="H1561">
        <v>14.02</v>
      </c>
      <c r="I1561">
        <v>2</v>
      </c>
      <c r="J1561">
        <v>12.02</v>
      </c>
      <c r="K1561">
        <v>482</v>
      </c>
    </row>
    <row r="1562" spans="1:11" x14ac:dyDescent="0.3">
      <c r="A1562">
        <v>9079</v>
      </c>
      <c r="B1562" t="s">
        <v>19</v>
      </c>
      <c r="C1562" s="1">
        <v>45258</v>
      </c>
      <c r="D1562" t="s">
        <v>20</v>
      </c>
      <c r="E1562" t="s">
        <v>47</v>
      </c>
      <c r="F1562">
        <v>5</v>
      </c>
      <c r="G1562">
        <v>21.96</v>
      </c>
      <c r="H1562">
        <v>109.8</v>
      </c>
      <c r="I1562">
        <v>4.07</v>
      </c>
      <c r="J1562">
        <v>105.73</v>
      </c>
      <c r="K1562">
        <v>290</v>
      </c>
    </row>
    <row r="1563" spans="1:11" x14ac:dyDescent="0.3">
      <c r="A1563">
        <v>2036</v>
      </c>
      <c r="B1563" t="s">
        <v>30</v>
      </c>
      <c r="C1563" s="1">
        <v>45274</v>
      </c>
      <c r="D1563" t="s">
        <v>20</v>
      </c>
      <c r="E1563" t="s">
        <v>37</v>
      </c>
      <c r="F1563">
        <v>3</v>
      </c>
      <c r="G1563">
        <v>25.19</v>
      </c>
      <c r="H1563">
        <v>75.569999999999993</v>
      </c>
      <c r="I1563">
        <v>0</v>
      </c>
      <c r="J1563">
        <v>75.569999999999993</v>
      </c>
      <c r="K1563">
        <v>18</v>
      </c>
    </row>
    <row r="1564" spans="1:11" x14ac:dyDescent="0.3">
      <c r="A1564">
        <v>8121</v>
      </c>
      <c r="B1564" t="s">
        <v>24</v>
      </c>
      <c r="C1564" s="1">
        <v>45359</v>
      </c>
      <c r="D1564" t="s">
        <v>12</v>
      </c>
      <c r="E1564" t="s">
        <v>13</v>
      </c>
      <c r="F1564">
        <v>2</v>
      </c>
      <c r="G1564">
        <v>22.89</v>
      </c>
      <c r="H1564">
        <v>45.78</v>
      </c>
      <c r="I1564">
        <v>3</v>
      </c>
      <c r="J1564">
        <v>42.78</v>
      </c>
      <c r="K1564">
        <v>406</v>
      </c>
    </row>
    <row r="1565" spans="1:11" x14ac:dyDescent="0.3">
      <c r="A1565">
        <v>7899</v>
      </c>
      <c r="B1565" t="s">
        <v>42</v>
      </c>
      <c r="C1565" s="1">
        <v>45377</v>
      </c>
      <c r="D1565" t="s">
        <v>22</v>
      </c>
      <c r="E1565" t="s">
        <v>33</v>
      </c>
      <c r="F1565">
        <v>4</v>
      </c>
      <c r="G1565">
        <v>15.91</v>
      </c>
      <c r="H1565">
        <v>63.64</v>
      </c>
      <c r="I1565">
        <v>2.7</v>
      </c>
      <c r="J1565">
        <v>60.94</v>
      </c>
      <c r="K1565">
        <v>439</v>
      </c>
    </row>
    <row r="1566" spans="1:11" x14ac:dyDescent="0.3">
      <c r="A1566">
        <v>8933</v>
      </c>
      <c r="B1566" t="s">
        <v>11</v>
      </c>
      <c r="C1566" s="1">
        <v>45752</v>
      </c>
      <c r="D1566" t="s">
        <v>20</v>
      </c>
      <c r="E1566" t="s">
        <v>41</v>
      </c>
      <c r="F1566">
        <v>1</v>
      </c>
      <c r="G1566">
        <v>5.69</v>
      </c>
      <c r="H1566">
        <v>5.69</v>
      </c>
      <c r="I1566">
        <v>1.1399999999999999</v>
      </c>
      <c r="J1566">
        <v>4.55</v>
      </c>
      <c r="K1566">
        <v>383</v>
      </c>
    </row>
    <row r="1567" spans="1:11" x14ac:dyDescent="0.3">
      <c r="A1567">
        <v>2260</v>
      </c>
      <c r="B1567" t="s">
        <v>42</v>
      </c>
      <c r="C1567" s="1">
        <v>45425</v>
      </c>
      <c r="D1567" t="s">
        <v>45</v>
      </c>
      <c r="E1567" t="s">
        <v>48</v>
      </c>
      <c r="F1567">
        <v>1</v>
      </c>
      <c r="G1567">
        <v>26.67</v>
      </c>
      <c r="H1567">
        <v>26.67</v>
      </c>
      <c r="I1567">
        <v>0</v>
      </c>
      <c r="J1567">
        <v>26.67</v>
      </c>
      <c r="K1567">
        <v>253</v>
      </c>
    </row>
    <row r="1568" spans="1:11" x14ac:dyDescent="0.3">
      <c r="A1568">
        <v>5123</v>
      </c>
      <c r="B1568" t="s">
        <v>14</v>
      </c>
      <c r="C1568" s="1">
        <v>45336</v>
      </c>
      <c r="D1568" t="s">
        <v>45</v>
      </c>
      <c r="E1568" t="s">
        <v>41</v>
      </c>
      <c r="F1568">
        <v>5</v>
      </c>
      <c r="G1568">
        <v>13.12</v>
      </c>
      <c r="H1568">
        <v>65.599999999999994</v>
      </c>
      <c r="I1568">
        <v>2.74</v>
      </c>
      <c r="J1568">
        <v>62.86</v>
      </c>
      <c r="K1568">
        <v>4</v>
      </c>
    </row>
    <row r="1569" spans="1:11" x14ac:dyDescent="0.3">
      <c r="A1569">
        <v>9123</v>
      </c>
      <c r="B1569" t="s">
        <v>30</v>
      </c>
      <c r="C1569" s="1">
        <v>45606</v>
      </c>
      <c r="D1569" t="s">
        <v>27</v>
      </c>
      <c r="E1569" t="s">
        <v>13</v>
      </c>
      <c r="F1569">
        <v>5</v>
      </c>
      <c r="G1569">
        <v>10.34</v>
      </c>
      <c r="H1569">
        <v>51.7</v>
      </c>
      <c r="I1569">
        <v>3.6</v>
      </c>
      <c r="J1569">
        <v>48.1</v>
      </c>
      <c r="K1569">
        <v>455</v>
      </c>
    </row>
    <row r="1570" spans="1:11" x14ac:dyDescent="0.3">
      <c r="A1570">
        <v>4203</v>
      </c>
      <c r="B1570" t="s">
        <v>19</v>
      </c>
      <c r="C1570" s="1">
        <v>45500</v>
      </c>
      <c r="D1570" t="s">
        <v>35</v>
      </c>
      <c r="E1570" t="s">
        <v>46</v>
      </c>
      <c r="F1570">
        <v>2</v>
      </c>
      <c r="G1570">
        <v>24.27</v>
      </c>
      <c r="H1570">
        <v>48.54</v>
      </c>
      <c r="I1570">
        <v>3.42</v>
      </c>
      <c r="J1570">
        <v>45.12</v>
      </c>
      <c r="K1570">
        <v>487</v>
      </c>
    </row>
    <row r="1571" spans="1:11" x14ac:dyDescent="0.3">
      <c r="A1571">
        <v>2752</v>
      </c>
      <c r="B1571" t="s">
        <v>26</v>
      </c>
      <c r="C1571" s="1">
        <v>45250</v>
      </c>
      <c r="D1571" t="s">
        <v>45</v>
      </c>
      <c r="E1571" t="s">
        <v>44</v>
      </c>
      <c r="F1571">
        <v>3</v>
      </c>
      <c r="G1571">
        <v>27.88</v>
      </c>
      <c r="H1571">
        <v>83.64</v>
      </c>
      <c r="I1571">
        <v>16.73</v>
      </c>
      <c r="J1571">
        <v>66.91</v>
      </c>
      <c r="K1571">
        <v>368</v>
      </c>
    </row>
    <row r="1572" spans="1:11" x14ac:dyDescent="0.3">
      <c r="A1572">
        <v>5991</v>
      </c>
      <c r="B1572" t="s">
        <v>14</v>
      </c>
      <c r="C1572" s="1">
        <v>45150</v>
      </c>
      <c r="D1572" t="s">
        <v>45</v>
      </c>
      <c r="E1572" t="s">
        <v>39</v>
      </c>
      <c r="F1572">
        <v>3</v>
      </c>
      <c r="G1572">
        <v>13.06</v>
      </c>
      <c r="H1572">
        <v>39.18</v>
      </c>
      <c r="I1572">
        <v>4.97</v>
      </c>
      <c r="J1572">
        <v>34.21</v>
      </c>
      <c r="K1572">
        <v>76</v>
      </c>
    </row>
    <row r="1573" spans="1:11" x14ac:dyDescent="0.3">
      <c r="A1573">
        <v>7483</v>
      </c>
      <c r="B1573" t="s">
        <v>31</v>
      </c>
      <c r="C1573" s="1">
        <v>45403</v>
      </c>
      <c r="D1573" t="s">
        <v>35</v>
      </c>
      <c r="E1573" t="s">
        <v>44</v>
      </c>
      <c r="F1573">
        <v>2</v>
      </c>
      <c r="G1573">
        <v>21.12</v>
      </c>
      <c r="H1573">
        <v>42.24</v>
      </c>
      <c r="I1573">
        <v>6.34</v>
      </c>
      <c r="J1573">
        <v>35.9</v>
      </c>
      <c r="K1573">
        <v>275</v>
      </c>
    </row>
    <row r="1574" spans="1:11" x14ac:dyDescent="0.3">
      <c r="A1574">
        <v>7224</v>
      </c>
      <c r="B1574" t="s">
        <v>11</v>
      </c>
      <c r="C1574" s="1">
        <v>45769</v>
      </c>
      <c r="D1574" t="s">
        <v>12</v>
      </c>
      <c r="E1574" t="s">
        <v>33</v>
      </c>
      <c r="F1574">
        <v>5</v>
      </c>
      <c r="G1574">
        <v>5.53</v>
      </c>
      <c r="H1574">
        <v>27.65</v>
      </c>
      <c r="I1574">
        <v>4.1500000000000004</v>
      </c>
      <c r="J1574">
        <v>23.5</v>
      </c>
      <c r="K1574">
        <v>179</v>
      </c>
    </row>
    <row r="1575" spans="1:11" x14ac:dyDescent="0.3">
      <c r="A1575">
        <v>6399</v>
      </c>
      <c r="C1575" s="1">
        <v>45486</v>
      </c>
      <c r="D1575" t="s">
        <v>17</v>
      </c>
      <c r="E1575" t="s">
        <v>13</v>
      </c>
      <c r="F1575">
        <v>3</v>
      </c>
      <c r="G1575">
        <v>24.79</v>
      </c>
      <c r="H1575">
        <v>74.37</v>
      </c>
      <c r="I1575">
        <v>3.92</v>
      </c>
      <c r="J1575">
        <v>70.45</v>
      </c>
      <c r="K1575">
        <v>444</v>
      </c>
    </row>
    <row r="1576" spans="1:11" x14ac:dyDescent="0.3">
      <c r="A1576">
        <v>6484</v>
      </c>
      <c r="B1576" t="s">
        <v>36</v>
      </c>
      <c r="C1576" s="1">
        <v>45479</v>
      </c>
      <c r="D1576" t="s">
        <v>28</v>
      </c>
      <c r="E1576" t="s">
        <v>32</v>
      </c>
      <c r="F1576">
        <v>3</v>
      </c>
      <c r="G1576">
        <v>17.260000000000002</v>
      </c>
      <c r="H1576">
        <v>51.78</v>
      </c>
      <c r="I1576">
        <v>3.37</v>
      </c>
      <c r="J1576">
        <v>48.41</v>
      </c>
      <c r="K1576">
        <v>328</v>
      </c>
    </row>
    <row r="1577" spans="1:11" x14ac:dyDescent="0.3">
      <c r="A1577">
        <v>3230</v>
      </c>
      <c r="B1577" t="s">
        <v>11</v>
      </c>
      <c r="C1577" s="1">
        <v>45378</v>
      </c>
      <c r="D1577" t="s">
        <v>17</v>
      </c>
      <c r="E1577" t="s">
        <v>13</v>
      </c>
      <c r="F1577">
        <v>2</v>
      </c>
      <c r="G1577">
        <v>8.6199999999999992</v>
      </c>
      <c r="H1577">
        <v>17.239999999999998</v>
      </c>
      <c r="I1577">
        <v>3.35</v>
      </c>
      <c r="J1577">
        <v>13.89</v>
      </c>
      <c r="K1577">
        <v>52</v>
      </c>
    </row>
    <row r="1578" spans="1:11" x14ac:dyDescent="0.3">
      <c r="A1578">
        <v>6253</v>
      </c>
      <c r="C1578" s="1">
        <v>45613</v>
      </c>
      <c r="D1578" t="s">
        <v>22</v>
      </c>
      <c r="E1578" t="s">
        <v>13</v>
      </c>
      <c r="F1578">
        <v>5</v>
      </c>
      <c r="G1578">
        <v>20.38</v>
      </c>
      <c r="H1578">
        <v>101.9</v>
      </c>
      <c r="I1578">
        <v>20.38</v>
      </c>
      <c r="J1578">
        <v>81.52</v>
      </c>
      <c r="K1578">
        <v>242</v>
      </c>
    </row>
    <row r="1579" spans="1:11" x14ac:dyDescent="0.3">
      <c r="A1579">
        <v>4290</v>
      </c>
      <c r="B1579" t="s">
        <v>31</v>
      </c>
      <c r="C1579" s="1">
        <v>45517</v>
      </c>
      <c r="D1579" t="s">
        <v>17</v>
      </c>
      <c r="E1579" t="s">
        <v>44</v>
      </c>
      <c r="F1579">
        <v>1</v>
      </c>
      <c r="G1579">
        <v>27.95</v>
      </c>
      <c r="H1579">
        <v>27.95</v>
      </c>
      <c r="I1579">
        <v>5.59</v>
      </c>
      <c r="J1579">
        <v>22.36</v>
      </c>
      <c r="K1579">
        <v>314</v>
      </c>
    </row>
    <row r="1580" spans="1:11" x14ac:dyDescent="0.3">
      <c r="A1580">
        <v>6147</v>
      </c>
      <c r="B1580" t="s">
        <v>19</v>
      </c>
      <c r="C1580" s="1">
        <v>45282</v>
      </c>
      <c r="D1580" t="s">
        <v>45</v>
      </c>
      <c r="E1580" t="s">
        <v>39</v>
      </c>
      <c r="F1580">
        <v>3</v>
      </c>
      <c r="G1580">
        <v>3.25</v>
      </c>
      <c r="H1580">
        <v>9.75</v>
      </c>
      <c r="I1580">
        <v>1.95</v>
      </c>
      <c r="J1580">
        <v>7.8</v>
      </c>
      <c r="K1580">
        <v>496</v>
      </c>
    </row>
    <row r="1581" spans="1:11" x14ac:dyDescent="0.3">
      <c r="A1581">
        <v>7524</v>
      </c>
      <c r="B1581" t="s">
        <v>14</v>
      </c>
      <c r="C1581" s="1">
        <v>45392</v>
      </c>
      <c r="D1581" t="s">
        <v>45</v>
      </c>
      <c r="E1581" t="s">
        <v>16</v>
      </c>
      <c r="F1581">
        <v>4</v>
      </c>
      <c r="G1581">
        <v>10.48</v>
      </c>
      <c r="H1581">
        <v>41.92</v>
      </c>
      <c r="I1581">
        <v>8.3800000000000008</v>
      </c>
      <c r="J1581">
        <v>33.54</v>
      </c>
      <c r="K1581">
        <v>256</v>
      </c>
    </row>
    <row r="1582" spans="1:11" x14ac:dyDescent="0.3">
      <c r="A1582">
        <v>5775</v>
      </c>
      <c r="B1582" t="s">
        <v>14</v>
      </c>
      <c r="C1582" s="1">
        <v>45715</v>
      </c>
      <c r="D1582" t="s">
        <v>20</v>
      </c>
      <c r="E1582" t="s">
        <v>32</v>
      </c>
      <c r="F1582">
        <v>4</v>
      </c>
      <c r="G1582">
        <v>21.47</v>
      </c>
      <c r="H1582">
        <v>85.88</v>
      </c>
      <c r="I1582">
        <v>2.27</v>
      </c>
      <c r="J1582">
        <v>83.61</v>
      </c>
      <c r="K1582">
        <v>181</v>
      </c>
    </row>
    <row r="1583" spans="1:11" x14ac:dyDescent="0.3">
      <c r="A1583">
        <v>9044</v>
      </c>
      <c r="B1583" t="s">
        <v>11</v>
      </c>
      <c r="C1583" s="1">
        <v>45592</v>
      </c>
      <c r="D1583" t="s">
        <v>28</v>
      </c>
      <c r="E1583" t="s">
        <v>44</v>
      </c>
      <c r="F1583">
        <v>2</v>
      </c>
      <c r="G1583">
        <v>28.41</v>
      </c>
      <c r="H1583">
        <v>56.82</v>
      </c>
      <c r="I1583">
        <v>0</v>
      </c>
      <c r="J1583">
        <v>56.82</v>
      </c>
      <c r="K1583">
        <v>426</v>
      </c>
    </row>
    <row r="1584" spans="1:11" x14ac:dyDescent="0.3">
      <c r="A1584">
        <v>4971</v>
      </c>
      <c r="B1584" t="s">
        <v>19</v>
      </c>
      <c r="C1584" s="1">
        <v>45398</v>
      </c>
      <c r="D1584" t="s">
        <v>20</v>
      </c>
      <c r="E1584" t="s">
        <v>18</v>
      </c>
      <c r="F1584">
        <v>4</v>
      </c>
      <c r="G1584">
        <v>15.2</v>
      </c>
      <c r="H1584">
        <v>60.8</v>
      </c>
      <c r="I1584">
        <v>0</v>
      </c>
      <c r="J1584">
        <v>60.8</v>
      </c>
      <c r="K1584">
        <v>403</v>
      </c>
    </row>
    <row r="1585" spans="1:11" x14ac:dyDescent="0.3">
      <c r="A1585">
        <v>7161</v>
      </c>
      <c r="B1585" t="s">
        <v>11</v>
      </c>
      <c r="C1585" s="1">
        <v>45362</v>
      </c>
      <c r="D1585" t="s">
        <v>38</v>
      </c>
      <c r="E1585" t="s">
        <v>16</v>
      </c>
      <c r="F1585">
        <v>3</v>
      </c>
      <c r="G1585">
        <v>6.15</v>
      </c>
      <c r="H1585">
        <v>18.45</v>
      </c>
      <c r="I1585">
        <v>1.84</v>
      </c>
      <c r="J1585">
        <v>16.61</v>
      </c>
      <c r="K1585">
        <v>443</v>
      </c>
    </row>
    <row r="1586" spans="1:11" x14ac:dyDescent="0.3">
      <c r="A1586">
        <v>7437</v>
      </c>
      <c r="B1586" t="s">
        <v>36</v>
      </c>
      <c r="C1586" s="1">
        <v>45428</v>
      </c>
      <c r="D1586" t="s">
        <v>20</v>
      </c>
      <c r="E1586" t="s">
        <v>44</v>
      </c>
      <c r="F1586">
        <v>5</v>
      </c>
      <c r="G1586">
        <v>17.22</v>
      </c>
      <c r="H1586">
        <v>86.1</v>
      </c>
      <c r="I1586">
        <v>8.61</v>
      </c>
      <c r="J1586">
        <v>77.489999999999995</v>
      </c>
      <c r="K1586">
        <v>471</v>
      </c>
    </row>
    <row r="1587" spans="1:11" x14ac:dyDescent="0.3">
      <c r="A1587">
        <v>2865</v>
      </c>
      <c r="B1587" t="s">
        <v>36</v>
      </c>
      <c r="C1587" s="1">
        <v>45868</v>
      </c>
      <c r="D1587" t="s">
        <v>34</v>
      </c>
      <c r="E1587" t="s">
        <v>39</v>
      </c>
      <c r="F1587">
        <v>2</v>
      </c>
      <c r="G1587">
        <v>13.81</v>
      </c>
      <c r="H1587">
        <v>27.62</v>
      </c>
      <c r="I1587">
        <v>3.34</v>
      </c>
      <c r="J1587">
        <v>24.28</v>
      </c>
      <c r="K1587">
        <v>269</v>
      </c>
    </row>
    <row r="1588" spans="1:11" x14ac:dyDescent="0.3">
      <c r="A1588">
        <v>4273</v>
      </c>
      <c r="B1588" t="s">
        <v>36</v>
      </c>
      <c r="C1588" s="1">
        <v>45604</v>
      </c>
      <c r="D1588" t="s">
        <v>15</v>
      </c>
      <c r="E1588" t="s">
        <v>23</v>
      </c>
      <c r="F1588">
        <v>3</v>
      </c>
      <c r="G1588">
        <v>15.57</v>
      </c>
      <c r="H1588">
        <v>46.71</v>
      </c>
      <c r="I1588">
        <v>3.59</v>
      </c>
      <c r="J1588">
        <v>43.12</v>
      </c>
      <c r="K1588">
        <v>6</v>
      </c>
    </row>
    <row r="1589" spans="1:11" x14ac:dyDescent="0.3">
      <c r="A1589">
        <v>9939</v>
      </c>
      <c r="B1589" t="s">
        <v>26</v>
      </c>
      <c r="C1589" s="1">
        <v>45284</v>
      </c>
      <c r="D1589" t="s">
        <v>20</v>
      </c>
      <c r="E1589" t="s">
        <v>40</v>
      </c>
      <c r="F1589">
        <v>3</v>
      </c>
      <c r="G1589">
        <v>8.94</v>
      </c>
      <c r="H1589">
        <v>26.82</v>
      </c>
      <c r="I1589">
        <v>0</v>
      </c>
      <c r="J1589">
        <v>26.82</v>
      </c>
      <c r="K1589">
        <v>29</v>
      </c>
    </row>
    <row r="1590" spans="1:11" x14ac:dyDescent="0.3">
      <c r="A1590">
        <v>1440</v>
      </c>
      <c r="B1590" t="s">
        <v>26</v>
      </c>
      <c r="C1590" s="1">
        <v>45709</v>
      </c>
      <c r="D1590" t="s">
        <v>28</v>
      </c>
      <c r="E1590" t="s">
        <v>33</v>
      </c>
      <c r="F1590">
        <v>4</v>
      </c>
      <c r="G1590">
        <v>6.03</v>
      </c>
      <c r="H1590">
        <v>24.12</v>
      </c>
      <c r="I1590">
        <v>2.48</v>
      </c>
      <c r="J1590">
        <v>21.64</v>
      </c>
      <c r="K1590">
        <v>383</v>
      </c>
    </row>
    <row r="1591" spans="1:11" x14ac:dyDescent="0.3">
      <c r="A1591">
        <v>8563</v>
      </c>
      <c r="B1591" t="s">
        <v>19</v>
      </c>
      <c r="C1591" s="1">
        <v>45695</v>
      </c>
      <c r="D1591" t="s">
        <v>34</v>
      </c>
      <c r="E1591" t="s">
        <v>41</v>
      </c>
      <c r="F1591">
        <v>1</v>
      </c>
      <c r="G1591">
        <v>13.16</v>
      </c>
      <c r="H1591">
        <v>13.16</v>
      </c>
      <c r="I1591">
        <v>2.77</v>
      </c>
      <c r="J1591">
        <v>10.39</v>
      </c>
      <c r="K1591">
        <v>433</v>
      </c>
    </row>
    <row r="1592" spans="1:11" x14ac:dyDescent="0.3">
      <c r="A1592">
        <v>4434</v>
      </c>
      <c r="B1592" t="s">
        <v>31</v>
      </c>
      <c r="C1592" s="1">
        <v>45485</v>
      </c>
      <c r="D1592" t="s">
        <v>22</v>
      </c>
      <c r="E1592" t="s">
        <v>48</v>
      </c>
      <c r="F1592">
        <v>5</v>
      </c>
      <c r="G1592">
        <v>9.0399999999999991</v>
      </c>
      <c r="H1592">
        <v>45.2</v>
      </c>
      <c r="I1592">
        <v>0</v>
      </c>
      <c r="J1592">
        <v>45.2</v>
      </c>
      <c r="K1592">
        <v>436</v>
      </c>
    </row>
    <row r="1593" spans="1:11" x14ac:dyDescent="0.3">
      <c r="A1593">
        <v>5773</v>
      </c>
      <c r="B1593" t="s">
        <v>31</v>
      </c>
      <c r="C1593" s="1">
        <v>45790</v>
      </c>
      <c r="D1593" t="s">
        <v>22</v>
      </c>
      <c r="E1593" t="s">
        <v>21</v>
      </c>
      <c r="F1593">
        <v>2</v>
      </c>
      <c r="G1593">
        <v>27.26</v>
      </c>
      <c r="H1593">
        <v>54.52</v>
      </c>
      <c r="I1593">
        <v>1.06</v>
      </c>
      <c r="J1593">
        <v>53.46</v>
      </c>
      <c r="K1593">
        <v>300</v>
      </c>
    </row>
    <row r="1594" spans="1:11" x14ac:dyDescent="0.3">
      <c r="A1594">
        <v>2133</v>
      </c>
      <c r="B1594" t="s">
        <v>24</v>
      </c>
      <c r="C1594" s="1">
        <v>45781</v>
      </c>
      <c r="D1594" t="s">
        <v>20</v>
      </c>
      <c r="E1594" t="s">
        <v>40</v>
      </c>
      <c r="F1594">
        <v>1</v>
      </c>
      <c r="G1594">
        <v>6.59</v>
      </c>
      <c r="H1594">
        <v>6.59</v>
      </c>
      <c r="I1594">
        <v>0</v>
      </c>
      <c r="J1594">
        <v>6.59</v>
      </c>
      <c r="K1594">
        <v>389</v>
      </c>
    </row>
    <row r="1595" spans="1:11" x14ac:dyDescent="0.3">
      <c r="A1595">
        <v>7703</v>
      </c>
      <c r="B1595" t="s">
        <v>30</v>
      </c>
      <c r="C1595" s="1">
        <v>45667</v>
      </c>
      <c r="D1595" t="s">
        <v>15</v>
      </c>
      <c r="E1595" t="s">
        <v>29</v>
      </c>
      <c r="F1595">
        <v>4</v>
      </c>
      <c r="G1595">
        <v>2.2799999999999998</v>
      </c>
      <c r="H1595">
        <v>9.1199999999999992</v>
      </c>
      <c r="I1595">
        <v>0</v>
      </c>
      <c r="J1595">
        <v>9.1199999999999992</v>
      </c>
      <c r="K1595">
        <v>311</v>
      </c>
    </row>
    <row r="1596" spans="1:11" x14ac:dyDescent="0.3">
      <c r="A1596">
        <v>9180</v>
      </c>
      <c r="B1596" t="s">
        <v>14</v>
      </c>
      <c r="C1596" s="1">
        <v>45253</v>
      </c>
      <c r="D1596" t="s">
        <v>20</v>
      </c>
      <c r="E1596" t="s">
        <v>29</v>
      </c>
      <c r="F1596">
        <v>1</v>
      </c>
      <c r="G1596">
        <v>10.01</v>
      </c>
      <c r="H1596">
        <v>10.01</v>
      </c>
      <c r="I1596">
        <v>2.37</v>
      </c>
      <c r="J1596">
        <v>7.64</v>
      </c>
      <c r="K1596">
        <v>287</v>
      </c>
    </row>
    <row r="1597" spans="1:11" x14ac:dyDescent="0.3">
      <c r="A1597">
        <v>5961</v>
      </c>
      <c r="B1597" t="s">
        <v>11</v>
      </c>
      <c r="C1597" s="1">
        <v>45332</v>
      </c>
      <c r="D1597" t="s">
        <v>28</v>
      </c>
      <c r="E1597" t="s">
        <v>33</v>
      </c>
      <c r="F1597">
        <v>1</v>
      </c>
      <c r="G1597">
        <v>4.3600000000000003</v>
      </c>
      <c r="H1597">
        <v>4.3600000000000003</v>
      </c>
      <c r="I1597">
        <v>0</v>
      </c>
      <c r="J1597">
        <v>4.3600000000000003</v>
      </c>
      <c r="K1597">
        <v>46</v>
      </c>
    </row>
    <row r="1598" spans="1:11" x14ac:dyDescent="0.3">
      <c r="A1598">
        <v>5139</v>
      </c>
      <c r="B1598" t="s">
        <v>11</v>
      </c>
      <c r="C1598" s="1">
        <v>45656</v>
      </c>
      <c r="D1598" t="s">
        <v>34</v>
      </c>
      <c r="E1598" t="s">
        <v>21</v>
      </c>
      <c r="F1598">
        <v>5</v>
      </c>
      <c r="G1598">
        <v>19.16</v>
      </c>
      <c r="H1598">
        <v>95.8</v>
      </c>
      <c r="I1598">
        <v>1.87</v>
      </c>
      <c r="J1598">
        <v>93.93</v>
      </c>
      <c r="K1598">
        <v>10</v>
      </c>
    </row>
    <row r="1599" spans="1:11" x14ac:dyDescent="0.3">
      <c r="A1599">
        <v>3525</v>
      </c>
      <c r="B1599" t="s">
        <v>36</v>
      </c>
      <c r="C1599" s="1">
        <v>45700</v>
      </c>
      <c r="D1599" t="s">
        <v>45</v>
      </c>
      <c r="E1599" t="s">
        <v>43</v>
      </c>
      <c r="F1599">
        <v>2</v>
      </c>
      <c r="G1599">
        <v>9.92</v>
      </c>
      <c r="H1599">
        <v>19.84</v>
      </c>
      <c r="I1599">
        <v>0</v>
      </c>
      <c r="J1599">
        <v>19.84</v>
      </c>
      <c r="K1599">
        <v>348</v>
      </c>
    </row>
    <row r="1600" spans="1:11" x14ac:dyDescent="0.3">
      <c r="A1600">
        <v>7932</v>
      </c>
      <c r="B1600" t="s">
        <v>19</v>
      </c>
      <c r="C1600" s="1">
        <v>45757</v>
      </c>
      <c r="D1600" t="s">
        <v>35</v>
      </c>
      <c r="E1600" t="s">
        <v>40</v>
      </c>
      <c r="F1600">
        <v>4</v>
      </c>
      <c r="G1600">
        <v>21.46</v>
      </c>
      <c r="H1600">
        <v>85.84</v>
      </c>
      <c r="I1600">
        <v>17.170000000000002</v>
      </c>
      <c r="J1600">
        <v>68.67</v>
      </c>
      <c r="K1600">
        <v>91</v>
      </c>
    </row>
    <row r="1601" spans="1:11" x14ac:dyDescent="0.3">
      <c r="A1601">
        <v>7176</v>
      </c>
      <c r="B1601" t="s">
        <v>36</v>
      </c>
      <c r="C1601" s="1">
        <v>45202</v>
      </c>
      <c r="D1601" t="s">
        <v>20</v>
      </c>
      <c r="E1601" t="s">
        <v>25</v>
      </c>
      <c r="F1601">
        <v>2</v>
      </c>
      <c r="G1601">
        <v>8.9</v>
      </c>
      <c r="H1601">
        <v>17.8</v>
      </c>
      <c r="I1601">
        <v>2.67</v>
      </c>
      <c r="J1601">
        <v>15.13</v>
      </c>
      <c r="K1601">
        <v>102</v>
      </c>
    </row>
    <row r="1602" spans="1:11" x14ac:dyDescent="0.3">
      <c r="A1602">
        <v>8357</v>
      </c>
      <c r="B1602" t="s">
        <v>30</v>
      </c>
      <c r="C1602" s="1">
        <v>45609</v>
      </c>
      <c r="D1602" t="s">
        <v>45</v>
      </c>
      <c r="E1602" t="s">
        <v>13</v>
      </c>
      <c r="F1602">
        <v>1</v>
      </c>
      <c r="G1602">
        <v>15.2</v>
      </c>
      <c r="H1602">
        <v>15.2</v>
      </c>
      <c r="I1602">
        <v>2.2799999999999998</v>
      </c>
      <c r="J1602">
        <v>12.92</v>
      </c>
      <c r="K1602">
        <v>296</v>
      </c>
    </row>
    <row r="1603" spans="1:11" x14ac:dyDescent="0.3">
      <c r="A1603">
        <v>8851</v>
      </c>
      <c r="B1603" t="s">
        <v>14</v>
      </c>
      <c r="C1603" s="1">
        <v>45597</v>
      </c>
      <c r="D1603" t="s">
        <v>45</v>
      </c>
      <c r="E1603" t="s">
        <v>29</v>
      </c>
      <c r="F1603">
        <v>1</v>
      </c>
      <c r="G1603">
        <v>28.53</v>
      </c>
      <c r="H1603">
        <v>28.53</v>
      </c>
      <c r="I1603">
        <v>5.71</v>
      </c>
      <c r="J1603">
        <v>22.82</v>
      </c>
      <c r="K1603">
        <v>299</v>
      </c>
    </row>
    <row r="1604" spans="1:11" x14ac:dyDescent="0.3">
      <c r="A1604">
        <v>7566</v>
      </c>
      <c r="B1604" t="s">
        <v>14</v>
      </c>
      <c r="C1604" s="1">
        <v>45560</v>
      </c>
      <c r="D1604" t="s">
        <v>28</v>
      </c>
      <c r="E1604" t="s">
        <v>44</v>
      </c>
      <c r="F1604">
        <v>4</v>
      </c>
      <c r="G1604">
        <v>11.05</v>
      </c>
      <c r="H1604">
        <v>44.2</v>
      </c>
      <c r="I1604">
        <v>8.84</v>
      </c>
      <c r="J1604">
        <v>35.36</v>
      </c>
      <c r="K1604">
        <v>415</v>
      </c>
    </row>
    <row r="1605" spans="1:11" x14ac:dyDescent="0.3">
      <c r="A1605">
        <v>9300</v>
      </c>
      <c r="B1605" t="s">
        <v>36</v>
      </c>
      <c r="C1605" s="1">
        <v>45862</v>
      </c>
      <c r="D1605" t="s">
        <v>38</v>
      </c>
      <c r="E1605" t="s">
        <v>18</v>
      </c>
      <c r="F1605">
        <v>3</v>
      </c>
      <c r="G1605">
        <v>3.62</v>
      </c>
      <c r="H1605">
        <v>10.86</v>
      </c>
      <c r="I1605">
        <v>1.63</v>
      </c>
      <c r="J1605">
        <v>9.23</v>
      </c>
      <c r="K1605">
        <v>395</v>
      </c>
    </row>
    <row r="1606" spans="1:11" x14ac:dyDescent="0.3">
      <c r="A1606">
        <v>7853</v>
      </c>
      <c r="B1606" t="s">
        <v>42</v>
      </c>
      <c r="C1606" s="1">
        <v>45567</v>
      </c>
      <c r="D1606" t="s">
        <v>45</v>
      </c>
      <c r="E1606" t="s">
        <v>13</v>
      </c>
      <c r="F1606">
        <v>1</v>
      </c>
      <c r="G1606">
        <v>27.73</v>
      </c>
      <c r="H1606">
        <v>27.73</v>
      </c>
      <c r="I1606">
        <v>2.77</v>
      </c>
      <c r="J1606">
        <v>24.96</v>
      </c>
      <c r="K1606">
        <v>264</v>
      </c>
    </row>
    <row r="1607" spans="1:11" x14ac:dyDescent="0.3">
      <c r="A1607">
        <v>1602</v>
      </c>
      <c r="B1607" t="s">
        <v>19</v>
      </c>
      <c r="C1607" s="1">
        <v>45759</v>
      </c>
      <c r="D1607" t="s">
        <v>45</v>
      </c>
      <c r="E1607" t="s">
        <v>21</v>
      </c>
      <c r="F1607">
        <v>3</v>
      </c>
      <c r="G1607">
        <v>17.34</v>
      </c>
      <c r="H1607">
        <v>52.02</v>
      </c>
      <c r="I1607">
        <v>7.8</v>
      </c>
      <c r="J1607">
        <v>44.22</v>
      </c>
      <c r="K1607">
        <v>337</v>
      </c>
    </row>
    <row r="1608" spans="1:11" x14ac:dyDescent="0.3">
      <c r="A1608">
        <v>6890</v>
      </c>
      <c r="B1608" t="s">
        <v>11</v>
      </c>
      <c r="C1608" s="1">
        <v>45689</v>
      </c>
      <c r="D1608" t="s">
        <v>27</v>
      </c>
      <c r="E1608" t="s">
        <v>23</v>
      </c>
      <c r="F1608">
        <v>1</v>
      </c>
      <c r="G1608">
        <v>5.59</v>
      </c>
      <c r="H1608">
        <v>5.59</v>
      </c>
      <c r="I1608">
        <v>0.84</v>
      </c>
      <c r="J1608">
        <v>4.75</v>
      </c>
      <c r="K1608">
        <v>243</v>
      </c>
    </row>
    <row r="1609" spans="1:11" x14ac:dyDescent="0.3">
      <c r="A1609">
        <v>9796</v>
      </c>
      <c r="B1609" t="s">
        <v>11</v>
      </c>
      <c r="C1609" s="1">
        <v>45606</v>
      </c>
      <c r="D1609" t="s">
        <v>34</v>
      </c>
      <c r="E1609" t="s">
        <v>23</v>
      </c>
      <c r="F1609">
        <v>3</v>
      </c>
      <c r="G1609">
        <v>5.71</v>
      </c>
      <c r="H1609">
        <v>17.13</v>
      </c>
      <c r="I1609">
        <v>2.76</v>
      </c>
      <c r="J1609">
        <v>14.37</v>
      </c>
      <c r="K1609">
        <v>279</v>
      </c>
    </row>
    <row r="1610" spans="1:11" x14ac:dyDescent="0.3">
      <c r="A1610">
        <v>2392</v>
      </c>
      <c r="B1610" t="s">
        <v>26</v>
      </c>
      <c r="C1610" s="1">
        <v>45229</v>
      </c>
      <c r="D1610" t="s">
        <v>28</v>
      </c>
      <c r="E1610" t="s">
        <v>16</v>
      </c>
      <c r="F1610">
        <v>4</v>
      </c>
      <c r="G1610">
        <v>14.72</v>
      </c>
      <c r="H1610">
        <v>58.88</v>
      </c>
      <c r="I1610">
        <v>0</v>
      </c>
      <c r="J1610">
        <v>58.88</v>
      </c>
      <c r="K1610">
        <v>124</v>
      </c>
    </row>
    <row r="1611" spans="1:11" x14ac:dyDescent="0.3">
      <c r="A1611">
        <v>5067</v>
      </c>
      <c r="B1611" t="s">
        <v>36</v>
      </c>
      <c r="C1611" s="1">
        <v>45655</v>
      </c>
      <c r="D1611" t="s">
        <v>28</v>
      </c>
      <c r="E1611" t="s">
        <v>21</v>
      </c>
      <c r="F1611">
        <v>4</v>
      </c>
      <c r="G1611">
        <v>20.67</v>
      </c>
      <c r="H1611">
        <v>82.68</v>
      </c>
      <c r="I1611">
        <v>16.54</v>
      </c>
      <c r="J1611">
        <v>66.14</v>
      </c>
      <c r="K1611">
        <v>153</v>
      </c>
    </row>
    <row r="1612" spans="1:11" x14ac:dyDescent="0.3">
      <c r="A1612">
        <v>6816</v>
      </c>
      <c r="B1612" t="s">
        <v>14</v>
      </c>
      <c r="C1612" s="1">
        <v>45274</v>
      </c>
      <c r="D1612" t="s">
        <v>15</v>
      </c>
      <c r="E1612" t="s">
        <v>16</v>
      </c>
      <c r="F1612">
        <v>4</v>
      </c>
      <c r="G1612">
        <v>23.44</v>
      </c>
      <c r="H1612">
        <v>93.76</v>
      </c>
      <c r="I1612">
        <v>1.1100000000000001</v>
      </c>
      <c r="J1612">
        <v>92.65</v>
      </c>
      <c r="K1612">
        <v>488</v>
      </c>
    </row>
    <row r="1613" spans="1:11" x14ac:dyDescent="0.3">
      <c r="A1613">
        <v>1725</v>
      </c>
      <c r="C1613" s="1">
        <v>45582</v>
      </c>
      <c r="D1613" t="s">
        <v>34</v>
      </c>
      <c r="E1613" t="s">
        <v>37</v>
      </c>
      <c r="F1613">
        <v>5</v>
      </c>
      <c r="G1613">
        <v>28.98</v>
      </c>
      <c r="H1613">
        <v>144.9</v>
      </c>
      <c r="I1613">
        <v>4.01</v>
      </c>
      <c r="J1613">
        <v>140.88999999999999</v>
      </c>
      <c r="K1613">
        <v>482</v>
      </c>
    </row>
    <row r="1614" spans="1:11" x14ac:dyDescent="0.3">
      <c r="A1614">
        <v>7547</v>
      </c>
      <c r="B1614" t="s">
        <v>19</v>
      </c>
      <c r="C1614" s="1">
        <v>45729</v>
      </c>
      <c r="D1614" t="s">
        <v>27</v>
      </c>
      <c r="E1614" t="s">
        <v>21</v>
      </c>
      <c r="F1614">
        <v>1</v>
      </c>
      <c r="G1614">
        <v>29.13</v>
      </c>
      <c r="H1614">
        <v>29.13</v>
      </c>
      <c r="I1614">
        <v>4.37</v>
      </c>
      <c r="J1614">
        <v>24.76</v>
      </c>
      <c r="K1614">
        <v>158</v>
      </c>
    </row>
    <row r="1615" spans="1:11" x14ac:dyDescent="0.3">
      <c r="A1615">
        <v>6432</v>
      </c>
      <c r="B1615" t="s">
        <v>26</v>
      </c>
      <c r="C1615" s="1">
        <v>45763</v>
      </c>
      <c r="D1615" t="s">
        <v>20</v>
      </c>
      <c r="E1615" t="s">
        <v>29</v>
      </c>
      <c r="F1615">
        <v>4</v>
      </c>
      <c r="G1615">
        <v>1.01</v>
      </c>
      <c r="H1615">
        <v>4.04</v>
      </c>
      <c r="I1615">
        <v>0.81</v>
      </c>
      <c r="J1615">
        <v>3.23</v>
      </c>
      <c r="K1615">
        <v>75</v>
      </c>
    </row>
    <row r="1616" spans="1:11" x14ac:dyDescent="0.3">
      <c r="A1616">
        <v>8052</v>
      </c>
      <c r="B1616" t="s">
        <v>30</v>
      </c>
      <c r="C1616" s="1">
        <v>45227</v>
      </c>
      <c r="D1616" t="s">
        <v>35</v>
      </c>
      <c r="E1616" t="s">
        <v>43</v>
      </c>
      <c r="F1616">
        <v>2</v>
      </c>
      <c r="G1616">
        <v>7.84</v>
      </c>
      <c r="H1616">
        <v>15.68</v>
      </c>
      <c r="I1616">
        <v>3.9</v>
      </c>
      <c r="J1616">
        <v>11.78</v>
      </c>
      <c r="K1616">
        <v>104</v>
      </c>
    </row>
    <row r="1617" spans="1:11" x14ac:dyDescent="0.3">
      <c r="A1617">
        <v>1172</v>
      </c>
      <c r="B1617" t="s">
        <v>19</v>
      </c>
      <c r="C1617" s="1">
        <v>45221</v>
      </c>
      <c r="D1617" t="s">
        <v>27</v>
      </c>
      <c r="E1617" t="s">
        <v>18</v>
      </c>
      <c r="F1617">
        <v>3</v>
      </c>
      <c r="G1617">
        <v>1.1299999999999999</v>
      </c>
      <c r="H1617">
        <v>3.39</v>
      </c>
      <c r="I1617">
        <v>2.88</v>
      </c>
      <c r="J1617">
        <v>0.51</v>
      </c>
      <c r="K1617">
        <v>81</v>
      </c>
    </row>
    <row r="1618" spans="1:11" x14ac:dyDescent="0.3">
      <c r="A1618">
        <v>5239</v>
      </c>
      <c r="B1618" t="s">
        <v>24</v>
      </c>
      <c r="C1618" s="1">
        <v>45317</v>
      </c>
      <c r="D1618" t="s">
        <v>17</v>
      </c>
      <c r="E1618" t="s">
        <v>47</v>
      </c>
      <c r="F1618">
        <v>4</v>
      </c>
      <c r="G1618">
        <v>25.1</v>
      </c>
      <c r="H1618">
        <v>100.4</v>
      </c>
      <c r="I1618">
        <v>2.5499999999999998</v>
      </c>
      <c r="J1618">
        <v>97.85</v>
      </c>
      <c r="K1618">
        <v>361</v>
      </c>
    </row>
    <row r="1619" spans="1:11" x14ac:dyDescent="0.3">
      <c r="A1619">
        <v>9366</v>
      </c>
      <c r="B1619" t="s">
        <v>36</v>
      </c>
      <c r="C1619" s="1">
        <v>45725</v>
      </c>
      <c r="D1619" t="s">
        <v>34</v>
      </c>
      <c r="E1619" t="s">
        <v>32</v>
      </c>
      <c r="F1619">
        <v>3</v>
      </c>
      <c r="G1619">
        <v>27.03</v>
      </c>
      <c r="H1619">
        <v>81.09</v>
      </c>
      <c r="I1619">
        <v>2.58</v>
      </c>
      <c r="J1619">
        <v>78.510000000000005</v>
      </c>
      <c r="K1619">
        <v>419</v>
      </c>
    </row>
    <row r="1620" spans="1:11" x14ac:dyDescent="0.3">
      <c r="A1620">
        <v>9499</v>
      </c>
      <c r="B1620" t="s">
        <v>11</v>
      </c>
      <c r="C1620" s="1">
        <v>45578</v>
      </c>
      <c r="D1620" t="s">
        <v>22</v>
      </c>
      <c r="E1620" t="s">
        <v>47</v>
      </c>
      <c r="F1620">
        <v>5</v>
      </c>
      <c r="G1620">
        <v>1.77</v>
      </c>
      <c r="H1620">
        <v>8.85</v>
      </c>
      <c r="I1620">
        <v>1.77</v>
      </c>
      <c r="J1620">
        <v>7.08</v>
      </c>
      <c r="K1620">
        <v>453</v>
      </c>
    </row>
    <row r="1621" spans="1:11" x14ac:dyDescent="0.3">
      <c r="A1621">
        <v>4621</v>
      </c>
      <c r="B1621" t="s">
        <v>36</v>
      </c>
      <c r="C1621" s="1">
        <v>45491</v>
      </c>
      <c r="D1621" t="s">
        <v>22</v>
      </c>
      <c r="E1621" t="s">
        <v>21</v>
      </c>
      <c r="F1621">
        <v>5</v>
      </c>
      <c r="G1621">
        <v>24.86</v>
      </c>
      <c r="H1621">
        <v>124.3</v>
      </c>
      <c r="I1621">
        <v>3.58</v>
      </c>
      <c r="J1621">
        <v>120.72</v>
      </c>
      <c r="K1621">
        <v>312</v>
      </c>
    </row>
    <row r="1622" spans="1:11" x14ac:dyDescent="0.3">
      <c r="A1622">
        <v>7129</v>
      </c>
      <c r="B1622" t="s">
        <v>19</v>
      </c>
      <c r="C1622" s="1">
        <v>45448</v>
      </c>
      <c r="D1622" t="s">
        <v>45</v>
      </c>
      <c r="E1622" t="s">
        <v>44</v>
      </c>
      <c r="F1622">
        <v>1</v>
      </c>
      <c r="G1622">
        <v>7.12</v>
      </c>
      <c r="H1622">
        <v>7.12</v>
      </c>
      <c r="I1622">
        <v>1.07</v>
      </c>
      <c r="J1622">
        <v>6.05</v>
      </c>
      <c r="K1622">
        <v>222</v>
      </c>
    </row>
    <row r="1623" spans="1:11" x14ac:dyDescent="0.3">
      <c r="A1623">
        <v>8586</v>
      </c>
      <c r="B1623" t="s">
        <v>24</v>
      </c>
      <c r="C1623" s="1">
        <v>45744</v>
      </c>
      <c r="D1623" t="s">
        <v>27</v>
      </c>
      <c r="E1623" t="s">
        <v>29</v>
      </c>
      <c r="F1623">
        <v>4</v>
      </c>
      <c r="G1623">
        <v>5.36</v>
      </c>
      <c r="H1623">
        <v>21.44</v>
      </c>
      <c r="I1623">
        <v>0</v>
      </c>
      <c r="J1623">
        <v>21.44</v>
      </c>
      <c r="K1623">
        <v>159</v>
      </c>
    </row>
    <row r="1624" spans="1:11" x14ac:dyDescent="0.3">
      <c r="A1624">
        <v>9199</v>
      </c>
      <c r="B1624" t="s">
        <v>26</v>
      </c>
      <c r="C1624" s="1">
        <v>45262</v>
      </c>
      <c r="D1624" t="s">
        <v>12</v>
      </c>
      <c r="E1624" t="s">
        <v>13</v>
      </c>
      <c r="F1624">
        <v>4</v>
      </c>
      <c r="G1624">
        <v>6.2</v>
      </c>
      <c r="H1624">
        <v>24.8</v>
      </c>
      <c r="I1624">
        <v>2.48</v>
      </c>
      <c r="J1624">
        <v>22.32</v>
      </c>
      <c r="K1624">
        <v>203</v>
      </c>
    </row>
    <row r="1625" spans="1:11" x14ac:dyDescent="0.3">
      <c r="A1625">
        <v>6651</v>
      </c>
      <c r="B1625" t="s">
        <v>11</v>
      </c>
      <c r="C1625" s="1">
        <v>45164</v>
      </c>
      <c r="D1625" t="s">
        <v>22</v>
      </c>
      <c r="E1625" t="s">
        <v>48</v>
      </c>
      <c r="F1625">
        <v>4</v>
      </c>
      <c r="G1625">
        <v>24.29</v>
      </c>
      <c r="H1625">
        <v>97.16</v>
      </c>
      <c r="I1625">
        <v>14.57</v>
      </c>
      <c r="J1625">
        <v>82.59</v>
      </c>
      <c r="K1625">
        <v>6</v>
      </c>
    </row>
    <row r="1626" spans="1:11" x14ac:dyDescent="0.3">
      <c r="A1626">
        <v>8909</v>
      </c>
      <c r="B1626" t="s">
        <v>19</v>
      </c>
      <c r="C1626" s="1">
        <v>45226</v>
      </c>
      <c r="D1626" t="s">
        <v>28</v>
      </c>
      <c r="E1626" t="s">
        <v>46</v>
      </c>
      <c r="F1626">
        <v>4</v>
      </c>
      <c r="G1626">
        <v>20.89</v>
      </c>
      <c r="H1626">
        <v>83.56</v>
      </c>
      <c r="I1626">
        <v>0</v>
      </c>
      <c r="J1626">
        <v>83.56</v>
      </c>
      <c r="K1626">
        <v>5</v>
      </c>
    </row>
    <row r="1627" spans="1:11" x14ac:dyDescent="0.3">
      <c r="A1627">
        <v>5840</v>
      </c>
      <c r="B1627" t="s">
        <v>24</v>
      </c>
      <c r="C1627" s="1">
        <v>45468</v>
      </c>
      <c r="D1627" t="s">
        <v>20</v>
      </c>
      <c r="E1627" t="s">
        <v>40</v>
      </c>
      <c r="F1627">
        <v>3</v>
      </c>
      <c r="G1627">
        <v>13.31</v>
      </c>
      <c r="H1627">
        <v>39.93</v>
      </c>
      <c r="I1627">
        <v>4.2300000000000004</v>
      </c>
      <c r="J1627">
        <v>35.700000000000003</v>
      </c>
      <c r="K1627">
        <v>379</v>
      </c>
    </row>
    <row r="1628" spans="1:11" x14ac:dyDescent="0.3">
      <c r="A1628">
        <v>2406</v>
      </c>
      <c r="B1628" t="s">
        <v>26</v>
      </c>
      <c r="C1628" s="1">
        <v>45235</v>
      </c>
      <c r="D1628" t="s">
        <v>38</v>
      </c>
      <c r="E1628" t="s">
        <v>23</v>
      </c>
      <c r="F1628">
        <v>4</v>
      </c>
      <c r="G1628">
        <v>21.64</v>
      </c>
      <c r="H1628">
        <v>86.56</v>
      </c>
      <c r="I1628">
        <v>4.1399999999999997</v>
      </c>
      <c r="J1628">
        <v>82.42</v>
      </c>
      <c r="K1628">
        <v>432</v>
      </c>
    </row>
    <row r="1629" spans="1:11" x14ac:dyDescent="0.3">
      <c r="A1629">
        <v>3321</v>
      </c>
      <c r="B1629" t="s">
        <v>24</v>
      </c>
      <c r="C1629" s="1">
        <v>45415</v>
      </c>
      <c r="D1629" t="s">
        <v>38</v>
      </c>
      <c r="E1629" t="s">
        <v>32</v>
      </c>
      <c r="F1629">
        <v>1</v>
      </c>
      <c r="G1629">
        <v>5.35</v>
      </c>
      <c r="H1629">
        <v>5.35</v>
      </c>
      <c r="I1629">
        <v>1.07</v>
      </c>
      <c r="J1629">
        <v>4.28</v>
      </c>
      <c r="K1629">
        <v>172</v>
      </c>
    </row>
    <row r="1630" spans="1:11" x14ac:dyDescent="0.3">
      <c r="A1630">
        <v>6110</v>
      </c>
      <c r="B1630" t="s">
        <v>14</v>
      </c>
      <c r="C1630" s="1">
        <v>45411</v>
      </c>
      <c r="D1630" t="s">
        <v>28</v>
      </c>
      <c r="E1630" t="s">
        <v>33</v>
      </c>
      <c r="F1630">
        <v>4</v>
      </c>
      <c r="G1630">
        <v>2.4</v>
      </c>
      <c r="H1630">
        <v>9.6</v>
      </c>
      <c r="I1630">
        <v>4.47</v>
      </c>
      <c r="J1630">
        <v>5.13</v>
      </c>
      <c r="K1630">
        <v>144</v>
      </c>
    </row>
    <row r="1631" spans="1:11" x14ac:dyDescent="0.3">
      <c r="A1631">
        <v>8460</v>
      </c>
      <c r="B1631" t="s">
        <v>26</v>
      </c>
      <c r="C1631" s="1">
        <v>45754</v>
      </c>
      <c r="D1631" t="s">
        <v>22</v>
      </c>
      <c r="E1631" t="s">
        <v>40</v>
      </c>
      <c r="F1631">
        <v>5</v>
      </c>
      <c r="G1631">
        <v>20.9</v>
      </c>
      <c r="H1631">
        <v>104.5</v>
      </c>
      <c r="I1631">
        <v>15.67</v>
      </c>
      <c r="J1631">
        <v>88.83</v>
      </c>
      <c r="K1631">
        <v>129</v>
      </c>
    </row>
    <row r="1632" spans="1:11" x14ac:dyDescent="0.3">
      <c r="A1632">
        <v>4389</v>
      </c>
      <c r="B1632" t="s">
        <v>30</v>
      </c>
      <c r="C1632" s="1">
        <v>45549</v>
      </c>
      <c r="D1632" t="s">
        <v>12</v>
      </c>
      <c r="E1632" t="s">
        <v>18</v>
      </c>
      <c r="F1632">
        <v>3</v>
      </c>
      <c r="G1632">
        <v>6.17</v>
      </c>
      <c r="H1632">
        <v>18.510000000000002</v>
      </c>
      <c r="I1632">
        <v>2.79</v>
      </c>
      <c r="J1632">
        <v>15.72</v>
      </c>
      <c r="K1632">
        <v>182</v>
      </c>
    </row>
    <row r="1633" spans="1:11" x14ac:dyDescent="0.3">
      <c r="A1633">
        <v>8912</v>
      </c>
      <c r="B1633" t="s">
        <v>30</v>
      </c>
      <c r="C1633" s="1">
        <v>45415</v>
      </c>
      <c r="D1633" t="s">
        <v>27</v>
      </c>
      <c r="E1633" t="s">
        <v>40</v>
      </c>
      <c r="F1633">
        <v>5</v>
      </c>
      <c r="G1633">
        <v>4.2300000000000004</v>
      </c>
      <c r="H1633">
        <v>21.15</v>
      </c>
      <c r="I1633">
        <v>3.95</v>
      </c>
      <c r="J1633">
        <v>17.2</v>
      </c>
      <c r="K1633">
        <v>374</v>
      </c>
    </row>
    <row r="1634" spans="1:11" x14ac:dyDescent="0.3">
      <c r="A1634">
        <v>8801</v>
      </c>
      <c r="B1634" t="s">
        <v>42</v>
      </c>
      <c r="C1634" s="1">
        <v>45220</v>
      </c>
      <c r="D1634" t="s">
        <v>34</v>
      </c>
      <c r="E1634" t="s">
        <v>43</v>
      </c>
      <c r="F1634">
        <v>5</v>
      </c>
      <c r="G1634">
        <v>3.73</v>
      </c>
      <c r="H1634">
        <v>18.649999999999999</v>
      </c>
      <c r="I1634">
        <v>0</v>
      </c>
      <c r="J1634">
        <v>18.649999999999999</v>
      </c>
      <c r="K1634">
        <v>372</v>
      </c>
    </row>
    <row r="1635" spans="1:11" x14ac:dyDescent="0.3">
      <c r="A1635">
        <v>8178</v>
      </c>
      <c r="B1635" t="s">
        <v>26</v>
      </c>
      <c r="C1635" s="1">
        <v>45705</v>
      </c>
      <c r="D1635" t="s">
        <v>20</v>
      </c>
      <c r="E1635" t="s">
        <v>13</v>
      </c>
      <c r="F1635">
        <v>3</v>
      </c>
      <c r="G1635">
        <v>29.17</v>
      </c>
      <c r="H1635">
        <v>87.51</v>
      </c>
      <c r="I1635">
        <v>0</v>
      </c>
      <c r="J1635">
        <v>87.51</v>
      </c>
      <c r="K1635">
        <v>352</v>
      </c>
    </row>
    <row r="1636" spans="1:11" x14ac:dyDescent="0.3">
      <c r="A1636">
        <v>8412</v>
      </c>
      <c r="C1636" s="1">
        <v>45392</v>
      </c>
      <c r="D1636" t="s">
        <v>28</v>
      </c>
      <c r="E1636" t="s">
        <v>33</v>
      </c>
      <c r="F1636">
        <v>1</v>
      </c>
      <c r="G1636">
        <v>3.21</v>
      </c>
      <c r="H1636">
        <v>3.21</v>
      </c>
      <c r="I1636">
        <v>0.64</v>
      </c>
      <c r="J1636">
        <v>2.57</v>
      </c>
      <c r="K1636">
        <v>190</v>
      </c>
    </row>
    <row r="1637" spans="1:11" x14ac:dyDescent="0.3">
      <c r="A1637">
        <v>2100</v>
      </c>
      <c r="B1637" t="s">
        <v>11</v>
      </c>
      <c r="C1637" s="1">
        <v>45378</v>
      </c>
      <c r="D1637" t="s">
        <v>20</v>
      </c>
      <c r="E1637" t="s">
        <v>46</v>
      </c>
      <c r="F1637">
        <v>1</v>
      </c>
      <c r="G1637">
        <v>10.79</v>
      </c>
      <c r="H1637">
        <v>10.79</v>
      </c>
      <c r="I1637">
        <v>1.08</v>
      </c>
      <c r="J1637">
        <v>9.7100000000000009</v>
      </c>
      <c r="K1637">
        <v>326</v>
      </c>
    </row>
    <row r="1638" spans="1:11" x14ac:dyDescent="0.3">
      <c r="A1638">
        <v>1732</v>
      </c>
      <c r="B1638" t="s">
        <v>24</v>
      </c>
      <c r="C1638" s="1">
        <v>45774</v>
      </c>
      <c r="D1638" t="s">
        <v>12</v>
      </c>
      <c r="E1638" t="s">
        <v>29</v>
      </c>
      <c r="F1638">
        <v>3</v>
      </c>
      <c r="G1638">
        <v>21.92</v>
      </c>
      <c r="H1638">
        <v>65.760000000000005</v>
      </c>
      <c r="I1638">
        <v>6.58</v>
      </c>
      <c r="J1638">
        <v>59.18</v>
      </c>
      <c r="K1638">
        <v>380</v>
      </c>
    </row>
    <row r="1639" spans="1:11" x14ac:dyDescent="0.3">
      <c r="A1639">
        <v>2885</v>
      </c>
      <c r="B1639" t="s">
        <v>11</v>
      </c>
      <c r="C1639" s="1">
        <v>45162</v>
      </c>
      <c r="D1639" t="s">
        <v>17</v>
      </c>
      <c r="E1639" t="s">
        <v>13</v>
      </c>
      <c r="F1639">
        <v>3</v>
      </c>
      <c r="G1639">
        <v>18.84</v>
      </c>
      <c r="H1639">
        <v>56.52</v>
      </c>
      <c r="I1639">
        <v>0</v>
      </c>
      <c r="J1639">
        <v>56.52</v>
      </c>
      <c r="K1639">
        <v>276</v>
      </c>
    </row>
    <row r="1640" spans="1:11" x14ac:dyDescent="0.3">
      <c r="A1640">
        <v>6620</v>
      </c>
      <c r="B1640" t="s">
        <v>31</v>
      </c>
      <c r="C1640" s="1">
        <v>45648</v>
      </c>
      <c r="D1640" t="s">
        <v>22</v>
      </c>
      <c r="E1640" t="s">
        <v>47</v>
      </c>
      <c r="F1640">
        <v>2</v>
      </c>
      <c r="G1640">
        <v>23.05</v>
      </c>
      <c r="H1640">
        <v>46.1</v>
      </c>
      <c r="I1640">
        <v>0</v>
      </c>
      <c r="J1640">
        <v>46.1</v>
      </c>
      <c r="K1640">
        <v>223</v>
      </c>
    </row>
    <row r="1641" spans="1:11" x14ac:dyDescent="0.3">
      <c r="A1641">
        <v>2791</v>
      </c>
      <c r="B1641" t="s">
        <v>19</v>
      </c>
      <c r="C1641" s="1">
        <v>45670</v>
      </c>
      <c r="D1641" t="s">
        <v>35</v>
      </c>
      <c r="E1641" t="s">
        <v>46</v>
      </c>
      <c r="F1641">
        <v>1</v>
      </c>
      <c r="G1641">
        <v>18.52</v>
      </c>
      <c r="H1641">
        <v>18.52</v>
      </c>
      <c r="I1641">
        <v>0</v>
      </c>
      <c r="J1641">
        <v>18.52</v>
      </c>
      <c r="K1641">
        <v>465</v>
      </c>
    </row>
    <row r="1642" spans="1:11" x14ac:dyDescent="0.3">
      <c r="A1642">
        <v>3692</v>
      </c>
      <c r="B1642" t="s">
        <v>30</v>
      </c>
      <c r="C1642" s="1">
        <v>45867</v>
      </c>
      <c r="D1642" t="s">
        <v>35</v>
      </c>
      <c r="E1642" t="s">
        <v>39</v>
      </c>
      <c r="F1642">
        <v>4</v>
      </c>
      <c r="G1642">
        <v>7</v>
      </c>
      <c r="H1642">
        <v>28</v>
      </c>
      <c r="I1642">
        <v>0</v>
      </c>
      <c r="J1642">
        <v>28</v>
      </c>
      <c r="K1642">
        <v>400</v>
      </c>
    </row>
    <row r="1643" spans="1:11" x14ac:dyDescent="0.3">
      <c r="A1643">
        <v>4996</v>
      </c>
      <c r="B1643" t="s">
        <v>19</v>
      </c>
      <c r="C1643" s="1">
        <v>45545</v>
      </c>
      <c r="D1643" t="s">
        <v>35</v>
      </c>
      <c r="E1643" t="s">
        <v>13</v>
      </c>
      <c r="F1643">
        <v>4</v>
      </c>
      <c r="G1643">
        <v>18.36</v>
      </c>
      <c r="H1643">
        <v>73.44</v>
      </c>
      <c r="I1643">
        <v>1.89</v>
      </c>
      <c r="J1643">
        <v>71.55</v>
      </c>
      <c r="K1643">
        <v>499</v>
      </c>
    </row>
    <row r="1644" spans="1:11" x14ac:dyDescent="0.3">
      <c r="A1644">
        <v>3858</v>
      </c>
      <c r="C1644" s="1">
        <v>45573</v>
      </c>
      <c r="D1644" t="s">
        <v>22</v>
      </c>
      <c r="E1644" t="s">
        <v>25</v>
      </c>
      <c r="F1644">
        <v>1</v>
      </c>
      <c r="G1644">
        <v>18.72</v>
      </c>
      <c r="H1644">
        <v>18.72</v>
      </c>
      <c r="I1644">
        <v>2.68</v>
      </c>
      <c r="J1644">
        <v>16.04</v>
      </c>
      <c r="K1644">
        <v>372</v>
      </c>
    </row>
    <row r="1645" spans="1:11" x14ac:dyDescent="0.3">
      <c r="A1645">
        <v>3623</v>
      </c>
      <c r="B1645" t="s">
        <v>36</v>
      </c>
      <c r="C1645" s="1">
        <v>45402</v>
      </c>
      <c r="D1645" t="s">
        <v>38</v>
      </c>
      <c r="E1645" t="s">
        <v>32</v>
      </c>
      <c r="F1645">
        <v>4</v>
      </c>
      <c r="G1645">
        <v>27.96</v>
      </c>
      <c r="H1645">
        <v>111.84</v>
      </c>
      <c r="I1645">
        <v>16.78</v>
      </c>
      <c r="J1645">
        <v>95.06</v>
      </c>
      <c r="K1645">
        <v>6</v>
      </c>
    </row>
    <row r="1646" spans="1:11" x14ac:dyDescent="0.3">
      <c r="A1646">
        <v>7985</v>
      </c>
      <c r="B1646" t="s">
        <v>36</v>
      </c>
      <c r="C1646" s="1">
        <v>45503</v>
      </c>
      <c r="D1646" t="s">
        <v>22</v>
      </c>
      <c r="E1646" t="s">
        <v>33</v>
      </c>
      <c r="F1646">
        <v>2</v>
      </c>
      <c r="G1646">
        <v>14.39</v>
      </c>
      <c r="H1646">
        <v>28.78</v>
      </c>
      <c r="I1646">
        <v>5.76</v>
      </c>
      <c r="J1646">
        <v>23.02</v>
      </c>
      <c r="K1646">
        <v>380</v>
      </c>
    </row>
    <row r="1647" spans="1:11" x14ac:dyDescent="0.3">
      <c r="A1647">
        <v>4798</v>
      </c>
      <c r="B1647" t="s">
        <v>14</v>
      </c>
      <c r="C1647" s="1">
        <v>45764</v>
      </c>
      <c r="D1647" t="s">
        <v>34</v>
      </c>
      <c r="E1647" t="s">
        <v>32</v>
      </c>
      <c r="F1647">
        <v>3</v>
      </c>
      <c r="G1647">
        <v>12.68</v>
      </c>
      <c r="H1647">
        <v>38.04</v>
      </c>
      <c r="I1647">
        <v>0</v>
      </c>
      <c r="J1647">
        <v>38.04</v>
      </c>
      <c r="K1647">
        <v>338</v>
      </c>
    </row>
    <row r="1648" spans="1:11" x14ac:dyDescent="0.3">
      <c r="A1648">
        <v>7636</v>
      </c>
      <c r="B1648" t="s">
        <v>26</v>
      </c>
      <c r="C1648" s="1">
        <v>45634</v>
      </c>
      <c r="D1648" t="s">
        <v>38</v>
      </c>
      <c r="E1648" t="s">
        <v>23</v>
      </c>
      <c r="F1648">
        <v>1</v>
      </c>
      <c r="G1648">
        <v>7.01</v>
      </c>
      <c r="H1648">
        <v>7.01</v>
      </c>
      <c r="I1648">
        <v>1.05</v>
      </c>
      <c r="J1648">
        <v>5.96</v>
      </c>
      <c r="K1648">
        <v>271</v>
      </c>
    </row>
    <row r="1649" spans="1:11" x14ac:dyDescent="0.3">
      <c r="A1649">
        <v>4022</v>
      </c>
      <c r="B1649" t="s">
        <v>30</v>
      </c>
      <c r="C1649" s="1">
        <v>45289</v>
      </c>
      <c r="D1649" t="s">
        <v>22</v>
      </c>
      <c r="E1649" t="s">
        <v>33</v>
      </c>
      <c r="F1649">
        <v>4</v>
      </c>
      <c r="G1649">
        <v>1.85</v>
      </c>
      <c r="H1649">
        <v>7.4</v>
      </c>
      <c r="I1649">
        <v>2.41</v>
      </c>
      <c r="J1649">
        <v>4.99</v>
      </c>
      <c r="K1649">
        <v>319</v>
      </c>
    </row>
    <row r="1650" spans="1:11" x14ac:dyDescent="0.3">
      <c r="A1650">
        <v>8080</v>
      </c>
      <c r="B1650" t="s">
        <v>24</v>
      </c>
      <c r="C1650" s="1">
        <v>45452</v>
      </c>
      <c r="D1650" t="s">
        <v>20</v>
      </c>
      <c r="E1650" t="s">
        <v>39</v>
      </c>
      <c r="F1650">
        <v>3</v>
      </c>
      <c r="G1650">
        <v>17.13</v>
      </c>
      <c r="H1650">
        <v>51.39</v>
      </c>
      <c r="I1650">
        <v>5.14</v>
      </c>
      <c r="J1650">
        <v>46.25</v>
      </c>
      <c r="K1650">
        <v>251</v>
      </c>
    </row>
    <row r="1651" spans="1:11" x14ac:dyDescent="0.3">
      <c r="A1651">
        <v>1478</v>
      </c>
      <c r="B1651" t="s">
        <v>14</v>
      </c>
      <c r="C1651" s="1">
        <v>45717</v>
      </c>
      <c r="D1651" t="s">
        <v>34</v>
      </c>
      <c r="E1651" t="s">
        <v>32</v>
      </c>
      <c r="F1651">
        <v>5</v>
      </c>
      <c r="G1651">
        <v>28.51</v>
      </c>
      <c r="H1651">
        <v>142.55000000000001</v>
      </c>
      <c r="I1651">
        <v>14.26</v>
      </c>
      <c r="J1651">
        <v>128.29</v>
      </c>
      <c r="K1651">
        <v>63</v>
      </c>
    </row>
    <row r="1652" spans="1:11" x14ac:dyDescent="0.3">
      <c r="A1652">
        <v>4232</v>
      </c>
      <c r="B1652" t="s">
        <v>42</v>
      </c>
      <c r="C1652" s="1">
        <v>45494</v>
      </c>
      <c r="D1652" t="s">
        <v>17</v>
      </c>
      <c r="E1652" t="s">
        <v>48</v>
      </c>
      <c r="F1652">
        <v>5</v>
      </c>
      <c r="G1652">
        <v>9.3800000000000008</v>
      </c>
      <c r="H1652">
        <v>46.9</v>
      </c>
      <c r="I1652">
        <v>0</v>
      </c>
      <c r="J1652">
        <v>46.9</v>
      </c>
      <c r="K1652">
        <v>442</v>
      </c>
    </row>
    <row r="1653" spans="1:11" x14ac:dyDescent="0.3">
      <c r="A1653">
        <v>8037</v>
      </c>
      <c r="B1653" t="s">
        <v>24</v>
      </c>
      <c r="C1653" s="1">
        <v>45447</v>
      </c>
      <c r="D1653" t="s">
        <v>38</v>
      </c>
      <c r="E1653" t="s">
        <v>16</v>
      </c>
      <c r="F1653">
        <v>3</v>
      </c>
      <c r="G1653">
        <v>22.78</v>
      </c>
      <c r="H1653">
        <v>68.34</v>
      </c>
      <c r="I1653">
        <v>10.25</v>
      </c>
      <c r="J1653">
        <v>58.09</v>
      </c>
      <c r="K1653">
        <v>214</v>
      </c>
    </row>
    <row r="1654" spans="1:11" x14ac:dyDescent="0.3">
      <c r="A1654">
        <v>1072</v>
      </c>
      <c r="B1654" t="s">
        <v>36</v>
      </c>
      <c r="C1654" s="1">
        <v>45692</v>
      </c>
      <c r="D1654" t="s">
        <v>27</v>
      </c>
      <c r="E1654" t="s">
        <v>48</v>
      </c>
      <c r="F1654">
        <v>3</v>
      </c>
      <c r="G1654">
        <v>15.56</v>
      </c>
      <c r="H1654">
        <v>46.68</v>
      </c>
      <c r="I1654">
        <v>9.34</v>
      </c>
      <c r="J1654">
        <v>37.340000000000003</v>
      </c>
      <c r="K1654">
        <v>272</v>
      </c>
    </row>
    <row r="1655" spans="1:11" x14ac:dyDescent="0.3">
      <c r="A1655">
        <v>4519</v>
      </c>
      <c r="B1655" t="s">
        <v>24</v>
      </c>
      <c r="C1655" s="1">
        <v>45304</v>
      </c>
      <c r="D1655" t="s">
        <v>45</v>
      </c>
      <c r="E1655" t="s">
        <v>33</v>
      </c>
      <c r="F1655">
        <v>3</v>
      </c>
      <c r="G1655">
        <v>24.95</v>
      </c>
      <c r="H1655">
        <v>74.849999999999994</v>
      </c>
      <c r="I1655">
        <v>14.97</v>
      </c>
      <c r="J1655">
        <v>59.88</v>
      </c>
      <c r="K1655">
        <v>230</v>
      </c>
    </row>
    <row r="1656" spans="1:11" x14ac:dyDescent="0.3">
      <c r="A1656">
        <v>5560</v>
      </c>
      <c r="B1656" t="s">
        <v>24</v>
      </c>
      <c r="C1656" s="1">
        <v>45729</v>
      </c>
      <c r="D1656" t="s">
        <v>35</v>
      </c>
      <c r="E1656" t="s">
        <v>39</v>
      </c>
      <c r="F1656">
        <v>5</v>
      </c>
      <c r="G1656">
        <v>25.06</v>
      </c>
      <c r="H1656">
        <v>125.3</v>
      </c>
      <c r="I1656">
        <v>0</v>
      </c>
      <c r="J1656">
        <v>125.3</v>
      </c>
      <c r="K1656">
        <v>390</v>
      </c>
    </row>
    <row r="1657" spans="1:11" x14ac:dyDescent="0.3">
      <c r="A1657">
        <v>2025</v>
      </c>
      <c r="B1657" t="s">
        <v>19</v>
      </c>
      <c r="C1657" s="1">
        <v>45593</v>
      </c>
      <c r="D1657" t="s">
        <v>27</v>
      </c>
      <c r="E1657" t="s">
        <v>48</v>
      </c>
      <c r="F1657">
        <v>4</v>
      </c>
      <c r="G1657">
        <v>17.809999999999999</v>
      </c>
      <c r="H1657">
        <v>71.239999999999995</v>
      </c>
      <c r="I1657">
        <v>7.12</v>
      </c>
      <c r="J1657">
        <v>64.12</v>
      </c>
      <c r="K1657">
        <v>214</v>
      </c>
    </row>
    <row r="1658" spans="1:11" x14ac:dyDescent="0.3">
      <c r="A1658">
        <v>2667</v>
      </c>
      <c r="B1658" t="s">
        <v>42</v>
      </c>
      <c r="C1658" s="1">
        <v>45765</v>
      </c>
      <c r="D1658" t="s">
        <v>27</v>
      </c>
      <c r="E1658" t="s">
        <v>39</v>
      </c>
      <c r="F1658">
        <v>5</v>
      </c>
      <c r="G1658">
        <v>7.49</v>
      </c>
      <c r="H1658">
        <v>37.450000000000003</v>
      </c>
      <c r="I1658">
        <v>3.28</v>
      </c>
      <c r="J1658">
        <v>34.17</v>
      </c>
      <c r="K1658">
        <v>312</v>
      </c>
    </row>
    <row r="1659" spans="1:11" x14ac:dyDescent="0.3">
      <c r="A1659">
        <v>9796</v>
      </c>
      <c r="B1659" t="s">
        <v>24</v>
      </c>
      <c r="C1659" s="1">
        <v>45290</v>
      </c>
      <c r="D1659" t="s">
        <v>12</v>
      </c>
      <c r="E1659" t="s">
        <v>21</v>
      </c>
      <c r="F1659">
        <v>5</v>
      </c>
      <c r="G1659">
        <v>8.24</v>
      </c>
      <c r="H1659">
        <v>41.2</v>
      </c>
      <c r="I1659">
        <v>0</v>
      </c>
      <c r="J1659">
        <v>41.2</v>
      </c>
      <c r="K1659">
        <v>291</v>
      </c>
    </row>
    <row r="1660" spans="1:11" x14ac:dyDescent="0.3">
      <c r="A1660">
        <v>6993</v>
      </c>
      <c r="B1660" t="s">
        <v>11</v>
      </c>
      <c r="C1660" s="1">
        <v>45398</v>
      </c>
      <c r="D1660" t="s">
        <v>22</v>
      </c>
      <c r="E1660" t="s">
        <v>39</v>
      </c>
      <c r="F1660">
        <v>5</v>
      </c>
      <c r="G1660">
        <v>26.61</v>
      </c>
      <c r="H1660">
        <v>133.05000000000001</v>
      </c>
      <c r="I1660">
        <v>3.05</v>
      </c>
      <c r="J1660">
        <v>130</v>
      </c>
      <c r="K1660">
        <v>334</v>
      </c>
    </row>
    <row r="1661" spans="1:11" x14ac:dyDescent="0.3">
      <c r="A1661">
        <v>4228</v>
      </c>
      <c r="B1661" t="s">
        <v>42</v>
      </c>
      <c r="C1661" s="1">
        <v>45500</v>
      </c>
      <c r="D1661" t="s">
        <v>34</v>
      </c>
      <c r="E1661" t="s">
        <v>33</v>
      </c>
      <c r="F1661">
        <v>3</v>
      </c>
      <c r="G1661">
        <v>21.96</v>
      </c>
      <c r="H1661">
        <v>65.88</v>
      </c>
      <c r="I1661">
        <v>6.59</v>
      </c>
      <c r="J1661">
        <v>59.29</v>
      </c>
      <c r="K1661">
        <v>122</v>
      </c>
    </row>
    <row r="1662" spans="1:11" x14ac:dyDescent="0.3">
      <c r="A1662">
        <v>2867</v>
      </c>
      <c r="B1662" t="s">
        <v>42</v>
      </c>
      <c r="C1662" s="1">
        <v>45348</v>
      </c>
      <c r="D1662" t="s">
        <v>22</v>
      </c>
      <c r="E1662" t="s">
        <v>41</v>
      </c>
      <c r="F1662">
        <v>3</v>
      </c>
      <c r="G1662">
        <v>2.87</v>
      </c>
      <c r="H1662">
        <v>8.61</v>
      </c>
      <c r="I1662">
        <v>2.84</v>
      </c>
      <c r="J1662">
        <v>5.77</v>
      </c>
      <c r="K1662">
        <v>15</v>
      </c>
    </row>
    <row r="1663" spans="1:11" x14ac:dyDescent="0.3">
      <c r="A1663">
        <v>9019</v>
      </c>
      <c r="B1663" t="s">
        <v>42</v>
      </c>
      <c r="C1663" s="1">
        <v>45554</v>
      </c>
      <c r="D1663" t="s">
        <v>27</v>
      </c>
      <c r="E1663" t="s">
        <v>33</v>
      </c>
      <c r="F1663">
        <v>2</v>
      </c>
      <c r="G1663">
        <v>24.1</v>
      </c>
      <c r="H1663">
        <v>48.2</v>
      </c>
      <c r="I1663">
        <v>3.57</v>
      </c>
      <c r="J1663">
        <v>44.63</v>
      </c>
      <c r="K1663">
        <v>498</v>
      </c>
    </row>
    <row r="1664" spans="1:11" x14ac:dyDescent="0.3">
      <c r="A1664">
        <v>6134</v>
      </c>
      <c r="B1664" t="s">
        <v>36</v>
      </c>
      <c r="C1664" s="1">
        <v>45608</v>
      </c>
      <c r="D1664" t="s">
        <v>34</v>
      </c>
      <c r="E1664" t="s">
        <v>25</v>
      </c>
      <c r="F1664">
        <v>4</v>
      </c>
      <c r="G1664">
        <v>21.93</v>
      </c>
      <c r="H1664">
        <v>87.72</v>
      </c>
      <c r="I1664">
        <v>0</v>
      </c>
      <c r="J1664">
        <v>87.72</v>
      </c>
      <c r="K1664">
        <v>35</v>
      </c>
    </row>
    <row r="1665" spans="1:11" x14ac:dyDescent="0.3">
      <c r="A1665">
        <v>7367</v>
      </c>
      <c r="B1665" t="s">
        <v>31</v>
      </c>
      <c r="C1665" s="1">
        <v>45619</v>
      </c>
      <c r="D1665" t="s">
        <v>27</v>
      </c>
      <c r="E1665" t="s">
        <v>16</v>
      </c>
      <c r="F1665">
        <v>5</v>
      </c>
      <c r="G1665">
        <v>29.86</v>
      </c>
      <c r="H1665">
        <v>149.30000000000001</v>
      </c>
      <c r="I1665">
        <v>4.13</v>
      </c>
      <c r="J1665">
        <v>145.16999999999999</v>
      </c>
      <c r="K1665">
        <v>441</v>
      </c>
    </row>
    <row r="1666" spans="1:11" x14ac:dyDescent="0.3">
      <c r="A1666">
        <v>7431</v>
      </c>
      <c r="B1666" t="s">
        <v>30</v>
      </c>
      <c r="C1666" s="1">
        <v>45600</v>
      </c>
      <c r="D1666" t="s">
        <v>38</v>
      </c>
      <c r="E1666" t="s">
        <v>48</v>
      </c>
      <c r="F1666">
        <v>5</v>
      </c>
      <c r="G1666">
        <v>19.760000000000002</v>
      </c>
      <c r="H1666">
        <v>98.8</v>
      </c>
      <c r="I1666">
        <v>9.8800000000000008</v>
      </c>
      <c r="J1666">
        <v>88.92</v>
      </c>
      <c r="K1666">
        <v>273</v>
      </c>
    </row>
    <row r="1667" spans="1:11" x14ac:dyDescent="0.3">
      <c r="A1667">
        <v>2871</v>
      </c>
      <c r="B1667" t="s">
        <v>26</v>
      </c>
      <c r="C1667" s="1">
        <v>45415</v>
      </c>
      <c r="D1667" t="s">
        <v>12</v>
      </c>
      <c r="E1667" t="s">
        <v>37</v>
      </c>
      <c r="F1667">
        <v>4</v>
      </c>
      <c r="G1667">
        <v>25.01</v>
      </c>
      <c r="H1667">
        <v>100.04</v>
      </c>
      <c r="I1667">
        <v>15.01</v>
      </c>
      <c r="J1667">
        <v>85.03</v>
      </c>
      <c r="K1667">
        <v>371</v>
      </c>
    </row>
    <row r="1668" spans="1:11" x14ac:dyDescent="0.3">
      <c r="A1668">
        <v>6766</v>
      </c>
      <c r="B1668" t="s">
        <v>24</v>
      </c>
      <c r="C1668" s="1">
        <v>45801</v>
      </c>
      <c r="D1668" t="s">
        <v>38</v>
      </c>
      <c r="E1668" t="s">
        <v>33</v>
      </c>
      <c r="F1668">
        <v>4</v>
      </c>
      <c r="G1668">
        <v>23.83</v>
      </c>
      <c r="H1668">
        <v>95.32</v>
      </c>
      <c r="I1668">
        <v>14.3</v>
      </c>
      <c r="J1668">
        <v>81.02</v>
      </c>
      <c r="K1668">
        <v>53</v>
      </c>
    </row>
    <row r="1669" spans="1:11" x14ac:dyDescent="0.3">
      <c r="A1669">
        <v>8501</v>
      </c>
      <c r="B1669" t="s">
        <v>11</v>
      </c>
      <c r="C1669" s="1">
        <v>45624</v>
      </c>
      <c r="D1669" t="s">
        <v>34</v>
      </c>
      <c r="E1669" t="s">
        <v>23</v>
      </c>
      <c r="F1669">
        <v>4</v>
      </c>
      <c r="G1669">
        <v>20.03</v>
      </c>
      <c r="H1669">
        <v>80.12</v>
      </c>
      <c r="I1669">
        <v>8.01</v>
      </c>
      <c r="J1669">
        <v>72.11</v>
      </c>
      <c r="K1669">
        <v>72</v>
      </c>
    </row>
    <row r="1670" spans="1:11" x14ac:dyDescent="0.3">
      <c r="A1670">
        <v>3826</v>
      </c>
      <c r="B1670" t="s">
        <v>42</v>
      </c>
      <c r="C1670" s="1">
        <v>45777</v>
      </c>
      <c r="D1670" t="s">
        <v>35</v>
      </c>
      <c r="E1670" t="s">
        <v>48</v>
      </c>
      <c r="F1670">
        <v>3</v>
      </c>
      <c r="G1670">
        <v>19.61</v>
      </c>
      <c r="H1670">
        <v>58.83</v>
      </c>
      <c r="I1670">
        <v>0</v>
      </c>
      <c r="J1670">
        <v>58.83</v>
      </c>
      <c r="K1670">
        <v>37</v>
      </c>
    </row>
    <row r="1671" spans="1:11" x14ac:dyDescent="0.3">
      <c r="A1671">
        <v>5873</v>
      </c>
      <c r="B1671" t="s">
        <v>26</v>
      </c>
      <c r="C1671" s="1">
        <v>45858</v>
      </c>
      <c r="D1671" t="s">
        <v>17</v>
      </c>
      <c r="E1671" t="s">
        <v>13</v>
      </c>
      <c r="F1671">
        <v>3</v>
      </c>
      <c r="G1671">
        <v>9.5500000000000007</v>
      </c>
      <c r="H1671">
        <v>28.65</v>
      </c>
      <c r="I1671">
        <v>2.87</v>
      </c>
      <c r="J1671">
        <v>25.78</v>
      </c>
      <c r="K1671">
        <v>227</v>
      </c>
    </row>
    <row r="1672" spans="1:11" x14ac:dyDescent="0.3">
      <c r="A1672">
        <v>2388</v>
      </c>
      <c r="B1672" t="s">
        <v>30</v>
      </c>
      <c r="C1672" s="1">
        <v>45667</v>
      </c>
      <c r="D1672" t="s">
        <v>28</v>
      </c>
      <c r="E1672" t="s">
        <v>13</v>
      </c>
      <c r="F1672">
        <v>5</v>
      </c>
      <c r="G1672">
        <v>2.0299999999999998</v>
      </c>
      <c r="H1672">
        <v>10.15</v>
      </c>
      <c r="I1672">
        <v>2.15</v>
      </c>
      <c r="J1672">
        <v>8</v>
      </c>
      <c r="K1672">
        <v>71</v>
      </c>
    </row>
    <row r="1673" spans="1:11" x14ac:dyDescent="0.3">
      <c r="A1673">
        <v>3194</v>
      </c>
      <c r="B1673" t="s">
        <v>42</v>
      </c>
      <c r="C1673" s="1">
        <v>45388</v>
      </c>
      <c r="D1673" t="s">
        <v>22</v>
      </c>
      <c r="E1673" t="s">
        <v>23</v>
      </c>
      <c r="F1673">
        <v>3</v>
      </c>
      <c r="G1673">
        <v>9.8800000000000008</v>
      </c>
      <c r="H1673">
        <v>29.64</v>
      </c>
      <c r="I1673">
        <v>3.54</v>
      </c>
      <c r="J1673">
        <v>26.1</v>
      </c>
      <c r="K1673">
        <v>366</v>
      </c>
    </row>
    <row r="1674" spans="1:11" x14ac:dyDescent="0.3">
      <c r="A1674">
        <v>2931</v>
      </c>
      <c r="B1674" t="s">
        <v>26</v>
      </c>
      <c r="C1674" s="1">
        <v>45330</v>
      </c>
      <c r="D1674" t="s">
        <v>45</v>
      </c>
      <c r="E1674" t="s">
        <v>37</v>
      </c>
      <c r="F1674">
        <v>2</v>
      </c>
      <c r="G1674">
        <v>22.56</v>
      </c>
      <c r="H1674">
        <v>45.12</v>
      </c>
      <c r="I1674">
        <v>9.02</v>
      </c>
      <c r="J1674">
        <v>36.1</v>
      </c>
      <c r="K1674">
        <v>355</v>
      </c>
    </row>
    <row r="1675" spans="1:11" x14ac:dyDescent="0.3">
      <c r="A1675">
        <v>6003</v>
      </c>
      <c r="B1675" t="s">
        <v>30</v>
      </c>
      <c r="C1675" s="1">
        <v>45235</v>
      </c>
      <c r="D1675" t="s">
        <v>20</v>
      </c>
      <c r="E1675" t="s">
        <v>13</v>
      </c>
      <c r="F1675">
        <v>2</v>
      </c>
      <c r="G1675">
        <v>1.8</v>
      </c>
      <c r="H1675">
        <v>3.6</v>
      </c>
      <c r="I1675">
        <v>0.72</v>
      </c>
      <c r="J1675">
        <v>2.88</v>
      </c>
      <c r="K1675">
        <v>108</v>
      </c>
    </row>
    <row r="1676" spans="1:11" x14ac:dyDescent="0.3">
      <c r="A1676">
        <v>3999</v>
      </c>
      <c r="B1676" t="s">
        <v>31</v>
      </c>
      <c r="C1676" s="1">
        <v>45434</v>
      </c>
      <c r="D1676" t="s">
        <v>35</v>
      </c>
      <c r="E1676" t="s">
        <v>23</v>
      </c>
      <c r="F1676">
        <v>5</v>
      </c>
      <c r="G1676">
        <v>22.61</v>
      </c>
      <c r="H1676">
        <v>113.05</v>
      </c>
      <c r="I1676">
        <v>11.3</v>
      </c>
      <c r="J1676">
        <v>101.75</v>
      </c>
      <c r="K1676">
        <v>264</v>
      </c>
    </row>
    <row r="1677" spans="1:11" x14ac:dyDescent="0.3">
      <c r="A1677">
        <v>3316</v>
      </c>
      <c r="B1677" t="s">
        <v>19</v>
      </c>
      <c r="C1677" s="1">
        <v>45541</v>
      </c>
      <c r="D1677" t="s">
        <v>22</v>
      </c>
      <c r="E1677" t="s">
        <v>41</v>
      </c>
      <c r="F1677">
        <v>5</v>
      </c>
      <c r="G1677">
        <v>25.72</v>
      </c>
      <c r="H1677">
        <v>128.6</v>
      </c>
      <c r="I1677">
        <v>12.86</v>
      </c>
      <c r="J1677">
        <v>115.74</v>
      </c>
      <c r="K1677">
        <v>160</v>
      </c>
    </row>
    <row r="1678" spans="1:11" x14ac:dyDescent="0.3">
      <c r="A1678">
        <v>7364</v>
      </c>
      <c r="B1678" t="s">
        <v>26</v>
      </c>
      <c r="C1678" s="1">
        <v>45469</v>
      </c>
      <c r="D1678" t="s">
        <v>27</v>
      </c>
      <c r="E1678" t="s">
        <v>29</v>
      </c>
      <c r="F1678">
        <v>5</v>
      </c>
      <c r="G1678">
        <v>14.97</v>
      </c>
      <c r="H1678">
        <v>74.849999999999994</v>
      </c>
      <c r="I1678">
        <v>3.67</v>
      </c>
      <c r="J1678">
        <v>71.180000000000007</v>
      </c>
      <c r="K1678">
        <v>247</v>
      </c>
    </row>
    <row r="1679" spans="1:11" x14ac:dyDescent="0.3">
      <c r="A1679">
        <v>3258</v>
      </c>
      <c r="B1679" t="s">
        <v>11</v>
      </c>
      <c r="C1679" s="1">
        <v>45591</v>
      </c>
      <c r="D1679" t="s">
        <v>22</v>
      </c>
      <c r="E1679" t="s">
        <v>25</v>
      </c>
      <c r="F1679">
        <v>3</v>
      </c>
      <c r="G1679">
        <v>6.98</v>
      </c>
      <c r="H1679">
        <v>20.94</v>
      </c>
      <c r="I1679">
        <v>4.1100000000000003</v>
      </c>
      <c r="J1679">
        <v>16.829999999999998</v>
      </c>
      <c r="K1679">
        <v>76</v>
      </c>
    </row>
    <row r="1680" spans="1:11" x14ac:dyDescent="0.3">
      <c r="A1680">
        <v>7286</v>
      </c>
      <c r="B1680" t="s">
        <v>11</v>
      </c>
      <c r="C1680" s="1">
        <v>45473</v>
      </c>
      <c r="D1680" t="s">
        <v>27</v>
      </c>
      <c r="E1680" t="s">
        <v>44</v>
      </c>
      <c r="F1680">
        <v>3</v>
      </c>
      <c r="G1680">
        <v>15.45</v>
      </c>
      <c r="H1680">
        <v>46.35</v>
      </c>
      <c r="I1680">
        <v>0</v>
      </c>
      <c r="J1680">
        <v>46.35</v>
      </c>
      <c r="K1680">
        <v>291</v>
      </c>
    </row>
    <row r="1681" spans="1:11" x14ac:dyDescent="0.3">
      <c r="A1681">
        <v>4043</v>
      </c>
      <c r="B1681" t="s">
        <v>14</v>
      </c>
      <c r="C1681" s="1">
        <v>45523</v>
      </c>
      <c r="D1681" t="s">
        <v>17</v>
      </c>
      <c r="E1681" t="s">
        <v>44</v>
      </c>
      <c r="F1681">
        <v>3</v>
      </c>
      <c r="G1681">
        <v>20.25</v>
      </c>
      <c r="H1681">
        <v>60.75</v>
      </c>
      <c r="I1681">
        <v>9.11</v>
      </c>
      <c r="J1681">
        <v>51.64</v>
      </c>
      <c r="K1681">
        <v>204</v>
      </c>
    </row>
    <row r="1682" spans="1:11" x14ac:dyDescent="0.3">
      <c r="A1682">
        <v>9804</v>
      </c>
      <c r="B1682" t="s">
        <v>14</v>
      </c>
      <c r="C1682" s="1">
        <v>45683</v>
      </c>
      <c r="D1682" t="s">
        <v>15</v>
      </c>
      <c r="E1682" t="s">
        <v>13</v>
      </c>
      <c r="F1682">
        <v>5</v>
      </c>
      <c r="G1682">
        <v>28.88</v>
      </c>
      <c r="H1682">
        <v>144.4</v>
      </c>
      <c r="I1682">
        <v>2.79</v>
      </c>
      <c r="J1682">
        <v>141.61000000000001</v>
      </c>
      <c r="K1682">
        <v>433</v>
      </c>
    </row>
    <row r="1683" spans="1:11" x14ac:dyDescent="0.3">
      <c r="A1683">
        <v>3838</v>
      </c>
      <c r="B1683" t="s">
        <v>14</v>
      </c>
      <c r="C1683" s="1">
        <v>45576</v>
      </c>
      <c r="D1683" t="s">
        <v>17</v>
      </c>
      <c r="E1683" t="s">
        <v>25</v>
      </c>
      <c r="F1683">
        <v>3</v>
      </c>
      <c r="G1683">
        <v>24.11</v>
      </c>
      <c r="H1683">
        <v>72.33</v>
      </c>
      <c r="I1683">
        <v>14.47</v>
      </c>
      <c r="J1683">
        <v>57.86</v>
      </c>
      <c r="K1683">
        <v>93</v>
      </c>
    </row>
    <row r="1684" spans="1:11" x14ac:dyDescent="0.3">
      <c r="A1684">
        <v>3733</v>
      </c>
      <c r="B1684" t="s">
        <v>26</v>
      </c>
      <c r="C1684" s="1">
        <v>45525</v>
      </c>
      <c r="D1684" t="s">
        <v>34</v>
      </c>
      <c r="E1684" t="s">
        <v>40</v>
      </c>
      <c r="F1684">
        <v>5</v>
      </c>
      <c r="G1684">
        <v>8.6999999999999993</v>
      </c>
      <c r="H1684">
        <v>43.5</v>
      </c>
      <c r="I1684">
        <v>0</v>
      </c>
      <c r="J1684">
        <v>43.5</v>
      </c>
      <c r="K1684">
        <v>142</v>
      </c>
    </row>
    <row r="1685" spans="1:11" x14ac:dyDescent="0.3">
      <c r="A1685">
        <v>5732</v>
      </c>
      <c r="B1685" t="s">
        <v>42</v>
      </c>
      <c r="C1685" s="1">
        <v>45253</v>
      </c>
      <c r="D1685" t="s">
        <v>15</v>
      </c>
      <c r="E1685" t="s">
        <v>41</v>
      </c>
      <c r="F1685">
        <v>5</v>
      </c>
      <c r="G1685">
        <v>9.77</v>
      </c>
      <c r="H1685">
        <v>48.85</v>
      </c>
      <c r="I1685">
        <v>9.77</v>
      </c>
      <c r="J1685">
        <v>39.08</v>
      </c>
      <c r="K1685">
        <v>106</v>
      </c>
    </row>
    <row r="1686" spans="1:11" x14ac:dyDescent="0.3">
      <c r="A1686">
        <v>4065</v>
      </c>
      <c r="B1686" t="s">
        <v>26</v>
      </c>
      <c r="C1686" s="1">
        <v>45389</v>
      </c>
      <c r="D1686" t="s">
        <v>45</v>
      </c>
      <c r="E1686" t="s">
        <v>48</v>
      </c>
      <c r="F1686">
        <v>5</v>
      </c>
      <c r="G1686">
        <v>26.56</v>
      </c>
      <c r="H1686">
        <v>132.80000000000001</v>
      </c>
      <c r="I1686">
        <v>0</v>
      </c>
      <c r="J1686">
        <v>132.80000000000001</v>
      </c>
      <c r="K1686">
        <v>26</v>
      </c>
    </row>
    <row r="1687" spans="1:11" x14ac:dyDescent="0.3">
      <c r="A1687">
        <v>8389</v>
      </c>
      <c r="B1687" t="s">
        <v>11</v>
      </c>
      <c r="C1687" s="1">
        <v>45626</v>
      </c>
      <c r="D1687" t="s">
        <v>17</v>
      </c>
      <c r="E1687" t="s">
        <v>47</v>
      </c>
      <c r="F1687">
        <v>1</v>
      </c>
      <c r="G1687">
        <v>13.81</v>
      </c>
      <c r="H1687">
        <v>13.81</v>
      </c>
      <c r="I1687">
        <v>3.17</v>
      </c>
      <c r="J1687">
        <v>10.64</v>
      </c>
      <c r="K1687">
        <v>243</v>
      </c>
    </row>
    <row r="1688" spans="1:11" x14ac:dyDescent="0.3">
      <c r="A1688">
        <v>1878</v>
      </c>
      <c r="B1688" t="s">
        <v>42</v>
      </c>
      <c r="C1688" s="1">
        <v>45817</v>
      </c>
      <c r="D1688" t="s">
        <v>28</v>
      </c>
      <c r="E1688" t="s">
        <v>47</v>
      </c>
      <c r="F1688">
        <v>3</v>
      </c>
      <c r="G1688">
        <v>17.5</v>
      </c>
      <c r="H1688">
        <v>52.5</v>
      </c>
      <c r="I1688">
        <v>3.88</v>
      </c>
      <c r="J1688">
        <v>48.62</v>
      </c>
      <c r="K1688">
        <v>297</v>
      </c>
    </row>
    <row r="1689" spans="1:11" x14ac:dyDescent="0.3">
      <c r="A1689">
        <v>6882</v>
      </c>
      <c r="B1689" t="s">
        <v>26</v>
      </c>
      <c r="C1689" s="1">
        <v>45152</v>
      </c>
      <c r="D1689" t="s">
        <v>27</v>
      </c>
      <c r="E1689" t="s">
        <v>44</v>
      </c>
      <c r="F1689">
        <v>5</v>
      </c>
      <c r="G1689">
        <v>24.36</v>
      </c>
      <c r="H1689">
        <v>121.8</v>
      </c>
      <c r="I1689">
        <v>2.0099999999999998</v>
      </c>
      <c r="J1689">
        <v>119.79</v>
      </c>
      <c r="K1689">
        <v>314</v>
      </c>
    </row>
    <row r="1690" spans="1:11" x14ac:dyDescent="0.3">
      <c r="A1690">
        <v>8939</v>
      </c>
      <c r="B1690" t="s">
        <v>24</v>
      </c>
      <c r="C1690" s="1">
        <v>45251</v>
      </c>
      <c r="D1690" t="s">
        <v>28</v>
      </c>
      <c r="E1690" t="s">
        <v>13</v>
      </c>
      <c r="F1690">
        <v>4</v>
      </c>
      <c r="G1690">
        <v>19.29</v>
      </c>
      <c r="H1690">
        <v>77.16</v>
      </c>
      <c r="I1690">
        <v>2.14</v>
      </c>
      <c r="J1690">
        <v>75.02</v>
      </c>
      <c r="K1690">
        <v>168</v>
      </c>
    </row>
    <row r="1691" spans="1:11" x14ac:dyDescent="0.3">
      <c r="A1691">
        <v>4196</v>
      </c>
      <c r="B1691" t="s">
        <v>30</v>
      </c>
      <c r="C1691" s="1">
        <v>45778</v>
      </c>
      <c r="D1691" t="s">
        <v>35</v>
      </c>
      <c r="E1691" t="s">
        <v>18</v>
      </c>
      <c r="F1691">
        <v>2</v>
      </c>
      <c r="G1691">
        <v>10.88</v>
      </c>
      <c r="H1691">
        <v>21.76</v>
      </c>
      <c r="I1691">
        <v>0</v>
      </c>
      <c r="J1691">
        <v>21.76</v>
      </c>
      <c r="K1691">
        <v>347</v>
      </c>
    </row>
    <row r="1692" spans="1:11" x14ac:dyDescent="0.3">
      <c r="A1692">
        <v>7290</v>
      </c>
      <c r="B1692" t="s">
        <v>26</v>
      </c>
      <c r="C1692" s="1">
        <v>45581</v>
      </c>
      <c r="D1692" t="s">
        <v>15</v>
      </c>
      <c r="E1692" t="s">
        <v>29</v>
      </c>
      <c r="F1692">
        <v>4</v>
      </c>
      <c r="G1692">
        <v>1.18</v>
      </c>
      <c r="H1692">
        <v>4.72</v>
      </c>
      <c r="I1692">
        <v>0.47</v>
      </c>
      <c r="J1692">
        <v>4.25</v>
      </c>
      <c r="K1692">
        <v>457</v>
      </c>
    </row>
    <row r="1693" spans="1:11" x14ac:dyDescent="0.3">
      <c r="A1693">
        <v>9281</v>
      </c>
      <c r="B1693" t="s">
        <v>19</v>
      </c>
      <c r="C1693" s="1">
        <v>45652</v>
      </c>
      <c r="D1693" t="s">
        <v>34</v>
      </c>
      <c r="E1693" t="s">
        <v>43</v>
      </c>
      <c r="F1693">
        <v>4</v>
      </c>
      <c r="G1693">
        <v>20.51</v>
      </c>
      <c r="H1693">
        <v>82.04</v>
      </c>
      <c r="I1693">
        <v>12.31</v>
      </c>
      <c r="J1693">
        <v>69.73</v>
      </c>
      <c r="K1693">
        <v>48</v>
      </c>
    </row>
    <row r="1694" spans="1:11" x14ac:dyDescent="0.3">
      <c r="A1694">
        <v>9109</v>
      </c>
      <c r="B1694" t="s">
        <v>14</v>
      </c>
      <c r="C1694" s="1">
        <v>45462</v>
      </c>
      <c r="D1694" t="s">
        <v>34</v>
      </c>
      <c r="E1694" t="s">
        <v>44</v>
      </c>
      <c r="F1694">
        <v>1</v>
      </c>
      <c r="G1694">
        <v>23.11</v>
      </c>
      <c r="H1694">
        <v>23.11</v>
      </c>
      <c r="I1694">
        <v>2.2200000000000002</v>
      </c>
      <c r="J1694">
        <v>20.89</v>
      </c>
      <c r="K1694">
        <v>109</v>
      </c>
    </row>
    <row r="1695" spans="1:11" x14ac:dyDescent="0.3">
      <c r="A1695">
        <v>9056</v>
      </c>
      <c r="B1695" t="s">
        <v>14</v>
      </c>
      <c r="C1695" s="1">
        <v>45467</v>
      </c>
      <c r="D1695" t="s">
        <v>45</v>
      </c>
      <c r="E1695" t="s">
        <v>48</v>
      </c>
      <c r="F1695">
        <v>3</v>
      </c>
      <c r="G1695">
        <v>27.89</v>
      </c>
      <c r="H1695">
        <v>83.67</v>
      </c>
      <c r="I1695">
        <v>12.55</v>
      </c>
      <c r="J1695">
        <v>71.12</v>
      </c>
      <c r="K1695">
        <v>107</v>
      </c>
    </row>
    <row r="1696" spans="1:11" x14ac:dyDescent="0.3">
      <c r="A1696">
        <v>8272</v>
      </c>
      <c r="B1696" t="s">
        <v>19</v>
      </c>
      <c r="C1696" s="1">
        <v>45524</v>
      </c>
      <c r="D1696" t="s">
        <v>17</v>
      </c>
      <c r="E1696" t="s">
        <v>32</v>
      </c>
      <c r="F1696">
        <v>2</v>
      </c>
      <c r="G1696">
        <v>25.71</v>
      </c>
      <c r="H1696">
        <v>51.42</v>
      </c>
      <c r="I1696">
        <v>7.71</v>
      </c>
      <c r="J1696">
        <v>43.71</v>
      </c>
      <c r="K1696">
        <v>312</v>
      </c>
    </row>
    <row r="1697" spans="1:11" x14ac:dyDescent="0.3">
      <c r="A1697">
        <v>3740</v>
      </c>
      <c r="B1697" t="s">
        <v>14</v>
      </c>
      <c r="C1697" s="1">
        <v>45209</v>
      </c>
      <c r="D1697" t="s">
        <v>45</v>
      </c>
      <c r="E1697" t="s">
        <v>16</v>
      </c>
      <c r="F1697">
        <v>3</v>
      </c>
      <c r="G1697">
        <v>7.62</v>
      </c>
      <c r="H1697">
        <v>22.86</v>
      </c>
      <c r="I1697">
        <v>3.43</v>
      </c>
      <c r="J1697">
        <v>19.43</v>
      </c>
      <c r="K1697">
        <v>134</v>
      </c>
    </row>
    <row r="1698" spans="1:11" x14ac:dyDescent="0.3">
      <c r="A1698">
        <v>1505</v>
      </c>
      <c r="B1698" t="s">
        <v>36</v>
      </c>
      <c r="C1698" s="1">
        <v>45763</v>
      </c>
      <c r="D1698" t="s">
        <v>34</v>
      </c>
      <c r="E1698" t="s">
        <v>37</v>
      </c>
      <c r="F1698">
        <v>3</v>
      </c>
      <c r="G1698">
        <v>22.06</v>
      </c>
      <c r="H1698">
        <v>66.180000000000007</v>
      </c>
      <c r="I1698">
        <v>6.62</v>
      </c>
      <c r="J1698">
        <v>59.56</v>
      </c>
      <c r="K1698">
        <v>424</v>
      </c>
    </row>
    <row r="1699" spans="1:11" x14ac:dyDescent="0.3">
      <c r="A1699">
        <v>4613</v>
      </c>
      <c r="B1699" t="s">
        <v>30</v>
      </c>
      <c r="C1699" s="1">
        <v>45371</v>
      </c>
      <c r="D1699" t="s">
        <v>20</v>
      </c>
      <c r="E1699" t="s">
        <v>32</v>
      </c>
      <c r="F1699">
        <v>4</v>
      </c>
      <c r="G1699">
        <v>1.1499999999999999</v>
      </c>
      <c r="H1699">
        <v>4.5999999999999996</v>
      </c>
      <c r="I1699">
        <v>4.87</v>
      </c>
      <c r="J1699">
        <v>-0.27</v>
      </c>
      <c r="K1699">
        <v>481</v>
      </c>
    </row>
    <row r="1700" spans="1:11" x14ac:dyDescent="0.3">
      <c r="A1700">
        <v>1535</v>
      </c>
      <c r="B1700" t="s">
        <v>36</v>
      </c>
      <c r="C1700" s="1">
        <v>45358</v>
      </c>
      <c r="D1700" t="s">
        <v>27</v>
      </c>
      <c r="E1700" t="s">
        <v>41</v>
      </c>
      <c r="F1700">
        <v>4</v>
      </c>
      <c r="G1700">
        <v>23.23</v>
      </c>
      <c r="H1700">
        <v>92.92</v>
      </c>
      <c r="I1700">
        <v>18.579999999999998</v>
      </c>
      <c r="J1700">
        <v>74.34</v>
      </c>
      <c r="K1700">
        <v>9</v>
      </c>
    </row>
    <row r="1701" spans="1:11" x14ac:dyDescent="0.3">
      <c r="A1701">
        <v>4683</v>
      </c>
      <c r="B1701" t="s">
        <v>30</v>
      </c>
      <c r="C1701" s="1">
        <v>45562</v>
      </c>
      <c r="D1701" t="s">
        <v>35</v>
      </c>
      <c r="E1701" t="s">
        <v>23</v>
      </c>
      <c r="F1701">
        <v>1</v>
      </c>
      <c r="G1701">
        <v>10.32</v>
      </c>
      <c r="H1701">
        <v>10.32</v>
      </c>
      <c r="I1701">
        <v>1.55</v>
      </c>
      <c r="J1701">
        <v>8.77</v>
      </c>
      <c r="K1701">
        <v>404</v>
      </c>
    </row>
    <row r="1702" spans="1:11" x14ac:dyDescent="0.3">
      <c r="A1702">
        <v>5729</v>
      </c>
      <c r="B1702" t="s">
        <v>14</v>
      </c>
      <c r="C1702" s="1">
        <v>45275</v>
      </c>
      <c r="D1702" t="s">
        <v>38</v>
      </c>
      <c r="E1702" t="s">
        <v>44</v>
      </c>
      <c r="F1702">
        <v>2</v>
      </c>
      <c r="G1702">
        <v>18.899999999999999</v>
      </c>
      <c r="H1702">
        <v>37.799999999999997</v>
      </c>
      <c r="I1702">
        <v>1.3</v>
      </c>
      <c r="J1702">
        <v>36.5</v>
      </c>
      <c r="K1702">
        <v>225</v>
      </c>
    </row>
    <row r="1703" spans="1:11" x14ac:dyDescent="0.3">
      <c r="A1703">
        <v>8492</v>
      </c>
      <c r="B1703" t="s">
        <v>19</v>
      </c>
      <c r="C1703" s="1">
        <v>45584</v>
      </c>
      <c r="D1703" t="s">
        <v>22</v>
      </c>
      <c r="E1703" t="s">
        <v>47</v>
      </c>
      <c r="F1703">
        <v>5</v>
      </c>
      <c r="G1703">
        <v>14.62</v>
      </c>
      <c r="H1703">
        <v>73.099999999999994</v>
      </c>
      <c r="I1703">
        <v>0</v>
      </c>
      <c r="J1703">
        <v>73.099999999999994</v>
      </c>
      <c r="K1703">
        <v>497</v>
      </c>
    </row>
    <row r="1704" spans="1:11" x14ac:dyDescent="0.3">
      <c r="A1704">
        <v>9115</v>
      </c>
      <c r="B1704" t="s">
        <v>24</v>
      </c>
      <c r="C1704" s="1">
        <v>45571</v>
      </c>
      <c r="D1704" t="s">
        <v>45</v>
      </c>
      <c r="E1704" t="s">
        <v>25</v>
      </c>
      <c r="F1704">
        <v>3</v>
      </c>
      <c r="G1704">
        <v>29.61</v>
      </c>
      <c r="H1704">
        <v>88.83</v>
      </c>
      <c r="I1704">
        <v>1.41</v>
      </c>
      <c r="J1704">
        <v>87.42</v>
      </c>
      <c r="K1704">
        <v>300</v>
      </c>
    </row>
    <row r="1705" spans="1:11" x14ac:dyDescent="0.3">
      <c r="A1705">
        <v>9369</v>
      </c>
      <c r="B1705" t="s">
        <v>36</v>
      </c>
      <c r="C1705" s="1">
        <v>45232</v>
      </c>
      <c r="D1705" t="s">
        <v>35</v>
      </c>
      <c r="E1705" t="s">
        <v>18</v>
      </c>
      <c r="F1705">
        <v>3</v>
      </c>
      <c r="G1705">
        <v>13.7</v>
      </c>
      <c r="H1705">
        <v>41.1</v>
      </c>
      <c r="I1705">
        <v>4.1100000000000003</v>
      </c>
      <c r="J1705">
        <v>36.99</v>
      </c>
      <c r="K1705">
        <v>145</v>
      </c>
    </row>
    <row r="1706" spans="1:11" x14ac:dyDescent="0.3">
      <c r="A1706">
        <v>2871</v>
      </c>
      <c r="B1706" t="s">
        <v>19</v>
      </c>
      <c r="C1706" s="1">
        <v>45353</v>
      </c>
      <c r="D1706" t="s">
        <v>15</v>
      </c>
      <c r="E1706" t="s">
        <v>21</v>
      </c>
      <c r="F1706">
        <v>4</v>
      </c>
      <c r="G1706">
        <v>24.9</v>
      </c>
      <c r="H1706">
        <v>99.6</v>
      </c>
      <c r="I1706">
        <v>2.2000000000000002</v>
      </c>
      <c r="J1706">
        <v>97.4</v>
      </c>
      <c r="K1706">
        <v>447</v>
      </c>
    </row>
    <row r="1707" spans="1:11" x14ac:dyDescent="0.3">
      <c r="A1707">
        <v>9898</v>
      </c>
      <c r="B1707" t="s">
        <v>42</v>
      </c>
      <c r="C1707" s="1">
        <v>45784</v>
      </c>
      <c r="D1707" t="s">
        <v>38</v>
      </c>
      <c r="E1707" t="s">
        <v>43</v>
      </c>
      <c r="F1707">
        <v>4</v>
      </c>
      <c r="G1707">
        <v>8.1</v>
      </c>
      <c r="H1707">
        <v>32.4</v>
      </c>
      <c r="I1707">
        <v>3.12</v>
      </c>
      <c r="J1707">
        <v>29.28</v>
      </c>
      <c r="K1707">
        <v>293</v>
      </c>
    </row>
    <row r="1708" spans="1:11" x14ac:dyDescent="0.3">
      <c r="A1708">
        <v>7010</v>
      </c>
      <c r="B1708" t="s">
        <v>30</v>
      </c>
      <c r="C1708" s="1">
        <v>45566</v>
      </c>
      <c r="D1708" t="s">
        <v>12</v>
      </c>
      <c r="E1708" t="s">
        <v>41</v>
      </c>
      <c r="F1708">
        <v>1</v>
      </c>
      <c r="G1708">
        <v>26.24</v>
      </c>
      <c r="H1708">
        <v>26.24</v>
      </c>
      <c r="I1708">
        <v>3.94</v>
      </c>
      <c r="J1708">
        <v>22.3</v>
      </c>
      <c r="K1708">
        <v>358</v>
      </c>
    </row>
    <row r="1709" spans="1:11" x14ac:dyDescent="0.3">
      <c r="A1709">
        <v>1681</v>
      </c>
      <c r="B1709" t="s">
        <v>26</v>
      </c>
      <c r="C1709" s="1">
        <v>45735</v>
      </c>
      <c r="D1709" t="s">
        <v>17</v>
      </c>
      <c r="E1709" t="s">
        <v>29</v>
      </c>
      <c r="F1709">
        <v>3</v>
      </c>
      <c r="G1709">
        <v>14.57</v>
      </c>
      <c r="H1709">
        <v>43.71</v>
      </c>
      <c r="I1709">
        <v>6.56</v>
      </c>
      <c r="J1709">
        <v>37.15</v>
      </c>
      <c r="K1709">
        <v>235</v>
      </c>
    </row>
    <row r="1710" spans="1:11" x14ac:dyDescent="0.3">
      <c r="A1710">
        <v>8231</v>
      </c>
      <c r="B1710" t="s">
        <v>42</v>
      </c>
      <c r="C1710" s="1">
        <v>45569</v>
      </c>
      <c r="D1710" t="s">
        <v>27</v>
      </c>
      <c r="E1710" t="s">
        <v>13</v>
      </c>
      <c r="F1710">
        <v>3</v>
      </c>
      <c r="G1710">
        <v>18.489999999999998</v>
      </c>
      <c r="H1710">
        <v>55.47</v>
      </c>
      <c r="I1710">
        <v>11.09</v>
      </c>
      <c r="J1710">
        <v>44.38</v>
      </c>
      <c r="K1710">
        <v>477</v>
      </c>
    </row>
    <row r="1711" spans="1:11" x14ac:dyDescent="0.3">
      <c r="A1711">
        <v>4580</v>
      </c>
      <c r="B1711" t="s">
        <v>11</v>
      </c>
      <c r="C1711" s="1">
        <v>45475</v>
      </c>
      <c r="D1711" t="s">
        <v>27</v>
      </c>
      <c r="E1711" t="s">
        <v>16</v>
      </c>
      <c r="F1711">
        <v>4</v>
      </c>
      <c r="G1711">
        <v>12.48</v>
      </c>
      <c r="H1711">
        <v>49.92</v>
      </c>
      <c r="I1711">
        <v>1.24</v>
      </c>
      <c r="J1711">
        <v>48.68</v>
      </c>
      <c r="K1711">
        <v>249</v>
      </c>
    </row>
    <row r="1712" spans="1:11" x14ac:dyDescent="0.3">
      <c r="A1712">
        <v>2677</v>
      </c>
      <c r="B1712" t="s">
        <v>14</v>
      </c>
      <c r="C1712" s="1">
        <v>45716</v>
      </c>
      <c r="D1712" t="s">
        <v>22</v>
      </c>
      <c r="E1712" t="s">
        <v>39</v>
      </c>
      <c r="F1712">
        <v>5</v>
      </c>
      <c r="G1712">
        <v>13.67</v>
      </c>
      <c r="H1712">
        <v>68.349999999999994</v>
      </c>
      <c r="I1712">
        <v>2.97</v>
      </c>
      <c r="J1712">
        <v>65.38</v>
      </c>
      <c r="K1712">
        <v>16</v>
      </c>
    </row>
    <row r="1713" spans="1:11" x14ac:dyDescent="0.3">
      <c r="A1713">
        <v>5055</v>
      </c>
      <c r="B1713" t="s">
        <v>36</v>
      </c>
      <c r="C1713" s="1">
        <v>45376</v>
      </c>
      <c r="D1713" t="s">
        <v>27</v>
      </c>
      <c r="E1713" t="s">
        <v>43</v>
      </c>
      <c r="F1713">
        <v>1</v>
      </c>
      <c r="G1713">
        <v>17.38</v>
      </c>
      <c r="H1713">
        <v>17.38</v>
      </c>
      <c r="I1713">
        <v>1.63</v>
      </c>
      <c r="J1713">
        <v>15.75</v>
      </c>
      <c r="K1713">
        <v>498</v>
      </c>
    </row>
    <row r="1714" spans="1:11" x14ac:dyDescent="0.3">
      <c r="A1714">
        <v>1528</v>
      </c>
      <c r="B1714" t="s">
        <v>14</v>
      </c>
      <c r="C1714" s="1">
        <v>45494</v>
      </c>
      <c r="D1714" t="s">
        <v>15</v>
      </c>
      <c r="E1714" t="s">
        <v>33</v>
      </c>
      <c r="F1714">
        <v>5</v>
      </c>
      <c r="G1714">
        <v>19.850000000000001</v>
      </c>
      <c r="H1714">
        <v>99.25</v>
      </c>
      <c r="I1714">
        <v>0</v>
      </c>
      <c r="J1714">
        <v>99.25</v>
      </c>
      <c r="K1714">
        <v>97</v>
      </c>
    </row>
    <row r="1715" spans="1:11" x14ac:dyDescent="0.3">
      <c r="A1715">
        <v>5305</v>
      </c>
      <c r="B1715" t="s">
        <v>24</v>
      </c>
      <c r="C1715" s="1">
        <v>45415</v>
      </c>
      <c r="D1715" t="s">
        <v>35</v>
      </c>
      <c r="E1715" t="s">
        <v>33</v>
      </c>
      <c r="F1715">
        <v>4</v>
      </c>
      <c r="G1715">
        <v>26.78</v>
      </c>
      <c r="H1715">
        <v>107.12</v>
      </c>
      <c r="I1715">
        <v>0</v>
      </c>
      <c r="J1715">
        <v>107.12</v>
      </c>
      <c r="K1715">
        <v>378</v>
      </c>
    </row>
    <row r="1716" spans="1:11" x14ac:dyDescent="0.3">
      <c r="A1716">
        <v>2425</v>
      </c>
      <c r="B1716" t="s">
        <v>36</v>
      </c>
      <c r="C1716" s="1">
        <v>45486</v>
      </c>
      <c r="D1716" t="s">
        <v>15</v>
      </c>
      <c r="E1716" t="s">
        <v>29</v>
      </c>
      <c r="F1716">
        <v>5</v>
      </c>
      <c r="G1716">
        <v>10.84</v>
      </c>
      <c r="H1716">
        <v>54.2</v>
      </c>
      <c r="I1716">
        <v>2.61</v>
      </c>
      <c r="J1716">
        <v>51.59</v>
      </c>
      <c r="K1716">
        <v>270</v>
      </c>
    </row>
    <row r="1717" spans="1:11" x14ac:dyDescent="0.3">
      <c r="A1717">
        <v>2923</v>
      </c>
      <c r="B1717" t="s">
        <v>30</v>
      </c>
      <c r="C1717" s="1">
        <v>45747</v>
      </c>
      <c r="D1717" t="s">
        <v>12</v>
      </c>
      <c r="E1717" t="s">
        <v>32</v>
      </c>
      <c r="F1717">
        <v>1</v>
      </c>
      <c r="G1717">
        <v>1.24</v>
      </c>
      <c r="H1717">
        <v>1.24</v>
      </c>
      <c r="I1717">
        <v>0.25</v>
      </c>
      <c r="J1717">
        <v>0.99</v>
      </c>
      <c r="K1717">
        <v>165</v>
      </c>
    </row>
    <row r="1718" spans="1:11" x14ac:dyDescent="0.3">
      <c r="A1718">
        <v>4882</v>
      </c>
      <c r="B1718" t="s">
        <v>30</v>
      </c>
      <c r="C1718" s="1">
        <v>45308</v>
      </c>
      <c r="D1718" t="s">
        <v>17</v>
      </c>
      <c r="E1718" t="s">
        <v>21</v>
      </c>
      <c r="F1718">
        <v>5</v>
      </c>
      <c r="G1718">
        <v>14.26</v>
      </c>
      <c r="H1718">
        <v>71.3</v>
      </c>
      <c r="I1718">
        <v>4.7</v>
      </c>
      <c r="J1718">
        <v>66.599999999999994</v>
      </c>
      <c r="K1718">
        <v>340</v>
      </c>
    </row>
    <row r="1719" spans="1:11" x14ac:dyDescent="0.3">
      <c r="A1719">
        <v>6744</v>
      </c>
      <c r="B1719" t="s">
        <v>19</v>
      </c>
      <c r="C1719" s="1">
        <v>45813</v>
      </c>
      <c r="D1719" t="s">
        <v>17</v>
      </c>
      <c r="E1719" t="s">
        <v>41</v>
      </c>
      <c r="F1719">
        <v>2</v>
      </c>
      <c r="G1719">
        <v>9.94</v>
      </c>
      <c r="H1719">
        <v>19.88</v>
      </c>
      <c r="I1719">
        <v>3.41</v>
      </c>
      <c r="J1719">
        <v>16.47</v>
      </c>
      <c r="K1719">
        <v>51</v>
      </c>
    </row>
    <row r="1720" spans="1:11" x14ac:dyDescent="0.3">
      <c r="A1720">
        <v>8015</v>
      </c>
      <c r="B1720" t="s">
        <v>31</v>
      </c>
      <c r="C1720" s="1">
        <v>45273</v>
      </c>
      <c r="D1720" t="s">
        <v>34</v>
      </c>
      <c r="E1720" t="s">
        <v>18</v>
      </c>
      <c r="F1720">
        <v>3</v>
      </c>
      <c r="G1720">
        <v>28.68</v>
      </c>
      <c r="H1720">
        <v>86.04</v>
      </c>
      <c r="I1720">
        <v>17.21</v>
      </c>
      <c r="J1720">
        <v>68.83</v>
      </c>
      <c r="K1720">
        <v>167</v>
      </c>
    </row>
    <row r="1721" spans="1:11" x14ac:dyDescent="0.3">
      <c r="A1721">
        <v>3281</v>
      </c>
      <c r="B1721" t="s">
        <v>42</v>
      </c>
      <c r="C1721" s="1">
        <v>45754</v>
      </c>
      <c r="D1721" t="s">
        <v>17</v>
      </c>
      <c r="E1721" t="s">
        <v>37</v>
      </c>
      <c r="F1721">
        <v>2</v>
      </c>
      <c r="G1721">
        <v>13.29</v>
      </c>
      <c r="H1721">
        <v>26.58</v>
      </c>
      <c r="I1721">
        <v>5.32</v>
      </c>
      <c r="J1721">
        <v>21.26</v>
      </c>
      <c r="K1721">
        <v>138</v>
      </c>
    </row>
    <row r="1722" spans="1:11" x14ac:dyDescent="0.3">
      <c r="A1722">
        <v>4385</v>
      </c>
      <c r="B1722" t="s">
        <v>36</v>
      </c>
      <c r="C1722" s="1">
        <v>45776</v>
      </c>
      <c r="D1722" t="s">
        <v>12</v>
      </c>
      <c r="E1722" t="s">
        <v>41</v>
      </c>
      <c r="F1722">
        <v>4</v>
      </c>
      <c r="G1722">
        <v>4.5599999999999996</v>
      </c>
      <c r="H1722">
        <v>18.239999999999998</v>
      </c>
      <c r="I1722">
        <v>2.78</v>
      </c>
      <c r="J1722">
        <v>15.46</v>
      </c>
      <c r="K1722">
        <v>485</v>
      </c>
    </row>
    <row r="1723" spans="1:11" x14ac:dyDescent="0.3">
      <c r="A1723">
        <v>4390</v>
      </c>
      <c r="B1723" t="s">
        <v>42</v>
      </c>
      <c r="C1723" s="1">
        <v>45770</v>
      </c>
      <c r="D1723" t="s">
        <v>20</v>
      </c>
      <c r="E1723" t="s">
        <v>40</v>
      </c>
      <c r="F1723">
        <v>4</v>
      </c>
      <c r="G1723">
        <v>13.71</v>
      </c>
      <c r="H1723">
        <v>54.84</v>
      </c>
      <c r="I1723">
        <v>5.48</v>
      </c>
      <c r="J1723">
        <v>49.36</v>
      </c>
      <c r="K1723">
        <v>101</v>
      </c>
    </row>
    <row r="1724" spans="1:11" x14ac:dyDescent="0.3">
      <c r="A1724">
        <v>1972</v>
      </c>
      <c r="B1724" t="s">
        <v>11</v>
      </c>
      <c r="C1724" s="1">
        <v>45587</v>
      </c>
      <c r="D1724" t="s">
        <v>15</v>
      </c>
      <c r="E1724" t="s">
        <v>29</v>
      </c>
      <c r="F1724">
        <v>5</v>
      </c>
      <c r="G1724">
        <v>27.48</v>
      </c>
      <c r="H1724">
        <v>137.4</v>
      </c>
      <c r="I1724">
        <v>27.48</v>
      </c>
      <c r="J1724">
        <v>109.92</v>
      </c>
      <c r="K1724">
        <v>370</v>
      </c>
    </row>
    <row r="1725" spans="1:11" x14ac:dyDescent="0.3">
      <c r="A1725">
        <v>6747</v>
      </c>
      <c r="B1725" t="s">
        <v>42</v>
      </c>
      <c r="C1725" s="1">
        <v>45558</v>
      </c>
      <c r="D1725" t="s">
        <v>15</v>
      </c>
      <c r="E1725" t="s">
        <v>47</v>
      </c>
      <c r="F1725">
        <v>5</v>
      </c>
      <c r="G1725">
        <v>11.38</v>
      </c>
      <c r="H1725">
        <v>56.9</v>
      </c>
      <c r="I1725">
        <v>11.38</v>
      </c>
      <c r="J1725">
        <v>45.52</v>
      </c>
      <c r="K1725">
        <v>162</v>
      </c>
    </row>
    <row r="1726" spans="1:11" x14ac:dyDescent="0.3">
      <c r="A1726">
        <v>5605</v>
      </c>
      <c r="B1726" t="s">
        <v>42</v>
      </c>
      <c r="C1726" s="1">
        <v>45608</v>
      </c>
      <c r="D1726" t="s">
        <v>15</v>
      </c>
      <c r="E1726" t="s">
        <v>46</v>
      </c>
      <c r="F1726">
        <v>3</v>
      </c>
      <c r="G1726">
        <v>14.85</v>
      </c>
      <c r="H1726">
        <v>44.55</v>
      </c>
      <c r="I1726">
        <v>4.46</v>
      </c>
      <c r="J1726">
        <v>40.090000000000003</v>
      </c>
      <c r="K1726">
        <v>260</v>
      </c>
    </row>
    <row r="1727" spans="1:11" x14ac:dyDescent="0.3">
      <c r="A1727">
        <v>9827</v>
      </c>
      <c r="B1727" t="s">
        <v>31</v>
      </c>
      <c r="C1727" s="1">
        <v>45275</v>
      </c>
      <c r="D1727" t="s">
        <v>12</v>
      </c>
      <c r="E1727" t="s">
        <v>32</v>
      </c>
      <c r="F1727">
        <v>4</v>
      </c>
      <c r="G1727">
        <v>12.6</v>
      </c>
      <c r="H1727">
        <v>50.4</v>
      </c>
      <c r="I1727">
        <v>7.56</v>
      </c>
      <c r="J1727">
        <v>42.84</v>
      </c>
      <c r="K1727">
        <v>439</v>
      </c>
    </row>
    <row r="1728" spans="1:11" x14ac:dyDescent="0.3">
      <c r="A1728">
        <v>6302</v>
      </c>
      <c r="B1728" t="s">
        <v>36</v>
      </c>
      <c r="C1728" s="1">
        <v>45691</v>
      </c>
      <c r="D1728" t="s">
        <v>35</v>
      </c>
      <c r="E1728" t="s">
        <v>43</v>
      </c>
      <c r="F1728">
        <v>4</v>
      </c>
      <c r="G1728">
        <v>28.42</v>
      </c>
      <c r="H1728">
        <v>113.68</v>
      </c>
      <c r="I1728">
        <v>22.74</v>
      </c>
      <c r="J1728">
        <v>90.94</v>
      </c>
      <c r="K1728">
        <v>333</v>
      </c>
    </row>
    <row r="1729" spans="1:11" x14ac:dyDescent="0.3">
      <c r="A1729">
        <v>5794</v>
      </c>
      <c r="B1729" t="s">
        <v>11</v>
      </c>
      <c r="C1729" s="1">
        <v>45369</v>
      </c>
      <c r="D1729" t="s">
        <v>27</v>
      </c>
      <c r="E1729" t="s">
        <v>32</v>
      </c>
      <c r="F1729">
        <v>4</v>
      </c>
      <c r="G1729">
        <v>1.45</v>
      </c>
      <c r="H1729">
        <v>5.8</v>
      </c>
      <c r="I1729">
        <v>0</v>
      </c>
      <c r="J1729">
        <v>5.8</v>
      </c>
      <c r="K1729">
        <v>493</v>
      </c>
    </row>
    <row r="1730" spans="1:11" x14ac:dyDescent="0.3">
      <c r="A1730">
        <v>5380</v>
      </c>
      <c r="B1730" t="s">
        <v>36</v>
      </c>
      <c r="C1730" s="1">
        <v>45811</v>
      </c>
      <c r="D1730" t="s">
        <v>12</v>
      </c>
      <c r="E1730" t="s">
        <v>41</v>
      </c>
      <c r="F1730">
        <v>2</v>
      </c>
      <c r="G1730">
        <v>6.13</v>
      </c>
      <c r="H1730">
        <v>12.26</v>
      </c>
      <c r="I1730">
        <v>1.62</v>
      </c>
      <c r="J1730">
        <v>10.64</v>
      </c>
      <c r="K1730">
        <v>4</v>
      </c>
    </row>
    <row r="1731" spans="1:11" x14ac:dyDescent="0.3">
      <c r="A1731">
        <v>9428</v>
      </c>
      <c r="B1731" t="s">
        <v>26</v>
      </c>
      <c r="C1731" s="1">
        <v>45844</v>
      </c>
      <c r="D1731" t="s">
        <v>12</v>
      </c>
      <c r="E1731" t="s">
        <v>40</v>
      </c>
      <c r="F1731">
        <v>5</v>
      </c>
      <c r="G1731">
        <v>24.26</v>
      </c>
      <c r="H1731">
        <v>121.3</v>
      </c>
      <c r="I1731">
        <v>18.2</v>
      </c>
      <c r="J1731">
        <v>103.1</v>
      </c>
      <c r="K1731">
        <v>443</v>
      </c>
    </row>
    <row r="1732" spans="1:11" x14ac:dyDescent="0.3">
      <c r="A1732">
        <v>2560</v>
      </c>
      <c r="B1732" t="s">
        <v>24</v>
      </c>
      <c r="C1732" s="1">
        <v>45250</v>
      </c>
      <c r="D1732" t="s">
        <v>34</v>
      </c>
      <c r="E1732" t="s">
        <v>16</v>
      </c>
      <c r="F1732">
        <v>2</v>
      </c>
      <c r="G1732">
        <v>6.05</v>
      </c>
      <c r="H1732">
        <v>12.1</v>
      </c>
      <c r="I1732">
        <v>0</v>
      </c>
      <c r="J1732">
        <v>12.1</v>
      </c>
      <c r="K1732">
        <v>265</v>
      </c>
    </row>
    <row r="1733" spans="1:11" x14ac:dyDescent="0.3">
      <c r="A1733">
        <v>7743</v>
      </c>
      <c r="B1733" t="s">
        <v>19</v>
      </c>
      <c r="C1733" s="1">
        <v>45858</v>
      </c>
      <c r="D1733" t="s">
        <v>22</v>
      </c>
      <c r="E1733" t="s">
        <v>48</v>
      </c>
      <c r="F1733">
        <v>2</v>
      </c>
      <c r="G1733">
        <v>1.86</v>
      </c>
      <c r="H1733">
        <v>3.72</v>
      </c>
      <c r="I1733">
        <v>0.37</v>
      </c>
      <c r="J1733">
        <v>3.35</v>
      </c>
      <c r="K1733">
        <v>104</v>
      </c>
    </row>
    <row r="1734" spans="1:11" x14ac:dyDescent="0.3">
      <c r="A1734">
        <v>1971</v>
      </c>
      <c r="B1734" t="s">
        <v>36</v>
      </c>
      <c r="C1734" s="1">
        <v>45360</v>
      </c>
      <c r="D1734" t="s">
        <v>35</v>
      </c>
      <c r="E1734" t="s">
        <v>21</v>
      </c>
      <c r="F1734">
        <v>1</v>
      </c>
      <c r="G1734">
        <v>23.7</v>
      </c>
      <c r="H1734">
        <v>23.7</v>
      </c>
      <c r="I1734">
        <v>2.37</v>
      </c>
      <c r="J1734">
        <v>21.33</v>
      </c>
      <c r="K1734">
        <v>169</v>
      </c>
    </row>
    <row r="1735" spans="1:11" x14ac:dyDescent="0.3">
      <c r="A1735">
        <v>3078</v>
      </c>
      <c r="B1735" t="s">
        <v>31</v>
      </c>
      <c r="C1735" s="1">
        <v>45689</v>
      </c>
      <c r="D1735" t="s">
        <v>34</v>
      </c>
      <c r="E1735" t="s">
        <v>16</v>
      </c>
      <c r="F1735">
        <v>1</v>
      </c>
      <c r="G1735">
        <v>16.63</v>
      </c>
      <c r="H1735">
        <v>16.63</v>
      </c>
      <c r="I1735">
        <v>3.33</v>
      </c>
      <c r="J1735">
        <v>13.3</v>
      </c>
      <c r="K1735">
        <v>390</v>
      </c>
    </row>
    <row r="1736" spans="1:11" x14ac:dyDescent="0.3">
      <c r="A1736">
        <v>3174</v>
      </c>
      <c r="B1736" t="s">
        <v>11</v>
      </c>
      <c r="C1736" s="1">
        <v>45338</v>
      </c>
      <c r="D1736" t="s">
        <v>12</v>
      </c>
      <c r="E1736" t="s">
        <v>23</v>
      </c>
      <c r="F1736">
        <v>2</v>
      </c>
      <c r="G1736">
        <v>3.66</v>
      </c>
      <c r="H1736">
        <v>7.32</v>
      </c>
      <c r="I1736">
        <v>0.73</v>
      </c>
      <c r="J1736">
        <v>6.59</v>
      </c>
      <c r="K1736">
        <v>33</v>
      </c>
    </row>
    <row r="1737" spans="1:11" x14ac:dyDescent="0.3">
      <c r="A1737">
        <v>3396</v>
      </c>
      <c r="B1737" t="s">
        <v>26</v>
      </c>
      <c r="C1737" s="1">
        <v>45697</v>
      </c>
      <c r="D1737" t="s">
        <v>20</v>
      </c>
      <c r="E1737" t="s">
        <v>18</v>
      </c>
      <c r="F1737">
        <v>4</v>
      </c>
      <c r="G1737">
        <v>4.8899999999999997</v>
      </c>
      <c r="H1737">
        <v>19.559999999999999</v>
      </c>
      <c r="I1737">
        <v>2.93</v>
      </c>
      <c r="J1737">
        <v>16.63</v>
      </c>
      <c r="K1737">
        <v>308</v>
      </c>
    </row>
    <row r="1738" spans="1:11" x14ac:dyDescent="0.3">
      <c r="A1738">
        <v>6277</v>
      </c>
      <c r="B1738" t="s">
        <v>26</v>
      </c>
      <c r="C1738" s="1">
        <v>45788</v>
      </c>
      <c r="D1738" t="s">
        <v>45</v>
      </c>
      <c r="E1738" t="s">
        <v>13</v>
      </c>
      <c r="F1738">
        <v>2</v>
      </c>
      <c r="G1738">
        <v>10.35</v>
      </c>
      <c r="H1738">
        <v>20.7</v>
      </c>
      <c r="I1738">
        <v>3.67</v>
      </c>
      <c r="J1738">
        <v>17.03</v>
      </c>
      <c r="K1738">
        <v>276</v>
      </c>
    </row>
    <row r="1739" spans="1:11" x14ac:dyDescent="0.3">
      <c r="A1739">
        <v>5055</v>
      </c>
      <c r="B1739" t="s">
        <v>11</v>
      </c>
      <c r="C1739" s="1">
        <v>45736</v>
      </c>
      <c r="D1739" t="s">
        <v>45</v>
      </c>
      <c r="E1739" t="s">
        <v>47</v>
      </c>
      <c r="F1739">
        <v>5</v>
      </c>
      <c r="G1739">
        <v>6.68</v>
      </c>
      <c r="H1739">
        <v>33.4</v>
      </c>
      <c r="I1739">
        <v>6.68</v>
      </c>
      <c r="J1739">
        <v>26.72</v>
      </c>
      <c r="K1739">
        <v>112</v>
      </c>
    </row>
    <row r="1740" spans="1:11" x14ac:dyDescent="0.3">
      <c r="A1740">
        <v>7434</v>
      </c>
      <c r="B1740" t="s">
        <v>42</v>
      </c>
      <c r="C1740" s="1">
        <v>45525</v>
      </c>
      <c r="D1740" t="s">
        <v>27</v>
      </c>
      <c r="E1740" t="s">
        <v>43</v>
      </c>
      <c r="F1740">
        <v>1</v>
      </c>
      <c r="G1740">
        <v>21.79</v>
      </c>
      <c r="H1740">
        <v>21.79</v>
      </c>
      <c r="I1740">
        <v>4.3600000000000003</v>
      </c>
      <c r="J1740">
        <v>17.43</v>
      </c>
      <c r="K1740">
        <v>144</v>
      </c>
    </row>
    <row r="1741" spans="1:11" x14ac:dyDescent="0.3">
      <c r="A1741">
        <v>3329</v>
      </c>
      <c r="B1741" t="s">
        <v>42</v>
      </c>
      <c r="C1741" s="1">
        <v>45593</v>
      </c>
      <c r="D1741" t="s">
        <v>35</v>
      </c>
      <c r="E1741" t="s">
        <v>29</v>
      </c>
      <c r="F1741">
        <v>3</v>
      </c>
      <c r="G1741">
        <v>10.52</v>
      </c>
      <c r="H1741">
        <v>31.56</v>
      </c>
      <c r="I1741">
        <v>0</v>
      </c>
      <c r="J1741">
        <v>31.56</v>
      </c>
      <c r="K1741">
        <v>498</v>
      </c>
    </row>
    <row r="1742" spans="1:11" x14ac:dyDescent="0.3">
      <c r="A1742">
        <v>5402</v>
      </c>
      <c r="B1742" t="s">
        <v>14</v>
      </c>
      <c r="C1742" s="1">
        <v>45632</v>
      </c>
      <c r="D1742" t="s">
        <v>38</v>
      </c>
      <c r="E1742" t="s">
        <v>13</v>
      </c>
      <c r="F1742">
        <v>2</v>
      </c>
      <c r="G1742">
        <v>10.5</v>
      </c>
      <c r="H1742">
        <v>21</v>
      </c>
      <c r="I1742">
        <v>3.95</v>
      </c>
      <c r="J1742">
        <v>17.05</v>
      </c>
      <c r="K1742">
        <v>191</v>
      </c>
    </row>
    <row r="1743" spans="1:11" x14ac:dyDescent="0.3">
      <c r="A1743">
        <v>7786</v>
      </c>
      <c r="B1743" t="s">
        <v>31</v>
      </c>
      <c r="C1743" s="1">
        <v>45436</v>
      </c>
      <c r="D1743" t="s">
        <v>20</v>
      </c>
      <c r="E1743" t="s">
        <v>40</v>
      </c>
      <c r="F1743">
        <v>2</v>
      </c>
      <c r="G1743">
        <v>29.4</v>
      </c>
      <c r="H1743">
        <v>58.8</v>
      </c>
      <c r="I1743">
        <v>0</v>
      </c>
      <c r="J1743">
        <v>58.8</v>
      </c>
      <c r="K1743">
        <v>7</v>
      </c>
    </row>
    <row r="1744" spans="1:11" x14ac:dyDescent="0.3">
      <c r="A1744">
        <v>8405</v>
      </c>
      <c r="B1744" t="s">
        <v>31</v>
      </c>
      <c r="C1744" s="1">
        <v>45203</v>
      </c>
      <c r="D1744" t="s">
        <v>17</v>
      </c>
      <c r="E1744" t="s">
        <v>29</v>
      </c>
      <c r="F1744">
        <v>4</v>
      </c>
      <c r="G1744">
        <v>10.34</v>
      </c>
      <c r="H1744">
        <v>41.36</v>
      </c>
      <c r="I1744">
        <v>4.1399999999999997</v>
      </c>
      <c r="J1744">
        <v>37.22</v>
      </c>
      <c r="K1744">
        <v>292</v>
      </c>
    </row>
    <row r="1745" spans="1:11" x14ac:dyDescent="0.3">
      <c r="A1745">
        <v>2525</v>
      </c>
      <c r="B1745" t="s">
        <v>36</v>
      </c>
      <c r="C1745" s="1">
        <v>45457</v>
      </c>
      <c r="D1745" t="s">
        <v>17</v>
      </c>
      <c r="E1745" t="s">
        <v>32</v>
      </c>
      <c r="F1745">
        <v>4</v>
      </c>
      <c r="G1745">
        <v>29.78</v>
      </c>
      <c r="H1745">
        <v>119.12</v>
      </c>
      <c r="I1745">
        <v>2.76</v>
      </c>
      <c r="J1745">
        <v>116.36</v>
      </c>
      <c r="K1745">
        <v>232</v>
      </c>
    </row>
    <row r="1746" spans="1:11" x14ac:dyDescent="0.3">
      <c r="A1746">
        <v>9447</v>
      </c>
      <c r="B1746" t="s">
        <v>30</v>
      </c>
      <c r="C1746" s="1">
        <v>45727</v>
      </c>
      <c r="D1746" t="s">
        <v>27</v>
      </c>
      <c r="E1746" t="s">
        <v>46</v>
      </c>
      <c r="F1746">
        <v>3</v>
      </c>
      <c r="G1746">
        <v>10.77</v>
      </c>
      <c r="H1746">
        <v>32.31</v>
      </c>
      <c r="I1746">
        <v>4.8499999999999996</v>
      </c>
      <c r="J1746">
        <v>27.46</v>
      </c>
      <c r="K1746">
        <v>456</v>
      </c>
    </row>
    <row r="1747" spans="1:11" x14ac:dyDescent="0.3">
      <c r="A1747">
        <v>5558</v>
      </c>
      <c r="B1747" t="s">
        <v>36</v>
      </c>
      <c r="C1747" s="1">
        <v>45684</v>
      </c>
      <c r="D1747" t="s">
        <v>45</v>
      </c>
      <c r="E1747" t="s">
        <v>18</v>
      </c>
      <c r="F1747">
        <v>4</v>
      </c>
      <c r="G1747">
        <v>20.22</v>
      </c>
      <c r="H1747">
        <v>80.88</v>
      </c>
      <c r="I1747">
        <v>2.0499999999999998</v>
      </c>
      <c r="J1747">
        <v>78.83</v>
      </c>
      <c r="K1747">
        <v>342</v>
      </c>
    </row>
    <row r="1748" spans="1:11" x14ac:dyDescent="0.3">
      <c r="A1748">
        <v>7046</v>
      </c>
      <c r="B1748" t="s">
        <v>36</v>
      </c>
      <c r="C1748" s="1">
        <v>45498</v>
      </c>
      <c r="D1748" t="s">
        <v>20</v>
      </c>
      <c r="E1748" t="s">
        <v>39</v>
      </c>
      <c r="F1748">
        <v>5</v>
      </c>
      <c r="G1748">
        <v>4.6500000000000004</v>
      </c>
      <c r="H1748">
        <v>23.25</v>
      </c>
      <c r="I1748">
        <v>1.48</v>
      </c>
      <c r="J1748">
        <v>21.77</v>
      </c>
      <c r="K1748">
        <v>116</v>
      </c>
    </row>
    <row r="1749" spans="1:11" x14ac:dyDescent="0.3">
      <c r="A1749">
        <v>8996</v>
      </c>
      <c r="B1749" t="s">
        <v>30</v>
      </c>
      <c r="C1749" s="1">
        <v>45399</v>
      </c>
      <c r="D1749" t="s">
        <v>34</v>
      </c>
      <c r="E1749" t="s">
        <v>23</v>
      </c>
      <c r="F1749">
        <v>3</v>
      </c>
      <c r="G1749">
        <v>14.11</v>
      </c>
      <c r="H1749">
        <v>42.33</v>
      </c>
      <c r="I1749">
        <v>1.73</v>
      </c>
      <c r="J1749">
        <v>40.6</v>
      </c>
      <c r="K1749">
        <v>283</v>
      </c>
    </row>
    <row r="1750" spans="1:11" x14ac:dyDescent="0.3">
      <c r="A1750">
        <v>1040</v>
      </c>
      <c r="B1750" t="s">
        <v>14</v>
      </c>
      <c r="C1750" s="1">
        <v>45819</v>
      </c>
      <c r="D1750" t="s">
        <v>17</v>
      </c>
      <c r="E1750" t="s">
        <v>41</v>
      </c>
      <c r="F1750">
        <v>2</v>
      </c>
      <c r="G1750">
        <v>23.49</v>
      </c>
      <c r="H1750">
        <v>46.98</v>
      </c>
      <c r="I1750">
        <v>3.4</v>
      </c>
      <c r="J1750">
        <v>43.58</v>
      </c>
      <c r="K1750">
        <v>101</v>
      </c>
    </row>
    <row r="1751" spans="1:11" x14ac:dyDescent="0.3">
      <c r="A1751">
        <v>2526</v>
      </c>
      <c r="B1751" t="s">
        <v>19</v>
      </c>
      <c r="C1751" s="1">
        <v>45712</v>
      </c>
      <c r="D1751" t="s">
        <v>28</v>
      </c>
      <c r="E1751" t="s">
        <v>46</v>
      </c>
      <c r="F1751">
        <v>5</v>
      </c>
      <c r="G1751">
        <v>2.35</v>
      </c>
      <c r="H1751">
        <v>11.75</v>
      </c>
      <c r="I1751">
        <v>1.92</v>
      </c>
      <c r="J1751">
        <v>9.83</v>
      </c>
      <c r="K1751">
        <v>272</v>
      </c>
    </row>
    <row r="1752" spans="1:11" x14ac:dyDescent="0.3">
      <c r="A1752">
        <v>8511</v>
      </c>
      <c r="B1752" t="s">
        <v>14</v>
      </c>
      <c r="C1752" s="1">
        <v>45638</v>
      </c>
      <c r="D1752" t="s">
        <v>34</v>
      </c>
      <c r="E1752" t="s">
        <v>23</v>
      </c>
      <c r="F1752">
        <v>2</v>
      </c>
      <c r="G1752">
        <v>3.89</v>
      </c>
      <c r="H1752">
        <v>7.78</v>
      </c>
      <c r="I1752">
        <v>0</v>
      </c>
      <c r="J1752">
        <v>7.78</v>
      </c>
      <c r="K1752">
        <v>84</v>
      </c>
    </row>
    <row r="1753" spans="1:11" x14ac:dyDescent="0.3">
      <c r="A1753">
        <v>6869</v>
      </c>
      <c r="B1753" t="s">
        <v>19</v>
      </c>
      <c r="C1753" s="1">
        <v>45805</v>
      </c>
      <c r="D1753" t="s">
        <v>38</v>
      </c>
      <c r="E1753" t="s">
        <v>16</v>
      </c>
      <c r="F1753">
        <v>2</v>
      </c>
      <c r="G1753">
        <v>9.06</v>
      </c>
      <c r="H1753">
        <v>18.12</v>
      </c>
      <c r="I1753">
        <v>2.72</v>
      </c>
      <c r="J1753">
        <v>15.4</v>
      </c>
      <c r="K1753">
        <v>491</v>
      </c>
    </row>
    <row r="1754" spans="1:11" x14ac:dyDescent="0.3">
      <c r="A1754">
        <v>2037</v>
      </c>
      <c r="B1754" t="s">
        <v>24</v>
      </c>
      <c r="C1754" s="1">
        <v>45763</v>
      </c>
      <c r="D1754" t="s">
        <v>38</v>
      </c>
      <c r="E1754" t="s">
        <v>16</v>
      </c>
      <c r="F1754">
        <v>4</v>
      </c>
      <c r="G1754">
        <v>14.56</v>
      </c>
      <c r="H1754">
        <v>58.24</v>
      </c>
      <c r="I1754">
        <v>1.3</v>
      </c>
      <c r="J1754">
        <v>56.94</v>
      </c>
      <c r="K1754">
        <v>69</v>
      </c>
    </row>
    <row r="1755" spans="1:11" x14ac:dyDescent="0.3">
      <c r="A1755">
        <v>9756</v>
      </c>
      <c r="B1755" t="s">
        <v>14</v>
      </c>
      <c r="C1755" s="1">
        <v>45453</v>
      </c>
      <c r="D1755" t="s">
        <v>27</v>
      </c>
      <c r="E1755" t="s">
        <v>37</v>
      </c>
      <c r="F1755">
        <v>2</v>
      </c>
      <c r="G1755">
        <v>27.76</v>
      </c>
      <c r="H1755">
        <v>55.52</v>
      </c>
      <c r="I1755">
        <v>4.0199999999999996</v>
      </c>
      <c r="J1755">
        <v>51.5</v>
      </c>
      <c r="K1755">
        <v>313</v>
      </c>
    </row>
    <row r="1756" spans="1:11" x14ac:dyDescent="0.3">
      <c r="A1756">
        <v>4568</v>
      </c>
      <c r="B1756" t="s">
        <v>19</v>
      </c>
      <c r="C1756" s="1">
        <v>45478</v>
      </c>
      <c r="D1756" t="s">
        <v>34</v>
      </c>
      <c r="E1756" t="s">
        <v>47</v>
      </c>
      <c r="F1756">
        <v>2</v>
      </c>
      <c r="G1756">
        <v>23.16</v>
      </c>
      <c r="H1756">
        <v>46.32</v>
      </c>
      <c r="I1756">
        <v>4.63</v>
      </c>
      <c r="J1756">
        <v>41.69</v>
      </c>
      <c r="K1756">
        <v>413</v>
      </c>
    </row>
    <row r="1757" spans="1:11" x14ac:dyDescent="0.3">
      <c r="A1757">
        <v>4470</v>
      </c>
      <c r="B1757" t="s">
        <v>19</v>
      </c>
      <c r="C1757" s="1">
        <v>45529</v>
      </c>
      <c r="D1757" t="s">
        <v>27</v>
      </c>
      <c r="E1757" t="s">
        <v>16</v>
      </c>
      <c r="F1757">
        <v>4</v>
      </c>
      <c r="G1757">
        <v>18.14</v>
      </c>
      <c r="H1757">
        <v>72.56</v>
      </c>
      <c r="I1757">
        <v>1.91</v>
      </c>
      <c r="J1757">
        <v>70.650000000000006</v>
      </c>
      <c r="K1757">
        <v>127</v>
      </c>
    </row>
    <row r="1758" spans="1:11" x14ac:dyDescent="0.3">
      <c r="A1758">
        <v>5399</v>
      </c>
      <c r="B1758" t="s">
        <v>30</v>
      </c>
      <c r="C1758" s="1">
        <v>45395</v>
      </c>
      <c r="D1758" t="s">
        <v>34</v>
      </c>
      <c r="E1758" t="s">
        <v>32</v>
      </c>
      <c r="F1758">
        <v>1</v>
      </c>
      <c r="G1758">
        <v>22.04</v>
      </c>
      <c r="H1758">
        <v>22.04</v>
      </c>
      <c r="I1758">
        <v>4.41</v>
      </c>
      <c r="J1758">
        <v>17.63</v>
      </c>
      <c r="K1758">
        <v>299</v>
      </c>
    </row>
    <row r="1759" spans="1:11" x14ac:dyDescent="0.3">
      <c r="A1759">
        <v>5646</v>
      </c>
      <c r="B1759" t="s">
        <v>26</v>
      </c>
      <c r="C1759" s="1">
        <v>45407</v>
      </c>
      <c r="D1759" t="s">
        <v>34</v>
      </c>
      <c r="E1759" t="s">
        <v>13</v>
      </c>
      <c r="F1759">
        <v>3</v>
      </c>
      <c r="G1759">
        <v>1.3</v>
      </c>
      <c r="H1759">
        <v>3.9</v>
      </c>
      <c r="I1759">
        <v>1.41</v>
      </c>
      <c r="J1759">
        <v>2.4900000000000002</v>
      </c>
      <c r="K1759">
        <v>60</v>
      </c>
    </row>
    <row r="1760" spans="1:11" x14ac:dyDescent="0.3">
      <c r="A1760">
        <v>9967</v>
      </c>
      <c r="B1760" t="s">
        <v>26</v>
      </c>
      <c r="C1760" s="1">
        <v>45593</v>
      </c>
      <c r="D1760" t="s">
        <v>17</v>
      </c>
      <c r="E1760" t="s">
        <v>33</v>
      </c>
      <c r="F1760">
        <v>3</v>
      </c>
      <c r="G1760">
        <v>24.83</v>
      </c>
      <c r="H1760">
        <v>74.489999999999995</v>
      </c>
      <c r="I1760">
        <v>14.9</v>
      </c>
      <c r="J1760">
        <v>59.59</v>
      </c>
      <c r="K1760">
        <v>277</v>
      </c>
    </row>
    <row r="1761" spans="1:11" x14ac:dyDescent="0.3">
      <c r="A1761">
        <v>3139</v>
      </c>
      <c r="B1761" t="s">
        <v>11</v>
      </c>
      <c r="C1761" s="1">
        <v>45584</v>
      </c>
      <c r="D1761" t="s">
        <v>22</v>
      </c>
      <c r="E1761" t="s">
        <v>13</v>
      </c>
      <c r="F1761">
        <v>1</v>
      </c>
      <c r="G1761">
        <v>12.05</v>
      </c>
      <c r="H1761">
        <v>12.05</v>
      </c>
      <c r="I1761">
        <v>3.51</v>
      </c>
      <c r="J1761">
        <v>8.5399999999999991</v>
      </c>
      <c r="K1761">
        <v>456</v>
      </c>
    </row>
    <row r="1762" spans="1:11" x14ac:dyDescent="0.3">
      <c r="A1762">
        <v>8951</v>
      </c>
      <c r="B1762" t="s">
        <v>24</v>
      </c>
      <c r="C1762" s="1">
        <v>45757</v>
      </c>
      <c r="D1762" t="s">
        <v>28</v>
      </c>
      <c r="E1762" t="s">
        <v>29</v>
      </c>
      <c r="F1762">
        <v>4</v>
      </c>
      <c r="G1762">
        <v>22.99</v>
      </c>
      <c r="H1762">
        <v>91.96</v>
      </c>
      <c r="I1762">
        <v>4.99</v>
      </c>
      <c r="J1762">
        <v>86.97</v>
      </c>
      <c r="K1762">
        <v>115</v>
      </c>
    </row>
    <row r="1763" spans="1:11" x14ac:dyDescent="0.3">
      <c r="A1763">
        <v>6631</v>
      </c>
      <c r="B1763" t="s">
        <v>36</v>
      </c>
      <c r="C1763" s="1">
        <v>45839</v>
      </c>
      <c r="D1763" t="s">
        <v>17</v>
      </c>
      <c r="E1763" t="s">
        <v>47</v>
      </c>
      <c r="F1763">
        <v>4</v>
      </c>
      <c r="G1763">
        <v>13.22</v>
      </c>
      <c r="H1763">
        <v>52.88</v>
      </c>
      <c r="I1763">
        <v>7.93</v>
      </c>
      <c r="J1763">
        <v>44.95</v>
      </c>
      <c r="K1763">
        <v>326</v>
      </c>
    </row>
    <row r="1764" spans="1:11" x14ac:dyDescent="0.3">
      <c r="A1764">
        <v>1793</v>
      </c>
      <c r="B1764" t="s">
        <v>30</v>
      </c>
      <c r="C1764" s="1">
        <v>45180</v>
      </c>
      <c r="D1764" t="s">
        <v>35</v>
      </c>
      <c r="E1764" t="s">
        <v>46</v>
      </c>
      <c r="F1764">
        <v>3</v>
      </c>
      <c r="G1764">
        <v>13.16</v>
      </c>
      <c r="H1764">
        <v>39.479999999999997</v>
      </c>
      <c r="I1764">
        <v>5.92</v>
      </c>
      <c r="J1764">
        <v>33.56</v>
      </c>
      <c r="K1764">
        <v>428</v>
      </c>
    </row>
    <row r="1765" spans="1:11" x14ac:dyDescent="0.3">
      <c r="A1765">
        <v>2631</v>
      </c>
      <c r="B1765" t="s">
        <v>11</v>
      </c>
      <c r="C1765" s="1">
        <v>45631</v>
      </c>
      <c r="D1765" t="s">
        <v>12</v>
      </c>
      <c r="E1765" t="s">
        <v>48</v>
      </c>
      <c r="F1765">
        <v>4</v>
      </c>
      <c r="G1765">
        <v>8.0299999999999994</v>
      </c>
      <c r="H1765">
        <v>32.119999999999997</v>
      </c>
      <c r="I1765">
        <v>2.74</v>
      </c>
      <c r="J1765">
        <v>29.38</v>
      </c>
      <c r="K1765">
        <v>253</v>
      </c>
    </row>
    <row r="1766" spans="1:11" x14ac:dyDescent="0.3">
      <c r="A1766">
        <v>8529</v>
      </c>
      <c r="B1766" t="s">
        <v>30</v>
      </c>
      <c r="C1766" s="1">
        <v>45157</v>
      </c>
      <c r="D1766" t="s">
        <v>15</v>
      </c>
      <c r="E1766" t="s">
        <v>47</v>
      </c>
      <c r="F1766">
        <v>5</v>
      </c>
      <c r="G1766">
        <v>18.579999999999998</v>
      </c>
      <c r="H1766">
        <v>92.9</v>
      </c>
      <c r="I1766">
        <v>3.08</v>
      </c>
      <c r="J1766">
        <v>89.82</v>
      </c>
      <c r="K1766">
        <v>289</v>
      </c>
    </row>
    <row r="1767" spans="1:11" x14ac:dyDescent="0.3">
      <c r="A1767">
        <v>3035</v>
      </c>
      <c r="B1767" t="s">
        <v>24</v>
      </c>
      <c r="C1767" s="1">
        <v>45866</v>
      </c>
      <c r="D1767" t="s">
        <v>12</v>
      </c>
      <c r="E1767" t="s">
        <v>48</v>
      </c>
      <c r="F1767">
        <v>5</v>
      </c>
      <c r="G1767">
        <v>25.3</v>
      </c>
      <c r="H1767">
        <v>126.5</v>
      </c>
      <c r="I1767">
        <v>1.38</v>
      </c>
      <c r="J1767">
        <v>125.12</v>
      </c>
      <c r="K1767">
        <v>329</v>
      </c>
    </row>
    <row r="1768" spans="1:11" x14ac:dyDescent="0.3">
      <c r="A1768">
        <v>3588</v>
      </c>
      <c r="B1768" t="s">
        <v>42</v>
      </c>
      <c r="C1768" s="1">
        <v>45487</v>
      </c>
      <c r="D1768" t="s">
        <v>22</v>
      </c>
      <c r="E1768" t="s">
        <v>16</v>
      </c>
      <c r="F1768">
        <v>4</v>
      </c>
      <c r="G1768">
        <v>21.82</v>
      </c>
      <c r="H1768">
        <v>87.28</v>
      </c>
      <c r="I1768">
        <v>0</v>
      </c>
      <c r="J1768">
        <v>87.28</v>
      </c>
      <c r="K1768">
        <v>20</v>
      </c>
    </row>
    <row r="1769" spans="1:11" x14ac:dyDescent="0.3">
      <c r="A1769">
        <v>8479</v>
      </c>
      <c r="B1769" t="s">
        <v>26</v>
      </c>
      <c r="C1769" s="1">
        <v>45145</v>
      </c>
      <c r="D1769" t="s">
        <v>45</v>
      </c>
      <c r="E1769" t="s">
        <v>46</v>
      </c>
      <c r="F1769">
        <v>1</v>
      </c>
      <c r="G1769">
        <v>28.26</v>
      </c>
      <c r="H1769">
        <v>28.26</v>
      </c>
      <c r="I1769">
        <v>0</v>
      </c>
      <c r="J1769">
        <v>28.26</v>
      </c>
      <c r="K1769">
        <v>416</v>
      </c>
    </row>
    <row r="1770" spans="1:11" x14ac:dyDescent="0.3">
      <c r="A1770">
        <v>8009</v>
      </c>
      <c r="B1770" t="s">
        <v>31</v>
      </c>
      <c r="C1770" s="1">
        <v>45302</v>
      </c>
      <c r="D1770" t="s">
        <v>17</v>
      </c>
      <c r="E1770" t="s">
        <v>29</v>
      </c>
      <c r="F1770">
        <v>1</v>
      </c>
      <c r="G1770">
        <v>19.28</v>
      </c>
      <c r="H1770">
        <v>19.28</v>
      </c>
      <c r="I1770">
        <v>2.89</v>
      </c>
      <c r="J1770">
        <v>16.39</v>
      </c>
      <c r="K1770">
        <v>168</v>
      </c>
    </row>
    <row r="1771" spans="1:11" x14ac:dyDescent="0.3">
      <c r="A1771">
        <v>3161</v>
      </c>
      <c r="B1771" t="s">
        <v>24</v>
      </c>
      <c r="C1771" s="1">
        <v>45830</v>
      </c>
      <c r="D1771" t="s">
        <v>12</v>
      </c>
      <c r="E1771" t="s">
        <v>33</v>
      </c>
      <c r="F1771">
        <v>3</v>
      </c>
      <c r="G1771">
        <v>11.39</v>
      </c>
      <c r="H1771">
        <v>34.17</v>
      </c>
      <c r="I1771">
        <v>5.13</v>
      </c>
      <c r="J1771">
        <v>29.04</v>
      </c>
      <c r="K1771">
        <v>349</v>
      </c>
    </row>
    <row r="1772" spans="1:11" x14ac:dyDescent="0.3">
      <c r="A1772">
        <v>5945</v>
      </c>
      <c r="B1772" t="s">
        <v>42</v>
      </c>
      <c r="C1772" s="1">
        <v>45268</v>
      </c>
      <c r="D1772" t="s">
        <v>35</v>
      </c>
      <c r="E1772" t="s">
        <v>33</v>
      </c>
      <c r="F1772">
        <v>1</v>
      </c>
      <c r="G1772">
        <v>10.4</v>
      </c>
      <c r="H1772">
        <v>10.4</v>
      </c>
      <c r="I1772">
        <v>2.08</v>
      </c>
      <c r="J1772">
        <v>8.32</v>
      </c>
      <c r="K1772">
        <v>357</v>
      </c>
    </row>
    <row r="1773" spans="1:11" x14ac:dyDescent="0.3">
      <c r="A1773">
        <v>5489</v>
      </c>
      <c r="B1773" t="s">
        <v>42</v>
      </c>
      <c r="C1773" s="1">
        <v>45217</v>
      </c>
      <c r="D1773" t="s">
        <v>38</v>
      </c>
      <c r="E1773" t="s">
        <v>18</v>
      </c>
      <c r="F1773">
        <v>3</v>
      </c>
      <c r="G1773">
        <v>22.47</v>
      </c>
      <c r="H1773">
        <v>67.41</v>
      </c>
      <c r="I1773">
        <v>13.48</v>
      </c>
      <c r="J1773">
        <v>53.93</v>
      </c>
      <c r="K1773">
        <v>385</v>
      </c>
    </row>
    <row r="1774" spans="1:11" x14ac:dyDescent="0.3">
      <c r="A1774">
        <v>6905</v>
      </c>
      <c r="B1774" t="s">
        <v>26</v>
      </c>
      <c r="C1774" s="1">
        <v>45339</v>
      </c>
      <c r="D1774" t="s">
        <v>15</v>
      </c>
      <c r="E1774" t="s">
        <v>21</v>
      </c>
      <c r="F1774">
        <v>3</v>
      </c>
      <c r="G1774">
        <v>18.87</v>
      </c>
      <c r="H1774">
        <v>56.61</v>
      </c>
      <c r="I1774">
        <v>8.49</v>
      </c>
      <c r="J1774">
        <v>48.12</v>
      </c>
      <c r="K1774">
        <v>378</v>
      </c>
    </row>
    <row r="1775" spans="1:11" x14ac:dyDescent="0.3">
      <c r="A1775">
        <v>2350</v>
      </c>
      <c r="B1775" t="s">
        <v>30</v>
      </c>
      <c r="C1775" s="1">
        <v>45433</v>
      </c>
      <c r="D1775" t="s">
        <v>15</v>
      </c>
      <c r="E1775" t="s">
        <v>43</v>
      </c>
      <c r="F1775">
        <v>4</v>
      </c>
      <c r="G1775">
        <v>10.06</v>
      </c>
      <c r="H1775">
        <v>40.24</v>
      </c>
      <c r="I1775">
        <v>4.0199999999999996</v>
      </c>
      <c r="J1775">
        <v>36.22</v>
      </c>
      <c r="K1775">
        <v>254</v>
      </c>
    </row>
    <row r="1776" spans="1:11" x14ac:dyDescent="0.3">
      <c r="A1776">
        <v>3711</v>
      </c>
      <c r="B1776" t="s">
        <v>42</v>
      </c>
      <c r="C1776" s="1">
        <v>45185</v>
      </c>
      <c r="D1776" t="s">
        <v>35</v>
      </c>
      <c r="E1776" t="s">
        <v>47</v>
      </c>
      <c r="F1776">
        <v>3</v>
      </c>
      <c r="G1776">
        <v>10.76</v>
      </c>
      <c r="H1776">
        <v>32.28</v>
      </c>
      <c r="I1776">
        <v>6.46</v>
      </c>
      <c r="J1776">
        <v>25.82</v>
      </c>
      <c r="K1776">
        <v>224</v>
      </c>
    </row>
    <row r="1777" spans="1:11" x14ac:dyDescent="0.3">
      <c r="A1777">
        <v>7493</v>
      </c>
      <c r="B1777" t="s">
        <v>19</v>
      </c>
      <c r="C1777" s="1">
        <v>45630</v>
      </c>
      <c r="D1777" t="s">
        <v>22</v>
      </c>
      <c r="E1777" t="s">
        <v>39</v>
      </c>
      <c r="F1777">
        <v>1</v>
      </c>
      <c r="G1777">
        <v>6.49</v>
      </c>
      <c r="H1777">
        <v>6.49</v>
      </c>
      <c r="I1777">
        <v>3.15</v>
      </c>
      <c r="J1777">
        <v>3.34</v>
      </c>
      <c r="K1777">
        <v>158</v>
      </c>
    </row>
    <row r="1778" spans="1:11" x14ac:dyDescent="0.3">
      <c r="A1778">
        <v>6005</v>
      </c>
      <c r="B1778" t="s">
        <v>24</v>
      </c>
      <c r="C1778" s="1">
        <v>45708</v>
      </c>
      <c r="D1778" t="s">
        <v>28</v>
      </c>
      <c r="E1778" t="s">
        <v>43</v>
      </c>
      <c r="F1778">
        <v>2</v>
      </c>
      <c r="G1778">
        <v>3.7</v>
      </c>
      <c r="H1778">
        <v>7.4</v>
      </c>
      <c r="I1778">
        <v>1.1100000000000001</v>
      </c>
      <c r="J1778">
        <v>6.29</v>
      </c>
      <c r="K1778">
        <v>364</v>
      </c>
    </row>
    <row r="1779" spans="1:11" x14ac:dyDescent="0.3">
      <c r="A1779">
        <v>4836</v>
      </c>
      <c r="B1779" t="s">
        <v>19</v>
      </c>
      <c r="C1779" s="1">
        <v>45478</v>
      </c>
      <c r="D1779" t="s">
        <v>22</v>
      </c>
      <c r="E1779" t="s">
        <v>18</v>
      </c>
      <c r="F1779">
        <v>3</v>
      </c>
      <c r="G1779">
        <v>12.5</v>
      </c>
      <c r="H1779">
        <v>37.5</v>
      </c>
      <c r="I1779">
        <v>4.38</v>
      </c>
      <c r="J1779">
        <v>33.119999999999997</v>
      </c>
      <c r="K1779">
        <v>471</v>
      </c>
    </row>
    <row r="1780" spans="1:11" x14ac:dyDescent="0.3">
      <c r="A1780">
        <v>2494</v>
      </c>
      <c r="B1780" t="s">
        <v>30</v>
      </c>
      <c r="C1780" s="1">
        <v>45691</v>
      </c>
      <c r="D1780" t="s">
        <v>28</v>
      </c>
      <c r="E1780" t="s">
        <v>43</v>
      </c>
      <c r="F1780">
        <v>3</v>
      </c>
      <c r="G1780">
        <v>29.97</v>
      </c>
      <c r="H1780">
        <v>89.91</v>
      </c>
      <c r="I1780">
        <v>17.98</v>
      </c>
      <c r="J1780">
        <v>71.930000000000007</v>
      </c>
      <c r="K1780">
        <v>226</v>
      </c>
    </row>
    <row r="1781" spans="1:11" x14ac:dyDescent="0.3">
      <c r="A1781">
        <v>2559</v>
      </c>
      <c r="B1781" t="s">
        <v>14</v>
      </c>
      <c r="C1781" s="1">
        <v>45145</v>
      </c>
      <c r="D1781" t="s">
        <v>34</v>
      </c>
      <c r="E1781" t="s">
        <v>13</v>
      </c>
      <c r="F1781">
        <v>1</v>
      </c>
      <c r="G1781">
        <v>15.33</v>
      </c>
      <c r="H1781">
        <v>15.33</v>
      </c>
      <c r="I1781">
        <v>3.07</v>
      </c>
      <c r="J1781">
        <v>12.26</v>
      </c>
      <c r="K1781">
        <v>426</v>
      </c>
    </row>
    <row r="1782" spans="1:11" x14ac:dyDescent="0.3">
      <c r="A1782">
        <v>4496</v>
      </c>
      <c r="B1782" t="s">
        <v>42</v>
      </c>
      <c r="C1782" s="1">
        <v>45515</v>
      </c>
      <c r="D1782" t="s">
        <v>45</v>
      </c>
      <c r="E1782" t="s">
        <v>44</v>
      </c>
      <c r="F1782">
        <v>2</v>
      </c>
      <c r="G1782">
        <v>1.35</v>
      </c>
      <c r="H1782">
        <v>2.7</v>
      </c>
      <c r="I1782">
        <v>2.93</v>
      </c>
      <c r="J1782">
        <v>-0.23</v>
      </c>
      <c r="K1782">
        <v>124</v>
      </c>
    </row>
    <row r="1783" spans="1:11" x14ac:dyDescent="0.3">
      <c r="A1783">
        <v>2276</v>
      </c>
      <c r="B1783" t="s">
        <v>26</v>
      </c>
      <c r="C1783" s="1">
        <v>45248</v>
      </c>
      <c r="D1783" t="s">
        <v>20</v>
      </c>
      <c r="E1783" t="s">
        <v>18</v>
      </c>
      <c r="F1783">
        <v>5</v>
      </c>
      <c r="G1783">
        <v>29.94</v>
      </c>
      <c r="H1783">
        <v>149.69999999999999</v>
      </c>
      <c r="I1783">
        <v>29.94</v>
      </c>
      <c r="J1783">
        <v>119.76</v>
      </c>
      <c r="K1783">
        <v>98</v>
      </c>
    </row>
    <row r="1784" spans="1:11" x14ac:dyDescent="0.3">
      <c r="A1784">
        <v>4705</v>
      </c>
      <c r="B1784" t="s">
        <v>14</v>
      </c>
      <c r="C1784" s="1">
        <v>45548</v>
      </c>
      <c r="D1784" t="s">
        <v>28</v>
      </c>
      <c r="E1784" t="s">
        <v>32</v>
      </c>
      <c r="F1784">
        <v>5</v>
      </c>
      <c r="G1784">
        <v>26.76</v>
      </c>
      <c r="H1784">
        <v>133.80000000000001</v>
      </c>
      <c r="I1784">
        <v>0</v>
      </c>
      <c r="J1784">
        <v>133.80000000000001</v>
      </c>
      <c r="K1784">
        <v>198</v>
      </c>
    </row>
    <row r="1785" spans="1:11" x14ac:dyDescent="0.3">
      <c r="A1785">
        <v>8291</v>
      </c>
      <c r="B1785" t="s">
        <v>36</v>
      </c>
      <c r="C1785" s="1">
        <v>45152</v>
      </c>
      <c r="D1785" t="s">
        <v>35</v>
      </c>
      <c r="E1785" t="s">
        <v>16</v>
      </c>
      <c r="F1785">
        <v>3</v>
      </c>
      <c r="G1785">
        <v>11.56</v>
      </c>
      <c r="H1785">
        <v>34.68</v>
      </c>
      <c r="I1785">
        <v>5.2</v>
      </c>
      <c r="J1785">
        <v>29.48</v>
      </c>
      <c r="K1785">
        <v>473</v>
      </c>
    </row>
    <row r="1786" spans="1:11" x14ac:dyDescent="0.3">
      <c r="A1786">
        <v>1132</v>
      </c>
      <c r="B1786" t="s">
        <v>14</v>
      </c>
      <c r="C1786" s="1">
        <v>45685</v>
      </c>
      <c r="D1786" t="s">
        <v>22</v>
      </c>
      <c r="E1786" t="s">
        <v>43</v>
      </c>
      <c r="F1786">
        <v>2</v>
      </c>
      <c r="G1786">
        <v>10.32</v>
      </c>
      <c r="H1786">
        <v>20.64</v>
      </c>
      <c r="I1786">
        <v>3.32</v>
      </c>
      <c r="J1786">
        <v>17.32</v>
      </c>
      <c r="K1786">
        <v>423</v>
      </c>
    </row>
    <row r="1787" spans="1:11" x14ac:dyDescent="0.3">
      <c r="A1787">
        <v>6629</v>
      </c>
      <c r="B1787" t="s">
        <v>11</v>
      </c>
      <c r="C1787" s="1">
        <v>45779</v>
      </c>
      <c r="D1787" t="s">
        <v>38</v>
      </c>
      <c r="E1787" t="s">
        <v>47</v>
      </c>
      <c r="F1787">
        <v>5</v>
      </c>
      <c r="G1787">
        <v>10.08</v>
      </c>
      <c r="H1787">
        <v>50.4</v>
      </c>
      <c r="I1787">
        <v>0</v>
      </c>
      <c r="J1787">
        <v>50.4</v>
      </c>
      <c r="K1787">
        <v>413</v>
      </c>
    </row>
    <row r="1788" spans="1:11" x14ac:dyDescent="0.3">
      <c r="A1788">
        <v>2975</v>
      </c>
      <c r="B1788" t="s">
        <v>36</v>
      </c>
      <c r="C1788" s="1">
        <v>45813</v>
      </c>
      <c r="D1788" t="s">
        <v>27</v>
      </c>
      <c r="E1788" t="s">
        <v>18</v>
      </c>
      <c r="F1788">
        <v>2</v>
      </c>
      <c r="G1788">
        <v>14.48</v>
      </c>
      <c r="H1788">
        <v>28.96</v>
      </c>
      <c r="I1788">
        <v>2.9</v>
      </c>
      <c r="J1788">
        <v>26.06</v>
      </c>
      <c r="K1788">
        <v>294</v>
      </c>
    </row>
    <row r="1789" spans="1:11" x14ac:dyDescent="0.3">
      <c r="A1789">
        <v>7919</v>
      </c>
      <c r="B1789" t="s">
        <v>26</v>
      </c>
      <c r="C1789" s="1">
        <v>45684</v>
      </c>
      <c r="D1789" t="s">
        <v>45</v>
      </c>
      <c r="E1789" t="s">
        <v>16</v>
      </c>
      <c r="F1789">
        <v>1</v>
      </c>
      <c r="G1789">
        <v>28.63</v>
      </c>
      <c r="H1789">
        <v>28.63</v>
      </c>
      <c r="I1789">
        <v>2.79</v>
      </c>
      <c r="J1789">
        <v>25.84</v>
      </c>
      <c r="K1789">
        <v>87</v>
      </c>
    </row>
    <row r="1790" spans="1:11" x14ac:dyDescent="0.3">
      <c r="A1790">
        <v>3165</v>
      </c>
      <c r="B1790" t="s">
        <v>31</v>
      </c>
      <c r="C1790" s="1">
        <v>45516</v>
      </c>
      <c r="D1790" t="s">
        <v>22</v>
      </c>
      <c r="E1790" t="s">
        <v>47</v>
      </c>
      <c r="F1790">
        <v>2</v>
      </c>
      <c r="G1790">
        <v>2.84</v>
      </c>
      <c r="H1790">
        <v>5.68</v>
      </c>
      <c r="I1790">
        <v>0</v>
      </c>
      <c r="J1790">
        <v>5.68</v>
      </c>
      <c r="K1790">
        <v>181</v>
      </c>
    </row>
    <row r="1791" spans="1:11" x14ac:dyDescent="0.3">
      <c r="A1791">
        <v>2160</v>
      </c>
      <c r="B1791" t="s">
        <v>30</v>
      </c>
      <c r="C1791" s="1">
        <v>45322</v>
      </c>
      <c r="D1791" t="s">
        <v>28</v>
      </c>
      <c r="E1791" t="s">
        <v>13</v>
      </c>
      <c r="F1791">
        <v>1</v>
      </c>
      <c r="G1791">
        <v>21.68</v>
      </c>
      <c r="H1791">
        <v>21.68</v>
      </c>
      <c r="I1791">
        <v>0</v>
      </c>
      <c r="J1791">
        <v>21.68</v>
      </c>
      <c r="K1791">
        <v>251</v>
      </c>
    </row>
    <row r="1792" spans="1:11" x14ac:dyDescent="0.3">
      <c r="A1792">
        <v>7276</v>
      </c>
      <c r="B1792" t="s">
        <v>19</v>
      </c>
      <c r="C1792" s="1">
        <v>45214</v>
      </c>
      <c r="D1792" t="s">
        <v>20</v>
      </c>
      <c r="E1792" t="s">
        <v>44</v>
      </c>
      <c r="F1792">
        <v>4</v>
      </c>
      <c r="G1792">
        <v>9.9700000000000006</v>
      </c>
      <c r="H1792">
        <v>39.880000000000003</v>
      </c>
      <c r="I1792">
        <v>5.98</v>
      </c>
      <c r="J1792">
        <v>33.9</v>
      </c>
      <c r="K1792">
        <v>356</v>
      </c>
    </row>
    <row r="1793" spans="1:11" x14ac:dyDescent="0.3">
      <c r="A1793">
        <v>2678</v>
      </c>
      <c r="B1793" t="s">
        <v>42</v>
      </c>
      <c r="C1793" s="1">
        <v>45225</v>
      </c>
      <c r="D1793" t="s">
        <v>28</v>
      </c>
      <c r="E1793" t="s">
        <v>46</v>
      </c>
      <c r="F1793">
        <v>4</v>
      </c>
      <c r="G1793">
        <v>5.17</v>
      </c>
      <c r="H1793">
        <v>20.68</v>
      </c>
      <c r="I1793">
        <v>4.88</v>
      </c>
      <c r="J1793">
        <v>15.8</v>
      </c>
      <c r="K1793">
        <v>276</v>
      </c>
    </row>
    <row r="1794" spans="1:11" x14ac:dyDescent="0.3">
      <c r="A1794">
        <v>6133</v>
      </c>
      <c r="B1794" t="s">
        <v>31</v>
      </c>
      <c r="C1794" s="1">
        <v>45430</v>
      </c>
      <c r="D1794" t="s">
        <v>22</v>
      </c>
      <c r="E1794" t="s">
        <v>48</v>
      </c>
      <c r="F1794">
        <v>1</v>
      </c>
      <c r="G1794">
        <v>18.79</v>
      </c>
      <c r="H1794">
        <v>18.79</v>
      </c>
      <c r="I1794">
        <v>0</v>
      </c>
      <c r="J1794">
        <v>18.79</v>
      </c>
      <c r="K1794">
        <v>271</v>
      </c>
    </row>
    <row r="1795" spans="1:11" x14ac:dyDescent="0.3">
      <c r="A1795">
        <v>5902</v>
      </c>
      <c r="B1795" t="s">
        <v>19</v>
      </c>
      <c r="C1795" s="1">
        <v>45251</v>
      </c>
      <c r="D1795" t="s">
        <v>17</v>
      </c>
      <c r="E1795" t="s">
        <v>25</v>
      </c>
      <c r="F1795">
        <v>5</v>
      </c>
      <c r="G1795">
        <v>23.43</v>
      </c>
      <c r="H1795">
        <v>117.15</v>
      </c>
      <c r="I1795">
        <v>3.6</v>
      </c>
      <c r="J1795">
        <v>113.55</v>
      </c>
      <c r="K1795">
        <v>91</v>
      </c>
    </row>
    <row r="1796" spans="1:11" x14ac:dyDescent="0.3">
      <c r="A1796">
        <v>7270</v>
      </c>
      <c r="B1796" t="s">
        <v>26</v>
      </c>
      <c r="C1796" s="1">
        <v>45745</v>
      </c>
      <c r="D1796" t="s">
        <v>15</v>
      </c>
      <c r="E1796" t="s">
        <v>21</v>
      </c>
      <c r="F1796">
        <v>1</v>
      </c>
      <c r="G1796">
        <v>3.72</v>
      </c>
      <c r="H1796">
        <v>3.72</v>
      </c>
      <c r="I1796">
        <v>0.37</v>
      </c>
      <c r="J1796">
        <v>3.35</v>
      </c>
      <c r="K1796">
        <v>206</v>
      </c>
    </row>
    <row r="1797" spans="1:11" x14ac:dyDescent="0.3">
      <c r="A1797">
        <v>3181</v>
      </c>
      <c r="B1797" t="s">
        <v>24</v>
      </c>
      <c r="C1797" s="1">
        <v>45643</v>
      </c>
      <c r="D1797" t="s">
        <v>45</v>
      </c>
      <c r="E1797" t="s">
        <v>41</v>
      </c>
      <c r="F1797">
        <v>3</v>
      </c>
      <c r="G1797">
        <v>6.3</v>
      </c>
      <c r="H1797">
        <v>18.899999999999999</v>
      </c>
      <c r="I1797">
        <v>3.78</v>
      </c>
      <c r="J1797">
        <v>15.12</v>
      </c>
      <c r="K1797">
        <v>159</v>
      </c>
    </row>
    <row r="1798" spans="1:11" x14ac:dyDescent="0.3">
      <c r="A1798">
        <v>3340</v>
      </c>
      <c r="B1798" t="s">
        <v>24</v>
      </c>
      <c r="C1798" s="1">
        <v>45198</v>
      </c>
      <c r="D1798" t="s">
        <v>35</v>
      </c>
      <c r="E1798" t="s">
        <v>47</v>
      </c>
      <c r="F1798">
        <v>1</v>
      </c>
      <c r="G1798">
        <v>6.34</v>
      </c>
      <c r="H1798">
        <v>6.34</v>
      </c>
      <c r="I1798">
        <v>1.27</v>
      </c>
      <c r="J1798">
        <v>5.07</v>
      </c>
      <c r="K1798">
        <v>205</v>
      </c>
    </row>
    <row r="1799" spans="1:11" x14ac:dyDescent="0.3">
      <c r="A1799">
        <v>9691</v>
      </c>
      <c r="B1799" t="s">
        <v>36</v>
      </c>
      <c r="C1799" s="1">
        <v>45582</v>
      </c>
      <c r="D1799" t="s">
        <v>27</v>
      </c>
      <c r="E1799" t="s">
        <v>43</v>
      </c>
      <c r="F1799">
        <v>3</v>
      </c>
      <c r="G1799">
        <v>14.09</v>
      </c>
      <c r="H1799">
        <v>42.27</v>
      </c>
      <c r="I1799">
        <v>4.5199999999999996</v>
      </c>
      <c r="J1799">
        <v>37.75</v>
      </c>
      <c r="K1799">
        <v>48</v>
      </c>
    </row>
    <row r="1800" spans="1:11" x14ac:dyDescent="0.3">
      <c r="A1800">
        <v>1138</v>
      </c>
      <c r="B1800" t="s">
        <v>31</v>
      </c>
      <c r="C1800" s="1">
        <v>45619</v>
      </c>
      <c r="D1800" t="s">
        <v>38</v>
      </c>
      <c r="E1800" t="s">
        <v>40</v>
      </c>
      <c r="F1800">
        <v>3</v>
      </c>
      <c r="G1800">
        <v>3.76</v>
      </c>
      <c r="H1800">
        <v>11.28</v>
      </c>
      <c r="I1800">
        <v>2.31</v>
      </c>
      <c r="J1800">
        <v>8.9700000000000006</v>
      </c>
      <c r="K1800">
        <v>0</v>
      </c>
    </row>
    <row r="1801" spans="1:11" x14ac:dyDescent="0.3">
      <c r="A1801">
        <v>3688</v>
      </c>
      <c r="B1801" t="s">
        <v>30</v>
      </c>
      <c r="C1801" s="1">
        <v>45486</v>
      </c>
      <c r="D1801" t="s">
        <v>12</v>
      </c>
      <c r="E1801" t="s">
        <v>23</v>
      </c>
      <c r="F1801">
        <v>1</v>
      </c>
      <c r="G1801">
        <v>28.71</v>
      </c>
      <c r="H1801">
        <v>28.71</v>
      </c>
      <c r="I1801">
        <v>5.74</v>
      </c>
      <c r="J1801">
        <v>22.97</v>
      </c>
      <c r="K1801">
        <v>96</v>
      </c>
    </row>
    <row r="1802" spans="1:11" x14ac:dyDescent="0.3">
      <c r="A1802">
        <v>6753</v>
      </c>
      <c r="B1802" t="s">
        <v>14</v>
      </c>
      <c r="C1802" s="1">
        <v>45706</v>
      </c>
      <c r="D1802" t="s">
        <v>17</v>
      </c>
      <c r="E1802" t="s">
        <v>23</v>
      </c>
      <c r="F1802">
        <v>1</v>
      </c>
      <c r="G1802">
        <v>26.28</v>
      </c>
      <c r="H1802">
        <v>26.28</v>
      </c>
      <c r="I1802">
        <v>2.5</v>
      </c>
      <c r="J1802">
        <v>23.78</v>
      </c>
      <c r="K1802">
        <v>467</v>
      </c>
    </row>
    <row r="1803" spans="1:11" x14ac:dyDescent="0.3">
      <c r="A1803">
        <v>4490</v>
      </c>
      <c r="B1803" t="s">
        <v>19</v>
      </c>
      <c r="C1803" s="1">
        <v>45632</v>
      </c>
      <c r="D1803" t="s">
        <v>45</v>
      </c>
      <c r="E1803" t="s">
        <v>29</v>
      </c>
      <c r="F1803">
        <v>5</v>
      </c>
      <c r="G1803">
        <v>5.31</v>
      </c>
      <c r="H1803">
        <v>26.55</v>
      </c>
      <c r="I1803">
        <v>3.49</v>
      </c>
      <c r="J1803">
        <v>23.06</v>
      </c>
      <c r="K1803">
        <v>419</v>
      </c>
    </row>
    <row r="1804" spans="1:11" x14ac:dyDescent="0.3">
      <c r="A1804">
        <v>3480</v>
      </c>
      <c r="B1804" t="s">
        <v>14</v>
      </c>
      <c r="C1804" s="1">
        <v>45859</v>
      </c>
      <c r="D1804" t="s">
        <v>15</v>
      </c>
      <c r="E1804" t="s">
        <v>37</v>
      </c>
      <c r="F1804">
        <v>3</v>
      </c>
      <c r="G1804">
        <v>4.12</v>
      </c>
      <c r="H1804">
        <v>12.36</v>
      </c>
      <c r="I1804">
        <v>3.07</v>
      </c>
      <c r="J1804">
        <v>9.2899999999999991</v>
      </c>
      <c r="K1804">
        <v>349</v>
      </c>
    </row>
    <row r="1805" spans="1:11" x14ac:dyDescent="0.3">
      <c r="A1805">
        <v>7745</v>
      </c>
      <c r="B1805" t="s">
        <v>11</v>
      </c>
      <c r="C1805" s="1">
        <v>45623</v>
      </c>
      <c r="D1805" t="s">
        <v>45</v>
      </c>
      <c r="E1805" t="s">
        <v>44</v>
      </c>
      <c r="F1805">
        <v>5</v>
      </c>
      <c r="G1805">
        <v>5.49</v>
      </c>
      <c r="H1805">
        <v>27.45</v>
      </c>
      <c r="I1805">
        <v>2.75</v>
      </c>
      <c r="J1805">
        <v>24.7</v>
      </c>
      <c r="K1805">
        <v>313</v>
      </c>
    </row>
    <row r="1806" spans="1:11" x14ac:dyDescent="0.3">
      <c r="A1806">
        <v>8248</v>
      </c>
      <c r="B1806" t="s">
        <v>14</v>
      </c>
      <c r="C1806" s="1">
        <v>45812</v>
      </c>
      <c r="D1806" t="s">
        <v>20</v>
      </c>
      <c r="E1806" t="s">
        <v>33</v>
      </c>
      <c r="F1806">
        <v>1</v>
      </c>
      <c r="G1806">
        <v>20.38</v>
      </c>
      <c r="H1806">
        <v>20.38</v>
      </c>
      <c r="I1806">
        <v>4.08</v>
      </c>
      <c r="J1806">
        <v>16.3</v>
      </c>
      <c r="K1806">
        <v>33</v>
      </c>
    </row>
    <row r="1807" spans="1:11" x14ac:dyDescent="0.3">
      <c r="A1807">
        <v>4559</v>
      </c>
      <c r="B1807" t="s">
        <v>36</v>
      </c>
      <c r="C1807" s="1">
        <v>45212</v>
      </c>
      <c r="D1807" t="s">
        <v>34</v>
      </c>
      <c r="E1807" t="s">
        <v>25</v>
      </c>
      <c r="F1807">
        <v>4</v>
      </c>
      <c r="G1807">
        <v>6.45</v>
      </c>
      <c r="H1807">
        <v>25.8</v>
      </c>
      <c r="I1807">
        <v>3.87</v>
      </c>
      <c r="J1807">
        <v>21.93</v>
      </c>
      <c r="K1807">
        <v>206</v>
      </c>
    </row>
    <row r="1808" spans="1:11" x14ac:dyDescent="0.3">
      <c r="A1808">
        <v>2646</v>
      </c>
      <c r="B1808" t="s">
        <v>31</v>
      </c>
      <c r="C1808" s="1">
        <v>45253</v>
      </c>
      <c r="D1808" t="s">
        <v>45</v>
      </c>
      <c r="E1808" t="s">
        <v>48</v>
      </c>
      <c r="F1808">
        <v>5</v>
      </c>
      <c r="G1808">
        <v>3.63</v>
      </c>
      <c r="H1808">
        <v>18.149999999999999</v>
      </c>
      <c r="I1808">
        <v>3.25</v>
      </c>
      <c r="J1808">
        <v>14.9</v>
      </c>
      <c r="K1808">
        <v>335</v>
      </c>
    </row>
    <row r="1809" spans="1:11" x14ac:dyDescent="0.3">
      <c r="A1809">
        <v>3017</v>
      </c>
      <c r="B1809" t="s">
        <v>14</v>
      </c>
      <c r="C1809" s="1">
        <v>45602</v>
      </c>
      <c r="D1809" t="s">
        <v>38</v>
      </c>
      <c r="E1809" t="s">
        <v>32</v>
      </c>
      <c r="F1809">
        <v>5</v>
      </c>
      <c r="G1809">
        <v>19.64</v>
      </c>
      <c r="H1809">
        <v>98.2</v>
      </c>
      <c r="I1809">
        <v>19.64</v>
      </c>
      <c r="J1809">
        <v>78.56</v>
      </c>
      <c r="K1809">
        <v>144</v>
      </c>
    </row>
    <row r="1810" spans="1:11" x14ac:dyDescent="0.3">
      <c r="A1810">
        <v>7291</v>
      </c>
      <c r="B1810" t="s">
        <v>26</v>
      </c>
      <c r="C1810" s="1">
        <v>45418</v>
      </c>
      <c r="D1810" t="s">
        <v>17</v>
      </c>
      <c r="E1810" t="s">
        <v>37</v>
      </c>
      <c r="F1810">
        <v>4</v>
      </c>
      <c r="G1810">
        <v>12.71</v>
      </c>
      <c r="H1810">
        <v>50.84</v>
      </c>
      <c r="I1810">
        <v>5.08</v>
      </c>
      <c r="J1810">
        <v>45.76</v>
      </c>
      <c r="K1810">
        <v>193</v>
      </c>
    </row>
    <row r="1811" spans="1:11" x14ac:dyDescent="0.3">
      <c r="A1811">
        <v>8035</v>
      </c>
      <c r="B1811" t="s">
        <v>31</v>
      </c>
      <c r="C1811" s="1">
        <v>45389</v>
      </c>
      <c r="D1811" t="s">
        <v>45</v>
      </c>
      <c r="E1811" t="s">
        <v>48</v>
      </c>
      <c r="F1811">
        <v>3</v>
      </c>
      <c r="G1811">
        <v>17.27</v>
      </c>
      <c r="H1811">
        <v>51.81</v>
      </c>
      <c r="I1811">
        <v>7.77</v>
      </c>
      <c r="J1811">
        <v>44.04</v>
      </c>
      <c r="K1811">
        <v>312</v>
      </c>
    </row>
    <row r="1812" spans="1:11" x14ac:dyDescent="0.3">
      <c r="A1812">
        <v>3290</v>
      </c>
      <c r="B1812" t="s">
        <v>26</v>
      </c>
      <c r="C1812" s="1">
        <v>45337</v>
      </c>
      <c r="D1812" t="s">
        <v>35</v>
      </c>
      <c r="E1812" t="s">
        <v>40</v>
      </c>
      <c r="F1812">
        <v>5</v>
      </c>
      <c r="G1812">
        <v>25.1</v>
      </c>
      <c r="H1812">
        <v>125.5</v>
      </c>
      <c r="I1812">
        <v>18.82</v>
      </c>
      <c r="J1812">
        <v>106.68</v>
      </c>
      <c r="K1812">
        <v>96</v>
      </c>
    </row>
    <row r="1813" spans="1:11" x14ac:dyDescent="0.3">
      <c r="A1813">
        <v>5537</v>
      </c>
      <c r="B1813" t="s">
        <v>14</v>
      </c>
      <c r="C1813" s="1">
        <v>45645</v>
      </c>
      <c r="D1813" t="s">
        <v>34</v>
      </c>
      <c r="E1813" t="s">
        <v>21</v>
      </c>
      <c r="F1813">
        <v>1</v>
      </c>
      <c r="G1813">
        <v>16.48</v>
      </c>
      <c r="H1813">
        <v>16.48</v>
      </c>
      <c r="I1813">
        <v>1.65</v>
      </c>
      <c r="J1813">
        <v>14.83</v>
      </c>
      <c r="K1813">
        <v>24</v>
      </c>
    </row>
    <row r="1814" spans="1:11" x14ac:dyDescent="0.3">
      <c r="A1814">
        <v>2380</v>
      </c>
      <c r="B1814" t="s">
        <v>42</v>
      </c>
      <c r="C1814" s="1">
        <v>45337</v>
      </c>
      <c r="D1814" t="s">
        <v>22</v>
      </c>
      <c r="E1814" t="s">
        <v>18</v>
      </c>
      <c r="F1814">
        <v>1</v>
      </c>
      <c r="G1814">
        <v>24.88</v>
      </c>
      <c r="H1814">
        <v>24.88</v>
      </c>
      <c r="I1814">
        <v>0</v>
      </c>
      <c r="J1814">
        <v>24.88</v>
      </c>
      <c r="K1814">
        <v>350</v>
      </c>
    </row>
    <row r="1815" spans="1:11" x14ac:dyDescent="0.3">
      <c r="A1815">
        <v>5668</v>
      </c>
      <c r="B1815" t="s">
        <v>14</v>
      </c>
      <c r="C1815" s="1">
        <v>45750</v>
      </c>
      <c r="D1815" t="s">
        <v>38</v>
      </c>
      <c r="E1815" t="s">
        <v>29</v>
      </c>
      <c r="F1815">
        <v>5</v>
      </c>
      <c r="G1815">
        <v>11.74</v>
      </c>
      <c r="H1815">
        <v>58.7</v>
      </c>
      <c r="I1815">
        <v>11.74</v>
      </c>
      <c r="J1815">
        <v>46.96</v>
      </c>
      <c r="K1815">
        <v>357</v>
      </c>
    </row>
    <row r="1816" spans="1:11" x14ac:dyDescent="0.3">
      <c r="A1816">
        <v>1439</v>
      </c>
      <c r="B1816" t="s">
        <v>11</v>
      </c>
      <c r="C1816" s="1">
        <v>45803</v>
      </c>
      <c r="D1816" t="s">
        <v>45</v>
      </c>
      <c r="E1816" t="s">
        <v>29</v>
      </c>
      <c r="F1816">
        <v>2</v>
      </c>
      <c r="G1816">
        <v>21.65</v>
      </c>
      <c r="H1816">
        <v>43.3</v>
      </c>
      <c r="I1816">
        <v>4.33</v>
      </c>
      <c r="J1816">
        <v>38.97</v>
      </c>
      <c r="K1816">
        <v>37</v>
      </c>
    </row>
    <row r="1817" spans="1:11" x14ac:dyDescent="0.3">
      <c r="A1817">
        <v>5942</v>
      </c>
      <c r="B1817" t="s">
        <v>42</v>
      </c>
      <c r="C1817" s="1">
        <v>45304</v>
      </c>
      <c r="D1817" t="s">
        <v>28</v>
      </c>
      <c r="E1817" t="s">
        <v>39</v>
      </c>
      <c r="F1817">
        <v>1</v>
      </c>
      <c r="G1817">
        <v>27.73</v>
      </c>
      <c r="H1817">
        <v>27.73</v>
      </c>
      <c r="I1817">
        <v>4.16</v>
      </c>
      <c r="J1817">
        <v>23.57</v>
      </c>
      <c r="K1817">
        <v>105</v>
      </c>
    </row>
    <row r="1818" spans="1:11" x14ac:dyDescent="0.3">
      <c r="A1818">
        <v>9482</v>
      </c>
      <c r="B1818" t="s">
        <v>31</v>
      </c>
      <c r="C1818" s="1">
        <v>45616</v>
      </c>
      <c r="D1818" t="s">
        <v>17</v>
      </c>
      <c r="E1818" t="s">
        <v>21</v>
      </c>
      <c r="F1818">
        <v>2</v>
      </c>
      <c r="G1818">
        <v>29.62</v>
      </c>
      <c r="H1818">
        <v>59.24</v>
      </c>
      <c r="I1818">
        <v>8.89</v>
      </c>
      <c r="J1818">
        <v>50.35</v>
      </c>
      <c r="K1818">
        <v>423</v>
      </c>
    </row>
    <row r="1819" spans="1:11" x14ac:dyDescent="0.3">
      <c r="A1819">
        <v>9348</v>
      </c>
      <c r="B1819" t="s">
        <v>24</v>
      </c>
      <c r="C1819" s="1">
        <v>45291</v>
      </c>
      <c r="D1819" t="s">
        <v>12</v>
      </c>
      <c r="E1819" t="s">
        <v>41</v>
      </c>
      <c r="F1819">
        <v>2</v>
      </c>
      <c r="G1819">
        <v>18.350000000000001</v>
      </c>
      <c r="H1819">
        <v>36.700000000000003</v>
      </c>
      <c r="I1819">
        <v>3.67</v>
      </c>
      <c r="J1819">
        <v>33.03</v>
      </c>
      <c r="K1819">
        <v>318</v>
      </c>
    </row>
    <row r="1820" spans="1:11" x14ac:dyDescent="0.3">
      <c r="A1820">
        <v>7418</v>
      </c>
      <c r="B1820" t="s">
        <v>30</v>
      </c>
      <c r="C1820" s="1">
        <v>45374</v>
      </c>
      <c r="D1820" t="s">
        <v>17</v>
      </c>
      <c r="E1820" t="s">
        <v>13</v>
      </c>
      <c r="F1820">
        <v>4</v>
      </c>
      <c r="G1820">
        <v>21.01</v>
      </c>
      <c r="H1820">
        <v>84.04</v>
      </c>
      <c r="I1820">
        <v>8.4</v>
      </c>
      <c r="J1820">
        <v>75.64</v>
      </c>
      <c r="K1820">
        <v>212</v>
      </c>
    </row>
    <row r="1821" spans="1:11" x14ac:dyDescent="0.3">
      <c r="A1821">
        <v>1894</v>
      </c>
      <c r="B1821" t="s">
        <v>30</v>
      </c>
      <c r="C1821" s="1">
        <v>45753</v>
      </c>
      <c r="D1821" t="s">
        <v>17</v>
      </c>
      <c r="E1821" t="s">
        <v>47</v>
      </c>
      <c r="F1821">
        <v>3</v>
      </c>
      <c r="G1821">
        <v>18.39</v>
      </c>
      <c r="H1821">
        <v>55.17</v>
      </c>
      <c r="I1821">
        <v>3.78</v>
      </c>
      <c r="J1821">
        <v>51.39</v>
      </c>
      <c r="K1821">
        <v>320</v>
      </c>
    </row>
    <row r="1822" spans="1:11" x14ac:dyDescent="0.3">
      <c r="A1822">
        <v>4921</v>
      </c>
      <c r="B1822" t="s">
        <v>26</v>
      </c>
      <c r="C1822" s="1">
        <v>45529</v>
      </c>
      <c r="D1822" t="s">
        <v>34</v>
      </c>
      <c r="E1822" t="s">
        <v>25</v>
      </c>
      <c r="F1822">
        <v>1</v>
      </c>
      <c r="G1822">
        <v>19.48</v>
      </c>
      <c r="H1822">
        <v>19.48</v>
      </c>
      <c r="I1822">
        <v>1.95</v>
      </c>
      <c r="J1822">
        <v>17.53</v>
      </c>
      <c r="K1822">
        <v>59</v>
      </c>
    </row>
    <row r="1823" spans="1:11" x14ac:dyDescent="0.3">
      <c r="A1823">
        <v>7322</v>
      </c>
      <c r="B1823" t="s">
        <v>11</v>
      </c>
      <c r="C1823" s="1">
        <v>45232</v>
      </c>
      <c r="D1823" t="s">
        <v>34</v>
      </c>
      <c r="E1823" t="s">
        <v>18</v>
      </c>
      <c r="F1823">
        <v>3</v>
      </c>
      <c r="G1823">
        <v>5.84</v>
      </c>
      <c r="H1823">
        <v>17.52</v>
      </c>
      <c r="I1823">
        <v>0</v>
      </c>
      <c r="J1823">
        <v>17.52</v>
      </c>
      <c r="K1823">
        <v>378</v>
      </c>
    </row>
    <row r="1824" spans="1:11" x14ac:dyDescent="0.3">
      <c r="A1824">
        <v>4949</v>
      </c>
      <c r="B1824" t="s">
        <v>24</v>
      </c>
      <c r="C1824" s="1">
        <v>45533</v>
      </c>
      <c r="D1824" t="s">
        <v>35</v>
      </c>
      <c r="E1824" t="s">
        <v>18</v>
      </c>
      <c r="F1824">
        <v>3</v>
      </c>
      <c r="G1824">
        <v>9.25</v>
      </c>
      <c r="H1824">
        <v>27.75</v>
      </c>
      <c r="I1824">
        <v>4.04</v>
      </c>
      <c r="J1824">
        <v>23.71</v>
      </c>
      <c r="K1824">
        <v>291</v>
      </c>
    </row>
    <row r="1825" spans="1:11" x14ac:dyDescent="0.3">
      <c r="A1825">
        <v>2163</v>
      </c>
      <c r="C1825" s="1">
        <v>45555</v>
      </c>
      <c r="D1825" t="s">
        <v>17</v>
      </c>
      <c r="E1825" t="s">
        <v>43</v>
      </c>
      <c r="F1825">
        <v>5</v>
      </c>
      <c r="G1825">
        <v>25.54</v>
      </c>
      <c r="H1825">
        <v>127.7</v>
      </c>
      <c r="I1825">
        <v>4.9800000000000004</v>
      </c>
      <c r="J1825">
        <v>122.72</v>
      </c>
      <c r="K1825">
        <v>102</v>
      </c>
    </row>
    <row r="1826" spans="1:11" x14ac:dyDescent="0.3">
      <c r="A1826">
        <v>1197</v>
      </c>
      <c r="B1826" t="s">
        <v>26</v>
      </c>
      <c r="C1826" s="1">
        <v>45425</v>
      </c>
      <c r="D1826" t="s">
        <v>45</v>
      </c>
      <c r="E1826" t="s">
        <v>48</v>
      </c>
      <c r="F1826">
        <v>1</v>
      </c>
      <c r="G1826">
        <v>7.62</v>
      </c>
      <c r="H1826">
        <v>7.62</v>
      </c>
      <c r="I1826">
        <v>1.52</v>
      </c>
      <c r="J1826">
        <v>6.1</v>
      </c>
      <c r="K1826">
        <v>426</v>
      </c>
    </row>
    <row r="1827" spans="1:11" x14ac:dyDescent="0.3">
      <c r="A1827">
        <v>6185</v>
      </c>
      <c r="B1827" t="s">
        <v>11</v>
      </c>
      <c r="C1827" s="1">
        <v>45247</v>
      </c>
      <c r="D1827" t="s">
        <v>15</v>
      </c>
      <c r="E1827" t="s">
        <v>25</v>
      </c>
      <c r="F1827">
        <v>4</v>
      </c>
      <c r="G1827">
        <v>18.829999999999998</v>
      </c>
      <c r="H1827">
        <v>75.319999999999993</v>
      </c>
      <c r="I1827">
        <v>7.53</v>
      </c>
      <c r="J1827">
        <v>67.790000000000006</v>
      </c>
      <c r="K1827">
        <v>224</v>
      </c>
    </row>
    <row r="1828" spans="1:11" x14ac:dyDescent="0.3">
      <c r="A1828">
        <v>7337</v>
      </c>
      <c r="B1828" t="s">
        <v>31</v>
      </c>
      <c r="C1828" s="1">
        <v>45813</v>
      </c>
      <c r="D1828" t="s">
        <v>27</v>
      </c>
      <c r="E1828" t="s">
        <v>46</v>
      </c>
      <c r="F1828">
        <v>2</v>
      </c>
      <c r="G1828">
        <v>23.28</v>
      </c>
      <c r="H1828">
        <v>46.56</v>
      </c>
      <c r="I1828">
        <v>3.28</v>
      </c>
      <c r="J1828">
        <v>43.28</v>
      </c>
      <c r="K1828">
        <v>371</v>
      </c>
    </row>
    <row r="1829" spans="1:11" x14ac:dyDescent="0.3">
      <c r="A1829">
        <v>7895</v>
      </c>
      <c r="B1829" t="s">
        <v>19</v>
      </c>
      <c r="C1829" s="1">
        <v>45428</v>
      </c>
      <c r="D1829" t="s">
        <v>22</v>
      </c>
      <c r="E1829" t="s">
        <v>13</v>
      </c>
      <c r="F1829">
        <v>2</v>
      </c>
      <c r="G1829">
        <v>11.14</v>
      </c>
      <c r="H1829">
        <v>22.28</v>
      </c>
      <c r="I1829">
        <v>2.23</v>
      </c>
      <c r="J1829">
        <v>20.05</v>
      </c>
      <c r="K1829">
        <v>102</v>
      </c>
    </row>
    <row r="1830" spans="1:11" x14ac:dyDescent="0.3">
      <c r="A1830">
        <v>9951</v>
      </c>
      <c r="B1830" t="s">
        <v>24</v>
      </c>
      <c r="C1830" s="1">
        <v>45675</v>
      </c>
      <c r="D1830" t="s">
        <v>34</v>
      </c>
      <c r="E1830" t="s">
        <v>37</v>
      </c>
      <c r="F1830">
        <v>5</v>
      </c>
      <c r="G1830">
        <v>2.84</v>
      </c>
      <c r="H1830">
        <v>14.2</v>
      </c>
      <c r="I1830">
        <v>2.13</v>
      </c>
      <c r="J1830">
        <v>12.07</v>
      </c>
      <c r="K1830">
        <v>94</v>
      </c>
    </row>
    <row r="1831" spans="1:11" x14ac:dyDescent="0.3">
      <c r="A1831">
        <v>3830</v>
      </c>
      <c r="B1831" t="s">
        <v>26</v>
      </c>
      <c r="C1831" s="1">
        <v>45737</v>
      </c>
      <c r="D1831" t="s">
        <v>12</v>
      </c>
      <c r="E1831" t="s">
        <v>33</v>
      </c>
      <c r="F1831">
        <v>1</v>
      </c>
      <c r="G1831">
        <v>25.45</v>
      </c>
      <c r="H1831">
        <v>25.45</v>
      </c>
      <c r="I1831">
        <v>1.64</v>
      </c>
      <c r="J1831">
        <v>23.81</v>
      </c>
      <c r="K1831">
        <v>308</v>
      </c>
    </row>
    <row r="1832" spans="1:11" x14ac:dyDescent="0.3">
      <c r="A1832">
        <v>8717</v>
      </c>
      <c r="B1832" t="s">
        <v>14</v>
      </c>
      <c r="C1832" s="1">
        <v>45743</v>
      </c>
      <c r="D1832" t="s">
        <v>22</v>
      </c>
      <c r="E1832" t="s">
        <v>40</v>
      </c>
      <c r="F1832">
        <v>1</v>
      </c>
      <c r="G1832">
        <v>20.85</v>
      </c>
      <c r="H1832">
        <v>20.85</v>
      </c>
      <c r="I1832">
        <v>3.88</v>
      </c>
      <c r="J1832">
        <v>16.97</v>
      </c>
      <c r="K1832">
        <v>209</v>
      </c>
    </row>
    <row r="1833" spans="1:11" x14ac:dyDescent="0.3">
      <c r="A1833">
        <v>2195</v>
      </c>
      <c r="B1833" t="s">
        <v>36</v>
      </c>
      <c r="C1833" s="1">
        <v>45157</v>
      </c>
      <c r="D1833" t="s">
        <v>22</v>
      </c>
      <c r="E1833" t="s">
        <v>40</v>
      </c>
      <c r="F1833">
        <v>2</v>
      </c>
      <c r="G1833">
        <v>27.13</v>
      </c>
      <c r="H1833">
        <v>54.26</v>
      </c>
      <c r="I1833">
        <v>2.52</v>
      </c>
      <c r="J1833">
        <v>51.74</v>
      </c>
      <c r="K1833">
        <v>350</v>
      </c>
    </row>
    <row r="1834" spans="1:11" x14ac:dyDescent="0.3">
      <c r="A1834">
        <v>2106</v>
      </c>
      <c r="B1834" t="s">
        <v>31</v>
      </c>
      <c r="C1834" s="1">
        <v>45155</v>
      </c>
      <c r="D1834" t="s">
        <v>20</v>
      </c>
      <c r="E1834" t="s">
        <v>48</v>
      </c>
      <c r="F1834">
        <v>2</v>
      </c>
      <c r="G1834">
        <v>23.09</v>
      </c>
      <c r="H1834">
        <v>46.18</v>
      </c>
      <c r="I1834">
        <v>3.6</v>
      </c>
      <c r="J1834">
        <v>42.58</v>
      </c>
      <c r="K1834">
        <v>18</v>
      </c>
    </row>
    <row r="1835" spans="1:11" x14ac:dyDescent="0.3">
      <c r="A1835">
        <v>5295</v>
      </c>
      <c r="B1835" t="s">
        <v>26</v>
      </c>
      <c r="C1835" s="1">
        <v>45312</v>
      </c>
      <c r="D1835" t="s">
        <v>28</v>
      </c>
      <c r="E1835" t="s">
        <v>32</v>
      </c>
      <c r="F1835">
        <v>3</v>
      </c>
      <c r="G1835">
        <v>20.87</v>
      </c>
      <c r="H1835">
        <v>62.61</v>
      </c>
      <c r="I1835">
        <v>0</v>
      </c>
      <c r="J1835">
        <v>62.61</v>
      </c>
      <c r="K1835">
        <v>198</v>
      </c>
    </row>
    <row r="1836" spans="1:11" x14ac:dyDescent="0.3">
      <c r="A1836">
        <v>1652</v>
      </c>
      <c r="B1836" t="s">
        <v>42</v>
      </c>
      <c r="C1836" s="1">
        <v>45861</v>
      </c>
      <c r="D1836" t="s">
        <v>27</v>
      </c>
      <c r="E1836" t="s">
        <v>47</v>
      </c>
      <c r="F1836">
        <v>5</v>
      </c>
      <c r="G1836">
        <v>8.24</v>
      </c>
      <c r="H1836">
        <v>41.2</v>
      </c>
      <c r="I1836">
        <v>4.12</v>
      </c>
      <c r="J1836">
        <v>37.08</v>
      </c>
      <c r="K1836">
        <v>325</v>
      </c>
    </row>
    <row r="1837" spans="1:11" x14ac:dyDescent="0.3">
      <c r="A1837">
        <v>1990</v>
      </c>
      <c r="B1837" t="s">
        <v>19</v>
      </c>
      <c r="C1837" s="1">
        <v>45758</v>
      </c>
      <c r="D1837" t="s">
        <v>45</v>
      </c>
      <c r="E1837" t="s">
        <v>18</v>
      </c>
      <c r="F1837">
        <v>3</v>
      </c>
      <c r="G1837">
        <v>7.48</v>
      </c>
      <c r="H1837">
        <v>22.44</v>
      </c>
      <c r="I1837">
        <v>2.2400000000000002</v>
      </c>
      <c r="J1837">
        <v>20.2</v>
      </c>
      <c r="K1837">
        <v>146</v>
      </c>
    </row>
    <row r="1838" spans="1:11" x14ac:dyDescent="0.3">
      <c r="A1838">
        <v>7520</v>
      </c>
      <c r="B1838" t="s">
        <v>30</v>
      </c>
      <c r="C1838" s="1">
        <v>45538</v>
      </c>
      <c r="D1838" t="s">
        <v>34</v>
      </c>
      <c r="E1838" t="s">
        <v>23</v>
      </c>
      <c r="F1838">
        <v>1</v>
      </c>
      <c r="G1838">
        <v>13.51</v>
      </c>
      <c r="H1838">
        <v>13.51</v>
      </c>
      <c r="I1838">
        <v>2.84</v>
      </c>
      <c r="J1838">
        <v>10.67</v>
      </c>
      <c r="K1838">
        <v>153</v>
      </c>
    </row>
    <row r="1839" spans="1:11" x14ac:dyDescent="0.3">
      <c r="A1839">
        <v>5693</v>
      </c>
      <c r="B1839" t="s">
        <v>14</v>
      </c>
      <c r="C1839" s="1">
        <v>45633</v>
      </c>
      <c r="D1839" t="s">
        <v>17</v>
      </c>
      <c r="E1839" t="s">
        <v>32</v>
      </c>
      <c r="F1839">
        <v>2</v>
      </c>
      <c r="G1839">
        <v>25.35</v>
      </c>
      <c r="H1839">
        <v>50.7</v>
      </c>
      <c r="I1839">
        <v>5.07</v>
      </c>
      <c r="J1839">
        <v>45.63</v>
      </c>
      <c r="K1839">
        <v>180</v>
      </c>
    </row>
    <row r="1840" spans="1:11" x14ac:dyDescent="0.3">
      <c r="A1840">
        <v>9209</v>
      </c>
      <c r="B1840" t="s">
        <v>24</v>
      </c>
      <c r="C1840" s="1">
        <v>45740</v>
      </c>
      <c r="D1840" t="s">
        <v>20</v>
      </c>
      <c r="E1840" t="s">
        <v>33</v>
      </c>
      <c r="F1840">
        <v>4</v>
      </c>
      <c r="G1840">
        <v>13.86</v>
      </c>
      <c r="H1840">
        <v>55.44</v>
      </c>
      <c r="I1840">
        <v>8.32</v>
      </c>
      <c r="J1840">
        <v>47.12</v>
      </c>
      <c r="K1840">
        <v>198</v>
      </c>
    </row>
    <row r="1841" spans="1:11" x14ac:dyDescent="0.3">
      <c r="A1841">
        <v>7806</v>
      </c>
      <c r="B1841" t="s">
        <v>36</v>
      </c>
      <c r="C1841" s="1">
        <v>45474</v>
      </c>
      <c r="D1841" t="s">
        <v>22</v>
      </c>
      <c r="E1841" t="s">
        <v>32</v>
      </c>
      <c r="F1841">
        <v>2</v>
      </c>
      <c r="G1841">
        <v>21.97</v>
      </c>
      <c r="H1841">
        <v>43.94</v>
      </c>
      <c r="I1841">
        <v>8.7899999999999991</v>
      </c>
      <c r="J1841">
        <v>35.15</v>
      </c>
      <c r="K1841">
        <v>105</v>
      </c>
    </row>
    <row r="1842" spans="1:11" x14ac:dyDescent="0.3">
      <c r="A1842">
        <v>7590</v>
      </c>
      <c r="B1842" t="s">
        <v>42</v>
      </c>
      <c r="C1842" s="1">
        <v>45209</v>
      </c>
      <c r="D1842" t="s">
        <v>28</v>
      </c>
      <c r="E1842" t="s">
        <v>44</v>
      </c>
      <c r="F1842">
        <v>5</v>
      </c>
      <c r="G1842">
        <v>11.53</v>
      </c>
      <c r="H1842">
        <v>57.65</v>
      </c>
      <c r="I1842">
        <v>8.65</v>
      </c>
      <c r="J1842">
        <v>49</v>
      </c>
      <c r="K1842">
        <v>237</v>
      </c>
    </row>
    <row r="1843" spans="1:11" x14ac:dyDescent="0.3">
      <c r="A1843">
        <v>9791</v>
      </c>
      <c r="B1843" t="s">
        <v>30</v>
      </c>
      <c r="C1843" s="1">
        <v>45562</v>
      </c>
      <c r="D1843" t="s">
        <v>17</v>
      </c>
      <c r="E1843" t="s">
        <v>32</v>
      </c>
      <c r="F1843">
        <v>2</v>
      </c>
      <c r="G1843">
        <v>14.63</v>
      </c>
      <c r="H1843">
        <v>29.26</v>
      </c>
      <c r="I1843">
        <v>4.3899999999999997</v>
      </c>
      <c r="J1843">
        <v>24.87</v>
      </c>
      <c r="K1843">
        <v>277</v>
      </c>
    </row>
    <row r="1844" spans="1:11" x14ac:dyDescent="0.3">
      <c r="A1844">
        <v>3501</v>
      </c>
      <c r="B1844" t="s">
        <v>24</v>
      </c>
      <c r="C1844" s="1">
        <v>45360</v>
      </c>
      <c r="D1844" t="s">
        <v>12</v>
      </c>
      <c r="E1844" t="s">
        <v>44</v>
      </c>
      <c r="F1844">
        <v>2</v>
      </c>
      <c r="G1844">
        <v>10.78</v>
      </c>
      <c r="H1844">
        <v>21.56</v>
      </c>
      <c r="I1844">
        <v>0</v>
      </c>
      <c r="J1844">
        <v>21.56</v>
      </c>
      <c r="K1844">
        <v>455</v>
      </c>
    </row>
    <row r="1845" spans="1:11" x14ac:dyDescent="0.3">
      <c r="A1845">
        <v>2369</v>
      </c>
      <c r="B1845" t="s">
        <v>24</v>
      </c>
      <c r="C1845" s="1">
        <v>45385</v>
      </c>
      <c r="D1845" t="s">
        <v>38</v>
      </c>
      <c r="E1845" t="s">
        <v>16</v>
      </c>
      <c r="F1845">
        <v>2</v>
      </c>
      <c r="G1845">
        <v>28.34</v>
      </c>
      <c r="H1845">
        <v>56.68</v>
      </c>
      <c r="I1845">
        <v>5.67</v>
      </c>
      <c r="J1845">
        <v>51.01</v>
      </c>
      <c r="K1845">
        <v>12</v>
      </c>
    </row>
    <row r="1846" spans="1:11" x14ac:dyDescent="0.3">
      <c r="A1846">
        <v>2294</v>
      </c>
      <c r="B1846" t="s">
        <v>19</v>
      </c>
      <c r="C1846" s="1">
        <v>45542</v>
      </c>
      <c r="D1846" t="s">
        <v>35</v>
      </c>
      <c r="E1846" t="s">
        <v>41</v>
      </c>
      <c r="F1846">
        <v>4</v>
      </c>
      <c r="G1846">
        <v>17.670000000000002</v>
      </c>
      <c r="H1846">
        <v>70.680000000000007</v>
      </c>
      <c r="I1846">
        <v>14.14</v>
      </c>
      <c r="J1846">
        <v>56.54</v>
      </c>
      <c r="K1846">
        <v>410</v>
      </c>
    </row>
    <row r="1847" spans="1:11" x14ac:dyDescent="0.3">
      <c r="A1847">
        <v>4329</v>
      </c>
      <c r="B1847" t="s">
        <v>24</v>
      </c>
      <c r="C1847" s="1">
        <v>45772</v>
      </c>
      <c r="D1847" t="s">
        <v>22</v>
      </c>
      <c r="E1847" t="s">
        <v>33</v>
      </c>
      <c r="F1847">
        <v>2</v>
      </c>
      <c r="G1847">
        <v>26.16</v>
      </c>
      <c r="H1847">
        <v>52.32</v>
      </c>
      <c r="I1847">
        <v>7.85</v>
      </c>
      <c r="J1847">
        <v>44.47</v>
      </c>
      <c r="K1847">
        <v>66</v>
      </c>
    </row>
    <row r="1848" spans="1:11" x14ac:dyDescent="0.3">
      <c r="A1848">
        <v>3545</v>
      </c>
      <c r="B1848" t="s">
        <v>14</v>
      </c>
      <c r="C1848" s="1">
        <v>45561</v>
      </c>
      <c r="D1848" t="s">
        <v>27</v>
      </c>
      <c r="E1848" t="s">
        <v>40</v>
      </c>
      <c r="F1848">
        <v>1</v>
      </c>
      <c r="G1848">
        <v>23.81</v>
      </c>
      <c r="H1848">
        <v>23.81</v>
      </c>
      <c r="I1848">
        <v>4.68</v>
      </c>
      <c r="J1848">
        <v>19.13</v>
      </c>
      <c r="K1848">
        <v>43</v>
      </c>
    </row>
    <row r="1849" spans="1:11" x14ac:dyDescent="0.3">
      <c r="A1849">
        <v>6353</v>
      </c>
      <c r="B1849" t="s">
        <v>31</v>
      </c>
      <c r="C1849" s="1">
        <v>45448</v>
      </c>
      <c r="D1849" t="s">
        <v>22</v>
      </c>
      <c r="E1849" t="s">
        <v>43</v>
      </c>
      <c r="F1849">
        <v>3</v>
      </c>
      <c r="G1849">
        <v>28.01</v>
      </c>
      <c r="H1849">
        <v>84.03</v>
      </c>
      <c r="I1849">
        <v>0</v>
      </c>
      <c r="J1849">
        <v>84.03</v>
      </c>
      <c r="K1849">
        <v>182</v>
      </c>
    </row>
    <row r="1850" spans="1:11" x14ac:dyDescent="0.3">
      <c r="A1850">
        <v>2083</v>
      </c>
      <c r="B1850" t="s">
        <v>19</v>
      </c>
      <c r="C1850" s="1">
        <v>45385</v>
      </c>
      <c r="D1850" t="s">
        <v>17</v>
      </c>
      <c r="E1850" t="s">
        <v>37</v>
      </c>
      <c r="F1850">
        <v>1</v>
      </c>
      <c r="G1850">
        <v>11.52</v>
      </c>
      <c r="H1850">
        <v>11.52</v>
      </c>
      <c r="I1850">
        <v>4.62</v>
      </c>
      <c r="J1850">
        <v>6.9</v>
      </c>
      <c r="K1850">
        <v>465</v>
      </c>
    </row>
    <row r="1851" spans="1:11" x14ac:dyDescent="0.3">
      <c r="A1851">
        <v>8167</v>
      </c>
      <c r="B1851" t="s">
        <v>26</v>
      </c>
      <c r="C1851" s="1">
        <v>45711</v>
      </c>
      <c r="D1851" t="s">
        <v>45</v>
      </c>
      <c r="E1851" t="s">
        <v>21</v>
      </c>
      <c r="F1851">
        <v>2</v>
      </c>
      <c r="G1851">
        <v>9.39</v>
      </c>
      <c r="H1851">
        <v>18.78</v>
      </c>
      <c r="I1851">
        <v>3.76</v>
      </c>
      <c r="J1851">
        <v>15.02</v>
      </c>
      <c r="K1851">
        <v>51</v>
      </c>
    </row>
    <row r="1852" spans="1:11" x14ac:dyDescent="0.3">
      <c r="A1852">
        <v>4909</v>
      </c>
      <c r="B1852" t="s">
        <v>19</v>
      </c>
      <c r="C1852" s="1">
        <v>45189</v>
      </c>
      <c r="D1852" t="s">
        <v>20</v>
      </c>
      <c r="E1852" t="s">
        <v>48</v>
      </c>
      <c r="F1852">
        <v>5</v>
      </c>
      <c r="G1852">
        <v>27.39</v>
      </c>
      <c r="H1852">
        <v>136.94999999999999</v>
      </c>
      <c r="I1852">
        <v>3.21</v>
      </c>
      <c r="J1852">
        <v>133.74</v>
      </c>
      <c r="K1852">
        <v>209</v>
      </c>
    </row>
    <row r="1853" spans="1:11" x14ac:dyDescent="0.3">
      <c r="A1853">
        <v>5005</v>
      </c>
      <c r="B1853" t="s">
        <v>26</v>
      </c>
      <c r="C1853" s="1">
        <v>45211</v>
      </c>
      <c r="D1853" t="s">
        <v>35</v>
      </c>
      <c r="E1853" t="s">
        <v>25</v>
      </c>
      <c r="F1853">
        <v>1</v>
      </c>
      <c r="G1853">
        <v>20.239999999999998</v>
      </c>
      <c r="H1853">
        <v>20.239999999999998</v>
      </c>
      <c r="I1853">
        <v>4.0199999999999996</v>
      </c>
      <c r="J1853">
        <v>16.22</v>
      </c>
      <c r="K1853">
        <v>75</v>
      </c>
    </row>
    <row r="1854" spans="1:11" x14ac:dyDescent="0.3">
      <c r="A1854">
        <v>8118</v>
      </c>
      <c r="B1854" t="s">
        <v>19</v>
      </c>
      <c r="C1854" s="1">
        <v>45235</v>
      </c>
      <c r="D1854" t="s">
        <v>20</v>
      </c>
      <c r="E1854" t="s">
        <v>47</v>
      </c>
      <c r="F1854">
        <v>4</v>
      </c>
      <c r="G1854">
        <v>14.82</v>
      </c>
      <c r="H1854">
        <v>59.28</v>
      </c>
      <c r="I1854">
        <v>3.75</v>
      </c>
      <c r="J1854">
        <v>55.53</v>
      </c>
      <c r="K1854">
        <v>392</v>
      </c>
    </row>
    <row r="1855" spans="1:11" x14ac:dyDescent="0.3">
      <c r="A1855">
        <v>8428</v>
      </c>
      <c r="B1855" t="s">
        <v>36</v>
      </c>
      <c r="C1855" s="1">
        <v>45620</v>
      </c>
      <c r="D1855" t="s">
        <v>45</v>
      </c>
      <c r="E1855" t="s">
        <v>29</v>
      </c>
      <c r="F1855">
        <v>4</v>
      </c>
      <c r="G1855">
        <v>26.92</v>
      </c>
      <c r="H1855">
        <v>107.68</v>
      </c>
      <c r="I1855">
        <v>0</v>
      </c>
      <c r="J1855">
        <v>107.68</v>
      </c>
      <c r="K1855">
        <v>496</v>
      </c>
    </row>
    <row r="1856" spans="1:11" x14ac:dyDescent="0.3">
      <c r="A1856">
        <v>1901</v>
      </c>
      <c r="B1856" t="s">
        <v>36</v>
      </c>
      <c r="C1856" s="1">
        <v>45385</v>
      </c>
      <c r="D1856" t="s">
        <v>22</v>
      </c>
      <c r="E1856" t="s">
        <v>43</v>
      </c>
      <c r="F1856">
        <v>3</v>
      </c>
      <c r="G1856">
        <v>2.99</v>
      </c>
      <c r="H1856">
        <v>8.9700000000000006</v>
      </c>
      <c r="I1856">
        <v>0</v>
      </c>
      <c r="J1856">
        <v>8.9700000000000006</v>
      </c>
      <c r="K1856">
        <v>69</v>
      </c>
    </row>
    <row r="1857" spans="1:11" x14ac:dyDescent="0.3">
      <c r="A1857">
        <v>3877</v>
      </c>
      <c r="B1857" t="s">
        <v>24</v>
      </c>
      <c r="C1857" s="1">
        <v>45237</v>
      </c>
      <c r="D1857" t="s">
        <v>34</v>
      </c>
      <c r="E1857" t="s">
        <v>48</v>
      </c>
      <c r="F1857">
        <v>2</v>
      </c>
      <c r="G1857">
        <v>28.88</v>
      </c>
      <c r="H1857">
        <v>57.76</v>
      </c>
      <c r="I1857">
        <v>0</v>
      </c>
      <c r="J1857">
        <v>57.76</v>
      </c>
      <c r="K1857">
        <v>164</v>
      </c>
    </row>
    <row r="1858" spans="1:11" x14ac:dyDescent="0.3">
      <c r="A1858">
        <v>1207</v>
      </c>
      <c r="B1858" t="s">
        <v>11</v>
      </c>
      <c r="C1858" s="1">
        <v>45694</v>
      </c>
      <c r="D1858" t="s">
        <v>22</v>
      </c>
      <c r="E1858" t="s">
        <v>47</v>
      </c>
      <c r="F1858">
        <v>1</v>
      </c>
      <c r="G1858">
        <v>19.02</v>
      </c>
      <c r="H1858">
        <v>19.02</v>
      </c>
      <c r="I1858">
        <v>3.8</v>
      </c>
      <c r="J1858">
        <v>15.22</v>
      </c>
      <c r="K1858">
        <v>302</v>
      </c>
    </row>
    <row r="1859" spans="1:11" x14ac:dyDescent="0.3">
      <c r="A1859">
        <v>3248</v>
      </c>
      <c r="B1859" t="s">
        <v>36</v>
      </c>
      <c r="C1859" s="1">
        <v>45689</v>
      </c>
      <c r="D1859" t="s">
        <v>35</v>
      </c>
      <c r="E1859" t="s">
        <v>44</v>
      </c>
      <c r="F1859">
        <v>5</v>
      </c>
      <c r="G1859">
        <v>9.1199999999999992</v>
      </c>
      <c r="H1859">
        <v>45.6</v>
      </c>
      <c r="I1859">
        <v>4.5599999999999996</v>
      </c>
      <c r="J1859">
        <v>41.04</v>
      </c>
      <c r="K1859">
        <v>266</v>
      </c>
    </row>
    <row r="1860" spans="1:11" x14ac:dyDescent="0.3">
      <c r="A1860">
        <v>1185</v>
      </c>
      <c r="B1860" t="s">
        <v>36</v>
      </c>
      <c r="C1860" s="1">
        <v>45272</v>
      </c>
      <c r="D1860" t="s">
        <v>34</v>
      </c>
      <c r="E1860" t="s">
        <v>40</v>
      </c>
      <c r="F1860">
        <v>2</v>
      </c>
      <c r="G1860">
        <v>21.3</v>
      </c>
      <c r="H1860">
        <v>42.6</v>
      </c>
      <c r="I1860">
        <v>4.26</v>
      </c>
      <c r="J1860">
        <v>38.340000000000003</v>
      </c>
      <c r="K1860">
        <v>134</v>
      </c>
    </row>
    <row r="1861" spans="1:11" x14ac:dyDescent="0.3">
      <c r="A1861">
        <v>9133</v>
      </c>
      <c r="B1861" t="s">
        <v>36</v>
      </c>
      <c r="C1861" s="1">
        <v>45414</v>
      </c>
      <c r="D1861" t="s">
        <v>12</v>
      </c>
      <c r="E1861" t="s">
        <v>13</v>
      </c>
      <c r="F1861">
        <v>4</v>
      </c>
      <c r="G1861">
        <v>20.11</v>
      </c>
      <c r="H1861">
        <v>80.44</v>
      </c>
      <c r="I1861">
        <v>16.09</v>
      </c>
      <c r="J1861">
        <v>64.349999999999994</v>
      </c>
      <c r="K1861">
        <v>170</v>
      </c>
    </row>
    <row r="1862" spans="1:11" x14ac:dyDescent="0.3">
      <c r="A1862">
        <v>9568</v>
      </c>
      <c r="B1862" t="s">
        <v>31</v>
      </c>
      <c r="C1862" s="1">
        <v>45546</v>
      </c>
      <c r="D1862" t="s">
        <v>28</v>
      </c>
      <c r="E1862" t="s">
        <v>39</v>
      </c>
      <c r="F1862">
        <v>3</v>
      </c>
      <c r="G1862">
        <v>12.03</v>
      </c>
      <c r="H1862">
        <v>36.090000000000003</v>
      </c>
      <c r="I1862">
        <v>3.61</v>
      </c>
      <c r="J1862">
        <v>32.479999999999997</v>
      </c>
      <c r="K1862">
        <v>463</v>
      </c>
    </row>
    <row r="1863" spans="1:11" x14ac:dyDescent="0.3">
      <c r="A1863">
        <v>5247</v>
      </c>
      <c r="B1863" t="s">
        <v>24</v>
      </c>
      <c r="C1863" s="1">
        <v>45274</v>
      </c>
      <c r="D1863" t="s">
        <v>12</v>
      </c>
      <c r="E1863" t="s">
        <v>13</v>
      </c>
      <c r="F1863">
        <v>4</v>
      </c>
      <c r="G1863">
        <v>10.72</v>
      </c>
      <c r="H1863">
        <v>42.88</v>
      </c>
      <c r="I1863">
        <v>4.29</v>
      </c>
      <c r="J1863">
        <v>38.590000000000003</v>
      </c>
      <c r="K1863">
        <v>411</v>
      </c>
    </row>
    <row r="1864" spans="1:11" x14ac:dyDescent="0.3">
      <c r="A1864">
        <v>7092</v>
      </c>
      <c r="B1864" t="s">
        <v>36</v>
      </c>
      <c r="C1864" s="1">
        <v>45243</v>
      </c>
      <c r="D1864" t="s">
        <v>34</v>
      </c>
      <c r="E1864" t="s">
        <v>23</v>
      </c>
      <c r="F1864">
        <v>3</v>
      </c>
      <c r="G1864">
        <v>17.010000000000002</v>
      </c>
      <c r="H1864">
        <v>51.03</v>
      </c>
      <c r="I1864">
        <v>7.65</v>
      </c>
      <c r="J1864">
        <v>43.38</v>
      </c>
      <c r="K1864">
        <v>250</v>
      </c>
    </row>
    <row r="1865" spans="1:11" x14ac:dyDescent="0.3">
      <c r="A1865">
        <v>5403</v>
      </c>
      <c r="B1865" t="s">
        <v>11</v>
      </c>
      <c r="C1865" s="1">
        <v>45714</v>
      </c>
      <c r="D1865" t="s">
        <v>45</v>
      </c>
      <c r="E1865" t="s">
        <v>43</v>
      </c>
      <c r="F1865">
        <v>3</v>
      </c>
      <c r="G1865">
        <v>25.97</v>
      </c>
      <c r="H1865">
        <v>77.91</v>
      </c>
      <c r="I1865">
        <v>4.24</v>
      </c>
      <c r="J1865">
        <v>73.67</v>
      </c>
      <c r="K1865">
        <v>458</v>
      </c>
    </row>
    <row r="1866" spans="1:11" x14ac:dyDescent="0.3">
      <c r="A1866">
        <v>2934</v>
      </c>
      <c r="B1866" t="s">
        <v>11</v>
      </c>
      <c r="C1866" s="1">
        <v>45744</v>
      </c>
      <c r="D1866" t="s">
        <v>17</v>
      </c>
      <c r="E1866" t="s">
        <v>43</v>
      </c>
      <c r="F1866">
        <v>2</v>
      </c>
      <c r="G1866">
        <v>11.82</v>
      </c>
      <c r="H1866">
        <v>23.64</v>
      </c>
      <c r="I1866">
        <v>4.45</v>
      </c>
      <c r="J1866">
        <v>19.190000000000001</v>
      </c>
      <c r="K1866">
        <v>78</v>
      </c>
    </row>
    <row r="1867" spans="1:11" x14ac:dyDescent="0.3">
      <c r="A1867">
        <v>1480</v>
      </c>
      <c r="B1867" t="s">
        <v>31</v>
      </c>
      <c r="C1867" s="1">
        <v>45405</v>
      </c>
      <c r="D1867" t="s">
        <v>12</v>
      </c>
      <c r="E1867" t="s">
        <v>21</v>
      </c>
      <c r="F1867">
        <v>5</v>
      </c>
      <c r="G1867">
        <v>3.03</v>
      </c>
      <c r="H1867">
        <v>15.15</v>
      </c>
      <c r="I1867">
        <v>0</v>
      </c>
      <c r="J1867">
        <v>15.15</v>
      </c>
      <c r="K1867">
        <v>298</v>
      </c>
    </row>
    <row r="1868" spans="1:11" x14ac:dyDescent="0.3">
      <c r="A1868">
        <v>8034</v>
      </c>
      <c r="B1868" t="s">
        <v>36</v>
      </c>
      <c r="C1868" s="1">
        <v>45356</v>
      </c>
      <c r="D1868" t="s">
        <v>27</v>
      </c>
      <c r="E1868" t="s">
        <v>48</v>
      </c>
      <c r="F1868">
        <v>5</v>
      </c>
      <c r="G1868">
        <v>4.53</v>
      </c>
      <c r="H1868">
        <v>22.65</v>
      </c>
      <c r="I1868">
        <v>4.53</v>
      </c>
      <c r="J1868">
        <v>18.12</v>
      </c>
      <c r="K1868">
        <v>360</v>
      </c>
    </row>
    <row r="1869" spans="1:11" x14ac:dyDescent="0.3">
      <c r="A1869">
        <v>9582</v>
      </c>
      <c r="B1869" t="s">
        <v>11</v>
      </c>
      <c r="C1869" s="1">
        <v>45194</v>
      </c>
      <c r="D1869" t="s">
        <v>34</v>
      </c>
      <c r="E1869" t="s">
        <v>43</v>
      </c>
      <c r="F1869">
        <v>1</v>
      </c>
      <c r="G1869">
        <v>1.1000000000000001</v>
      </c>
      <c r="H1869">
        <v>1.1000000000000001</v>
      </c>
      <c r="I1869">
        <v>0.22</v>
      </c>
      <c r="J1869">
        <v>0.88</v>
      </c>
      <c r="K1869">
        <v>405</v>
      </c>
    </row>
    <row r="1870" spans="1:11" x14ac:dyDescent="0.3">
      <c r="A1870">
        <v>5308</v>
      </c>
      <c r="B1870" t="s">
        <v>31</v>
      </c>
      <c r="C1870" s="1">
        <v>45698</v>
      </c>
      <c r="D1870" t="s">
        <v>15</v>
      </c>
      <c r="E1870" t="s">
        <v>32</v>
      </c>
      <c r="F1870">
        <v>3</v>
      </c>
      <c r="G1870">
        <v>19.13</v>
      </c>
      <c r="H1870">
        <v>57.39</v>
      </c>
      <c r="I1870">
        <v>11.48</v>
      </c>
      <c r="J1870">
        <v>45.91</v>
      </c>
      <c r="K1870">
        <v>98</v>
      </c>
    </row>
    <row r="1871" spans="1:11" x14ac:dyDescent="0.3">
      <c r="A1871">
        <v>2262</v>
      </c>
      <c r="B1871" t="s">
        <v>26</v>
      </c>
      <c r="C1871" s="1">
        <v>45530</v>
      </c>
      <c r="D1871" t="s">
        <v>28</v>
      </c>
      <c r="E1871" t="s">
        <v>29</v>
      </c>
      <c r="F1871">
        <v>4</v>
      </c>
      <c r="G1871">
        <v>9.34</v>
      </c>
      <c r="H1871">
        <v>37.36</v>
      </c>
      <c r="I1871">
        <v>3.74</v>
      </c>
      <c r="J1871">
        <v>33.619999999999997</v>
      </c>
      <c r="K1871">
        <v>346</v>
      </c>
    </row>
    <row r="1872" spans="1:11" x14ac:dyDescent="0.3">
      <c r="A1872">
        <v>8457</v>
      </c>
      <c r="B1872" t="s">
        <v>19</v>
      </c>
      <c r="C1872" s="1">
        <v>45541</v>
      </c>
      <c r="D1872" t="s">
        <v>38</v>
      </c>
      <c r="E1872" t="s">
        <v>39</v>
      </c>
      <c r="F1872">
        <v>1</v>
      </c>
      <c r="G1872">
        <v>6.09</v>
      </c>
      <c r="H1872">
        <v>6.09</v>
      </c>
      <c r="I1872">
        <v>1.22</v>
      </c>
      <c r="J1872">
        <v>4.87</v>
      </c>
      <c r="K1872">
        <v>101</v>
      </c>
    </row>
    <row r="1873" spans="1:11" x14ac:dyDescent="0.3">
      <c r="A1873">
        <v>6900</v>
      </c>
      <c r="B1873" t="s">
        <v>14</v>
      </c>
      <c r="C1873" s="1">
        <v>45188</v>
      </c>
      <c r="D1873" t="s">
        <v>28</v>
      </c>
      <c r="E1873" t="s">
        <v>44</v>
      </c>
      <c r="F1873">
        <v>1</v>
      </c>
      <c r="G1873">
        <v>21.37</v>
      </c>
      <c r="H1873">
        <v>21.37</v>
      </c>
      <c r="I1873">
        <v>4.2699999999999996</v>
      </c>
      <c r="J1873">
        <v>17.100000000000001</v>
      </c>
      <c r="K1873">
        <v>38</v>
      </c>
    </row>
    <row r="1874" spans="1:11" x14ac:dyDescent="0.3">
      <c r="A1874">
        <v>9185</v>
      </c>
      <c r="B1874" t="s">
        <v>36</v>
      </c>
      <c r="C1874" s="1">
        <v>45812</v>
      </c>
      <c r="D1874" t="s">
        <v>17</v>
      </c>
      <c r="E1874" t="s">
        <v>29</v>
      </c>
      <c r="F1874">
        <v>4</v>
      </c>
      <c r="G1874">
        <v>19.41</v>
      </c>
      <c r="H1874">
        <v>77.64</v>
      </c>
      <c r="I1874">
        <v>2.65</v>
      </c>
      <c r="J1874">
        <v>74.989999999999995</v>
      </c>
      <c r="K1874">
        <v>303</v>
      </c>
    </row>
    <row r="1875" spans="1:11" x14ac:dyDescent="0.3">
      <c r="A1875">
        <v>3734</v>
      </c>
      <c r="B1875" t="s">
        <v>30</v>
      </c>
      <c r="C1875" s="1">
        <v>45430</v>
      </c>
      <c r="D1875" t="s">
        <v>17</v>
      </c>
      <c r="E1875" t="s">
        <v>16</v>
      </c>
      <c r="F1875">
        <v>3</v>
      </c>
      <c r="G1875">
        <v>24.9</v>
      </c>
      <c r="H1875">
        <v>74.7</v>
      </c>
      <c r="I1875">
        <v>1.03</v>
      </c>
      <c r="J1875">
        <v>73.67</v>
      </c>
      <c r="K1875">
        <v>376</v>
      </c>
    </row>
    <row r="1876" spans="1:11" x14ac:dyDescent="0.3">
      <c r="A1876">
        <v>3577</v>
      </c>
      <c r="B1876" t="s">
        <v>30</v>
      </c>
      <c r="C1876" s="1">
        <v>45343</v>
      </c>
      <c r="D1876" t="s">
        <v>35</v>
      </c>
      <c r="E1876" t="s">
        <v>29</v>
      </c>
      <c r="F1876">
        <v>1</v>
      </c>
      <c r="G1876">
        <v>2.78</v>
      </c>
      <c r="H1876">
        <v>2.78</v>
      </c>
      <c r="I1876">
        <v>0</v>
      </c>
      <c r="J1876">
        <v>2.78</v>
      </c>
      <c r="K1876">
        <v>252</v>
      </c>
    </row>
    <row r="1877" spans="1:11" x14ac:dyDescent="0.3">
      <c r="A1877">
        <v>2685</v>
      </c>
      <c r="B1877" t="s">
        <v>31</v>
      </c>
      <c r="C1877" s="1">
        <v>45839</v>
      </c>
      <c r="D1877" t="s">
        <v>28</v>
      </c>
      <c r="E1877" t="s">
        <v>16</v>
      </c>
      <c r="F1877">
        <v>1</v>
      </c>
      <c r="G1877">
        <v>20.54</v>
      </c>
      <c r="H1877">
        <v>20.54</v>
      </c>
      <c r="I1877">
        <v>4.91</v>
      </c>
      <c r="J1877">
        <v>15.63</v>
      </c>
      <c r="K1877">
        <v>460</v>
      </c>
    </row>
    <row r="1878" spans="1:11" x14ac:dyDescent="0.3">
      <c r="A1878">
        <v>2889</v>
      </c>
      <c r="B1878" t="s">
        <v>11</v>
      </c>
      <c r="C1878" s="1">
        <v>45322</v>
      </c>
      <c r="D1878" t="s">
        <v>22</v>
      </c>
      <c r="E1878" t="s">
        <v>23</v>
      </c>
      <c r="F1878">
        <v>5</v>
      </c>
      <c r="G1878">
        <v>20.66</v>
      </c>
      <c r="H1878">
        <v>103.3</v>
      </c>
      <c r="I1878">
        <v>0</v>
      </c>
      <c r="J1878">
        <v>103.3</v>
      </c>
      <c r="K1878">
        <v>33</v>
      </c>
    </row>
    <row r="1879" spans="1:11" x14ac:dyDescent="0.3">
      <c r="A1879">
        <v>9336</v>
      </c>
      <c r="B1879" t="s">
        <v>36</v>
      </c>
      <c r="C1879" s="1">
        <v>45146</v>
      </c>
      <c r="D1879" t="s">
        <v>45</v>
      </c>
      <c r="E1879" t="s">
        <v>23</v>
      </c>
      <c r="F1879">
        <v>4</v>
      </c>
      <c r="G1879">
        <v>11.73</v>
      </c>
      <c r="H1879">
        <v>46.92</v>
      </c>
      <c r="I1879">
        <v>7.04</v>
      </c>
      <c r="J1879">
        <v>39.880000000000003</v>
      </c>
      <c r="K1879">
        <v>153</v>
      </c>
    </row>
    <row r="1880" spans="1:11" x14ac:dyDescent="0.3">
      <c r="A1880">
        <v>1721</v>
      </c>
      <c r="B1880" t="s">
        <v>14</v>
      </c>
      <c r="C1880" s="1">
        <v>45811</v>
      </c>
      <c r="D1880" t="s">
        <v>17</v>
      </c>
      <c r="E1880" t="s">
        <v>25</v>
      </c>
      <c r="F1880">
        <v>5</v>
      </c>
      <c r="G1880">
        <v>5.94</v>
      </c>
      <c r="H1880">
        <v>29.7</v>
      </c>
      <c r="I1880">
        <v>2.97</v>
      </c>
      <c r="J1880">
        <v>26.73</v>
      </c>
      <c r="K1880">
        <v>353</v>
      </c>
    </row>
    <row r="1881" spans="1:11" x14ac:dyDescent="0.3">
      <c r="A1881">
        <v>1201</v>
      </c>
      <c r="B1881" t="s">
        <v>26</v>
      </c>
      <c r="C1881" s="1">
        <v>45334</v>
      </c>
      <c r="D1881" t="s">
        <v>45</v>
      </c>
      <c r="E1881" t="s">
        <v>21</v>
      </c>
      <c r="F1881">
        <v>4</v>
      </c>
      <c r="G1881">
        <v>14.44</v>
      </c>
      <c r="H1881">
        <v>57.76</v>
      </c>
      <c r="I1881">
        <v>5.78</v>
      </c>
      <c r="J1881">
        <v>51.98</v>
      </c>
      <c r="K1881">
        <v>460</v>
      </c>
    </row>
    <row r="1882" spans="1:11" x14ac:dyDescent="0.3">
      <c r="A1882">
        <v>1753</v>
      </c>
      <c r="B1882" t="s">
        <v>19</v>
      </c>
      <c r="C1882" s="1">
        <v>45511</v>
      </c>
      <c r="D1882" t="s">
        <v>34</v>
      </c>
      <c r="E1882" t="s">
        <v>32</v>
      </c>
      <c r="F1882">
        <v>4</v>
      </c>
      <c r="G1882">
        <v>28.53</v>
      </c>
      <c r="H1882">
        <v>114.12</v>
      </c>
      <c r="I1882">
        <v>17.12</v>
      </c>
      <c r="J1882">
        <v>97</v>
      </c>
      <c r="K1882">
        <v>447</v>
      </c>
    </row>
    <row r="1883" spans="1:11" x14ac:dyDescent="0.3">
      <c r="A1883">
        <v>6963</v>
      </c>
      <c r="B1883" t="s">
        <v>24</v>
      </c>
      <c r="C1883" s="1">
        <v>45442</v>
      </c>
      <c r="D1883" t="s">
        <v>27</v>
      </c>
      <c r="E1883" t="s">
        <v>41</v>
      </c>
      <c r="F1883">
        <v>4</v>
      </c>
      <c r="G1883">
        <v>11.6</v>
      </c>
      <c r="H1883">
        <v>46.4</v>
      </c>
      <c r="I1883">
        <v>9.2799999999999994</v>
      </c>
      <c r="J1883">
        <v>37.119999999999997</v>
      </c>
      <c r="K1883">
        <v>222</v>
      </c>
    </row>
    <row r="1884" spans="1:11" x14ac:dyDescent="0.3">
      <c r="A1884">
        <v>3458</v>
      </c>
      <c r="B1884" t="s">
        <v>19</v>
      </c>
      <c r="C1884" s="1">
        <v>45284</v>
      </c>
      <c r="D1884" t="s">
        <v>17</v>
      </c>
      <c r="E1884" t="s">
        <v>48</v>
      </c>
      <c r="F1884">
        <v>1</v>
      </c>
      <c r="G1884">
        <v>12.34</v>
      </c>
      <c r="H1884">
        <v>12.34</v>
      </c>
      <c r="I1884">
        <v>1.85</v>
      </c>
      <c r="J1884">
        <v>10.49</v>
      </c>
      <c r="K1884">
        <v>76</v>
      </c>
    </row>
    <row r="1885" spans="1:11" x14ac:dyDescent="0.3">
      <c r="A1885">
        <v>1579</v>
      </c>
      <c r="B1885" t="s">
        <v>42</v>
      </c>
      <c r="C1885" s="1">
        <v>45574</v>
      </c>
      <c r="D1885" t="s">
        <v>12</v>
      </c>
      <c r="E1885" t="s">
        <v>47</v>
      </c>
      <c r="F1885">
        <v>4</v>
      </c>
      <c r="G1885">
        <v>5.58</v>
      </c>
      <c r="H1885">
        <v>22.32</v>
      </c>
      <c r="I1885">
        <v>4.46</v>
      </c>
      <c r="J1885">
        <v>17.86</v>
      </c>
      <c r="K1885">
        <v>424</v>
      </c>
    </row>
    <row r="1886" spans="1:11" x14ac:dyDescent="0.3">
      <c r="A1886">
        <v>7870</v>
      </c>
      <c r="B1886" t="s">
        <v>42</v>
      </c>
      <c r="C1886" s="1">
        <v>45319</v>
      </c>
      <c r="D1886" t="s">
        <v>45</v>
      </c>
      <c r="E1886" t="s">
        <v>47</v>
      </c>
      <c r="F1886">
        <v>4</v>
      </c>
      <c r="G1886">
        <v>13.61</v>
      </c>
      <c r="H1886">
        <v>54.44</v>
      </c>
      <c r="I1886">
        <v>5.44</v>
      </c>
      <c r="J1886">
        <v>49</v>
      </c>
      <c r="K1886">
        <v>436</v>
      </c>
    </row>
    <row r="1887" spans="1:11" x14ac:dyDescent="0.3">
      <c r="A1887">
        <v>6272</v>
      </c>
      <c r="B1887" t="s">
        <v>31</v>
      </c>
      <c r="C1887" s="1">
        <v>45337</v>
      </c>
      <c r="D1887" t="s">
        <v>22</v>
      </c>
      <c r="E1887" t="s">
        <v>48</v>
      </c>
      <c r="F1887">
        <v>1</v>
      </c>
      <c r="G1887">
        <v>28.63</v>
      </c>
      <c r="H1887">
        <v>28.63</v>
      </c>
      <c r="I1887">
        <v>2.16</v>
      </c>
      <c r="J1887">
        <v>26.47</v>
      </c>
      <c r="K1887">
        <v>361</v>
      </c>
    </row>
    <row r="1888" spans="1:11" x14ac:dyDescent="0.3">
      <c r="A1888">
        <v>7819</v>
      </c>
      <c r="B1888" t="s">
        <v>42</v>
      </c>
      <c r="C1888" s="1">
        <v>45856</v>
      </c>
      <c r="D1888" t="s">
        <v>38</v>
      </c>
      <c r="E1888" t="s">
        <v>47</v>
      </c>
      <c r="F1888">
        <v>2</v>
      </c>
      <c r="G1888">
        <v>13.06</v>
      </c>
      <c r="H1888">
        <v>26.12</v>
      </c>
      <c r="I1888">
        <v>0</v>
      </c>
      <c r="J1888">
        <v>26.12</v>
      </c>
      <c r="K1888">
        <v>6</v>
      </c>
    </row>
    <row r="1889" spans="1:11" x14ac:dyDescent="0.3">
      <c r="A1889">
        <v>6241</v>
      </c>
      <c r="B1889" t="s">
        <v>19</v>
      </c>
      <c r="C1889" s="1">
        <v>45355</v>
      </c>
      <c r="D1889" t="s">
        <v>22</v>
      </c>
      <c r="E1889" t="s">
        <v>37</v>
      </c>
      <c r="F1889">
        <v>5</v>
      </c>
      <c r="G1889">
        <v>13.43</v>
      </c>
      <c r="H1889">
        <v>67.150000000000006</v>
      </c>
      <c r="I1889">
        <v>2.13</v>
      </c>
      <c r="J1889">
        <v>65.02</v>
      </c>
      <c r="K1889">
        <v>62</v>
      </c>
    </row>
    <row r="1890" spans="1:11" x14ac:dyDescent="0.3">
      <c r="A1890">
        <v>2276</v>
      </c>
      <c r="B1890" t="s">
        <v>36</v>
      </c>
      <c r="C1890" s="1">
        <v>45588</v>
      </c>
      <c r="D1890" t="s">
        <v>34</v>
      </c>
      <c r="E1890" t="s">
        <v>23</v>
      </c>
      <c r="F1890">
        <v>5</v>
      </c>
      <c r="G1890">
        <v>29.13</v>
      </c>
      <c r="H1890">
        <v>145.65</v>
      </c>
      <c r="I1890">
        <v>14.57</v>
      </c>
      <c r="J1890">
        <v>131.08000000000001</v>
      </c>
      <c r="K1890">
        <v>32</v>
      </c>
    </row>
    <row r="1891" spans="1:11" x14ac:dyDescent="0.3">
      <c r="A1891">
        <v>7108</v>
      </c>
      <c r="B1891" t="s">
        <v>36</v>
      </c>
      <c r="C1891" s="1">
        <v>45237</v>
      </c>
      <c r="D1891" t="s">
        <v>20</v>
      </c>
      <c r="E1891" t="s">
        <v>25</v>
      </c>
      <c r="F1891">
        <v>2</v>
      </c>
      <c r="G1891">
        <v>28.38</v>
      </c>
      <c r="H1891">
        <v>56.76</v>
      </c>
      <c r="I1891">
        <v>8.51</v>
      </c>
      <c r="J1891">
        <v>48.25</v>
      </c>
      <c r="K1891">
        <v>352</v>
      </c>
    </row>
    <row r="1892" spans="1:11" x14ac:dyDescent="0.3">
      <c r="A1892">
        <v>9225</v>
      </c>
      <c r="B1892" t="s">
        <v>26</v>
      </c>
      <c r="C1892" s="1">
        <v>45667</v>
      </c>
      <c r="D1892" t="s">
        <v>35</v>
      </c>
      <c r="E1892" t="s">
        <v>18</v>
      </c>
      <c r="F1892">
        <v>3</v>
      </c>
      <c r="G1892">
        <v>17.73</v>
      </c>
      <c r="H1892">
        <v>53.19</v>
      </c>
      <c r="I1892">
        <v>10.64</v>
      </c>
      <c r="J1892">
        <v>42.55</v>
      </c>
      <c r="K1892">
        <v>169</v>
      </c>
    </row>
    <row r="1893" spans="1:11" x14ac:dyDescent="0.3">
      <c r="A1893">
        <v>1862</v>
      </c>
      <c r="B1893" t="s">
        <v>36</v>
      </c>
      <c r="C1893" s="1">
        <v>45284</v>
      </c>
      <c r="D1893" t="s">
        <v>27</v>
      </c>
      <c r="E1893" t="s">
        <v>25</v>
      </c>
      <c r="F1893">
        <v>5</v>
      </c>
      <c r="G1893">
        <v>18.66</v>
      </c>
      <c r="H1893">
        <v>93.3</v>
      </c>
      <c r="I1893">
        <v>9.33</v>
      </c>
      <c r="J1893">
        <v>83.97</v>
      </c>
      <c r="K1893">
        <v>416</v>
      </c>
    </row>
    <row r="1894" spans="1:11" x14ac:dyDescent="0.3">
      <c r="A1894">
        <v>4656</v>
      </c>
      <c r="B1894" t="s">
        <v>26</v>
      </c>
      <c r="C1894" s="1">
        <v>45769</v>
      </c>
      <c r="D1894" t="s">
        <v>12</v>
      </c>
      <c r="E1894" t="s">
        <v>21</v>
      </c>
      <c r="F1894">
        <v>5</v>
      </c>
      <c r="G1894">
        <v>26.53</v>
      </c>
      <c r="H1894">
        <v>132.65</v>
      </c>
      <c r="I1894">
        <v>2.29</v>
      </c>
      <c r="J1894">
        <v>130.36000000000001</v>
      </c>
      <c r="K1894">
        <v>196</v>
      </c>
    </row>
    <row r="1895" spans="1:11" x14ac:dyDescent="0.3">
      <c r="A1895">
        <v>9450</v>
      </c>
      <c r="B1895" t="s">
        <v>14</v>
      </c>
      <c r="C1895" s="1">
        <v>45180</v>
      </c>
      <c r="D1895" t="s">
        <v>45</v>
      </c>
      <c r="E1895" t="s">
        <v>33</v>
      </c>
      <c r="F1895">
        <v>5</v>
      </c>
      <c r="G1895">
        <v>27.1</v>
      </c>
      <c r="H1895">
        <v>135.5</v>
      </c>
      <c r="I1895">
        <v>2.8</v>
      </c>
      <c r="J1895">
        <v>132.69999999999999</v>
      </c>
      <c r="K1895">
        <v>484</v>
      </c>
    </row>
    <row r="1896" spans="1:11" x14ac:dyDescent="0.3">
      <c r="A1896">
        <v>7568</v>
      </c>
      <c r="B1896" t="s">
        <v>42</v>
      </c>
      <c r="C1896" s="1">
        <v>45198</v>
      </c>
      <c r="D1896" t="s">
        <v>35</v>
      </c>
      <c r="E1896" t="s">
        <v>41</v>
      </c>
      <c r="F1896">
        <v>3</v>
      </c>
      <c r="G1896">
        <v>25.58</v>
      </c>
      <c r="H1896">
        <v>76.739999999999995</v>
      </c>
      <c r="I1896">
        <v>15.35</v>
      </c>
      <c r="J1896">
        <v>61.39</v>
      </c>
      <c r="K1896">
        <v>30</v>
      </c>
    </row>
    <row r="1897" spans="1:11" x14ac:dyDescent="0.3">
      <c r="A1897">
        <v>8620</v>
      </c>
      <c r="B1897" t="s">
        <v>42</v>
      </c>
      <c r="C1897" s="1">
        <v>45817</v>
      </c>
      <c r="D1897" t="s">
        <v>27</v>
      </c>
      <c r="E1897" t="s">
        <v>39</v>
      </c>
      <c r="F1897">
        <v>3</v>
      </c>
      <c r="G1897">
        <v>11.32</v>
      </c>
      <c r="H1897">
        <v>33.96</v>
      </c>
      <c r="I1897">
        <v>1.58</v>
      </c>
      <c r="J1897">
        <v>32.380000000000003</v>
      </c>
      <c r="K1897">
        <v>317</v>
      </c>
    </row>
    <row r="1898" spans="1:11" x14ac:dyDescent="0.3">
      <c r="A1898">
        <v>5625</v>
      </c>
      <c r="B1898" t="s">
        <v>30</v>
      </c>
      <c r="C1898" s="1">
        <v>45745</v>
      </c>
      <c r="D1898" t="s">
        <v>22</v>
      </c>
      <c r="E1898" t="s">
        <v>47</v>
      </c>
      <c r="F1898">
        <v>3</v>
      </c>
      <c r="G1898">
        <v>18.53</v>
      </c>
      <c r="H1898">
        <v>55.59</v>
      </c>
      <c r="I1898">
        <v>0</v>
      </c>
      <c r="J1898">
        <v>55.59</v>
      </c>
      <c r="K1898">
        <v>274</v>
      </c>
    </row>
    <row r="1899" spans="1:11" x14ac:dyDescent="0.3">
      <c r="A1899">
        <v>6090</v>
      </c>
      <c r="B1899" t="s">
        <v>42</v>
      </c>
      <c r="C1899" s="1">
        <v>45399</v>
      </c>
      <c r="D1899" t="s">
        <v>28</v>
      </c>
      <c r="E1899" t="s">
        <v>48</v>
      </c>
      <c r="F1899">
        <v>3</v>
      </c>
      <c r="G1899">
        <v>22.26</v>
      </c>
      <c r="H1899">
        <v>66.78</v>
      </c>
      <c r="I1899">
        <v>4.2</v>
      </c>
      <c r="J1899">
        <v>62.58</v>
      </c>
      <c r="K1899">
        <v>376</v>
      </c>
    </row>
    <row r="1900" spans="1:11" x14ac:dyDescent="0.3">
      <c r="A1900">
        <v>2415</v>
      </c>
      <c r="B1900" t="s">
        <v>30</v>
      </c>
      <c r="C1900" s="1">
        <v>45574</v>
      </c>
      <c r="D1900" t="s">
        <v>17</v>
      </c>
      <c r="E1900" t="s">
        <v>32</v>
      </c>
      <c r="F1900">
        <v>4</v>
      </c>
      <c r="G1900">
        <v>21.31</v>
      </c>
      <c r="H1900">
        <v>85.24</v>
      </c>
      <c r="I1900">
        <v>12.79</v>
      </c>
      <c r="J1900">
        <v>72.45</v>
      </c>
      <c r="K1900">
        <v>436</v>
      </c>
    </row>
    <row r="1901" spans="1:11" x14ac:dyDescent="0.3">
      <c r="A1901">
        <v>8483</v>
      </c>
      <c r="B1901" t="s">
        <v>30</v>
      </c>
      <c r="C1901" s="1">
        <v>45151</v>
      </c>
      <c r="D1901" t="s">
        <v>17</v>
      </c>
      <c r="E1901" t="s">
        <v>41</v>
      </c>
      <c r="F1901">
        <v>3</v>
      </c>
      <c r="G1901">
        <v>1.72</v>
      </c>
      <c r="H1901">
        <v>5.16</v>
      </c>
      <c r="I1901">
        <v>2.4700000000000002</v>
      </c>
      <c r="J1901">
        <v>2.69</v>
      </c>
      <c r="K1901">
        <v>333</v>
      </c>
    </row>
    <row r="1902" spans="1:11" x14ac:dyDescent="0.3">
      <c r="A1902">
        <v>7044</v>
      </c>
      <c r="B1902" t="s">
        <v>19</v>
      </c>
      <c r="C1902" s="1">
        <v>45300</v>
      </c>
      <c r="D1902" t="s">
        <v>45</v>
      </c>
      <c r="E1902" t="s">
        <v>32</v>
      </c>
      <c r="F1902">
        <v>5</v>
      </c>
      <c r="G1902">
        <v>5.54</v>
      </c>
      <c r="H1902">
        <v>27.7</v>
      </c>
      <c r="I1902">
        <v>4.75</v>
      </c>
      <c r="J1902">
        <v>22.95</v>
      </c>
      <c r="K1902">
        <v>227</v>
      </c>
    </row>
    <row r="1903" spans="1:11" x14ac:dyDescent="0.3">
      <c r="A1903">
        <v>5777</v>
      </c>
      <c r="B1903" t="s">
        <v>26</v>
      </c>
      <c r="C1903" s="1">
        <v>45582</v>
      </c>
      <c r="D1903" t="s">
        <v>35</v>
      </c>
      <c r="E1903" t="s">
        <v>44</v>
      </c>
      <c r="F1903">
        <v>5</v>
      </c>
      <c r="G1903">
        <v>14.14</v>
      </c>
      <c r="H1903">
        <v>70.7</v>
      </c>
      <c r="I1903">
        <v>10.61</v>
      </c>
      <c r="J1903">
        <v>60.09</v>
      </c>
      <c r="K1903">
        <v>83</v>
      </c>
    </row>
    <row r="1904" spans="1:11" x14ac:dyDescent="0.3">
      <c r="A1904">
        <v>5979</v>
      </c>
      <c r="B1904" t="s">
        <v>31</v>
      </c>
      <c r="C1904" s="1">
        <v>45719</v>
      </c>
      <c r="D1904" t="s">
        <v>15</v>
      </c>
      <c r="E1904" t="s">
        <v>40</v>
      </c>
      <c r="F1904">
        <v>3</v>
      </c>
      <c r="G1904">
        <v>17.010000000000002</v>
      </c>
      <c r="H1904">
        <v>51.03</v>
      </c>
      <c r="I1904">
        <v>7.65</v>
      </c>
      <c r="J1904">
        <v>43.38</v>
      </c>
      <c r="K1904">
        <v>188</v>
      </c>
    </row>
    <row r="1905" spans="1:11" x14ac:dyDescent="0.3">
      <c r="A1905">
        <v>4974</v>
      </c>
      <c r="B1905" t="s">
        <v>24</v>
      </c>
      <c r="C1905" s="1">
        <v>45505</v>
      </c>
      <c r="D1905" t="s">
        <v>38</v>
      </c>
      <c r="E1905" t="s">
        <v>39</v>
      </c>
      <c r="F1905">
        <v>4</v>
      </c>
      <c r="G1905">
        <v>19.73</v>
      </c>
      <c r="H1905">
        <v>78.92</v>
      </c>
      <c r="I1905">
        <v>11.84</v>
      </c>
      <c r="J1905">
        <v>67.08</v>
      </c>
      <c r="K1905">
        <v>202</v>
      </c>
    </row>
    <row r="1906" spans="1:11" x14ac:dyDescent="0.3">
      <c r="A1906">
        <v>7033</v>
      </c>
      <c r="B1906" t="s">
        <v>31</v>
      </c>
      <c r="C1906" s="1">
        <v>45604</v>
      </c>
      <c r="D1906" t="s">
        <v>27</v>
      </c>
      <c r="E1906" t="s">
        <v>37</v>
      </c>
      <c r="F1906">
        <v>3</v>
      </c>
      <c r="G1906">
        <v>17.39</v>
      </c>
      <c r="H1906">
        <v>52.17</v>
      </c>
      <c r="I1906">
        <v>1.22</v>
      </c>
      <c r="J1906">
        <v>50.95</v>
      </c>
      <c r="K1906">
        <v>291</v>
      </c>
    </row>
    <row r="1907" spans="1:11" x14ac:dyDescent="0.3">
      <c r="A1907">
        <v>9083</v>
      </c>
      <c r="B1907" t="s">
        <v>19</v>
      </c>
      <c r="C1907" s="1">
        <v>45745</v>
      </c>
      <c r="D1907" t="s">
        <v>45</v>
      </c>
      <c r="E1907" t="s">
        <v>43</v>
      </c>
      <c r="F1907">
        <v>1</v>
      </c>
      <c r="G1907">
        <v>5.05</v>
      </c>
      <c r="H1907">
        <v>5.05</v>
      </c>
      <c r="I1907">
        <v>0</v>
      </c>
      <c r="J1907">
        <v>5.05</v>
      </c>
      <c r="K1907">
        <v>52</v>
      </c>
    </row>
    <row r="1908" spans="1:11" x14ac:dyDescent="0.3">
      <c r="A1908">
        <v>4201</v>
      </c>
      <c r="B1908" t="s">
        <v>42</v>
      </c>
      <c r="C1908" s="1">
        <v>45713</v>
      </c>
      <c r="D1908" t="s">
        <v>15</v>
      </c>
      <c r="E1908" t="s">
        <v>23</v>
      </c>
      <c r="F1908">
        <v>3</v>
      </c>
      <c r="G1908">
        <v>10.8</v>
      </c>
      <c r="H1908">
        <v>32.4</v>
      </c>
      <c r="I1908">
        <v>2.97</v>
      </c>
      <c r="J1908">
        <v>29.43</v>
      </c>
      <c r="K1908">
        <v>211</v>
      </c>
    </row>
    <row r="1909" spans="1:11" x14ac:dyDescent="0.3">
      <c r="A1909">
        <v>9954</v>
      </c>
      <c r="B1909" t="s">
        <v>14</v>
      </c>
      <c r="C1909" s="1">
        <v>45735</v>
      </c>
      <c r="D1909" t="s">
        <v>12</v>
      </c>
      <c r="E1909" t="s">
        <v>46</v>
      </c>
      <c r="F1909">
        <v>4</v>
      </c>
      <c r="G1909">
        <v>19.600000000000001</v>
      </c>
      <c r="H1909">
        <v>78.400000000000006</v>
      </c>
      <c r="I1909">
        <v>4.29</v>
      </c>
      <c r="J1909">
        <v>74.11</v>
      </c>
      <c r="K1909">
        <v>202</v>
      </c>
    </row>
    <row r="1910" spans="1:11" x14ac:dyDescent="0.3">
      <c r="A1910">
        <v>5016</v>
      </c>
      <c r="B1910" t="s">
        <v>42</v>
      </c>
      <c r="C1910" s="1">
        <v>45261</v>
      </c>
      <c r="D1910" t="s">
        <v>45</v>
      </c>
      <c r="E1910" t="s">
        <v>29</v>
      </c>
      <c r="F1910">
        <v>1</v>
      </c>
      <c r="G1910">
        <v>23.11</v>
      </c>
      <c r="H1910">
        <v>23.11</v>
      </c>
      <c r="I1910">
        <v>4.62</v>
      </c>
      <c r="J1910">
        <v>18.489999999999998</v>
      </c>
      <c r="K1910">
        <v>444</v>
      </c>
    </row>
    <row r="1911" spans="1:11" x14ac:dyDescent="0.3">
      <c r="A1911">
        <v>1104</v>
      </c>
      <c r="B1911" t="s">
        <v>42</v>
      </c>
      <c r="C1911" s="1">
        <v>45869</v>
      </c>
      <c r="D1911" t="s">
        <v>12</v>
      </c>
      <c r="E1911" t="s">
        <v>18</v>
      </c>
      <c r="F1911">
        <v>1</v>
      </c>
      <c r="G1911">
        <v>2.5099999999999998</v>
      </c>
      <c r="H1911">
        <v>2.5099999999999998</v>
      </c>
      <c r="I1911">
        <v>0.25</v>
      </c>
      <c r="J1911">
        <v>2.2599999999999998</v>
      </c>
      <c r="K1911">
        <v>431</v>
      </c>
    </row>
    <row r="1912" spans="1:11" x14ac:dyDescent="0.3">
      <c r="A1912">
        <v>7718</v>
      </c>
      <c r="B1912" t="s">
        <v>31</v>
      </c>
      <c r="C1912" s="1">
        <v>45163</v>
      </c>
      <c r="D1912" t="s">
        <v>12</v>
      </c>
      <c r="E1912" t="s">
        <v>25</v>
      </c>
      <c r="F1912">
        <v>2</v>
      </c>
      <c r="G1912">
        <v>28.54</v>
      </c>
      <c r="H1912">
        <v>57.08</v>
      </c>
      <c r="I1912">
        <v>2.2799999999999998</v>
      </c>
      <c r="J1912">
        <v>54.8</v>
      </c>
      <c r="K1912">
        <v>488</v>
      </c>
    </row>
    <row r="1913" spans="1:11" x14ac:dyDescent="0.3">
      <c r="A1913">
        <v>4817</v>
      </c>
      <c r="B1913" t="s">
        <v>24</v>
      </c>
      <c r="C1913" s="1">
        <v>45565</v>
      </c>
      <c r="D1913" t="s">
        <v>27</v>
      </c>
      <c r="E1913" t="s">
        <v>32</v>
      </c>
      <c r="F1913">
        <v>1</v>
      </c>
      <c r="G1913">
        <v>15.79</v>
      </c>
      <c r="H1913">
        <v>15.79</v>
      </c>
      <c r="I1913">
        <v>3.68</v>
      </c>
      <c r="J1913">
        <v>12.11</v>
      </c>
      <c r="K1913">
        <v>148</v>
      </c>
    </row>
    <row r="1914" spans="1:11" x14ac:dyDescent="0.3">
      <c r="A1914">
        <v>6675</v>
      </c>
      <c r="B1914" t="s">
        <v>24</v>
      </c>
      <c r="C1914" s="1">
        <v>45638</v>
      </c>
      <c r="D1914" t="s">
        <v>38</v>
      </c>
      <c r="E1914" t="s">
        <v>43</v>
      </c>
      <c r="F1914">
        <v>1</v>
      </c>
      <c r="G1914">
        <v>6.79</v>
      </c>
      <c r="H1914">
        <v>6.79</v>
      </c>
      <c r="I1914">
        <v>1.36</v>
      </c>
      <c r="J1914">
        <v>5.43</v>
      </c>
      <c r="K1914">
        <v>18</v>
      </c>
    </row>
    <row r="1915" spans="1:11" x14ac:dyDescent="0.3">
      <c r="A1915">
        <v>1157</v>
      </c>
      <c r="B1915" t="s">
        <v>26</v>
      </c>
      <c r="C1915" s="1">
        <v>45405</v>
      </c>
      <c r="D1915" t="s">
        <v>12</v>
      </c>
      <c r="E1915" t="s">
        <v>23</v>
      </c>
      <c r="F1915">
        <v>1</v>
      </c>
      <c r="G1915">
        <v>17.86</v>
      </c>
      <c r="H1915">
        <v>17.86</v>
      </c>
      <c r="I1915">
        <v>1.79</v>
      </c>
      <c r="J1915">
        <v>16.07</v>
      </c>
      <c r="K1915">
        <v>188</v>
      </c>
    </row>
    <row r="1916" spans="1:11" x14ac:dyDescent="0.3">
      <c r="A1916">
        <v>1023</v>
      </c>
      <c r="B1916" t="s">
        <v>42</v>
      </c>
      <c r="C1916" s="1">
        <v>45734</v>
      </c>
      <c r="D1916" t="s">
        <v>34</v>
      </c>
      <c r="E1916" t="s">
        <v>18</v>
      </c>
      <c r="F1916">
        <v>1</v>
      </c>
      <c r="G1916">
        <v>27.53</v>
      </c>
      <c r="H1916">
        <v>27.53</v>
      </c>
      <c r="I1916">
        <v>4.13</v>
      </c>
      <c r="J1916">
        <v>23.4</v>
      </c>
      <c r="K1916">
        <v>381</v>
      </c>
    </row>
    <row r="1917" spans="1:11" x14ac:dyDescent="0.3">
      <c r="A1917">
        <v>7164</v>
      </c>
      <c r="B1917" t="s">
        <v>14</v>
      </c>
      <c r="C1917" s="1">
        <v>45804</v>
      </c>
      <c r="D1917" t="s">
        <v>22</v>
      </c>
      <c r="E1917" t="s">
        <v>46</v>
      </c>
      <c r="F1917">
        <v>4</v>
      </c>
      <c r="G1917">
        <v>5.63</v>
      </c>
      <c r="H1917">
        <v>22.52</v>
      </c>
      <c r="I1917">
        <v>3.38</v>
      </c>
      <c r="J1917">
        <v>19.14</v>
      </c>
      <c r="K1917">
        <v>103</v>
      </c>
    </row>
    <row r="1918" spans="1:11" x14ac:dyDescent="0.3">
      <c r="A1918">
        <v>6038</v>
      </c>
      <c r="B1918" t="s">
        <v>42</v>
      </c>
      <c r="C1918" s="1">
        <v>45225</v>
      </c>
      <c r="D1918" t="s">
        <v>22</v>
      </c>
      <c r="E1918" t="s">
        <v>13</v>
      </c>
      <c r="F1918">
        <v>4</v>
      </c>
      <c r="G1918">
        <v>4.45</v>
      </c>
      <c r="H1918">
        <v>17.8</v>
      </c>
      <c r="I1918">
        <v>2.78</v>
      </c>
      <c r="J1918">
        <v>15.02</v>
      </c>
      <c r="K1918">
        <v>146</v>
      </c>
    </row>
    <row r="1919" spans="1:11" x14ac:dyDescent="0.3">
      <c r="A1919">
        <v>4361</v>
      </c>
      <c r="B1919" t="s">
        <v>14</v>
      </c>
      <c r="C1919" s="1">
        <v>45556</v>
      </c>
      <c r="D1919" t="s">
        <v>20</v>
      </c>
      <c r="E1919" t="s">
        <v>44</v>
      </c>
      <c r="F1919">
        <v>2</v>
      </c>
      <c r="G1919">
        <v>4.26</v>
      </c>
      <c r="H1919">
        <v>8.52</v>
      </c>
      <c r="I1919">
        <v>0</v>
      </c>
      <c r="J1919">
        <v>8.52</v>
      </c>
      <c r="K1919">
        <v>198</v>
      </c>
    </row>
    <row r="1920" spans="1:11" x14ac:dyDescent="0.3">
      <c r="A1920">
        <v>4902</v>
      </c>
      <c r="B1920" t="s">
        <v>42</v>
      </c>
      <c r="C1920" s="1">
        <v>45471</v>
      </c>
      <c r="D1920" t="s">
        <v>17</v>
      </c>
      <c r="E1920" t="s">
        <v>37</v>
      </c>
      <c r="F1920">
        <v>2</v>
      </c>
      <c r="G1920">
        <v>26.7</v>
      </c>
      <c r="H1920">
        <v>53.4</v>
      </c>
      <c r="I1920">
        <v>8.01</v>
      </c>
      <c r="J1920">
        <v>45.39</v>
      </c>
      <c r="K1920">
        <v>418</v>
      </c>
    </row>
    <row r="1921" spans="1:11" x14ac:dyDescent="0.3">
      <c r="A1921">
        <v>9061</v>
      </c>
      <c r="B1921" t="s">
        <v>26</v>
      </c>
      <c r="C1921" s="1">
        <v>45191</v>
      </c>
      <c r="D1921" t="s">
        <v>12</v>
      </c>
      <c r="E1921" t="s">
        <v>25</v>
      </c>
      <c r="F1921">
        <v>5</v>
      </c>
      <c r="G1921">
        <v>26.81</v>
      </c>
      <c r="H1921">
        <v>134.05000000000001</v>
      </c>
      <c r="I1921">
        <v>26.81</v>
      </c>
      <c r="J1921">
        <v>107.24</v>
      </c>
      <c r="K1921">
        <v>431</v>
      </c>
    </row>
    <row r="1922" spans="1:11" x14ac:dyDescent="0.3">
      <c r="A1922">
        <v>3332</v>
      </c>
      <c r="B1922" t="s">
        <v>14</v>
      </c>
      <c r="C1922" s="1">
        <v>45697</v>
      </c>
      <c r="D1922" t="s">
        <v>12</v>
      </c>
      <c r="E1922" t="s">
        <v>37</v>
      </c>
      <c r="F1922">
        <v>1</v>
      </c>
      <c r="G1922">
        <v>7.27</v>
      </c>
      <c r="H1922">
        <v>7.27</v>
      </c>
      <c r="I1922">
        <v>1.45</v>
      </c>
      <c r="J1922">
        <v>5.82</v>
      </c>
      <c r="K1922">
        <v>92</v>
      </c>
    </row>
    <row r="1923" spans="1:11" x14ac:dyDescent="0.3">
      <c r="A1923">
        <v>5584</v>
      </c>
      <c r="B1923" t="s">
        <v>26</v>
      </c>
      <c r="C1923" s="1">
        <v>45217</v>
      </c>
      <c r="D1923" t="s">
        <v>20</v>
      </c>
      <c r="E1923" t="s">
        <v>21</v>
      </c>
      <c r="F1923">
        <v>4</v>
      </c>
      <c r="G1923">
        <v>29.53</v>
      </c>
      <c r="H1923">
        <v>118.12</v>
      </c>
      <c r="I1923">
        <v>11.81</v>
      </c>
      <c r="J1923">
        <v>106.31</v>
      </c>
      <c r="K1923">
        <v>308</v>
      </c>
    </row>
    <row r="1924" spans="1:11" x14ac:dyDescent="0.3">
      <c r="A1924">
        <v>1719</v>
      </c>
      <c r="B1924" t="s">
        <v>26</v>
      </c>
      <c r="C1924" s="1">
        <v>45860</v>
      </c>
      <c r="D1924" t="s">
        <v>38</v>
      </c>
      <c r="E1924" t="s">
        <v>37</v>
      </c>
      <c r="F1924">
        <v>2</v>
      </c>
      <c r="G1924">
        <v>3.24</v>
      </c>
      <c r="H1924">
        <v>6.48</v>
      </c>
      <c r="I1924">
        <v>3.48</v>
      </c>
      <c r="J1924">
        <v>3</v>
      </c>
      <c r="K1924">
        <v>54</v>
      </c>
    </row>
    <row r="1925" spans="1:11" x14ac:dyDescent="0.3">
      <c r="A1925">
        <v>4792</v>
      </c>
      <c r="B1925" t="s">
        <v>31</v>
      </c>
      <c r="C1925" s="1">
        <v>45841</v>
      </c>
      <c r="D1925" t="s">
        <v>35</v>
      </c>
      <c r="E1925" t="s">
        <v>39</v>
      </c>
      <c r="F1925">
        <v>3</v>
      </c>
      <c r="G1925">
        <v>13.9</v>
      </c>
      <c r="H1925">
        <v>41.7</v>
      </c>
      <c r="I1925">
        <v>1.21</v>
      </c>
      <c r="J1925">
        <v>40.49</v>
      </c>
      <c r="K1925">
        <v>373</v>
      </c>
    </row>
    <row r="1926" spans="1:11" x14ac:dyDescent="0.3">
      <c r="A1926">
        <v>9515</v>
      </c>
      <c r="B1926" t="s">
        <v>42</v>
      </c>
      <c r="C1926" s="1">
        <v>45465</v>
      </c>
      <c r="D1926" t="s">
        <v>27</v>
      </c>
      <c r="E1926" t="s">
        <v>44</v>
      </c>
      <c r="F1926">
        <v>4</v>
      </c>
      <c r="G1926">
        <v>22.5</v>
      </c>
      <c r="H1926">
        <v>90</v>
      </c>
      <c r="I1926">
        <v>13.5</v>
      </c>
      <c r="J1926">
        <v>76.5</v>
      </c>
      <c r="K1926">
        <v>190</v>
      </c>
    </row>
    <row r="1927" spans="1:11" x14ac:dyDescent="0.3">
      <c r="A1927">
        <v>7102</v>
      </c>
      <c r="B1927" t="s">
        <v>24</v>
      </c>
      <c r="C1927" s="1">
        <v>45501</v>
      </c>
      <c r="D1927" t="s">
        <v>27</v>
      </c>
      <c r="E1927" t="s">
        <v>39</v>
      </c>
      <c r="F1927">
        <v>3</v>
      </c>
      <c r="G1927">
        <v>23.33</v>
      </c>
      <c r="H1927">
        <v>69.989999999999995</v>
      </c>
      <c r="I1927">
        <v>10.5</v>
      </c>
      <c r="J1927">
        <v>59.49</v>
      </c>
      <c r="K1927">
        <v>460</v>
      </c>
    </row>
    <row r="1928" spans="1:11" x14ac:dyDescent="0.3">
      <c r="A1928">
        <v>2391</v>
      </c>
      <c r="B1928" t="s">
        <v>19</v>
      </c>
      <c r="C1928" s="1">
        <v>45596</v>
      </c>
      <c r="D1928" t="s">
        <v>35</v>
      </c>
      <c r="E1928" t="s">
        <v>33</v>
      </c>
      <c r="F1928">
        <v>2</v>
      </c>
      <c r="G1928">
        <v>4.4800000000000004</v>
      </c>
      <c r="H1928">
        <v>8.9600000000000009</v>
      </c>
      <c r="I1928">
        <v>0.9</v>
      </c>
      <c r="J1928">
        <v>8.06</v>
      </c>
      <c r="K1928">
        <v>325</v>
      </c>
    </row>
    <row r="1929" spans="1:11" x14ac:dyDescent="0.3">
      <c r="A1929">
        <v>2565</v>
      </c>
      <c r="B1929" t="s">
        <v>19</v>
      </c>
      <c r="C1929" s="1">
        <v>45537</v>
      </c>
      <c r="D1929" t="s">
        <v>12</v>
      </c>
      <c r="E1929" t="s">
        <v>48</v>
      </c>
      <c r="F1929">
        <v>1</v>
      </c>
      <c r="G1929">
        <v>22.01</v>
      </c>
      <c r="H1929">
        <v>22.01</v>
      </c>
      <c r="I1929">
        <v>3.3</v>
      </c>
      <c r="J1929">
        <v>18.71</v>
      </c>
      <c r="K1929">
        <v>233</v>
      </c>
    </row>
    <row r="1930" spans="1:11" x14ac:dyDescent="0.3">
      <c r="A1930">
        <v>3187</v>
      </c>
      <c r="B1930" t="s">
        <v>31</v>
      </c>
      <c r="C1930" s="1">
        <v>45639</v>
      </c>
      <c r="D1930" t="s">
        <v>28</v>
      </c>
      <c r="E1930" t="s">
        <v>47</v>
      </c>
      <c r="F1930">
        <v>1</v>
      </c>
      <c r="G1930">
        <v>22.2</v>
      </c>
      <c r="H1930">
        <v>22.2</v>
      </c>
      <c r="I1930">
        <v>2.59</v>
      </c>
      <c r="J1930">
        <v>19.61</v>
      </c>
      <c r="K1930">
        <v>78</v>
      </c>
    </row>
    <row r="1931" spans="1:11" x14ac:dyDescent="0.3">
      <c r="A1931">
        <v>7461</v>
      </c>
      <c r="B1931" t="s">
        <v>24</v>
      </c>
      <c r="C1931" s="1">
        <v>45203</v>
      </c>
      <c r="D1931" t="s">
        <v>12</v>
      </c>
      <c r="E1931" t="s">
        <v>40</v>
      </c>
      <c r="F1931">
        <v>4</v>
      </c>
      <c r="G1931">
        <v>13.53</v>
      </c>
      <c r="H1931">
        <v>54.12</v>
      </c>
      <c r="I1931">
        <v>10.82</v>
      </c>
      <c r="J1931">
        <v>43.3</v>
      </c>
      <c r="K1931">
        <v>238</v>
      </c>
    </row>
    <row r="1932" spans="1:11" x14ac:dyDescent="0.3">
      <c r="A1932">
        <v>2020</v>
      </c>
      <c r="B1932" t="s">
        <v>31</v>
      </c>
      <c r="C1932" s="1">
        <v>45482</v>
      </c>
      <c r="D1932" t="s">
        <v>28</v>
      </c>
      <c r="E1932" t="s">
        <v>40</v>
      </c>
      <c r="F1932">
        <v>1</v>
      </c>
      <c r="G1932">
        <v>28.81</v>
      </c>
      <c r="H1932">
        <v>28.81</v>
      </c>
      <c r="I1932">
        <v>0</v>
      </c>
      <c r="J1932">
        <v>28.81</v>
      </c>
      <c r="K1932">
        <v>448</v>
      </c>
    </row>
    <row r="1933" spans="1:11" x14ac:dyDescent="0.3">
      <c r="A1933">
        <v>3141</v>
      </c>
      <c r="B1933" t="s">
        <v>30</v>
      </c>
      <c r="C1933" s="1">
        <v>45328</v>
      </c>
      <c r="D1933" t="s">
        <v>45</v>
      </c>
      <c r="E1933" t="s">
        <v>44</v>
      </c>
      <c r="F1933">
        <v>3</v>
      </c>
      <c r="G1933">
        <v>1.7</v>
      </c>
      <c r="H1933">
        <v>5.0999999999999996</v>
      </c>
      <c r="I1933">
        <v>1.02</v>
      </c>
      <c r="J1933">
        <v>4.08</v>
      </c>
      <c r="K1933">
        <v>139</v>
      </c>
    </row>
    <row r="1934" spans="1:11" x14ac:dyDescent="0.3">
      <c r="A1934">
        <v>5778</v>
      </c>
      <c r="B1934" t="s">
        <v>26</v>
      </c>
      <c r="C1934" s="1">
        <v>45347</v>
      </c>
      <c r="D1934" t="s">
        <v>12</v>
      </c>
      <c r="E1934" t="s">
        <v>40</v>
      </c>
      <c r="F1934">
        <v>5</v>
      </c>
      <c r="G1934">
        <v>25.22</v>
      </c>
      <c r="H1934">
        <v>126.1</v>
      </c>
      <c r="I1934">
        <v>25.22</v>
      </c>
      <c r="J1934">
        <v>100.88</v>
      </c>
      <c r="K1934">
        <v>222</v>
      </c>
    </row>
    <row r="1935" spans="1:11" x14ac:dyDescent="0.3">
      <c r="A1935">
        <v>6161</v>
      </c>
      <c r="B1935" t="s">
        <v>31</v>
      </c>
      <c r="C1935" s="1">
        <v>45864</v>
      </c>
      <c r="D1935" t="s">
        <v>35</v>
      </c>
      <c r="E1935" t="s">
        <v>23</v>
      </c>
      <c r="F1935">
        <v>1</v>
      </c>
      <c r="G1935">
        <v>18.329999999999998</v>
      </c>
      <c r="H1935">
        <v>18.329999999999998</v>
      </c>
      <c r="I1935">
        <v>1.66</v>
      </c>
      <c r="J1935">
        <v>16.670000000000002</v>
      </c>
      <c r="K1935">
        <v>233</v>
      </c>
    </row>
    <row r="1936" spans="1:11" x14ac:dyDescent="0.3">
      <c r="A1936">
        <v>7438</v>
      </c>
      <c r="B1936" t="s">
        <v>36</v>
      </c>
      <c r="C1936" s="1">
        <v>45689</v>
      </c>
      <c r="D1936" t="s">
        <v>38</v>
      </c>
      <c r="E1936" t="s">
        <v>18</v>
      </c>
      <c r="F1936">
        <v>2</v>
      </c>
      <c r="G1936">
        <v>10.29</v>
      </c>
      <c r="H1936">
        <v>20.58</v>
      </c>
      <c r="I1936">
        <v>2.06</v>
      </c>
      <c r="J1936">
        <v>18.52</v>
      </c>
      <c r="K1936">
        <v>327</v>
      </c>
    </row>
    <row r="1937" spans="1:11" x14ac:dyDescent="0.3">
      <c r="A1937">
        <v>6345</v>
      </c>
      <c r="B1937" t="s">
        <v>19</v>
      </c>
      <c r="C1937" s="1">
        <v>45392</v>
      </c>
      <c r="D1937" t="s">
        <v>28</v>
      </c>
      <c r="E1937" t="s">
        <v>32</v>
      </c>
      <c r="F1937">
        <v>3</v>
      </c>
      <c r="G1937">
        <v>14.55</v>
      </c>
      <c r="H1937">
        <v>43.65</v>
      </c>
      <c r="I1937">
        <v>8.73</v>
      </c>
      <c r="J1937">
        <v>34.92</v>
      </c>
      <c r="K1937">
        <v>177</v>
      </c>
    </row>
    <row r="1938" spans="1:11" x14ac:dyDescent="0.3">
      <c r="A1938">
        <v>8417</v>
      </c>
      <c r="B1938" t="s">
        <v>26</v>
      </c>
      <c r="C1938" s="1">
        <v>45356</v>
      </c>
      <c r="D1938" t="s">
        <v>27</v>
      </c>
      <c r="E1938" t="s">
        <v>18</v>
      </c>
      <c r="F1938">
        <v>4</v>
      </c>
      <c r="G1938">
        <v>11.44</v>
      </c>
      <c r="H1938">
        <v>45.76</v>
      </c>
      <c r="I1938">
        <v>2.0099999999999998</v>
      </c>
      <c r="J1938">
        <v>43.75</v>
      </c>
      <c r="K1938">
        <v>221</v>
      </c>
    </row>
    <row r="1939" spans="1:11" x14ac:dyDescent="0.3">
      <c r="A1939">
        <v>4827</v>
      </c>
      <c r="B1939" t="s">
        <v>19</v>
      </c>
      <c r="C1939" s="1">
        <v>45203</v>
      </c>
      <c r="D1939" t="s">
        <v>22</v>
      </c>
      <c r="E1939" t="s">
        <v>23</v>
      </c>
      <c r="F1939">
        <v>4</v>
      </c>
      <c r="G1939">
        <v>14.06</v>
      </c>
      <c r="H1939">
        <v>56.24</v>
      </c>
      <c r="I1939">
        <v>2.37</v>
      </c>
      <c r="J1939">
        <v>53.87</v>
      </c>
      <c r="K1939">
        <v>276</v>
      </c>
    </row>
    <row r="1940" spans="1:11" x14ac:dyDescent="0.3">
      <c r="A1940">
        <v>4321</v>
      </c>
      <c r="B1940" t="s">
        <v>19</v>
      </c>
      <c r="C1940" s="1">
        <v>45250</v>
      </c>
      <c r="D1940" t="s">
        <v>28</v>
      </c>
      <c r="E1940" t="s">
        <v>21</v>
      </c>
      <c r="F1940">
        <v>5</v>
      </c>
      <c r="G1940">
        <v>19.34</v>
      </c>
      <c r="H1940">
        <v>96.7</v>
      </c>
      <c r="I1940">
        <v>1.56</v>
      </c>
      <c r="J1940">
        <v>95.14</v>
      </c>
      <c r="K1940">
        <v>381</v>
      </c>
    </row>
    <row r="1941" spans="1:11" x14ac:dyDescent="0.3">
      <c r="A1941">
        <v>2785</v>
      </c>
      <c r="B1941" t="s">
        <v>42</v>
      </c>
      <c r="C1941" s="1">
        <v>45265</v>
      </c>
      <c r="D1941" t="s">
        <v>20</v>
      </c>
      <c r="E1941" t="s">
        <v>43</v>
      </c>
      <c r="F1941">
        <v>4</v>
      </c>
      <c r="G1941">
        <v>26.53</v>
      </c>
      <c r="H1941">
        <v>106.12</v>
      </c>
      <c r="I1941">
        <v>1.42</v>
      </c>
      <c r="J1941">
        <v>104.7</v>
      </c>
      <c r="K1941">
        <v>256</v>
      </c>
    </row>
    <row r="1942" spans="1:11" x14ac:dyDescent="0.3">
      <c r="A1942">
        <v>2731</v>
      </c>
      <c r="B1942" t="s">
        <v>31</v>
      </c>
      <c r="C1942" s="1">
        <v>45272</v>
      </c>
      <c r="D1942" t="s">
        <v>35</v>
      </c>
      <c r="E1942" t="s">
        <v>18</v>
      </c>
      <c r="F1942">
        <v>2</v>
      </c>
      <c r="G1942">
        <v>22.44</v>
      </c>
      <c r="H1942">
        <v>44.88</v>
      </c>
      <c r="I1942">
        <v>4.49</v>
      </c>
      <c r="J1942">
        <v>40.39</v>
      </c>
      <c r="K1942">
        <v>350</v>
      </c>
    </row>
    <row r="1943" spans="1:11" x14ac:dyDescent="0.3">
      <c r="A1943">
        <v>8365</v>
      </c>
      <c r="B1943" t="s">
        <v>11</v>
      </c>
      <c r="C1943" s="1">
        <v>45506</v>
      </c>
      <c r="D1943" t="s">
        <v>22</v>
      </c>
      <c r="E1943" t="s">
        <v>23</v>
      </c>
      <c r="F1943">
        <v>5</v>
      </c>
      <c r="G1943">
        <v>28.16</v>
      </c>
      <c r="H1943">
        <v>140.80000000000001</v>
      </c>
      <c r="I1943">
        <v>28.16</v>
      </c>
      <c r="J1943">
        <v>112.64</v>
      </c>
      <c r="K1943">
        <v>267</v>
      </c>
    </row>
    <row r="1944" spans="1:11" x14ac:dyDescent="0.3">
      <c r="A1944">
        <v>6145</v>
      </c>
      <c r="B1944" t="s">
        <v>36</v>
      </c>
      <c r="C1944" s="1">
        <v>45460</v>
      </c>
      <c r="D1944" t="s">
        <v>20</v>
      </c>
      <c r="E1944" t="s">
        <v>48</v>
      </c>
      <c r="F1944">
        <v>2</v>
      </c>
      <c r="G1944">
        <v>19.559999999999999</v>
      </c>
      <c r="H1944">
        <v>39.119999999999997</v>
      </c>
      <c r="I1944">
        <v>0</v>
      </c>
      <c r="J1944">
        <v>39.119999999999997</v>
      </c>
      <c r="K1944">
        <v>232</v>
      </c>
    </row>
    <row r="1945" spans="1:11" x14ac:dyDescent="0.3">
      <c r="A1945">
        <v>2978</v>
      </c>
      <c r="B1945" t="s">
        <v>42</v>
      </c>
      <c r="C1945" s="1">
        <v>45561</v>
      </c>
      <c r="D1945" t="s">
        <v>12</v>
      </c>
      <c r="E1945" t="s">
        <v>46</v>
      </c>
      <c r="F1945">
        <v>1</v>
      </c>
      <c r="G1945">
        <v>15.35</v>
      </c>
      <c r="H1945">
        <v>15.35</v>
      </c>
      <c r="I1945">
        <v>0</v>
      </c>
      <c r="J1945">
        <v>15.35</v>
      </c>
      <c r="K1945">
        <v>468</v>
      </c>
    </row>
    <row r="1946" spans="1:11" x14ac:dyDescent="0.3">
      <c r="A1946">
        <v>6870</v>
      </c>
      <c r="B1946" t="s">
        <v>30</v>
      </c>
      <c r="C1946" s="1">
        <v>45743</v>
      </c>
      <c r="D1946" t="s">
        <v>17</v>
      </c>
      <c r="E1946" t="s">
        <v>32</v>
      </c>
      <c r="F1946">
        <v>3</v>
      </c>
      <c r="G1946">
        <v>24.92</v>
      </c>
      <c r="H1946">
        <v>74.760000000000005</v>
      </c>
      <c r="I1946">
        <v>14.95</v>
      </c>
      <c r="J1946">
        <v>59.81</v>
      </c>
      <c r="K1946">
        <v>277</v>
      </c>
    </row>
    <row r="1947" spans="1:11" x14ac:dyDescent="0.3">
      <c r="A1947">
        <v>4401</v>
      </c>
      <c r="B1947" t="s">
        <v>31</v>
      </c>
      <c r="C1947" s="1">
        <v>45496</v>
      </c>
      <c r="D1947" t="s">
        <v>12</v>
      </c>
      <c r="E1947" t="s">
        <v>39</v>
      </c>
      <c r="F1947">
        <v>3</v>
      </c>
      <c r="G1947">
        <v>4.5</v>
      </c>
      <c r="H1947">
        <v>13.5</v>
      </c>
      <c r="I1947">
        <v>2.0099999999999998</v>
      </c>
      <c r="J1947">
        <v>11.49</v>
      </c>
      <c r="K1947">
        <v>95</v>
      </c>
    </row>
    <row r="1948" spans="1:11" x14ac:dyDescent="0.3">
      <c r="A1948">
        <v>6051</v>
      </c>
      <c r="B1948" t="s">
        <v>11</v>
      </c>
      <c r="C1948" s="1">
        <v>45504</v>
      </c>
      <c r="D1948" t="s">
        <v>20</v>
      </c>
      <c r="E1948" t="s">
        <v>23</v>
      </c>
      <c r="F1948">
        <v>4</v>
      </c>
      <c r="G1948">
        <v>1.3</v>
      </c>
      <c r="H1948">
        <v>5.2</v>
      </c>
      <c r="I1948">
        <v>0.78</v>
      </c>
      <c r="J1948">
        <v>4.42</v>
      </c>
      <c r="K1948">
        <v>305</v>
      </c>
    </row>
    <row r="1949" spans="1:11" x14ac:dyDescent="0.3">
      <c r="A1949">
        <v>5341</v>
      </c>
      <c r="B1949" t="s">
        <v>24</v>
      </c>
      <c r="C1949" s="1">
        <v>45807</v>
      </c>
      <c r="D1949" t="s">
        <v>22</v>
      </c>
      <c r="E1949" t="s">
        <v>44</v>
      </c>
      <c r="F1949">
        <v>3</v>
      </c>
      <c r="G1949">
        <v>13.42</v>
      </c>
      <c r="H1949">
        <v>40.26</v>
      </c>
      <c r="I1949">
        <v>0</v>
      </c>
      <c r="J1949">
        <v>40.26</v>
      </c>
      <c r="K1949">
        <v>301</v>
      </c>
    </row>
    <row r="1950" spans="1:11" x14ac:dyDescent="0.3">
      <c r="A1950">
        <v>2964</v>
      </c>
      <c r="B1950" t="s">
        <v>31</v>
      </c>
      <c r="C1950" s="1">
        <v>45215</v>
      </c>
      <c r="D1950" t="s">
        <v>27</v>
      </c>
      <c r="E1950" t="s">
        <v>47</v>
      </c>
      <c r="F1950">
        <v>1</v>
      </c>
      <c r="G1950">
        <v>15.49</v>
      </c>
      <c r="H1950">
        <v>15.49</v>
      </c>
      <c r="I1950">
        <v>2.3199999999999998</v>
      </c>
      <c r="J1950">
        <v>13.17</v>
      </c>
      <c r="K1950">
        <v>179</v>
      </c>
    </row>
    <row r="1951" spans="1:11" x14ac:dyDescent="0.3">
      <c r="A1951">
        <v>3582</v>
      </c>
      <c r="B1951" t="s">
        <v>26</v>
      </c>
      <c r="C1951" s="1">
        <v>45772</v>
      </c>
      <c r="D1951" t="s">
        <v>20</v>
      </c>
      <c r="E1951" t="s">
        <v>18</v>
      </c>
      <c r="F1951">
        <v>1</v>
      </c>
      <c r="G1951">
        <v>13.25</v>
      </c>
      <c r="H1951">
        <v>13.25</v>
      </c>
      <c r="I1951">
        <v>0</v>
      </c>
      <c r="J1951">
        <v>13.25</v>
      </c>
      <c r="K1951">
        <v>300</v>
      </c>
    </row>
    <row r="1952" spans="1:11" x14ac:dyDescent="0.3">
      <c r="A1952">
        <v>5984</v>
      </c>
      <c r="B1952" t="s">
        <v>26</v>
      </c>
      <c r="C1952" s="1">
        <v>45786</v>
      </c>
      <c r="D1952" t="s">
        <v>12</v>
      </c>
      <c r="E1952" t="s">
        <v>32</v>
      </c>
      <c r="F1952">
        <v>1</v>
      </c>
      <c r="G1952">
        <v>28.91</v>
      </c>
      <c r="H1952">
        <v>28.91</v>
      </c>
      <c r="I1952">
        <v>2.89</v>
      </c>
      <c r="J1952">
        <v>26.02</v>
      </c>
      <c r="K1952">
        <v>388</v>
      </c>
    </row>
    <row r="1953" spans="1:11" x14ac:dyDescent="0.3">
      <c r="A1953">
        <v>1660</v>
      </c>
      <c r="B1953" t="s">
        <v>30</v>
      </c>
      <c r="C1953" s="1">
        <v>45312</v>
      </c>
      <c r="D1953" t="s">
        <v>38</v>
      </c>
      <c r="E1953" t="s">
        <v>43</v>
      </c>
      <c r="F1953">
        <v>1</v>
      </c>
      <c r="G1953">
        <v>8.11</v>
      </c>
      <c r="H1953">
        <v>8.11</v>
      </c>
      <c r="I1953">
        <v>0.81</v>
      </c>
      <c r="J1953">
        <v>7.3</v>
      </c>
      <c r="K1953">
        <v>425</v>
      </c>
    </row>
    <row r="1954" spans="1:11" x14ac:dyDescent="0.3">
      <c r="A1954">
        <v>6370</v>
      </c>
      <c r="B1954" t="s">
        <v>24</v>
      </c>
      <c r="C1954" s="1">
        <v>45260</v>
      </c>
      <c r="D1954" t="s">
        <v>22</v>
      </c>
      <c r="E1954" t="s">
        <v>25</v>
      </c>
      <c r="F1954">
        <v>5</v>
      </c>
      <c r="G1954">
        <v>29.53</v>
      </c>
      <c r="H1954">
        <v>147.65</v>
      </c>
      <c r="I1954">
        <v>22.15</v>
      </c>
      <c r="J1954">
        <v>125.5</v>
      </c>
      <c r="K1954">
        <v>17</v>
      </c>
    </row>
    <row r="1955" spans="1:11" x14ac:dyDescent="0.3">
      <c r="A1955">
        <v>2494</v>
      </c>
      <c r="B1955" t="s">
        <v>14</v>
      </c>
      <c r="C1955" s="1">
        <v>45697</v>
      </c>
      <c r="D1955" t="s">
        <v>45</v>
      </c>
      <c r="E1955" t="s">
        <v>44</v>
      </c>
      <c r="F1955">
        <v>5</v>
      </c>
      <c r="G1955">
        <v>12.9</v>
      </c>
      <c r="H1955">
        <v>64.5</v>
      </c>
      <c r="I1955">
        <v>4.45</v>
      </c>
      <c r="J1955">
        <v>60.05</v>
      </c>
      <c r="K1955">
        <v>5</v>
      </c>
    </row>
    <row r="1956" spans="1:11" x14ac:dyDescent="0.3">
      <c r="A1956">
        <v>5066</v>
      </c>
      <c r="B1956" t="s">
        <v>31</v>
      </c>
      <c r="C1956" s="1">
        <v>45421</v>
      </c>
      <c r="D1956" t="s">
        <v>38</v>
      </c>
      <c r="E1956" t="s">
        <v>33</v>
      </c>
      <c r="F1956">
        <v>1</v>
      </c>
      <c r="G1956">
        <v>15.55</v>
      </c>
      <c r="H1956">
        <v>15.55</v>
      </c>
      <c r="I1956">
        <v>0</v>
      </c>
      <c r="J1956">
        <v>15.55</v>
      </c>
      <c r="K1956">
        <v>237</v>
      </c>
    </row>
    <row r="1957" spans="1:11" x14ac:dyDescent="0.3">
      <c r="A1957">
        <v>7492</v>
      </c>
      <c r="B1957" t="s">
        <v>24</v>
      </c>
      <c r="C1957" s="1">
        <v>45543</v>
      </c>
      <c r="D1957" t="s">
        <v>38</v>
      </c>
      <c r="E1957" t="s">
        <v>40</v>
      </c>
      <c r="F1957">
        <v>3</v>
      </c>
      <c r="G1957">
        <v>17.97</v>
      </c>
      <c r="H1957">
        <v>53.91</v>
      </c>
      <c r="I1957">
        <v>10.78</v>
      </c>
      <c r="J1957">
        <v>43.13</v>
      </c>
      <c r="K1957">
        <v>357</v>
      </c>
    </row>
    <row r="1958" spans="1:11" x14ac:dyDescent="0.3">
      <c r="A1958">
        <v>1802</v>
      </c>
      <c r="B1958" t="s">
        <v>26</v>
      </c>
      <c r="C1958" s="1">
        <v>45670</v>
      </c>
      <c r="D1958" t="s">
        <v>35</v>
      </c>
      <c r="E1958" t="s">
        <v>29</v>
      </c>
      <c r="F1958">
        <v>1</v>
      </c>
      <c r="G1958">
        <v>9.41</v>
      </c>
      <c r="H1958">
        <v>9.41</v>
      </c>
      <c r="I1958">
        <v>3.75</v>
      </c>
      <c r="J1958">
        <v>5.66</v>
      </c>
      <c r="K1958">
        <v>169</v>
      </c>
    </row>
    <row r="1959" spans="1:11" x14ac:dyDescent="0.3">
      <c r="A1959">
        <v>5896</v>
      </c>
      <c r="B1959" t="s">
        <v>11</v>
      </c>
      <c r="C1959" s="1">
        <v>45347</v>
      </c>
      <c r="D1959" t="s">
        <v>17</v>
      </c>
      <c r="E1959" t="s">
        <v>47</v>
      </c>
      <c r="F1959">
        <v>4</v>
      </c>
      <c r="G1959">
        <v>8.2100000000000009</v>
      </c>
      <c r="H1959">
        <v>32.840000000000003</v>
      </c>
      <c r="I1959">
        <v>3.28</v>
      </c>
      <c r="J1959">
        <v>29.56</v>
      </c>
      <c r="K1959">
        <v>198</v>
      </c>
    </row>
    <row r="1960" spans="1:11" x14ac:dyDescent="0.3">
      <c r="A1960">
        <v>3848</v>
      </c>
      <c r="B1960" t="s">
        <v>31</v>
      </c>
      <c r="C1960" s="1">
        <v>45169</v>
      </c>
      <c r="D1960" t="s">
        <v>35</v>
      </c>
      <c r="E1960" t="s">
        <v>29</v>
      </c>
      <c r="F1960">
        <v>2</v>
      </c>
      <c r="G1960">
        <v>10.85</v>
      </c>
      <c r="H1960">
        <v>21.7</v>
      </c>
      <c r="I1960">
        <v>4.34</v>
      </c>
      <c r="J1960">
        <v>17.36</v>
      </c>
      <c r="K1960">
        <v>349</v>
      </c>
    </row>
    <row r="1961" spans="1:11" x14ac:dyDescent="0.3">
      <c r="A1961">
        <v>7625</v>
      </c>
      <c r="B1961" t="s">
        <v>26</v>
      </c>
      <c r="C1961" s="1">
        <v>45808</v>
      </c>
      <c r="D1961" t="s">
        <v>15</v>
      </c>
      <c r="E1961" t="s">
        <v>48</v>
      </c>
      <c r="F1961">
        <v>2</v>
      </c>
      <c r="G1961">
        <v>5.03</v>
      </c>
      <c r="H1961">
        <v>10.06</v>
      </c>
      <c r="I1961">
        <v>1.01</v>
      </c>
      <c r="J1961">
        <v>9.0500000000000007</v>
      </c>
      <c r="K1961">
        <v>379</v>
      </c>
    </row>
    <row r="1962" spans="1:11" x14ac:dyDescent="0.3">
      <c r="A1962">
        <v>8408</v>
      </c>
      <c r="B1962" t="s">
        <v>26</v>
      </c>
      <c r="C1962" s="1">
        <v>45576</v>
      </c>
      <c r="D1962" t="s">
        <v>22</v>
      </c>
      <c r="E1962" t="s">
        <v>16</v>
      </c>
      <c r="F1962">
        <v>1</v>
      </c>
      <c r="G1962">
        <v>21.53</v>
      </c>
      <c r="H1962">
        <v>21.53</v>
      </c>
      <c r="I1962">
        <v>0</v>
      </c>
      <c r="J1962">
        <v>21.53</v>
      </c>
      <c r="K1962">
        <v>459</v>
      </c>
    </row>
    <row r="1963" spans="1:11" x14ac:dyDescent="0.3">
      <c r="A1963">
        <v>5093</v>
      </c>
      <c r="B1963" t="s">
        <v>14</v>
      </c>
      <c r="C1963" s="1">
        <v>45218</v>
      </c>
      <c r="D1963" t="s">
        <v>15</v>
      </c>
      <c r="E1963" t="s">
        <v>16</v>
      </c>
      <c r="F1963">
        <v>4</v>
      </c>
      <c r="G1963">
        <v>1.96</v>
      </c>
      <c r="H1963">
        <v>7.84</v>
      </c>
      <c r="I1963">
        <v>1.26</v>
      </c>
      <c r="J1963">
        <v>6.58</v>
      </c>
      <c r="K1963">
        <v>223</v>
      </c>
    </row>
    <row r="1964" spans="1:11" x14ac:dyDescent="0.3">
      <c r="A1964">
        <v>8570</v>
      </c>
      <c r="B1964" t="s">
        <v>30</v>
      </c>
      <c r="C1964" s="1">
        <v>45224</v>
      </c>
      <c r="D1964" t="s">
        <v>27</v>
      </c>
      <c r="E1964" t="s">
        <v>23</v>
      </c>
      <c r="F1964">
        <v>4</v>
      </c>
      <c r="G1964">
        <v>12.63</v>
      </c>
      <c r="H1964">
        <v>50.52</v>
      </c>
      <c r="I1964">
        <v>10.1</v>
      </c>
      <c r="J1964">
        <v>40.42</v>
      </c>
      <c r="K1964">
        <v>470</v>
      </c>
    </row>
    <row r="1965" spans="1:11" x14ac:dyDescent="0.3">
      <c r="A1965">
        <v>3290</v>
      </c>
      <c r="B1965" t="s">
        <v>11</v>
      </c>
      <c r="C1965" s="1">
        <v>45239</v>
      </c>
      <c r="D1965" t="s">
        <v>12</v>
      </c>
      <c r="E1965" t="s">
        <v>29</v>
      </c>
      <c r="F1965">
        <v>1</v>
      </c>
      <c r="G1965">
        <v>17.53</v>
      </c>
      <c r="H1965">
        <v>17.53</v>
      </c>
      <c r="I1965">
        <v>1.75</v>
      </c>
      <c r="J1965">
        <v>15.78</v>
      </c>
      <c r="K1965">
        <v>340</v>
      </c>
    </row>
    <row r="1966" spans="1:11" x14ac:dyDescent="0.3">
      <c r="A1966">
        <v>1195</v>
      </c>
      <c r="B1966" t="s">
        <v>14</v>
      </c>
      <c r="C1966" s="1">
        <v>45192</v>
      </c>
      <c r="D1966" t="s">
        <v>22</v>
      </c>
      <c r="E1966" t="s">
        <v>18</v>
      </c>
      <c r="F1966">
        <v>3</v>
      </c>
      <c r="G1966">
        <v>14.85</v>
      </c>
      <c r="H1966">
        <v>44.55</v>
      </c>
      <c r="I1966">
        <v>2.65</v>
      </c>
      <c r="J1966">
        <v>41.9</v>
      </c>
      <c r="K1966">
        <v>497</v>
      </c>
    </row>
    <row r="1967" spans="1:11" x14ac:dyDescent="0.3">
      <c r="A1967">
        <v>4641</v>
      </c>
      <c r="B1967" t="s">
        <v>14</v>
      </c>
      <c r="C1967" s="1">
        <v>45246</v>
      </c>
      <c r="D1967" t="s">
        <v>12</v>
      </c>
      <c r="E1967" t="s">
        <v>25</v>
      </c>
      <c r="F1967">
        <v>2</v>
      </c>
      <c r="G1967">
        <v>5.26</v>
      </c>
      <c r="H1967">
        <v>10.52</v>
      </c>
      <c r="I1967">
        <v>2.4900000000000002</v>
      </c>
      <c r="J1967">
        <v>8.0299999999999994</v>
      </c>
      <c r="K1967">
        <v>68</v>
      </c>
    </row>
    <row r="1968" spans="1:11" x14ac:dyDescent="0.3">
      <c r="A1968">
        <v>4246</v>
      </c>
      <c r="B1968" t="s">
        <v>14</v>
      </c>
      <c r="C1968" s="1">
        <v>45784</v>
      </c>
      <c r="D1968" t="s">
        <v>12</v>
      </c>
      <c r="E1968" t="s">
        <v>48</v>
      </c>
      <c r="F1968">
        <v>5</v>
      </c>
      <c r="G1968">
        <v>20.3</v>
      </c>
      <c r="H1968">
        <v>101.5</v>
      </c>
      <c r="I1968">
        <v>15.22</v>
      </c>
      <c r="J1968">
        <v>86.28</v>
      </c>
      <c r="K1968">
        <v>299</v>
      </c>
    </row>
    <row r="1969" spans="1:11" x14ac:dyDescent="0.3">
      <c r="A1969">
        <v>7563</v>
      </c>
      <c r="B1969" t="s">
        <v>19</v>
      </c>
      <c r="C1969" s="1">
        <v>45434</v>
      </c>
      <c r="D1969" t="s">
        <v>22</v>
      </c>
      <c r="E1969" t="s">
        <v>25</v>
      </c>
      <c r="F1969">
        <v>4</v>
      </c>
      <c r="G1969">
        <v>24.23</v>
      </c>
      <c r="H1969">
        <v>96.92</v>
      </c>
      <c r="I1969">
        <v>9.69</v>
      </c>
      <c r="J1969">
        <v>87.23</v>
      </c>
      <c r="K1969">
        <v>96</v>
      </c>
    </row>
    <row r="1970" spans="1:11" x14ac:dyDescent="0.3">
      <c r="A1970">
        <v>2376</v>
      </c>
      <c r="B1970" t="s">
        <v>26</v>
      </c>
      <c r="C1970" s="1">
        <v>45597</v>
      </c>
      <c r="D1970" t="s">
        <v>17</v>
      </c>
      <c r="E1970" t="s">
        <v>48</v>
      </c>
      <c r="F1970">
        <v>2</v>
      </c>
      <c r="G1970">
        <v>12.24</v>
      </c>
      <c r="H1970">
        <v>24.48</v>
      </c>
      <c r="I1970">
        <v>4.9000000000000004</v>
      </c>
      <c r="J1970">
        <v>19.579999999999998</v>
      </c>
      <c r="K1970">
        <v>324</v>
      </c>
    </row>
    <row r="1971" spans="1:11" x14ac:dyDescent="0.3">
      <c r="A1971">
        <v>5240</v>
      </c>
      <c r="B1971" t="s">
        <v>19</v>
      </c>
      <c r="C1971" s="1">
        <v>45857</v>
      </c>
      <c r="D1971" t="s">
        <v>38</v>
      </c>
      <c r="E1971" t="s">
        <v>41</v>
      </c>
      <c r="F1971">
        <v>1</v>
      </c>
      <c r="G1971">
        <v>14.84</v>
      </c>
      <c r="H1971">
        <v>14.84</v>
      </c>
      <c r="I1971">
        <v>2.97</v>
      </c>
      <c r="J1971">
        <v>11.87</v>
      </c>
      <c r="K1971">
        <v>37</v>
      </c>
    </row>
    <row r="1972" spans="1:11" x14ac:dyDescent="0.3">
      <c r="A1972">
        <v>2228</v>
      </c>
      <c r="B1972" t="s">
        <v>24</v>
      </c>
      <c r="C1972" s="1">
        <v>45161</v>
      </c>
      <c r="D1972" t="s">
        <v>27</v>
      </c>
      <c r="E1972" t="s">
        <v>23</v>
      </c>
      <c r="F1972">
        <v>2</v>
      </c>
      <c r="G1972">
        <v>25</v>
      </c>
      <c r="H1972">
        <v>50</v>
      </c>
      <c r="I1972">
        <v>5</v>
      </c>
      <c r="J1972">
        <v>45</v>
      </c>
      <c r="K1972">
        <v>208</v>
      </c>
    </row>
    <row r="1973" spans="1:11" x14ac:dyDescent="0.3">
      <c r="A1973">
        <v>2056</v>
      </c>
      <c r="B1973" t="s">
        <v>31</v>
      </c>
      <c r="C1973" s="1">
        <v>45298</v>
      </c>
      <c r="D1973" t="s">
        <v>22</v>
      </c>
      <c r="E1973" t="s">
        <v>32</v>
      </c>
      <c r="F1973">
        <v>1</v>
      </c>
      <c r="G1973">
        <v>6.58</v>
      </c>
      <c r="H1973">
        <v>6.58</v>
      </c>
      <c r="I1973">
        <v>0.66</v>
      </c>
      <c r="J1973">
        <v>5.92</v>
      </c>
      <c r="K1973">
        <v>371</v>
      </c>
    </row>
    <row r="1974" spans="1:11" x14ac:dyDescent="0.3">
      <c r="A1974">
        <v>8265</v>
      </c>
      <c r="B1974" t="s">
        <v>26</v>
      </c>
      <c r="C1974" s="1">
        <v>45773</v>
      </c>
      <c r="D1974" t="s">
        <v>28</v>
      </c>
      <c r="E1974" t="s">
        <v>25</v>
      </c>
      <c r="F1974">
        <v>2</v>
      </c>
      <c r="G1974">
        <v>14.89</v>
      </c>
      <c r="H1974">
        <v>29.78</v>
      </c>
      <c r="I1974">
        <v>0</v>
      </c>
      <c r="J1974">
        <v>29.78</v>
      </c>
      <c r="K1974">
        <v>486</v>
      </c>
    </row>
    <row r="1975" spans="1:11" x14ac:dyDescent="0.3">
      <c r="A1975">
        <v>3110</v>
      </c>
      <c r="B1975" t="s">
        <v>19</v>
      </c>
      <c r="C1975" s="1">
        <v>45216</v>
      </c>
      <c r="D1975" t="s">
        <v>17</v>
      </c>
      <c r="E1975" t="s">
        <v>46</v>
      </c>
      <c r="F1975">
        <v>3</v>
      </c>
      <c r="G1975">
        <v>15.41</v>
      </c>
      <c r="H1975">
        <v>46.23</v>
      </c>
      <c r="I1975">
        <v>1.1200000000000001</v>
      </c>
      <c r="J1975">
        <v>45.11</v>
      </c>
      <c r="K1975">
        <v>38</v>
      </c>
    </row>
    <row r="1976" spans="1:11" x14ac:dyDescent="0.3">
      <c r="A1976">
        <v>6432</v>
      </c>
      <c r="B1976" t="s">
        <v>11</v>
      </c>
      <c r="C1976" s="1">
        <v>45240</v>
      </c>
      <c r="D1976" t="s">
        <v>38</v>
      </c>
      <c r="E1976" t="s">
        <v>43</v>
      </c>
      <c r="F1976">
        <v>2</v>
      </c>
      <c r="G1976">
        <v>23.4</v>
      </c>
      <c r="H1976">
        <v>46.8</v>
      </c>
      <c r="I1976">
        <v>7.02</v>
      </c>
      <c r="J1976">
        <v>39.78</v>
      </c>
      <c r="K1976">
        <v>20</v>
      </c>
    </row>
    <row r="1977" spans="1:11" x14ac:dyDescent="0.3">
      <c r="A1977">
        <v>1699</v>
      </c>
      <c r="B1977" t="s">
        <v>24</v>
      </c>
      <c r="C1977" s="1">
        <v>45503</v>
      </c>
      <c r="D1977" t="s">
        <v>35</v>
      </c>
      <c r="E1977" t="s">
        <v>33</v>
      </c>
      <c r="F1977">
        <v>3</v>
      </c>
      <c r="G1977">
        <v>9.7899999999999991</v>
      </c>
      <c r="H1977">
        <v>29.37</v>
      </c>
      <c r="I1977">
        <v>4.41</v>
      </c>
      <c r="J1977">
        <v>24.96</v>
      </c>
      <c r="K1977">
        <v>274</v>
      </c>
    </row>
    <row r="1978" spans="1:11" x14ac:dyDescent="0.3">
      <c r="A1978">
        <v>1829</v>
      </c>
      <c r="B1978" t="s">
        <v>26</v>
      </c>
      <c r="C1978" s="1">
        <v>45275</v>
      </c>
      <c r="D1978" t="s">
        <v>38</v>
      </c>
      <c r="E1978" t="s">
        <v>47</v>
      </c>
      <c r="F1978">
        <v>4</v>
      </c>
      <c r="G1978">
        <v>22.96</v>
      </c>
      <c r="H1978">
        <v>91.84</v>
      </c>
      <c r="I1978">
        <v>9.18</v>
      </c>
      <c r="J1978">
        <v>82.66</v>
      </c>
      <c r="K1978">
        <v>429</v>
      </c>
    </row>
    <row r="1979" spans="1:11" x14ac:dyDescent="0.3">
      <c r="A1979">
        <v>8096</v>
      </c>
      <c r="B1979" t="s">
        <v>36</v>
      </c>
      <c r="C1979" s="1">
        <v>45783</v>
      </c>
      <c r="D1979" t="s">
        <v>15</v>
      </c>
      <c r="E1979" t="s">
        <v>47</v>
      </c>
      <c r="F1979">
        <v>3</v>
      </c>
      <c r="G1979">
        <v>16.440000000000001</v>
      </c>
      <c r="H1979">
        <v>49.32</v>
      </c>
      <c r="I1979">
        <v>7.4</v>
      </c>
      <c r="J1979">
        <v>41.92</v>
      </c>
      <c r="K1979">
        <v>315</v>
      </c>
    </row>
    <row r="1980" spans="1:11" x14ac:dyDescent="0.3">
      <c r="A1980">
        <v>7471</v>
      </c>
      <c r="B1980" t="s">
        <v>30</v>
      </c>
      <c r="C1980" s="1">
        <v>45530</v>
      </c>
      <c r="D1980" t="s">
        <v>35</v>
      </c>
      <c r="E1980" t="s">
        <v>37</v>
      </c>
      <c r="F1980">
        <v>5</v>
      </c>
      <c r="G1980">
        <v>15.88</v>
      </c>
      <c r="H1980">
        <v>79.400000000000006</v>
      </c>
      <c r="I1980">
        <v>15.88</v>
      </c>
      <c r="J1980">
        <v>63.52</v>
      </c>
      <c r="K1980">
        <v>160</v>
      </c>
    </row>
    <row r="1981" spans="1:11" x14ac:dyDescent="0.3">
      <c r="A1981">
        <v>1483</v>
      </c>
      <c r="B1981" t="s">
        <v>42</v>
      </c>
      <c r="C1981" s="1">
        <v>45442</v>
      </c>
      <c r="D1981" t="s">
        <v>22</v>
      </c>
      <c r="E1981" t="s">
        <v>37</v>
      </c>
      <c r="F1981">
        <v>2</v>
      </c>
      <c r="G1981">
        <v>24.94</v>
      </c>
      <c r="H1981">
        <v>49.88</v>
      </c>
      <c r="I1981">
        <v>7.48</v>
      </c>
      <c r="J1981">
        <v>42.4</v>
      </c>
      <c r="K1981">
        <v>265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56C16E-AC88-4648-BEA7-F7A27A6B1439}">
  <dimension ref="A1:K1981"/>
  <sheetViews>
    <sheetView workbookViewId="0">
      <selection activeCell="C18" sqref="A1:K1981"/>
    </sheetView>
  </sheetViews>
  <sheetFormatPr defaultRowHeight="14.4" x14ac:dyDescent="0.3"/>
  <cols>
    <col min="1" max="1" width="11.109375" bestFit="1" customWidth="1"/>
    <col min="2" max="2" width="19" bestFit="1" customWidth="1"/>
    <col min="3" max="3" width="15" bestFit="1" customWidth="1"/>
    <col min="4" max="4" width="15.88671875" bestFit="1" customWidth="1"/>
    <col min="5" max="5" width="13.109375" bestFit="1" customWidth="1"/>
    <col min="6" max="6" width="7.6640625" bestFit="1" customWidth="1"/>
    <col min="7" max="7" width="9.109375" bestFit="1" customWidth="1"/>
    <col min="8" max="8" width="12.21875" bestFit="1" customWidth="1"/>
    <col min="9" max="9" width="15.33203125" bestFit="1" customWidth="1"/>
    <col min="10" max="10" width="11.88671875" bestFit="1" customWidth="1"/>
    <col min="11" max="11" width="12.44140625" bestFit="1" customWidth="1"/>
  </cols>
  <sheetData>
    <row r="1" spans="1:11" x14ac:dyDescent="0.3">
      <c r="A1" s="2" t="s">
        <v>49</v>
      </c>
      <c r="B1" s="2" t="s">
        <v>50</v>
      </c>
      <c r="C1" s="2" t="s">
        <v>51</v>
      </c>
      <c r="D1" s="2" t="s">
        <v>52</v>
      </c>
      <c r="E1" s="2" t="s">
        <v>53</v>
      </c>
      <c r="F1" s="2" t="s">
        <v>54</v>
      </c>
      <c r="G1" s="2" t="s">
        <v>55</v>
      </c>
      <c r="H1" s="2" t="s">
        <v>56</v>
      </c>
      <c r="I1" s="2" t="s">
        <v>57</v>
      </c>
      <c r="J1" s="2" t="s">
        <v>58</v>
      </c>
      <c r="K1" s="2" t="s">
        <v>59</v>
      </c>
    </row>
    <row r="2" spans="1:11" x14ac:dyDescent="0.3">
      <c r="A2" s="3">
        <v>2824</v>
      </c>
      <c r="B2" s="3" t="s">
        <v>11</v>
      </c>
      <c r="C2" s="4">
        <v>45164</v>
      </c>
      <c r="D2" s="3" t="s">
        <v>12</v>
      </c>
      <c r="E2" s="3" t="s">
        <v>13</v>
      </c>
      <c r="F2" s="5">
        <v>2</v>
      </c>
      <c r="G2" s="6">
        <v>7.46</v>
      </c>
      <c r="H2" s="6">
        <v>14.92</v>
      </c>
      <c r="I2" s="6">
        <v>0</v>
      </c>
      <c r="J2" s="6">
        <v>14.92</v>
      </c>
      <c r="K2" s="5">
        <v>377</v>
      </c>
    </row>
    <row r="3" spans="1:11" x14ac:dyDescent="0.3">
      <c r="A3" s="3">
        <v>5506</v>
      </c>
      <c r="B3" s="3" t="s">
        <v>14</v>
      </c>
      <c r="C3" s="4">
        <v>45335</v>
      </c>
      <c r="D3" s="3" t="s">
        <v>15</v>
      </c>
      <c r="E3" s="3" t="s">
        <v>16</v>
      </c>
      <c r="F3" s="5">
        <v>1</v>
      </c>
      <c r="G3" s="6">
        <v>1.85</v>
      </c>
      <c r="H3" s="6">
        <v>1.85</v>
      </c>
      <c r="I3" s="6">
        <v>3.41</v>
      </c>
      <c r="J3" s="6">
        <v>-1.56</v>
      </c>
      <c r="K3" s="5">
        <v>111</v>
      </c>
    </row>
    <row r="4" spans="1:11" x14ac:dyDescent="0.3">
      <c r="A4" s="3">
        <v>4657</v>
      </c>
      <c r="B4" s="3" t="s">
        <v>14</v>
      </c>
      <c r="C4" s="4">
        <v>45253</v>
      </c>
      <c r="D4" s="3" t="s">
        <v>17</v>
      </c>
      <c r="E4" s="3" t="s">
        <v>18</v>
      </c>
      <c r="F4" s="5">
        <v>4</v>
      </c>
      <c r="G4" s="6">
        <v>7.38</v>
      </c>
      <c r="H4" s="6">
        <v>29.52</v>
      </c>
      <c r="I4" s="6">
        <v>4.04</v>
      </c>
      <c r="J4" s="6">
        <v>25.48</v>
      </c>
      <c r="K4" s="5">
        <v>301</v>
      </c>
    </row>
    <row r="5" spans="1:11" x14ac:dyDescent="0.3">
      <c r="A5" s="3">
        <v>2679</v>
      </c>
      <c r="B5" s="3" t="s">
        <v>19</v>
      </c>
      <c r="C5" s="4">
        <v>45670</v>
      </c>
      <c r="D5" s="3" t="s">
        <v>20</v>
      </c>
      <c r="E5" s="3" t="s">
        <v>21</v>
      </c>
      <c r="F5" s="5">
        <v>3</v>
      </c>
      <c r="G5" s="6">
        <v>5.5</v>
      </c>
      <c r="H5" s="6">
        <v>16.5</v>
      </c>
      <c r="I5" s="6">
        <v>1.37</v>
      </c>
      <c r="J5" s="6">
        <v>15.13</v>
      </c>
      <c r="K5" s="5">
        <v>490</v>
      </c>
    </row>
    <row r="6" spans="1:11" x14ac:dyDescent="0.3">
      <c r="A6" s="3">
        <v>9935</v>
      </c>
      <c r="B6" s="3" t="s">
        <v>11</v>
      </c>
      <c r="C6" s="4">
        <v>45212</v>
      </c>
      <c r="D6" s="3" t="s">
        <v>22</v>
      </c>
      <c r="E6" s="3" t="s">
        <v>23</v>
      </c>
      <c r="F6" s="5">
        <v>5</v>
      </c>
      <c r="G6" s="6">
        <v>8.66</v>
      </c>
      <c r="H6" s="6">
        <v>43.3</v>
      </c>
      <c r="I6" s="6">
        <v>1.5</v>
      </c>
      <c r="J6" s="6">
        <v>41.8</v>
      </c>
      <c r="K6" s="5">
        <v>22</v>
      </c>
    </row>
    <row r="7" spans="1:11" x14ac:dyDescent="0.3">
      <c r="A7" s="3">
        <v>7912</v>
      </c>
      <c r="B7" s="3" t="s">
        <v>24</v>
      </c>
      <c r="C7" s="4">
        <v>45169</v>
      </c>
      <c r="D7" s="3" t="s">
        <v>15</v>
      </c>
      <c r="E7" s="3" t="s">
        <v>18</v>
      </c>
      <c r="F7" s="5">
        <v>3</v>
      </c>
      <c r="G7" s="6">
        <v>25.04</v>
      </c>
      <c r="H7" s="6">
        <v>75.12</v>
      </c>
      <c r="I7" s="6">
        <v>1.77</v>
      </c>
      <c r="J7" s="6">
        <v>73.349999999999994</v>
      </c>
      <c r="K7" s="5">
        <v>316</v>
      </c>
    </row>
    <row r="8" spans="1:11" x14ac:dyDescent="0.3">
      <c r="A8" s="3">
        <v>1488</v>
      </c>
      <c r="B8" s="3" t="s">
        <v>11</v>
      </c>
      <c r="C8" s="4">
        <v>45217</v>
      </c>
      <c r="D8" s="3" t="s">
        <v>12</v>
      </c>
      <c r="E8" s="3" t="s">
        <v>25</v>
      </c>
      <c r="F8" s="5">
        <v>3</v>
      </c>
      <c r="G8" s="6">
        <v>29.56</v>
      </c>
      <c r="H8" s="6">
        <v>88.68</v>
      </c>
      <c r="I8" s="6">
        <v>2.52</v>
      </c>
      <c r="J8" s="6">
        <v>86.16</v>
      </c>
      <c r="K8" s="5">
        <v>437</v>
      </c>
    </row>
    <row r="9" spans="1:11" x14ac:dyDescent="0.3">
      <c r="A9" s="3">
        <v>4582</v>
      </c>
      <c r="B9" s="3" t="s">
        <v>26</v>
      </c>
      <c r="C9" s="4">
        <v>45325</v>
      </c>
      <c r="D9" s="3" t="s">
        <v>27</v>
      </c>
      <c r="E9" s="3" t="s">
        <v>23</v>
      </c>
      <c r="F9" s="5">
        <v>2</v>
      </c>
      <c r="G9" s="6">
        <v>11.73</v>
      </c>
      <c r="H9" s="6">
        <v>23.46</v>
      </c>
      <c r="I9" s="6">
        <v>0</v>
      </c>
      <c r="J9" s="6">
        <v>23.46</v>
      </c>
      <c r="K9" s="5">
        <v>107</v>
      </c>
    </row>
    <row r="10" spans="1:11" x14ac:dyDescent="0.3">
      <c r="A10" s="3">
        <v>9279</v>
      </c>
      <c r="B10" s="3" t="s">
        <v>11</v>
      </c>
      <c r="C10" s="4">
        <v>45612</v>
      </c>
      <c r="D10" s="3" t="s">
        <v>28</v>
      </c>
      <c r="E10" s="3" t="s">
        <v>29</v>
      </c>
      <c r="F10" s="5">
        <v>5</v>
      </c>
      <c r="G10" s="6">
        <v>22.13</v>
      </c>
      <c r="H10" s="6">
        <v>110.65</v>
      </c>
      <c r="I10" s="6">
        <v>11.07</v>
      </c>
      <c r="J10" s="6">
        <v>99.58</v>
      </c>
      <c r="K10" s="5">
        <v>83</v>
      </c>
    </row>
    <row r="11" spans="1:11" x14ac:dyDescent="0.3">
      <c r="A11" s="3">
        <v>1434</v>
      </c>
      <c r="B11" s="3" t="s">
        <v>30</v>
      </c>
      <c r="C11" s="4">
        <v>45580</v>
      </c>
      <c r="D11" s="3" t="s">
        <v>27</v>
      </c>
      <c r="E11" s="3" t="s">
        <v>18</v>
      </c>
      <c r="F11" s="5">
        <v>2</v>
      </c>
      <c r="G11" s="6">
        <v>20.84</v>
      </c>
      <c r="H11" s="6">
        <v>41.68</v>
      </c>
      <c r="I11" s="6">
        <v>8.34</v>
      </c>
      <c r="J11" s="6">
        <v>33.340000000000003</v>
      </c>
      <c r="K11" s="5">
        <v>431</v>
      </c>
    </row>
    <row r="12" spans="1:11" x14ac:dyDescent="0.3">
      <c r="A12" s="3">
        <v>4257</v>
      </c>
      <c r="B12" s="3" t="s">
        <v>31</v>
      </c>
      <c r="C12" s="4">
        <v>45701</v>
      </c>
      <c r="D12" s="3" t="s">
        <v>22</v>
      </c>
      <c r="E12" s="3" t="s">
        <v>32</v>
      </c>
      <c r="F12" s="5">
        <v>3</v>
      </c>
      <c r="G12" s="6">
        <v>2.91</v>
      </c>
      <c r="H12" s="6">
        <v>8.73</v>
      </c>
      <c r="I12" s="6">
        <v>1.75</v>
      </c>
      <c r="J12" s="6">
        <v>6.98</v>
      </c>
      <c r="K12" s="5">
        <v>467</v>
      </c>
    </row>
    <row r="13" spans="1:11" x14ac:dyDescent="0.3">
      <c r="A13" s="3">
        <v>9928</v>
      </c>
      <c r="B13" s="3" t="s">
        <v>26</v>
      </c>
      <c r="C13" s="4">
        <v>45470</v>
      </c>
      <c r="D13" s="3" t="s">
        <v>20</v>
      </c>
      <c r="E13" s="3" t="s">
        <v>33</v>
      </c>
      <c r="F13" s="5">
        <v>2</v>
      </c>
      <c r="G13" s="6">
        <v>8.67</v>
      </c>
      <c r="H13" s="6">
        <v>17.34</v>
      </c>
      <c r="I13" s="6">
        <v>0</v>
      </c>
      <c r="J13" s="6">
        <v>17.34</v>
      </c>
      <c r="K13" s="5">
        <v>126</v>
      </c>
    </row>
    <row r="14" spans="1:11" x14ac:dyDescent="0.3">
      <c r="A14" s="3">
        <v>4611</v>
      </c>
      <c r="B14" s="3" t="s">
        <v>24</v>
      </c>
      <c r="C14" s="4">
        <v>45493</v>
      </c>
      <c r="D14" s="3" t="s">
        <v>28</v>
      </c>
      <c r="E14" s="3" t="s">
        <v>32</v>
      </c>
      <c r="F14" s="5">
        <v>3</v>
      </c>
      <c r="G14" s="6">
        <v>7.35</v>
      </c>
      <c r="H14" s="6">
        <v>22.05</v>
      </c>
      <c r="I14" s="6">
        <v>4.0199999999999996</v>
      </c>
      <c r="J14" s="6">
        <v>18.03</v>
      </c>
      <c r="K14" s="5">
        <v>70</v>
      </c>
    </row>
    <row r="15" spans="1:11" x14ac:dyDescent="0.3">
      <c r="A15" s="3">
        <v>5557</v>
      </c>
      <c r="B15" s="3" t="s">
        <v>11</v>
      </c>
      <c r="C15" s="4">
        <v>45773</v>
      </c>
      <c r="D15" s="3" t="s">
        <v>34</v>
      </c>
      <c r="E15" s="3" t="s">
        <v>29</v>
      </c>
      <c r="F15" s="5">
        <v>4</v>
      </c>
      <c r="G15" s="6">
        <v>18.29</v>
      </c>
      <c r="H15" s="6">
        <v>73.16</v>
      </c>
      <c r="I15" s="6">
        <v>4.9800000000000004</v>
      </c>
      <c r="J15" s="6">
        <v>68.180000000000007</v>
      </c>
      <c r="K15" s="5">
        <v>197</v>
      </c>
    </row>
    <row r="16" spans="1:11" x14ac:dyDescent="0.3">
      <c r="A16" s="3">
        <v>1106</v>
      </c>
      <c r="B16" s="3" t="s">
        <v>14</v>
      </c>
      <c r="C16" s="4">
        <v>45734</v>
      </c>
      <c r="D16" s="3" t="s">
        <v>35</v>
      </c>
      <c r="E16" s="3" t="s">
        <v>18</v>
      </c>
      <c r="F16" s="5">
        <v>1</v>
      </c>
      <c r="G16" s="6">
        <v>20.72</v>
      </c>
      <c r="H16" s="6">
        <v>20.72</v>
      </c>
      <c r="I16" s="6">
        <v>0</v>
      </c>
      <c r="J16" s="6">
        <v>20.72</v>
      </c>
      <c r="K16" s="5">
        <v>58</v>
      </c>
    </row>
    <row r="17" spans="1:11" x14ac:dyDescent="0.3">
      <c r="A17" s="3">
        <v>3615</v>
      </c>
      <c r="B17" s="3" t="s">
        <v>36</v>
      </c>
      <c r="C17" s="4">
        <v>45687</v>
      </c>
      <c r="D17" s="3" t="s">
        <v>15</v>
      </c>
      <c r="E17" s="3" t="s">
        <v>37</v>
      </c>
      <c r="F17" s="5">
        <v>4</v>
      </c>
      <c r="G17" s="6">
        <v>5.58</v>
      </c>
      <c r="H17" s="6">
        <v>22.32</v>
      </c>
      <c r="I17" s="6">
        <v>4.05</v>
      </c>
      <c r="J17" s="6">
        <v>18.27</v>
      </c>
      <c r="K17" s="5">
        <v>1</v>
      </c>
    </row>
    <row r="18" spans="1:11" x14ac:dyDescent="0.3">
      <c r="A18" s="3">
        <v>7924</v>
      </c>
      <c r="B18" s="3" t="s">
        <v>14</v>
      </c>
      <c r="C18" s="4">
        <v>45409</v>
      </c>
      <c r="D18" s="3" t="s">
        <v>15</v>
      </c>
      <c r="E18" s="3" t="s">
        <v>37</v>
      </c>
      <c r="F18" s="5">
        <v>5</v>
      </c>
      <c r="G18" s="6">
        <v>18.649999999999999</v>
      </c>
      <c r="H18" s="6">
        <v>93.25</v>
      </c>
      <c r="I18" s="6">
        <v>18.649999999999999</v>
      </c>
      <c r="J18" s="6">
        <v>74.599999999999994</v>
      </c>
      <c r="K18" s="5">
        <v>78</v>
      </c>
    </row>
    <row r="19" spans="1:11" x14ac:dyDescent="0.3">
      <c r="A19" s="3">
        <v>5552</v>
      </c>
      <c r="B19" s="3" t="s">
        <v>14</v>
      </c>
      <c r="C19" s="4">
        <v>45265</v>
      </c>
      <c r="D19" s="3" t="s">
        <v>38</v>
      </c>
      <c r="E19" s="3" t="s">
        <v>39</v>
      </c>
      <c r="F19" s="5">
        <v>5</v>
      </c>
      <c r="G19" s="6">
        <v>10.39</v>
      </c>
      <c r="H19" s="6">
        <v>51.95</v>
      </c>
      <c r="I19" s="6">
        <v>7.79</v>
      </c>
      <c r="J19" s="6">
        <v>44.16</v>
      </c>
      <c r="K19" s="5">
        <v>9</v>
      </c>
    </row>
    <row r="20" spans="1:11" x14ac:dyDescent="0.3">
      <c r="A20" s="3">
        <v>4527</v>
      </c>
      <c r="B20" s="3" t="s">
        <v>30</v>
      </c>
      <c r="C20" s="4">
        <v>45738</v>
      </c>
      <c r="D20" s="3" t="s">
        <v>17</v>
      </c>
      <c r="E20" s="3" t="s">
        <v>40</v>
      </c>
      <c r="F20" s="5">
        <v>2</v>
      </c>
      <c r="G20" s="6">
        <v>26.45</v>
      </c>
      <c r="H20" s="6">
        <v>52.9</v>
      </c>
      <c r="I20" s="6">
        <v>3.93</v>
      </c>
      <c r="J20" s="6">
        <v>48.97</v>
      </c>
      <c r="K20" s="5">
        <v>484</v>
      </c>
    </row>
    <row r="21" spans="1:11" x14ac:dyDescent="0.3">
      <c r="A21" s="3">
        <v>6514</v>
      </c>
      <c r="B21" s="3" t="s">
        <v>11</v>
      </c>
      <c r="C21" s="4">
        <v>45224</v>
      </c>
      <c r="D21" s="3" t="s">
        <v>38</v>
      </c>
      <c r="E21" s="3" t="s">
        <v>41</v>
      </c>
      <c r="F21" s="5">
        <v>2</v>
      </c>
      <c r="G21" s="6">
        <v>20.12</v>
      </c>
      <c r="H21" s="6">
        <v>40.24</v>
      </c>
      <c r="I21" s="6">
        <v>6.04</v>
      </c>
      <c r="J21" s="6">
        <v>34.200000000000003</v>
      </c>
      <c r="K21" s="5">
        <v>484</v>
      </c>
    </row>
    <row r="22" spans="1:11" x14ac:dyDescent="0.3">
      <c r="A22" s="3">
        <v>2519</v>
      </c>
      <c r="B22" s="3" t="s">
        <v>14</v>
      </c>
      <c r="C22" s="4">
        <v>45440</v>
      </c>
      <c r="D22" s="3" t="s">
        <v>28</v>
      </c>
      <c r="E22" s="3" t="s">
        <v>16</v>
      </c>
      <c r="F22" s="5">
        <v>2</v>
      </c>
      <c r="G22" s="6">
        <v>27.93</v>
      </c>
      <c r="H22" s="6">
        <v>55.86</v>
      </c>
      <c r="I22" s="6">
        <v>0</v>
      </c>
      <c r="J22" s="6">
        <v>55.86</v>
      </c>
      <c r="K22" s="5">
        <v>386</v>
      </c>
    </row>
    <row r="23" spans="1:11" x14ac:dyDescent="0.3">
      <c r="A23" s="3">
        <v>2584</v>
      </c>
      <c r="B23" s="3" t="s">
        <v>30</v>
      </c>
      <c r="C23" s="4">
        <v>45423</v>
      </c>
      <c r="D23" s="3" t="s">
        <v>20</v>
      </c>
      <c r="E23" s="3" t="s">
        <v>23</v>
      </c>
      <c r="F23" s="5">
        <v>4</v>
      </c>
      <c r="G23" s="6">
        <v>27.08</v>
      </c>
      <c r="H23" s="6">
        <v>108.32</v>
      </c>
      <c r="I23" s="6">
        <v>21.66</v>
      </c>
      <c r="J23" s="6">
        <v>86.66</v>
      </c>
      <c r="K23" s="5">
        <v>231</v>
      </c>
    </row>
    <row r="24" spans="1:11" x14ac:dyDescent="0.3">
      <c r="A24" s="3">
        <v>6635</v>
      </c>
      <c r="B24" s="3" t="s">
        <v>42</v>
      </c>
      <c r="C24" s="4">
        <v>45613</v>
      </c>
      <c r="D24" s="3" t="s">
        <v>15</v>
      </c>
      <c r="E24" s="3" t="s">
        <v>21</v>
      </c>
      <c r="F24" s="5">
        <v>1</v>
      </c>
      <c r="G24" s="6">
        <v>18.05</v>
      </c>
      <c r="H24" s="6">
        <v>18.05</v>
      </c>
      <c r="I24" s="6">
        <v>1.28</v>
      </c>
      <c r="J24" s="6">
        <v>16.77</v>
      </c>
      <c r="K24" s="5">
        <v>117</v>
      </c>
    </row>
    <row r="25" spans="1:11" x14ac:dyDescent="0.3">
      <c r="A25" s="3">
        <v>5333</v>
      </c>
      <c r="B25" s="3" t="s">
        <v>31</v>
      </c>
      <c r="C25" s="4">
        <v>45771</v>
      </c>
      <c r="D25" s="3" t="s">
        <v>17</v>
      </c>
      <c r="E25" s="3" t="s">
        <v>43</v>
      </c>
      <c r="F25" s="5">
        <v>1</v>
      </c>
      <c r="G25" s="6">
        <v>25.92</v>
      </c>
      <c r="H25" s="6">
        <v>25.92</v>
      </c>
      <c r="I25" s="6">
        <v>3.89</v>
      </c>
      <c r="J25" s="6">
        <v>22.03</v>
      </c>
      <c r="K25" s="5">
        <v>36</v>
      </c>
    </row>
    <row r="26" spans="1:11" x14ac:dyDescent="0.3">
      <c r="A26" s="3">
        <v>1711</v>
      </c>
      <c r="B26" s="3" t="s">
        <v>26</v>
      </c>
      <c r="C26" s="4">
        <v>45711</v>
      </c>
      <c r="D26" s="3" t="s">
        <v>17</v>
      </c>
      <c r="E26" s="3" t="s">
        <v>18</v>
      </c>
      <c r="F26" s="5">
        <v>2</v>
      </c>
      <c r="G26" s="6">
        <v>21.97</v>
      </c>
      <c r="H26" s="6">
        <v>43.94</v>
      </c>
      <c r="I26" s="6">
        <v>8.7899999999999991</v>
      </c>
      <c r="J26" s="6">
        <v>35.15</v>
      </c>
      <c r="K26" s="5">
        <v>451</v>
      </c>
    </row>
    <row r="27" spans="1:11" x14ac:dyDescent="0.3">
      <c r="A27" s="3">
        <v>8527</v>
      </c>
      <c r="B27" s="3" t="s">
        <v>26</v>
      </c>
      <c r="C27" s="4">
        <v>45561</v>
      </c>
      <c r="D27" s="3" t="s">
        <v>20</v>
      </c>
      <c r="E27" s="3" t="s">
        <v>44</v>
      </c>
      <c r="F27" s="5">
        <v>1</v>
      </c>
      <c r="G27" s="6">
        <v>3.8</v>
      </c>
      <c r="H27" s="6">
        <v>3.8</v>
      </c>
      <c r="I27" s="6">
        <v>0.38</v>
      </c>
      <c r="J27" s="6">
        <v>3.42</v>
      </c>
      <c r="K27" s="5">
        <v>220</v>
      </c>
    </row>
    <row r="28" spans="1:11" x14ac:dyDescent="0.3">
      <c r="A28" s="3">
        <v>3045</v>
      </c>
      <c r="B28" s="3" t="s">
        <v>24</v>
      </c>
      <c r="C28" s="4">
        <v>45861</v>
      </c>
      <c r="D28" s="3" t="s">
        <v>45</v>
      </c>
      <c r="E28" s="3" t="s">
        <v>40</v>
      </c>
      <c r="F28" s="5">
        <v>1</v>
      </c>
      <c r="G28" s="6">
        <v>2.75</v>
      </c>
      <c r="H28" s="6">
        <v>2.75</v>
      </c>
      <c r="I28" s="6">
        <v>1.99</v>
      </c>
      <c r="J28" s="6">
        <v>0.76</v>
      </c>
      <c r="K28" s="5">
        <v>372</v>
      </c>
    </row>
    <row r="29" spans="1:11" x14ac:dyDescent="0.3">
      <c r="A29" s="3">
        <v>7201</v>
      </c>
      <c r="B29" s="3" t="s">
        <v>42</v>
      </c>
      <c r="C29" s="4">
        <v>45206</v>
      </c>
      <c r="D29" s="3" t="s">
        <v>38</v>
      </c>
      <c r="E29" s="3" t="s">
        <v>33</v>
      </c>
      <c r="F29" s="5">
        <v>2</v>
      </c>
      <c r="G29" s="6">
        <v>13.22</v>
      </c>
      <c r="H29" s="6">
        <v>26.44</v>
      </c>
      <c r="I29" s="6">
        <v>5.29</v>
      </c>
      <c r="J29" s="6">
        <v>21.15</v>
      </c>
      <c r="K29" s="5">
        <v>142</v>
      </c>
    </row>
    <row r="30" spans="1:11" x14ac:dyDescent="0.3">
      <c r="A30" s="3">
        <v>5803</v>
      </c>
      <c r="B30" s="3" t="s">
        <v>11</v>
      </c>
      <c r="C30" s="4">
        <v>45789</v>
      </c>
      <c r="D30" s="3" t="s">
        <v>45</v>
      </c>
      <c r="E30" s="3" t="s">
        <v>18</v>
      </c>
      <c r="F30" s="5">
        <v>1</v>
      </c>
      <c r="G30" s="6">
        <v>2.46</v>
      </c>
      <c r="H30" s="6">
        <v>2.46</v>
      </c>
      <c r="I30" s="6">
        <v>4.71</v>
      </c>
      <c r="J30" s="6">
        <v>-2.25</v>
      </c>
      <c r="K30" s="5">
        <v>276</v>
      </c>
    </row>
    <row r="31" spans="1:11" x14ac:dyDescent="0.3">
      <c r="A31" s="3">
        <v>6925</v>
      </c>
      <c r="B31" s="3" t="s">
        <v>42</v>
      </c>
      <c r="C31" s="4">
        <v>45593</v>
      </c>
      <c r="D31" s="3" t="s">
        <v>34</v>
      </c>
      <c r="E31" s="3" t="s">
        <v>16</v>
      </c>
      <c r="F31" s="5">
        <v>4</v>
      </c>
      <c r="G31" s="6">
        <v>14.95</v>
      </c>
      <c r="H31" s="6">
        <v>59.8</v>
      </c>
      <c r="I31" s="6">
        <v>1.66</v>
      </c>
      <c r="J31" s="6">
        <v>58.14</v>
      </c>
      <c r="K31" s="5">
        <v>442</v>
      </c>
    </row>
    <row r="32" spans="1:11" x14ac:dyDescent="0.3">
      <c r="A32" s="3">
        <v>4150</v>
      </c>
      <c r="B32" s="3" t="s">
        <v>31</v>
      </c>
      <c r="C32" s="4">
        <v>45692</v>
      </c>
      <c r="D32" s="3" t="s">
        <v>20</v>
      </c>
      <c r="E32" s="3" t="s">
        <v>13</v>
      </c>
      <c r="F32" s="5">
        <v>4</v>
      </c>
      <c r="G32" s="6">
        <v>9.26</v>
      </c>
      <c r="H32" s="6">
        <v>37.04</v>
      </c>
      <c r="I32" s="6">
        <v>7.41</v>
      </c>
      <c r="J32" s="6">
        <v>29.63</v>
      </c>
      <c r="K32" s="5">
        <v>356</v>
      </c>
    </row>
    <row r="33" spans="1:11" x14ac:dyDescent="0.3">
      <c r="A33" s="3">
        <v>2139</v>
      </c>
      <c r="B33" s="3" t="s">
        <v>42</v>
      </c>
      <c r="C33" s="4">
        <v>45180</v>
      </c>
      <c r="D33" s="3" t="s">
        <v>35</v>
      </c>
      <c r="E33" s="3" t="s">
        <v>44</v>
      </c>
      <c r="F33" s="5">
        <v>1</v>
      </c>
      <c r="G33" s="6">
        <v>17.79</v>
      </c>
      <c r="H33" s="6">
        <v>17.79</v>
      </c>
      <c r="I33" s="6">
        <v>0</v>
      </c>
      <c r="J33" s="6">
        <v>17.79</v>
      </c>
      <c r="K33" s="5">
        <v>277</v>
      </c>
    </row>
    <row r="34" spans="1:11" x14ac:dyDescent="0.3">
      <c r="A34" s="3">
        <v>4733</v>
      </c>
      <c r="B34" s="3" t="s">
        <v>36</v>
      </c>
      <c r="C34" s="4">
        <v>45745</v>
      </c>
      <c r="D34" s="3" t="s">
        <v>12</v>
      </c>
      <c r="E34" s="3" t="s">
        <v>40</v>
      </c>
      <c r="F34" s="5">
        <v>5</v>
      </c>
      <c r="G34" s="6">
        <v>14.82</v>
      </c>
      <c r="H34" s="6">
        <v>74.099999999999994</v>
      </c>
      <c r="I34" s="6">
        <v>4.84</v>
      </c>
      <c r="J34" s="6">
        <v>69.260000000000005</v>
      </c>
      <c r="K34" s="5">
        <v>470</v>
      </c>
    </row>
    <row r="35" spans="1:11" x14ac:dyDescent="0.3">
      <c r="A35" s="3">
        <v>5741</v>
      </c>
      <c r="B35" s="3" t="s">
        <v>11</v>
      </c>
      <c r="C35" s="4">
        <v>45206</v>
      </c>
      <c r="D35" s="3" t="s">
        <v>34</v>
      </c>
      <c r="E35" s="3" t="s">
        <v>43</v>
      </c>
      <c r="F35" s="5">
        <v>5</v>
      </c>
      <c r="G35" s="6">
        <v>2.96</v>
      </c>
      <c r="H35" s="6">
        <v>14.8</v>
      </c>
      <c r="I35" s="6">
        <v>1.48</v>
      </c>
      <c r="J35" s="6">
        <v>13.32</v>
      </c>
      <c r="K35" s="5">
        <v>441</v>
      </c>
    </row>
    <row r="36" spans="1:11" x14ac:dyDescent="0.3">
      <c r="A36" s="3">
        <v>4814</v>
      </c>
      <c r="B36" s="3" t="s">
        <v>11</v>
      </c>
      <c r="C36" s="4">
        <v>45818</v>
      </c>
      <c r="D36" s="3" t="s">
        <v>28</v>
      </c>
      <c r="E36" s="3" t="s">
        <v>25</v>
      </c>
      <c r="F36" s="5">
        <v>5</v>
      </c>
      <c r="G36" s="6">
        <v>18.23</v>
      </c>
      <c r="H36" s="6">
        <v>91.15</v>
      </c>
      <c r="I36" s="6">
        <v>9.1199999999999992</v>
      </c>
      <c r="J36" s="6">
        <v>82.03</v>
      </c>
      <c r="K36" s="5">
        <v>317</v>
      </c>
    </row>
    <row r="37" spans="1:11" x14ac:dyDescent="0.3">
      <c r="A37" s="3">
        <v>2654</v>
      </c>
      <c r="B37" s="3" t="s">
        <v>14</v>
      </c>
      <c r="C37" s="4">
        <v>45440</v>
      </c>
      <c r="D37" s="3" t="s">
        <v>22</v>
      </c>
      <c r="E37" s="3" t="s">
        <v>13</v>
      </c>
      <c r="F37" s="5">
        <v>2</v>
      </c>
      <c r="G37" s="6">
        <v>20.41</v>
      </c>
      <c r="H37" s="6">
        <v>40.82</v>
      </c>
      <c r="I37" s="6">
        <v>6.12</v>
      </c>
      <c r="J37" s="6">
        <v>34.700000000000003</v>
      </c>
      <c r="K37" s="5">
        <v>160</v>
      </c>
    </row>
    <row r="38" spans="1:11" x14ac:dyDescent="0.3">
      <c r="A38" s="3">
        <v>5554</v>
      </c>
      <c r="B38" s="3" t="s">
        <v>24</v>
      </c>
      <c r="C38" s="4">
        <v>45497</v>
      </c>
      <c r="D38" s="3" t="s">
        <v>34</v>
      </c>
      <c r="E38" s="3" t="s">
        <v>37</v>
      </c>
      <c r="F38" s="5">
        <v>4</v>
      </c>
      <c r="G38" s="6">
        <v>10.16</v>
      </c>
      <c r="H38" s="6">
        <v>40.64</v>
      </c>
      <c r="I38" s="6">
        <v>2.83</v>
      </c>
      <c r="J38" s="6">
        <v>37.81</v>
      </c>
      <c r="K38" s="5">
        <v>384</v>
      </c>
    </row>
    <row r="39" spans="1:11" x14ac:dyDescent="0.3">
      <c r="A39" s="3">
        <v>6977</v>
      </c>
      <c r="B39" s="3" t="s">
        <v>11</v>
      </c>
      <c r="C39" s="4">
        <v>45271</v>
      </c>
      <c r="D39" s="3" t="s">
        <v>15</v>
      </c>
      <c r="E39" s="3" t="s">
        <v>18</v>
      </c>
      <c r="F39" s="5">
        <v>2</v>
      </c>
      <c r="G39" s="6">
        <v>15.66</v>
      </c>
      <c r="H39" s="6">
        <v>31.32</v>
      </c>
      <c r="I39" s="6">
        <v>4.5199999999999996</v>
      </c>
      <c r="J39" s="6">
        <v>26.8</v>
      </c>
      <c r="K39" s="5">
        <v>67</v>
      </c>
    </row>
    <row r="40" spans="1:11" x14ac:dyDescent="0.3">
      <c r="A40" s="3">
        <v>7065</v>
      </c>
      <c r="B40" s="3" t="s">
        <v>36</v>
      </c>
      <c r="C40" s="4">
        <v>45420</v>
      </c>
      <c r="D40" s="3" t="s">
        <v>35</v>
      </c>
      <c r="E40" s="3" t="s">
        <v>29</v>
      </c>
      <c r="F40" s="5">
        <v>4</v>
      </c>
      <c r="G40" s="6">
        <v>25.17</v>
      </c>
      <c r="H40" s="6">
        <v>100.68</v>
      </c>
      <c r="I40" s="6">
        <v>4.9400000000000004</v>
      </c>
      <c r="J40" s="6">
        <v>95.74</v>
      </c>
      <c r="K40" s="5">
        <v>360</v>
      </c>
    </row>
    <row r="41" spans="1:11" x14ac:dyDescent="0.3">
      <c r="A41" s="3">
        <v>4432</v>
      </c>
      <c r="B41" s="3" t="s">
        <v>14</v>
      </c>
      <c r="C41" s="4">
        <v>45665</v>
      </c>
      <c r="D41" s="3" t="s">
        <v>12</v>
      </c>
      <c r="E41" s="3" t="s">
        <v>18</v>
      </c>
      <c r="F41" s="5">
        <v>3</v>
      </c>
      <c r="G41" s="6">
        <v>28.01</v>
      </c>
      <c r="H41" s="6">
        <v>84.03</v>
      </c>
      <c r="I41" s="6">
        <v>12.6</v>
      </c>
      <c r="J41" s="6">
        <v>71.430000000000007</v>
      </c>
      <c r="K41" s="5">
        <v>53</v>
      </c>
    </row>
    <row r="42" spans="1:11" x14ac:dyDescent="0.3">
      <c r="A42" s="3">
        <v>5374</v>
      </c>
      <c r="B42" s="3" t="s">
        <v>11</v>
      </c>
      <c r="C42" s="4">
        <v>45690</v>
      </c>
      <c r="D42" s="3" t="s">
        <v>15</v>
      </c>
      <c r="E42" s="3" t="s">
        <v>18</v>
      </c>
      <c r="F42" s="5">
        <v>2</v>
      </c>
      <c r="G42" s="6">
        <v>8.89</v>
      </c>
      <c r="H42" s="6">
        <v>17.78</v>
      </c>
      <c r="I42" s="6">
        <v>0</v>
      </c>
      <c r="J42" s="6">
        <v>17.78</v>
      </c>
      <c r="K42" s="5">
        <v>309</v>
      </c>
    </row>
    <row r="43" spans="1:11" x14ac:dyDescent="0.3">
      <c r="A43" s="3">
        <v>2169</v>
      </c>
      <c r="B43" s="3" t="s">
        <v>36</v>
      </c>
      <c r="C43" s="4">
        <v>45618</v>
      </c>
      <c r="D43" s="3" t="s">
        <v>17</v>
      </c>
      <c r="E43" s="3" t="s">
        <v>13</v>
      </c>
      <c r="F43" s="5">
        <v>5</v>
      </c>
      <c r="G43" s="6">
        <v>15.16</v>
      </c>
      <c r="H43" s="6">
        <v>75.8</v>
      </c>
      <c r="I43" s="6">
        <v>3.54</v>
      </c>
      <c r="J43" s="6">
        <v>72.260000000000005</v>
      </c>
      <c r="K43" s="5">
        <v>463</v>
      </c>
    </row>
    <row r="44" spans="1:11" x14ac:dyDescent="0.3">
      <c r="A44" s="3">
        <v>3803</v>
      </c>
      <c r="B44" s="3" t="s">
        <v>30</v>
      </c>
      <c r="C44" s="4">
        <v>45559</v>
      </c>
      <c r="D44" s="3" t="s">
        <v>12</v>
      </c>
      <c r="E44" s="3" t="s">
        <v>39</v>
      </c>
      <c r="F44" s="5">
        <v>3</v>
      </c>
      <c r="G44" s="6">
        <v>23.35</v>
      </c>
      <c r="H44" s="6">
        <v>70.05</v>
      </c>
      <c r="I44" s="6">
        <v>14.01</v>
      </c>
      <c r="J44" s="6">
        <v>56.04</v>
      </c>
      <c r="K44" s="5">
        <v>326</v>
      </c>
    </row>
    <row r="45" spans="1:11" x14ac:dyDescent="0.3">
      <c r="A45" s="3">
        <v>5010</v>
      </c>
      <c r="B45" s="3" t="s">
        <v>26</v>
      </c>
      <c r="C45" s="4">
        <v>45271</v>
      </c>
      <c r="D45" s="3" t="s">
        <v>38</v>
      </c>
      <c r="E45" s="3" t="s">
        <v>16</v>
      </c>
      <c r="F45" s="5">
        <v>5</v>
      </c>
      <c r="G45" s="6">
        <v>1.27</v>
      </c>
      <c r="H45" s="6">
        <v>6.35</v>
      </c>
      <c r="I45" s="6">
        <v>1.1399999999999999</v>
      </c>
      <c r="J45" s="6">
        <v>5.21</v>
      </c>
      <c r="K45" s="5">
        <v>38</v>
      </c>
    </row>
    <row r="46" spans="1:11" x14ac:dyDescent="0.3">
      <c r="A46" s="3">
        <v>8573</v>
      </c>
      <c r="B46" s="3" t="s">
        <v>36</v>
      </c>
      <c r="C46" s="4">
        <v>45439</v>
      </c>
      <c r="D46" s="3" t="s">
        <v>28</v>
      </c>
      <c r="E46" s="3" t="s">
        <v>18</v>
      </c>
      <c r="F46" s="5">
        <v>2</v>
      </c>
      <c r="G46" s="6">
        <v>13.45</v>
      </c>
      <c r="H46" s="6">
        <v>26.9</v>
      </c>
      <c r="I46" s="6">
        <v>4.03</v>
      </c>
      <c r="J46" s="6">
        <v>22.87</v>
      </c>
      <c r="K46" s="5">
        <v>21</v>
      </c>
    </row>
    <row r="47" spans="1:11" x14ac:dyDescent="0.3">
      <c r="A47" s="3">
        <v>5422</v>
      </c>
      <c r="B47" s="3" t="s">
        <v>31</v>
      </c>
      <c r="C47" s="4">
        <v>45863</v>
      </c>
      <c r="D47" s="3" t="s">
        <v>22</v>
      </c>
      <c r="E47" s="3" t="s">
        <v>44</v>
      </c>
      <c r="F47" s="5">
        <v>2</v>
      </c>
      <c r="G47" s="6">
        <v>20.329999999999998</v>
      </c>
      <c r="H47" s="6">
        <v>40.659999999999997</v>
      </c>
      <c r="I47" s="6">
        <v>4</v>
      </c>
      <c r="J47" s="6">
        <v>36.659999999999997</v>
      </c>
      <c r="K47" s="5">
        <v>181</v>
      </c>
    </row>
    <row r="48" spans="1:11" x14ac:dyDescent="0.3">
      <c r="A48" s="3">
        <v>4598</v>
      </c>
      <c r="B48" s="3" t="s">
        <v>42</v>
      </c>
      <c r="C48" s="4">
        <v>45676</v>
      </c>
      <c r="D48" s="3" t="s">
        <v>34</v>
      </c>
      <c r="E48" s="3" t="s">
        <v>29</v>
      </c>
      <c r="F48" s="5">
        <v>4</v>
      </c>
      <c r="G48" s="6">
        <v>1.71</v>
      </c>
      <c r="H48" s="6">
        <v>6.84</v>
      </c>
      <c r="I48" s="6">
        <v>0.68</v>
      </c>
      <c r="J48" s="6">
        <v>6.16</v>
      </c>
      <c r="K48" s="5">
        <v>377</v>
      </c>
    </row>
    <row r="49" spans="1:11" x14ac:dyDescent="0.3">
      <c r="A49" s="3">
        <v>6313</v>
      </c>
      <c r="B49" s="3" t="s">
        <v>42</v>
      </c>
      <c r="C49" s="4">
        <v>45799</v>
      </c>
      <c r="D49" s="3" t="s">
        <v>35</v>
      </c>
      <c r="E49" s="3" t="s">
        <v>29</v>
      </c>
      <c r="F49" s="5">
        <v>1</v>
      </c>
      <c r="G49" s="6">
        <v>12.08</v>
      </c>
      <c r="H49" s="6">
        <v>12.08</v>
      </c>
      <c r="I49" s="6">
        <v>2.42</v>
      </c>
      <c r="J49" s="6">
        <v>9.66</v>
      </c>
      <c r="K49" s="5">
        <v>19</v>
      </c>
    </row>
    <row r="50" spans="1:11" x14ac:dyDescent="0.3">
      <c r="A50" s="3">
        <v>1916</v>
      </c>
      <c r="B50" s="3" t="s">
        <v>42</v>
      </c>
      <c r="C50" s="4">
        <v>45322</v>
      </c>
      <c r="D50" s="3" t="s">
        <v>45</v>
      </c>
      <c r="E50" s="3" t="s">
        <v>23</v>
      </c>
      <c r="F50" s="5">
        <v>3</v>
      </c>
      <c r="G50" s="6">
        <v>24.79</v>
      </c>
      <c r="H50" s="6">
        <v>74.37</v>
      </c>
      <c r="I50" s="6">
        <v>14.87</v>
      </c>
      <c r="J50" s="6">
        <v>59.5</v>
      </c>
      <c r="K50" s="5">
        <v>446</v>
      </c>
    </row>
    <row r="51" spans="1:11" x14ac:dyDescent="0.3">
      <c r="A51" s="3">
        <v>1525</v>
      </c>
      <c r="B51" s="3" t="s">
        <v>31</v>
      </c>
      <c r="C51" s="4">
        <v>45770</v>
      </c>
      <c r="D51" s="3" t="s">
        <v>27</v>
      </c>
      <c r="E51" s="3" t="s">
        <v>44</v>
      </c>
      <c r="F51" s="5">
        <v>4</v>
      </c>
      <c r="G51" s="6">
        <v>10.51</v>
      </c>
      <c r="H51" s="6">
        <v>42.04</v>
      </c>
      <c r="I51" s="6">
        <v>6.31</v>
      </c>
      <c r="J51" s="6">
        <v>35.729999999999997</v>
      </c>
      <c r="K51" s="5">
        <v>442</v>
      </c>
    </row>
    <row r="52" spans="1:11" x14ac:dyDescent="0.3">
      <c r="A52" s="3">
        <v>6168</v>
      </c>
      <c r="B52" s="3" t="s">
        <v>36</v>
      </c>
      <c r="C52" s="4">
        <v>45456</v>
      </c>
      <c r="D52" s="3" t="s">
        <v>27</v>
      </c>
      <c r="E52" s="3" t="s">
        <v>46</v>
      </c>
      <c r="F52" s="5">
        <v>4</v>
      </c>
      <c r="G52" s="6">
        <v>20.7</v>
      </c>
      <c r="H52" s="6">
        <v>82.8</v>
      </c>
      <c r="I52" s="6">
        <v>1.46</v>
      </c>
      <c r="J52" s="6">
        <v>81.34</v>
      </c>
      <c r="K52" s="5">
        <v>431</v>
      </c>
    </row>
    <row r="53" spans="1:11" x14ac:dyDescent="0.3">
      <c r="A53" s="3">
        <v>5386</v>
      </c>
      <c r="B53" s="3" t="s">
        <v>30</v>
      </c>
      <c r="C53" s="4">
        <v>45196</v>
      </c>
      <c r="D53" s="3" t="s">
        <v>34</v>
      </c>
      <c r="E53" s="3" t="s">
        <v>13</v>
      </c>
      <c r="F53" s="5">
        <v>1</v>
      </c>
      <c r="G53" s="6">
        <v>4.13</v>
      </c>
      <c r="H53" s="6">
        <v>4.13</v>
      </c>
      <c r="I53" s="6">
        <v>0</v>
      </c>
      <c r="J53" s="6">
        <v>4.13</v>
      </c>
      <c r="K53" s="5">
        <v>222</v>
      </c>
    </row>
    <row r="54" spans="1:11" x14ac:dyDescent="0.3">
      <c r="A54" s="3">
        <v>4456</v>
      </c>
      <c r="B54" s="3" t="s">
        <v>36</v>
      </c>
      <c r="C54" s="4">
        <v>45854</v>
      </c>
      <c r="D54" s="3" t="s">
        <v>20</v>
      </c>
      <c r="E54" s="3" t="s">
        <v>46</v>
      </c>
      <c r="F54" s="5">
        <v>1</v>
      </c>
      <c r="G54" s="6">
        <v>12.16</v>
      </c>
      <c r="H54" s="6">
        <v>12.16</v>
      </c>
      <c r="I54" s="6">
        <v>1.82</v>
      </c>
      <c r="J54" s="6">
        <v>10.34</v>
      </c>
      <c r="K54" s="5">
        <v>295</v>
      </c>
    </row>
    <row r="55" spans="1:11" x14ac:dyDescent="0.3">
      <c r="A55" s="3">
        <v>6155</v>
      </c>
      <c r="B55" s="3" t="s">
        <v>31</v>
      </c>
      <c r="C55" s="4">
        <v>45310</v>
      </c>
      <c r="D55" s="3" t="s">
        <v>20</v>
      </c>
      <c r="E55" s="3" t="s">
        <v>39</v>
      </c>
      <c r="F55" s="5">
        <v>5</v>
      </c>
      <c r="G55" s="6">
        <v>27.83</v>
      </c>
      <c r="H55" s="6">
        <v>139.15</v>
      </c>
      <c r="I55" s="6">
        <v>20.87</v>
      </c>
      <c r="J55" s="6">
        <v>118.28</v>
      </c>
      <c r="K55" s="5">
        <v>275</v>
      </c>
    </row>
    <row r="56" spans="1:11" x14ac:dyDescent="0.3">
      <c r="A56" s="3">
        <v>9179</v>
      </c>
      <c r="B56" s="3" t="s">
        <v>24</v>
      </c>
      <c r="C56" s="4">
        <v>45452</v>
      </c>
      <c r="D56" s="3" t="s">
        <v>15</v>
      </c>
      <c r="E56" s="3" t="s">
        <v>21</v>
      </c>
      <c r="F56" s="5">
        <v>5</v>
      </c>
      <c r="G56" s="6">
        <v>10.09</v>
      </c>
      <c r="H56" s="6">
        <v>50.45</v>
      </c>
      <c r="I56" s="6">
        <v>0</v>
      </c>
      <c r="J56" s="6">
        <v>50.45</v>
      </c>
      <c r="K56" s="5">
        <v>434</v>
      </c>
    </row>
    <row r="57" spans="1:11" x14ac:dyDescent="0.3">
      <c r="A57" s="3">
        <v>8517</v>
      </c>
      <c r="B57" s="3" t="s">
        <v>30</v>
      </c>
      <c r="C57" s="4">
        <v>45255</v>
      </c>
      <c r="D57" s="3" t="s">
        <v>38</v>
      </c>
      <c r="E57" s="3" t="s">
        <v>37</v>
      </c>
      <c r="F57" s="5">
        <v>4</v>
      </c>
      <c r="G57" s="6">
        <v>10.45</v>
      </c>
      <c r="H57" s="6">
        <v>41.8</v>
      </c>
      <c r="I57" s="6">
        <v>1.51</v>
      </c>
      <c r="J57" s="6">
        <v>40.29</v>
      </c>
      <c r="K57" s="5">
        <v>356</v>
      </c>
    </row>
    <row r="58" spans="1:11" x14ac:dyDescent="0.3">
      <c r="A58" s="3">
        <v>5339</v>
      </c>
      <c r="B58" s="3" t="s">
        <v>24</v>
      </c>
      <c r="C58" s="4">
        <v>45253</v>
      </c>
      <c r="D58" s="3" t="s">
        <v>27</v>
      </c>
      <c r="E58" s="3" t="s">
        <v>32</v>
      </c>
      <c r="F58" s="5">
        <v>2</v>
      </c>
      <c r="G58" s="6">
        <v>18.84</v>
      </c>
      <c r="H58" s="6">
        <v>37.68</v>
      </c>
      <c r="I58" s="6">
        <v>4.33</v>
      </c>
      <c r="J58" s="6">
        <v>33.35</v>
      </c>
      <c r="K58" s="5">
        <v>154</v>
      </c>
    </row>
    <row r="59" spans="1:11" x14ac:dyDescent="0.3">
      <c r="A59" s="3">
        <v>5040</v>
      </c>
      <c r="B59" s="3" t="s">
        <v>30</v>
      </c>
      <c r="C59" s="4">
        <v>45723</v>
      </c>
      <c r="D59" s="3" t="s">
        <v>35</v>
      </c>
      <c r="E59" s="3" t="s">
        <v>44</v>
      </c>
      <c r="F59" s="5">
        <v>4</v>
      </c>
      <c r="G59" s="6">
        <v>23.78</v>
      </c>
      <c r="H59" s="6">
        <v>95.12</v>
      </c>
      <c r="I59" s="6">
        <v>9.51</v>
      </c>
      <c r="J59" s="6">
        <v>85.61</v>
      </c>
      <c r="K59" s="5">
        <v>310</v>
      </c>
    </row>
    <row r="60" spans="1:11" x14ac:dyDescent="0.3">
      <c r="A60" s="3">
        <v>9830</v>
      </c>
      <c r="B60" s="3" t="s">
        <v>26</v>
      </c>
      <c r="C60" s="4">
        <v>45349</v>
      </c>
      <c r="D60" s="3" t="s">
        <v>45</v>
      </c>
      <c r="E60" s="3" t="s">
        <v>44</v>
      </c>
      <c r="F60" s="5">
        <v>5</v>
      </c>
      <c r="G60" s="6">
        <v>14.71</v>
      </c>
      <c r="H60" s="6">
        <v>73.55</v>
      </c>
      <c r="I60" s="6">
        <v>0</v>
      </c>
      <c r="J60" s="6">
        <v>73.55</v>
      </c>
      <c r="K60" s="5">
        <v>461</v>
      </c>
    </row>
    <row r="61" spans="1:11" x14ac:dyDescent="0.3">
      <c r="A61" s="3">
        <v>8019</v>
      </c>
      <c r="B61" s="3" t="s">
        <v>11</v>
      </c>
      <c r="C61" s="4">
        <v>45842</v>
      </c>
      <c r="D61" s="3" t="s">
        <v>35</v>
      </c>
      <c r="E61" s="3" t="s">
        <v>46</v>
      </c>
      <c r="F61" s="5">
        <v>5</v>
      </c>
      <c r="G61" s="6">
        <v>10.71</v>
      </c>
      <c r="H61" s="6">
        <v>53.55</v>
      </c>
      <c r="I61" s="6">
        <v>0</v>
      </c>
      <c r="J61" s="6">
        <v>53.55</v>
      </c>
      <c r="K61" s="5">
        <v>419</v>
      </c>
    </row>
    <row r="62" spans="1:11" x14ac:dyDescent="0.3">
      <c r="A62" s="3">
        <v>7543</v>
      </c>
      <c r="B62" s="3" t="s">
        <v>30</v>
      </c>
      <c r="C62" s="4">
        <v>45426</v>
      </c>
      <c r="D62" s="3" t="s">
        <v>17</v>
      </c>
      <c r="E62" s="3" t="s">
        <v>44</v>
      </c>
      <c r="F62" s="5">
        <v>2</v>
      </c>
      <c r="G62" s="6">
        <v>1.7</v>
      </c>
      <c r="H62" s="6">
        <v>3.4</v>
      </c>
      <c r="I62" s="6">
        <v>4.4000000000000004</v>
      </c>
      <c r="J62" s="6">
        <v>-1</v>
      </c>
      <c r="K62" s="5">
        <v>125</v>
      </c>
    </row>
    <row r="63" spans="1:11" x14ac:dyDescent="0.3">
      <c r="A63" s="3">
        <v>4593</v>
      </c>
      <c r="B63" s="3" t="s">
        <v>11</v>
      </c>
      <c r="C63" s="4">
        <v>45252</v>
      </c>
      <c r="D63" s="3" t="s">
        <v>45</v>
      </c>
      <c r="E63" s="3" t="s">
        <v>16</v>
      </c>
      <c r="F63" s="5">
        <v>5</v>
      </c>
      <c r="G63" s="6">
        <v>6.63</v>
      </c>
      <c r="H63" s="6">
        <v>33.15</v>
      </c>
      <c r="I63" s="6">
        <v>3.31</v>
      </c>
      <c r="J63" s="6">
        <v>29.84</v>
      </c>
      <c r="K63" s="5">
        <v>356</v>
      </c>
    </row>
    <row r="64" spans="1:11" x14ac:dyDescent="0.3">
      <c r="A64" s="3">
        <v>9348</v>
      </c>
      <c r="B64" s="3" t="s">
        <v>24</v>
      </c>
      <c r="C64" s="4">
        <v>45528</v>
      </c>
      <c r="D64" s="3" t="s">
        <v>17</v>
      </c>
      <c r="E64" s="3" t="s">
        <v>41</v>
      </c>
      <c r="F64" s="5">
        <v>1</v>
      </c>
      <c r="G64" s="6">
        <v>26.88</v>
      </c>
      <c r="H64" s="6">
        <v>26.88</v>
      </c>
      <c r="I64" s="6">
        <v>2.69</v>
      </c>
      <c r="J64" s="6">
        <v>24.19</v>
      </c>
      <c r="K64" s="5">
        <v>440</v>
      </c>
    </row>
    <row r="65" spans="1:11" x14ac:dyDescent="0.3">
      <c r="A65" s="3">
        <v>2489</v>
      </c>
      <c r="B65" s="3" t="s">
        <v>42</v>
      </c>
      <c r="C65" s="4">
        <v>45732</v>
      </c>
      <c r="D65" s="3" t="s">
        <v>34</v>
      </c>
      <c r="E65" s="3" t="s">
        <v>46</v>
      </c>
      <c r="F65" s="5">
        <v>4</v>
      </c>
      <c r="G65" s="6">
        <v>2.4500000000000002</v>
      </c>
      <c r="H65" s="6">
        <v>9.8000000000000007</v>
      </c>
      <c r="I65" s="6">
        <v>0.98</v>
      </c>
      <c r="J65" s="6">
        <v>8.82</v>
      </c>
      <c r="K65" s="5">
        <v>127</v>
      </c>
    </row>
    <row r="66" spans="1:11" x14ac:dyDescent="0.3">
      <c r="A66" s="3">
        <v>1771</v>
      </c>
      <c r="B66" s="3" t="s">
        <v>19</v>
      </c>
      <c r="C66" s="4">
        <v>45813</v>
      </c>
      <c r="D66" s="3" t="s">
        <v>45</v>
      </c>
      <c r="E66" s="3" t="s">
        <v>46</v>
      </c>
      <c r="F66" s="5">
        <v>5</v>
      </c>
      <c r="G66" s="6">
        <v>18.260000000000002</v>
      </c>
      <c r="H66" s="6">
        <v>91.3</v>
      </c>
      <c r="I66" s="6">
        <v>4.26</v>
      </c>
      <c r="J66" s="6">
        <v>87.04</v>
      </c>
      <c r="K66" s="5">
        <v>486</v>
      </c>
    </row>
    <row r="67" spans="1:11" x14ac:dyDescent="0.3">
      <c r="A67" s="3">
        <v>2796</v>
      </c>
      <c r="B67" s="3" t="s">
        <v>14</v>
      </c>
      <c r="C67" s="4">
        <v>45263</v>
      </c>
      <c r="D67" s="3" t="s">
        <v>20</v>
      </c>
      <c r="E67" s="3" t="s">
        <v>18</v>
      </c>
      <c r="F67" s="5">
        <v>4</v>
      </c>
      <c r="G67" s="6">
        <v>27.01</v>
      </c>
      <c r="H67" s="6">
        <v>108.04</v>
      </c>
      <c r="I67" s="6">
        <v>10.8</v>
      </c>
      <c r="J67" s="6">
        <v>97.24</v>
      </c>
      <c r="K67" s="5">
        <v>380</v>
      </c>
    </row>
    <row r="68" spans="1:11" x14ac:dyDescent="0.3">
      <c r="A68" s="3">
        <v>3621</v>
      </c>
      <c r="B68" s="3" t="s">
        <v>30</v>
      </c>
      <c r="C68" s="4">
        <v>45760</v>
      </c>
      <c r="D68" s="3" t="s">
        <v>17</v>
      </c>
      <c r="E68" s="3" t="s">
        <v>13</v>
      </c>
      <c r="F68" s="5">
        <v>5</v>
      </c>
      <c r="G68" s="6">
        <v>15.04</v>
      </c>
      <c r="H68" s="6">
        <v>75.2</v>
      </c>
      <c r="I68" s="6">
        <v>7.52</v>
      </c>
      <c r="J68" s="6">
        <v>67.680000000000007</v>
      </c>
      <c r="K68" s="5">
        <v>122</v>
      </c>
    </row>
    <row r="69" spans="1:11" x14ac:dyDescent="0.3">
      <c r="A69" s="3">
        <v>7916</v>
      </c>
      <c r="B69" s="3" t="s">
        <v>11</v>
      </c>
      <c r="C69" s="4">
        <v>45608</v>
      </c>
      <c r="D69" s="3" t="s">
        <v>35</v>
      </c>
      <c r="E69" s="3" t="s">
        <v>25</v>
      </c>
      <c r="F69" s="5">
        <v>3</v>
      </c>
      <c r="G69" s="6">
        <v>10.73</v>
      </c>
      <c r="H69" s="6">
        <v>32.19</v>
      </c>
      <c r="I69" s="6">
        <v>6.44</v>
      </c>
      <c r="J69" s="6">
        <v>25.75</v>
      </c>
      <c r="K69" s="5">
        <v>457</v>
      </c>
    </row>
    <row r="70" spans="1:11" x14ac:dyDescent="0.3">
      <c r="A70" s="3">
        <v>2040</v>
      </c>
      <c r="B70" s="3" t="s">
        <v>19</v>
      </c>
      <c r="C70" s="4">
        <v>45443</v>
      </c>
      <c r="D70" s="3" t="s">
        <v>17</v>
      </c>
      <c r="E70" s="3" t="s">
        <v>32</v>
      </c>
      <c r="F70" s="5">
        <v>2</v>
      </c>
      <c r="G70" s="6">
        <v>21.48</v>
      </c>
      <c r="H70" s="6">
        <v>42.96</v>
      </c>
      <c r="I70" s="6">
        <v>4.3</v>
      </c>
      <c r="J70" s="6">
        <v>38.659999999999997</v>
      </c>
      <c r="K70" s="5">
        <v>32</v>
      </c>
    </row>
    <row r="71" spans="1:11" x14ac:dyDescent="0.3">
      <c r="A71" s="3">
        <v>7252</v>
      </c>
      <c r="B71" s="3" t="s">
        <v>36</v>
      </c>
      <c r="C71" s="4">
        <v>45607</v>
      </c>
      <c r="D71" s="3" t="s">
        <v>38</v>
      </c>
      <c r="E71" s="3" t="s">
        <v>33</v>
      </c>
      <c r="F71" s="5">
        <v>4</v>
      </c>
      <c r="G71" s="6">
        <v>2.8</v>
      </c>
      <c r="H71" s="6">
        <v>11.2</v>
      </c>
      <c r="I71" s="6">
        <v>1.1200000000000001</v>
      </c>
      <c r="J71" s="6">
        <v>10.08</v>
      </c>
      <c r="K71" s="5">
        <v>426</v>
      </c>
    </row>
    <row r="72" spans="1:11" x14ac:dyDescent="0.3">
      <c r="A72" s="3">
        <v>8668</v>
      </c>
      <c r="B72" s="3" t="s">
        <v>31</v>
      </c>
      <c r="C72" s="4">
        <v>45555</v>
      </c>
      <c r="D72" s="3" t="s">
        <v>28</v>
      </c>
      <c r="E72" s="3" t="s">
        <v>32</v>
      </c>
      <c r="F72" s="5">
        <v>4</v>
      </c>
      <c r="G72" s="6">
        <v>1.1599999999999999</v>
      </c>
      <c r="H72" s="6">
        <v>4.6399999999999997</v>
      </c>
      <c r="I72" s="6">
        <v>0.46</v>
      </c>
      <c r="J72" s="6">
        <v>4.18</v>
      </c>
      <c r="K72" s="5">
        <v>180</v>
      </c>
    </row>
    <row r="73" spans="1:11" x14ac:dyDescent="0.3">
      <c r="A73" s="3">
        <v>5119</v>
      </c>
      <c r="B73" s="3" t="s">
        <v>24</v>
      </c>
      <c r="C73" s="4">
        <v>45574</v>
      </c>
      <c r="D73" s="3" t="s">
        <v>38</v>
      </c>
      <c r="E73" s="3" t="s">
        <v>18</v>
      </c>
      <c r="F73" s="5">
        <v>5</v>
      </c>
      <c r="G73" s="6">
        <v>27.03</v>
      </c>
      <c r="H73" s="6">
        <v>135.15</v>
      </c>
      <c r="I73" s="6">
        <v>20.27</v>
      </c>
      <c r="J73" s="6">
        <v>114.88</v>
      </c>
      <c r="K73" s="5">
        <v>249</v>
      </c>
    </row>
    <row r="74" spans="1:11" x14ac:dyDescent="0.3">
      <c r="A74" s="3">
        <v>1188</v>
      </c>
      <c r="B74" s="3" t="s">
        <v>24</v>
      </c>
      <c r="C74" s="4">
        <v>45673</v>
      </c>
      <c r="D74" s="3" t="s">
        <v>45</v>
      </c>
      <c r="E74" s="3" t="s">
        <v>39</v>
      </c>
      <c r="F74" s="5">
        <v>4</v>
      </c>
      <c r="G74" s="6">
        <v>10.74</v>
      </c>
      <c r="H74" s="6">
        <v>42.96</v>
      </c>
      <c r="I74" s="6">
        <v>0</v>
      </c>
      <c r="J74" s="6">
        <v>42.96</v>
      </c>
      <c r="K74" s="5">
        <v>347</v>
      </c>
    </row>
    <row r="75" spans="1:11" x14ac:dyDescent="0.3">
      <c r="A75" s="3">
        <v>2876</v>
      </c>
      <c r="B75" s="3" t="s">
        <v>19</v>
      </c>
      <c r="C75" s="4">
        <v>45674</v>
      </c>
      <c r="D75" s="3" t="s">
        <v>45</v>
      </c>
      <c r="E75" s="3" t="s">
        <v>41</v>
      </c>
      <c r="F75" s="5">
        <v>5</v>
      </c>
      <c r="G75" s="6">
        <v>16.48</v>
      </c>
      <c r="H75" s="6">
        <v>82.4</v>
      </c>
      <c r="I75" s="6">
        <v>3.26</v>
      </c>
      <c r="J75" s="6">
        <v>79.14</v>
      </c>
      <c r="K75" s="5">
        <v>464</v>
      </c>
    </row>
    <row r="76" spans="1:11" x14ac:dyDescent="0.3">
      <c r="A76" s="3">
        <v>9797</v>
      </c>
      <c r="B76" s="3" t="s">
        <v>31</v>
      </c>
      <c r="C76" s="4">
        <v>45728</v>
      </c>
      <c r="D76" s="3" t="s">
        <v>15</v>
      </c>
      <c r="E76" s="3" t="s">
        <v>16</v>
      </c>
      <c r="F76" s="5">
        <v>2</v>
      </c>
      <c r="G76" s="6">
        <v>26.13</v>
      </c>
      <c r="H76" s="6">
        <v>52.26</v>
      </c>
      <c r="I76" s="6">
        <v>7.84</v>
      </c>
      <c r="J76" s="6">
        <v>44.42</v>
      </c>
      <c r="K76" s="5">
        <v>93</v>
      </c>
    </row>
    <row r="77" spans="1:11" x14ac:dyDescent="0.3">
      <c r="A77" s="3">
        <v>5371</v>
      </c>
      <c r="B77" s="3" t="s">
        <v>24</v>
      </c>
      <c r="C77" s="4">
        <v>45741</v>
      </c>
      <c r="D77" s="3" t="s">
        <v>22</v>
      </c>
      <c r="E77" s="3" t="s">
        <v>44</v>
      </c>
      <c r="F77" s="5">
        <v>4</v>
      </c>
      <c r="G77" s="6">
        <v>10.47</v>
      </c>
      <c r="H77" s="6">
        <v>41.88</v>
      </c>
      <c r="I77" s="6">
        <v>6.28</v>
      </c>
      <c r="J77" s="6">
        <v>35.6</v>
      </c>
      <c r="K77" s="5">
        <v>389</v>
      </c>
    </row>
    <row r="78" spans="1:11" x14ac:dyDescent="0.3">
      <c r="A78" s="3">
        <v>6573</v>
      </c>
      <c r="B78" s="3" t="s">
        <v>24</v>
      </c>
      <c r="C78" s="4">
        <v>45231</v>
      </c>
      <c r="D78" s="3" t="s">
        <v>35</v>
      </c>
      <c r="E78" s="3" t="s">
        <v>43</v>
      </c>
      <c r="F78" s="5">
        <v>4</v>
      </c>
      <c r="G78" s="6">
        <v>1.55</v>
      </c>
      <c r="H78" s="6">
        <v>6.2</v>
      </c>
      <c r="I78" s="6">
        <v>0.93</v>
      </c>
      <c r="J78" s="6">
        <v>5.27</v>
      </c>
      <c r="K78" s="5">
        <v>276</v>
      </c>
    </row>
    <row r="79" spans="1:11" x14ac:dyDescent="0.3">
      <c r="A79" s="3">
        <v>5808</v>
      </c>
      <c r="B79" s="3" t="s">
        <v>42</v>
      </c>
      <c r="C79" s="4">
        <v>45482</v>
      </c>
      <c r="D79" s="3" t="s">
        <v>27</v>
      </c>
      <c r="E79" s="3" t="s">
        <v>43</v>
      </c>
      <c r="F79" s="5">
        <v>1</v>
      </c>
      <c r="G79" s="6">
        <v>22.86</v>
      </c>
      <c r="H79" s="6">
        <v>22.86</v>
      </c>
      <c r="I79" s="6">
        <v>4.57</v>
      </c>
      <c r="J79" s="6">
        <v>18.29</v>
      </c>
      <c r="K79" s="5">
        <v>486</v>
      </c>
    </row>
    <row r="80" spans="1:11" x14ac:dyDescent="0.3">
      <c r="A80" s="3">
        <v>3591</v>
      </c>
      <c r="B80" s="3" t="s">
        <v>31</v>
      </c>
      <c r="C80" s="4">
        <v>45497</v>
      </c>
      <c r="D80" s="3" t="s">
        <v>28</v>
      </c>
      <c r="E80" s="3" t="s">
        <v>41</v>
      </c>
      <c r="F80" s="5">
        <v>2</v>
      </c>
      <c r="G80" s="6">
        <v>4.6500000000000004</v>
      </c>
      <c r="H80" s="6">
        <v>9.3000000000000007</v>
      </c>
      <c r="I80" s="6">
        <v>4.79</v>
      </c>
      <c r="J80" s="6">
        <v>4.51</v>
      </c>
      <c r="K80" s="5">
        <v>342</v>
      </c>
    </row>
    <row r="81" spans="1:11" x14ac:dyDescent="0.3">
      <c r="A81" s="3">
        <v>1053</v>
      </c>
      <c r="B81" s="3" t="s">
        <v>26</v>
      </c>
      <c r="C81" s="4">
        <v>45705</v>
      </c>
      <c r="D81" s="3" t="s">
        <v>35</v>
      </c>
      <c r="E81" s="3" t="s">
        <v>23</v>
      </c>
      <c r="F81" s="5">
        <v>2</v>
      </c>
      <c r="G81" s="6">
        <v>18.559999999999999</v>
      </c>
      <c r="H81" s="6">
        <v>37.119999999999997</v>
      </c>
      <c r="I81" s="6">
        <v>7.42</v>
      </c>
      <c r="J81" s="6">
        <v>29.7</v>
      </c>
      <c r="K81" s="5">
        <v>493</v>
      </c>
    </row>
    <row r="82" spans="1:11" x14ac:dyDescent="0.3">
      <c r="A82" s="3">
        <v>5315</v>
      </c>
      <c r="B82" s="3" t="s">
        <v>30</v>
      </c>
      <c r="C82" s="4">
        <v>45533</v>
      </c>
      <c r="D82" s="3" t="s">
        <v>15</v>
      </c>
      <c r="E82" s="3" t="s">
        <v>39</v>
      </c>
      <c r="F82" s="5">
        <v>3</v>
      </c>
      <c r="G82" s="6">
        <v>17.690000000000001</v>
      </c>
      <c r="H82" s="6">
        <v>53.07</v>
      </c>
      <c r="I82" s="6">
        <v>5.31</v>
      </c>
      <c r="J82" s="6">
        <v>47.76</v>
      </c>
      <c r="K82" s="5">
        <v>464</v>
      </c>
    </row>
    <row r="83" spans="1:11" x14ac:dyDescent="0.3">
      <c r="A83" s="3">
        <v>3927</v>
      </c>
      <c r="B83" s="3" t="s">
        <v>42</v>
      </c>
      <c r="C83" s="4">
        <v>45539</v>
      </c>
      <c r="D83" s="3" t="s">
        <v>15</v>
      </c>
      <c r="E83" s="3" t="s">
        <v>25</v>
      </c>
      <c r="F83" s="5">
        <v>1</v>
      </c>
      <c r="G83" s="6">
        <v>21.21</v>
      </c>
      <c r="H83" s="6">
        <v>21.21</v>
      </c>
      <c r="I83" s="6">
        <v>4.13</v>
      </c>
      <c r="J83" s="6">
        <v>17.079999999999998</v>
      </c>
      <c r="K83" s="5">
        <v>154</v>
      </c>
    </row>
    <row r="84" spans="1:11" x14ac:dyDescent="0.3">
      <c r="A84" s="3">
        <v>2743</v>
      </c>
      <c r="B84" s="3" t="s">
        <v>36</v>
      </c>
      <c r="C84" s="4">
        <v>45821</v>
      </c>
      <c r="D84" s="3" t="s">
        <v>38</v>
      </c>
      <c r="E84" s="3" t="s">
        <v>16</v>
      </c>
      <c r="F84" s="5">
        <v>3</v>
      </c>
      <c r="G84" s="6">
        <v>2.99</v>
      </c>
      <c r="H84" s="6">
        <v>8.9700000000000006</v>
      </c>
      <c r="I84" s="6">
        <v>4.4000000000000004</v>
      </c>
      <c r="J84" s="6">
        <v>4.57</v>
      </c>
      <c r="K84" s="5">
        <v>331</v>
      </c>
    </row>
    <row r="85" spans="1:11" x14ac:dyDescent="0.3">
      <c r="A85" s="3">
        <v>5889</v>
      </c>
      <c r="B85" s="3" t="s">
        <v>26</v>
      </c>
      <c r="C85" s="4">
        <v>45798</v>
      </c>
      <c r="D85" s="3" t="s">
        <v>15</v>
      </c>
      <c r="E85" s="3" t="s">
        <v>16</v>
      </c>
      <c r="F85" s="5">
        <v>3</v>
      </c>
      <c r="G85" s="6">
        <v>19.420000000000002</v>
      </c>
      <c r="H85" s="6">
        <v>58.26</v>
      </c>
      <c r="I85" s="6">
        <v>0</v>
      </c>
      <c r="J85" s="6">
        <v>58.26</v>
      </c>
      <c r="K85" s="5">
        <v>424</v>
      </c>
    </row>
    <row r="86" spans="1:11" x14ac:dyDescent="0.3">
      <c r="A86" s="3">
        <v>9317</v>
      </c>
      <c r="B86" s="3" t="s">
        <v>19</v>
      </c>
      <c r="C86" s="4">
        <v>45618</v>
      </c>
      <c r="D86" s="3" t="s">
        <v>20</v>
      </c>
      <c r="E86" s="3" t="s">
        <v>29</v>
      </c>
      <c r="F86" s="5">
        <v>5</v>
      </c>
      <c r="G86" s="6">
        <v>28.99</v>
      </c>
      <c r="H86" s="6">
        <v>144.94999999999999</v>
      </c>
      <c r="I86" s="6">
        <v>14.49</v>
      </c>
      <c r="J86" s="6">
        <v>130.46</v>
      </c>
      <c r="K86" s="5">
        <v>138</v>
      </c>
    </row>
    <row r="87" spans="1:11" x14ac:dyDescent="0.3">
      <c r="A87" s="3">
        <v>4258</v>
      </c>
      <c r="B87" s="3" t="s">
        <v>24</v>
      </c>
      <c r="C87" s="4">
        <v>45263</v>
      </c>
      <c r="D87" s="3" t="s">
        <v>28</v>
      </c>
      <c r="E87" s="3" t="s">
        <v>13</v>
      </c>
      <c r="F87" s="5">
        <v>3</v>
      </c>
      <c r="G87" s="6">
        <v>25.69</v>
      </c>
      <c r="H87" s="6">
        <v>77.069999999999993</v>
      </c>
      <c r="I87" s="6">
        <v>11.56</v>
      </c>
      <c r="J87" s="6">
        <v>65.510000000000005</v>
      </c>
      <c r="K87" s="5">
        <v>425</v>
      </c>
    </row>
    <row r="88" spans="1:11" x14ac:dyDescent="0.3">
      <c r="A88" s="3">
        <v>7126</v>
      </c>
      <c r="B88" s="3" t="s">
        <v>26</v>
      </c>
      <c r="C88" s="4">
        <v>45737</v>
      </c>
      <c r="D88" s="3" t="s">
        <v>17</v>
      </c>
      <c r="E88" s="3" t="s">
        <v>33</v>
      </c>
      <c r="F88" s="5">
        <v>5</v>
      </c>
      <c r="G88" s="6">
        <v>18.690000000000001</v>
      </c>
      <c r="H88" s="6">
        <v>93.45</v>
      </c>
      <c r="I88" s="6">
        <v>2.98</v>
      </c>
      <c r="J88" s="6">
        <v>90.47</v>
      </c>
      <c r="K88" s="5">
        <v>194</v>
      </c>
    </row>
    <row r="89" spans="1:11" x14ac:dyDescent="0.3">
      <c r="A89" s="3">
        <v>3646</v>
      </c>
      <c r="B89" s="3" t="s">
        <v>36</v>
      </c>
      <c r="C89" s="4">
        <v>45563</v>
      </c>
      <c r="D89" s="3" t="s">
        <v>34</v>
      </c>
      <c r="E89" s="3" t="s">
        <v>47</v>
      </c>
      <c r="F89" s="5">
        <v>2</v>
      </c>
      <c r="G89" s="6">
        <v>11.28</v>
      </c>
      <c r="H89" s="6">
        <v>22.56</v>
      </c>
      <c r="I89" s="6">
        <v>3.38</v>
      </c>
      <c r="J89" s="6">
        <v>19.18</v>
      </c>
      <c r="K89" s="5">
        <v>132</v>
      </c>
    </row>
    <row r="90" spans="1:11" x14ac:dyDescent="0.3">
      <c r="A90" s="3">
        <v>9689</v>
      </c>
      <c r="B90" s="3" t="s">
        <v>30</v>
      </c>
      <c r="C90" s="4">
        <v>45858</v>
      </c>
      <c r="D90" s="3" t="s">
        <v>38</v>
      </c>
      <c r="E90" s="3" t="s">
        <v>39</v>
      </c>
      <c r="F90" s="5">
        <v>5</v>
      </c>
      <c r="G90" s="6">
        <v>28.48</v>
      </c>
      <c r="H90" s="6">
        <v>142.4</v>
      </c>
      <c r="I90" s="6">
        <v>0</v>
      </c>
      <c r="J90" s="6">
        <v>142.4</v>
      </c>
      <c r="K90" s="5">
        <v>43</v>
      </c>
    </row>
    <row r="91" spans="1:11" x14ac:dyDescent="0.3">
      <c r="A91" s="3">
        <v>1009</v>
      </c>
      <c r="B91" s="3" t="s">
        <v>24</v>
      </c>
      <c r="C91" s="4">
        <v>45610</v>
      </c>
      <c r="D91" s="3" t="s">
        <v>45</v>
      </c>
      <c r="E91" s="3" t="s">
        <v>18</v>
      </c>
      <c r="F91" s="5">
        <v>2</v>
      </c>
      <c r="G91" s="6">
        <v>21.02</v>
      </c>
      <c r="H91" s="6">
        <v>42.04</v>
      </c>
      <c r="I91" s="6">
        <v>4.2</v>
      </c>
      <c r="J91" s="6">
        <v>37.840000000000003</v>
      </c>
      <c r="K91" s="5">
        <v>330</v>
      </c>
    </row>
    <row r="92" spans="1:11" x14ac:dyDescent="0.3">
      <c r="A92" s="3">
        <v>6310</v>
      </c>
      <c r="B92" s="3" t="s">
        <v>31</v>
      </c>
      <c r="C92" s="4">
        <v>45524</v>
      </c>
      <c r="D92" s="3" t="s">
        <v>15</v>
      </c>
      <c r="E92" s="3" t="s">
        <v>37</v>
      </c>
      <c r="F92" s="5">
        <v>2</v>
      </c>
      <c r="G92" s="6">
        <v>12.72</v>
      </c>
      <c r="H92" s="6">
        <v>25.44</v>
      </c>
      <c r="I92" s="6">
        <v>0</v>
      </c>
      <c r="J92" s="6">
        <v>25.44</v>
      </c>
      <c r="K92" s="5">
        <v>124</v>
      </c>
    </row>
    <row r="93" spans="1:11" x14ac:dyDescent="0.3">
      <c r="A93" s="3">
        <v>1319</v>
      </c>
      <c r="B93" s="3" t="s">
        <v>36</v>
      </c>
      <c r="C93" s="4">
        <v>45231</v>
      </c>
      <c r="D93" s="3" t="s">
        <v>45</v>
      </c>
      <c r="E93" s="3" t="s">
        <v>18</v>
      </c>
      <c r="F93" s="5">
        <v>5</v>
      </c>
      <c r="G93" s="6">
        <v>10.96</v>
      </c>
      <c r="H93" s="6">
        <v>54.8</v>
      </c>
      <c r="I93" s="6">
        <v>8.2200000000000006</v>
      </c>
      <c r="J93" s="6">
        <v>46.58</v>
      </c>
      <c r="K93" s="5">
        <v>381</v>
      </c>
    </row>
    <row r="94" spans="1:11" x14ac:dyDescent="0.3">
      <c r="A94" s="3">
        <v>6947</v>
      </c>
      <c r="B94" s="3" t="s">
        <v>26</v>
      </c>
      <c r="C94" s="4">
        <v>45827</v>
      </c>
      <c r="D94" s="3" t="s">
        <v>35</v>
      </c>
      <c r="E94" s="3" t="s">
        <v>37</v>
      </c>
      <c r="F94" s="5">
        <v>3</v>
      </c>
      <c r="G94" s="6">
        <v>7.68</v>
      </c>
      <c r="H94" s="6">
        <v>23.04</v>
      </c>
      <c r="I94" s="6">
        <v>3.46</v>
      </c>
      <c r="J94" s="6">
        <v>19.579999999999998</v>
      </c>
      <c r="K94" s="5">
        <v>369</v>
      </c>
    </row>
    <row r="95" spans="1:11" x14ac:dyDescent="0.3">
      <c r="A95" s="3">
        <v>6038</v>
      </c>
      <c r="B95" s="3" t="s">
        <v>11</v>
      </c>
      <c r="C95" s="4">
        <v>45330</v>
      </c>
      <c r="D95" s="3" t="s">
        <v>38</v>
      </c>
      <c r="E95" s="3" t="s">
        <v>29</v>
      </c>
      <c r="F95" s="5">
        <v>2</v>
      </c>
      <c r="G95" s="6">
        <v>7.27</v>
      </c>
      <c r="H95" s="6">
        <v>14.54</v>
      </c>
      <c r="I95" s="6">
        <v>0</v>
      </c>
      <c r="J95" s="6">
        <v>14.54</v>
      </c>
      <c r="K95" s="5">
        <v>247</v>
      </c>
    </row>
    <row r="96" spans="1:11" x14ac:dyDescent="0.3">
      <c r="A96" s="3">
        <v>1949</v>
      </c>
      <c r="B96" s="3" t="s">
        <v>14</v>
      </c>
      <c r="C96" s="4">
        <v>45332</v>
      </c>
      <c r="D96" s="3" t="s">
        <v>28</v>
      </c>
      <c r="E96" s="3" t="s">
        <v>37</v>
      </c>
      <c r="F96" s="5">
        <v>1</v>
      </c>
      <c r="G96" s="6">
        <v>25.14</v>
      </c>
      <c r="H96" s="6">
        <v>25.14</v>
      </c>
      <c r="I96" s="6">
        <v>3.77</v>
      </c>
      <c r="J96" s="6">
        <v>21.37</v>
      </c>
      <c r="K96" s="5">
        <v>151</v>
      </c>
    </row>
    <row r="97" spans="1:11" x14ac:dyDescent="0.3">
      <c r="A97" s="3">
        <v>2290</v>
      </c>
      <c r="B97" s="3" t="s">
        <v>19</v>
      </c>
      <c r="C97" s="4">
        <v>45211</v>
      </c>
      <c r="D97" s="3" t="s">
        <v>35</v>
      </c>
      <c r="E97" s="3" t="s">
        <v>39</v>
      </c>
      <c r="F97" s="5">
        <v>5</v>
      </c>
      <c r="G97" s="6">
        <v>4.66</v>
      </c>
      <c r="H97" s="6">
        <v>23.3</v>
      </c>
      <c r="I97" s="6">
        <v>2.17</v>
      </c>
      <c r="J97" s="6">
        <v>21.13</v>
      </c>
      <c r="K97" s="5">
        <v>23</v>
      </c>
    </row>
    <row r="98" spans="1:11" x14ac:dyDescent="0.3">
      <c r="A98" s="3">
        <v>8962</v>
      </c>
      <c r="B98" s="3" t="s">
        <v>19</v>
      </c>
      <c r="C98" s="4">
        <v>45778</v>
      </c>
      <c r="D98" s="3" t="s">
        <v>27</v>
      </c>
      <c r="E98" s="3" t="s">
        <v>47</v>
      </c>
      <c r="F98" s="5">
        <v>1</v>
      </c>
      <c r="G98" s="6">
        <v>26.3</v>
      </c>
      <c r="H98" s="6">
        <v>26.3</v>
      </c>
      <c r="I98" s="6">
        <v>2.63</v>
      </c>
      <c r="J98" s="6">
        <v>23.67</v>
      </c>
      <c r="K98" s="5">
        <v>293</v>
      </c>
    </row>
    <row r="99" spans="1:11" x14ac:dyDescent="0.3">
      <c r="A99" s="3">
        <v>2133</v>
      </c>
      <c r="B99" s="3" t="s">
        <v>26</v>
      </c>
      <c r="C99" s="4">
        <v>45735</v>
      </c>
      <c r="D99" s="3" t="s">
        <v>45</v>
      </c>
      <c r="E99" s="3" t="s">
        <v>21</v>
      </c>
      <c r="F99" s="5">
        <v>2</v>
      </c>
      <c r="G99" s="6">
        <v>28.99</v>
      </c>
      <c r="H99" s="6">
        <v>57.98</v>
      </c>
      <c r="I99" s="6">
        <v>4.29</v>
      </c>
      <c r="J99" s="6">
        <v>53.69</v>
      </c>
      <c r="K99" s="5">
        <v>129</v>
      </c>
    </row>
    <row r="100" spans="1:11" x14ac:dyDescent="0.3">
      <c r="A100" s="3">
        <v>9727</v>
      </c>
      <c r="B100" s="3" t="s">
        <v>24</v>
      </c>
      <c r="C100" s="4">
        <v>45739</v>
      </c>
      <c r="D100" s="3" t="s">
        <v>45</v>
      </c>
      <c r="E100" s="3" t="s">
        <v>43</v>
      </c>
      <c r="F100" s="5">
        <v>5</v>
      </c>
      <c r="G100" s="6">
        <v>19.239999999999998</v>
      </c>
      <c r="H100" s="6">
        <v>96.2</v>
      </c>
      <c r="I100" s="6">
        <v>19.239999999999998</v>
      </c>
      <c r="J100" s="6">
        <v>76.959999999999994</v>
      </c>
      <c r="K100" s="5">
        <v>27</v>
      </c>
    </row>
    <row r="101" spans="1:11" x14ac:dyDescent="0.3">
      <c r="A101" s="3">
        <v>3060</v>
      </c>
      <c r="B101" s="3" t="s">
        <v>30</v>
      </c>
      <c r="C101" s="4">
        <v>45244</v>
      </c>
      <c r="D101" s="3" t="s">
        <v>15</v>
      </c>
      <c r="E101" s="3" t="s">
        <v>25</v>
      </c>
      <c r="F101" s="5">
        <v>1</v>
      </c>
      <c r="G101" s="6">
        <v>17.170000000000002</v>
      </c>
      <c r="H101" s="6">
        <v>17.170000000000002</v>
      </c>
      <c r="I101" s="6">
        <v>2.52</v>
      </c>
      <c r="J101" s="6">
        <v>14.65</v>
      </c>
      <c r="K101" s="5">
        <v>213</v>
      </c>
    </row>
    <row r="102" spans="1:11" x14ac:dyDescent="0.3">
      <c r="A102" s="3">
        <v>8787</v>
      </c>
      <c r="B102" s="3" t="s">
        <v>26</v>
      </c>
      <c r="C102" s="4">
        <v>45572</v>
      </c>
      <c r="D102" s="3" t="s">
        <v>35</v>
      </c>
      <c r="E102" s="3" t="s">
        <v>16</v>
      </c>
      <c r="F102" s="5">
        <v>3</v>
      </c>
      <c r="G102" s="6">
        <v>17.48</v>
      </c>
      <c r="H102" s="6">
        <v>52.44</v>
      </c>
      <c r="I102" s="6">
        <v>10.49</v>
      </c>
      <c r="J102" s="6">
        <v>41.95</v>
      </c>
      <c r="K102" s="5">
        <v>30</v>
      </c>
    </row>
    <row r="103" spans="1:11" x14ac:dyDescent="0.3">
      <c r="A103" s="3">
        <v>3705</v>
      </c>
      <c r="B103" s="3" t="s">
        <v>42</v>
      </c>
      <c r="C103" s="4">
        <v>45350</v>
      </c>
      <c r="D103" s="3" t="s">
        <v>35</v>
      </c>
      <c r="E103" s="3" t="s">
        <v>43</v>
      </c>
      <c r="F103" s="5">
        <v>2</v>
      </c>
      <c r="G103" s="6">
        <v>7.95</v>
      </c>
      <c r="H103" s="6">
        <v>15.9</v>
      </c>
      <c r="I103" s="6">
        <v>3.18</v>
      </c>
      <c r="J103" s="6">
        <v>12.72</v>
      </c>
      <c r="K103" s="5">
        <v>282</v>
      </c>
    </row>
    <row r="104" spans="1:11" x14ac:dyDescent="0.3">
      <c r="A104" s="3">
        <v>9645</v>
      </c>
      <c r="B104" s="3" t="s">
        <v>31</v>
      </c>
      <c r="C104" s="4">
        <v>45822</v>
      </c>
      <c r="D104" s="3" t="s">
        <v>20</v>
      </c>
      <c r="E104" s="3" t="s">
        <v>33</v>
      </c>
      <c r="F104" s="5">
        <v>5</v>
      </c>
      <c r="G104" s="6">
        <v>14.62</v>
      </c>
      <c r="H104" s="6">
        <v>73.099999999999994</v>
      </c>
      <c r="I104" s="6">
        <v>10.96</v>
      </c>
      <c r="J104" s="6">
        <v>62.14</v>
      </c>
      <c r="K104" s="5">
        <v>16</v>
      </c>
    </row>
    <row r="105" spans="1:11" x14ac:dyDescent="0.3">
      <c r="A105" s="3">
        <v>7932</v>
      </c>
      <c r="B105" s="3" t="s">
        <v>30</v>
      </c>
      <c r="C105" s="4">
        <v>45309</v>
      </c>
      <c r="D105" s="3" t="s">
        <v>45</v>
      </c>
      <c r="E105" s="3" t="s">
        <v>43</v>
      </c>
      <c r="F105" s="5">
        <v>2</v>
      </c>
      <c r="G105" s="6">
        <v>27.78</v>
      </c>
      <c r="H105" s="6">
        <v>55.56</v>
      </c>
      <c r="I105" s="6">
        <v>5.56</v>
      </c>
      <c r="J105" s="6">
        <v>50</v>
      </c>
      <c r="K105" s="5">
        <v>403</v>
      </c>
    </row>
    <row r="106" spans="1:11" x14ac:dyDescent="0.3">
      <c r="A106" s="3">
        <v>9835</v>
      </c>
      <c r="B106" s="3" t="s">
        <v>11</v>
      </c>
      <c r="C106" s="4">
        <v>45731</v>
      </c>
      <c r="D106" s="3" t="s">
        <v>38</v>
      </c>
      <c r="E106" s="3" t="s">
        <v>25</v>
      </c>
      <c r="F106" s="5">
        <v>2</v>
      </c>
      <c r="G106" s="6">
        <v>27.33</v>
      </c>
      <c r="H106" s="6">
        <v>54.66</v>
      </c>
      <c r="I106" s="6">
        <v>1.24</v>
      </c>
      <c r="J106" s="6">
        <v>53.42</v>
      </c>
      <c r="K106" s="5">
        <v>423</v>
      </c>
    </row>
    <row r="107" spans="1:11" x14ac:dyDescent="0.3">
      <c r="A107" s="3">
        <v>4295</v>
      </c>
      <c r="B107" s="3" t="s">
        <v>30</v>
      </c>
      <c r="C107" s="4">
        <v>45698</v>
      </c>
      <c r="D107" s="3" t="s">
        <v>28</v>
      </c>
      <c r="E107" s="3" t="s">
        <v>37</v>
      </c>
      <c r="F107" s="5">
        <v>4</v>
      </c>
      <c r="G107" s="6">
        <v>4.5999999999999996</v>
      </c>
      <c r="H107" s="6">
        <v>18.399999999999999</v>
      </c>
      <c r="I107" s="6">
        <v>0</v>
      </c>
      <c r="J107" s="6">
        <v>18.399999999999999</v>
      </c>
      <c r="K107" s="5">
        <v>352</v>
      </c>
    </row>
    <row r="108" spans="1:11" x14ac:dyDescent="0.3">
      <c r="A108" s="3">
        <v>6107</v>
      </c>
      <c r="B108" s="3" t="s">
        <v>24</v>
      </c>
      <c r="C108" s="4">
        <v>45454</v>
      </c>
      <c r="D108" s="3" t="s">
        <v>35</v>
      </c>
      <c r="E108" s="3" t="s">
        <v>46</v>
      </c>
      <c r="F108" s="5">
        <v>5</v>
      </c>
      <c r="G108" s="6">
        <v>15.31</v>
      </c>
      <c r="H108" s="6">
        <v>76.55</v>
      </c>
      <c r="I108" s="6">
        <v>7.66</v>
      </c>
      <c r="J108" s="6">
        <v>68.89</v>
      </c>
      <c r="K108" s="5">
        <v>41</v>
      </c>
    </row>
    <row r="109" spans="1:11" x14ac:dyDescent="0.3">
      <c r="A109" s="3">
        <v>7118</v>
      </c>
      <c r="B109" s="3" t="s">
        <v>36</v>
      </c>
      <c r="C109" s="4">
        <v>45485</v>
      </c>
      <c r="D109" s="3" t="s">
        <v>28</v>
      </c>
      <c r="E109" s="3" t="s">
        <v>13</v>
      </c>
      <c r="F109" s="5">
        <v>1</v>
      </c>
      <c r="G109" s="6">
        <v>3.64</v>
      </c>
      <c r="H109" s="6">
        <v>3.64</v>
      </c>
      <c r="I109" s="6">
        <v>0</v>
      </c>
      <c r="J109" s="6">
        <v>3.64</v>
      </c>
      <c r="K109" s="5">
        <v>492</v>
      </c>
    </row>
    <row r="110" spans="1:11" x14ac:dyDescent="0.3">
      <c r="A110" s="3">
        <v>9479</v>
      </c>
      <c r="B110" s="3" t="s">
        <v>30</v>
      </c>
      <c r="C110" s="4">
        <v>45495</v>
      </c>
      <c r="D110" s="3" t="s">
        <v>28</v>
      </c>
      <c r="E110" s="3" t="s">
        <v>40</v>
      </c>
      <c r="F110" s="5">
        <v>2</v>
      </c>
      <c r="G110" s="6">
        <v>14.63</v>
      </c>
      <c r="H110" s="6">
        <v>29.26</v>
      </c>
      <c r="I110" s="6">
        <v>4.3899999999999997</v>
      </c>
      <c r="J110" s="6">
        <v>24.87</v>
      </c>
      <c r="K110" s="5">
        <v>333</v>
      </c>
    </row>
    <row r="111" spans="1:11" x14ac:dyDescent="0.3">
      <c r="A111" s="3">
        <v>2982</v>
      </c>
      <c r="B111" s="3" t="s">
        <v>19</v>
      </c>
      <c r="C111" s="4">
        <v>45337</v>
      </c>
      <c r="D111" s="3" t="s">
        <v>28</v>
      </c>
      <c r="E111" s="3" t="s">
        <v>16</v>
      </c>
      <c r="F111" s="5">
        <v>4</v>
      </c>
      <c r="G111" s="6">
        <v>29.09</v>
      </c>
      <c r="H111" s="6">
        <v>116.36</v>
      </c>
      <c r="I111" s="6">
        <v>11.64</v>
      </c>
      <c r="J111" s="6">
        <v>104.72</v>
      </c>
      <c r="K111" s="5">
        <v>240</v>
      </c>
    </row>
    <row r="112" spans="1:11" x14ac:dyDescent="0.3">
      <c r="A112" s="3">
        <v>4681</v>
      </c>
      <c r="B112" s="3" t="s">
        <v>36</v>
      </c>
      <c r="C112" s="4">
        <v>45194</v>
      </c>
      <c r="D112" s="3" t="s">
        <v>22</v>
      </c>
      <c r="E112" s="3" t="s">
        <v>48</v>
      </c>
      <c r="F112" s="5">
        <v>2</v>
      </c>
      <c r="G112" s="6">
        <v>10.55</v>
      </c>
      <c r="H112" s="6">
        <v>21.1</v>
      </c>
      <c r="I112" s="6">
        <v>3.17</v>
      </c>
      <c r="J112" s="6">
        <v>17.93</v>
      </c>
      <c r="K112" s="5">
        <v>355</v>
      </c>
    </row>
    <row r="113" spans="1:11" x14ac:dyDescent="0.3">
      <c r="A113" s="3">
        <v>6539</v>
      </c>
      <c r="B113" s="3" t="s">
        <v>24</v>
      </c>
      <c r="C113" s="4">
        <v>45161</v>
      </c>
      <c r="D113" s="3" t="s">
        <v>38</v>
      </c>
      <c r="E113" s="3" t="s">
        <v>40</v>
      </c>
      <c r="F113" s="5">
        <v>4</v>
      </c>
      <c r="G113" s="6">
        <v>3.54</v>
      </c>
      <c r="H113" s="6">
        <v>14.16</v>
      </c>
      <c r="I113" s="6">
        <v>4.88</v>
      </c>
      <c r="J113" s="6">
        <v>9.2799999999999994</v>
      </c>
      <c r="K113" s="5">
        <v>129</v>
      </c>
    </row>
    <row r="114" spans="1:11" x14ac:dyDescent="0.3">
      <c r="A114" s="3">
        <v>4770</v>
      </c>
      <c r="B114" s="3" t="s">
        <v>24</v>
      </c>
      <c r="C114" s="4">
        <v>45602</v>
      </c>
      <c r="D114" s="3" t="s">
        <v>38</v>
      </c>
      <c r="E114" s="3" t="s">
        <v>39</v>
      </c>
      <c r="F114" s="5">
        <v>5</v>
      </c>
      <c r="G114" s="6">
        <v>14.39</v>
      </c>
      <c r="H114" s="6">
        <v>71.95</v>
      </c>
      <c r="I114" s="6">
        <v>2.4500000000000002</v>
      </c>
      <c r="J114" s="6">
        <v>69.5</v>
      </c>
      <c r="K114" s="5">
        <v>27</v>
      </c>
    </row>
    <row r="115" spans="1:11" x14ac:dyDescent="0.3">
      <c r="A115" s="3">
        <v>4608</v>
      </c>
      <c r="B115" s="3" t="s">
        <v>26</v>
      </c>
      <c r="C115" s="4">
        <v>45150</v>
      </c>
      <c r="D115" s="3" t="s">
        <v>27</v>
      </c>
      <c r="E115" s="3" t="s">
        <v>33</v>
      </c>
      <c r="F115" s="5">
        <v>1</v>
      </c>
      <c r="G115" s="6">
        <v>6.89</v>
      </c>
      <c r="H115" s="6">
        <v>6.89</v>
      </c>
      <c r="I115" s="6">
        <v>1.03</v>
      </c>
      <c r="J115" s="6">
        <v>5.86</v>
      </c>
      <c r="K115" s="5">
        <v>281</v>
      </c>
    </row>
    <row r="116" spans="1:11" x14ac:dyDescent="0.3">
      <c r="A116" s="3">
        <v>2163</v>
      </c>
      <c r="B116" s="3" t="s">
        <v>26</v>
      </c>
      <c r="C116" s="4">
        <v>45694</v>
      </c>
      <c r="D116" s="3" t="s">
        <v>45</v>
      </c>
      <c r="E116" s="3" t="s">
        <v>48</v>
      </c>
      <c r="F116" s="5">
        <v>1</v>
      </c>
      <c r="G116" s="6">
        <v>29.21</v>
      </c>
      <c r="H116" s="6">
        <v>29.21</v>
      </c>
      <c r="I116" s="6">
        <v>0</v>
      </c>
      <c r="J116" s="6">
        <v>29.21</v>
      </c>
      <c r="K116" s="5">
        <v>311</v>
      </c>
    </row>
    <row r="117" spans="1:11" x14ac:dyDescent="0.3">
      <c r="A117" s="3">
        <v>1964</v>
      </c>
      <c r="B117" s="3" t="s">
        <v>19</v>
      </c>
      <c r="C117" s="4">
        <v>45322</v>
      </c>
      <c r="D117" s="3" t="s">
        <v>35</v>
      </c>
      <c r="E117" s="3" t="s">
        <v>18</v>
      </c>
      <c r="F117" s="5">
        <v>1</v>
      </c>
      <c r="G117" s="6">
        <v>17.010000000000002</v>
      </c>
      <c r="H117" s="6">
        <v>17.010000000000002</v>
      </c>
      <c r="I117" s="6">
        <v>2.85</v>
      </c>
      <c r="J117" s="6">
        <v>14.16</v>
      </c>
      <c r="K117" s="5">
        <v>47</v>
      </c>
    </row>
    <row r="118" spans="1:11" x14ac:dyDescent="0.3">
      <c r="A118" s="3">
        <v>2104</v>
      </c>
      <c r="B118" s="3" t="s">
        <v>11</v>
      </c>
      <c r="C118" s="4">
        <v>45848</v>
      </c>
      <c r="D118" s="3" t="s">
        <v>27</v>
      </c>
      <c r="E118" s="3" t="s">
        <v>41</v>
      </c>
      <c r="F118" s="5">
        <v>4</v>
      </c>
      <c r="G118" s="6">
        <v>28.04</v>
      </c>
      <c r="H118" s="6">
        <v>112.16</v>
      </c>
      <c r="I118" s="6">
        <v>11.22</v>
      </c>
      <c r="J118" s="6">
        <v>100.94</v>
      </c>
      <c r="K118" s="5">
        <v>149</v>
      </c>
    </row>
    <row r="119" spans="1:11" x14ac:dyDescent="0.3">
      <c r="A119" s="3">
        <v>1514</v>
      </c>
      <c r="B119" s="3" t="s">
        <v>26</v>
      </c>
      <c r="C119" s="4">
        <v>45812</v>
      </c>
      <c r="D119" s="3" t="s">
        <v>45</v>
      </c>
      <c r="E119" s="3" t="s">
        <v>25</v>
      </c>
      <c r="F119" s="5">
        <v>4</v>
      </c>
      <c r="G119" s="6">
        <v>16.98</v>
      </c>
      <c r="H119" s="6">
        <v>67.92</v>
      </c>
      <c r="I119" s="6">
        <v>3.03</v>
      </c>
      <c r="J119" s="6">
        <v>64.89</v>
      </c>
      <c r="K119" s="5">
        <v>196</v>
      </c>
    </row>
    <row r="120" spans="1:11" x14ac:dyDescent="0.3">
      <c r="A120" s="3">
        <v>6413</v>
      </c>
      <c r="B120" s="3" t="s">
        <v>19</v>
      </c>
      <c r="C120" s="4">
        <v>45200</v>
      </c>
      <c r="D120" s="3" t="s">
        <v>15</v>
      </c>
      <c r="E120" s="3" t="s">
        <v>13</v>
      </c>
      <c r="F120" s="5">
        <v>4</v>
      </c>
      <c r="G120" s="6">
        <v>10.85</v>
      </c>
      <c r="H120" s="6">
        <v>43.4</v>
      </c>
      <c r="I120" s="6">
        <v>2.13</v>
      </c>
      <c r="J120" s="6">
        <v>41.27</v>
      </c>
      <c r="K120" s="5">
        <v>403</v>
      </c>
    </row>
    <row r="121" spans="1:11" x14ac:dyDescent="0.3">
      <c r="A121" s="3">
        <v>9423</v>
      </c>
      <c r="B121" s="3" t="s">
        <v>30</v>
      </c>
      <c r="C121" s="4">
        <v>45329</v>
      </c>
      <c r="D121" s="3" t="s">
        <v>28</v>
      </c>
      <c r="E121" s="3" t="s">
        <v>47</v>
      </c>
      <c r="F121" s="5">
        <v>2</v>
      </c>
      <c r="G121" s="6">
        <v>13.94</v>
      </c>
      <c r="H121" s="6">
        <v>27.88</v>
      </c>
      <c r="I121" s="6">
        <v>4.18</v>
      </c>
      <c r="J121" s="6">
        <v>23.7</v>
      </c>
      <c r="K121" s="5">
        <v>247</v>
      </c>
    </row>
    <row r="122" spans="1:11" x14ac:dyDescent="0.3">
      <c r="A122" s="3">
        <v>5562</v>
      </c>
      <c r="B122" s="3" t="s">
        <v>14</v>
      </c>
      <c r="C122" s="4">
        <v>45664</v>
      </c>
      <c r="D122" s="3" t="s">
        <v>38</v>
      </c>
      <c r="E122" s="3" t="s">
        <v>32</v>
      </c>
      <c r="F122" s="5">
        <v>4</v>
      </c>
      <c r="G122" s="6">
        <v>28.04</v>
      </c>
      <c r="H122" s="6">
        <v>112.16</v>
      </c>
      <c r="I122" s="6">
        <v>0</v>
      </c>
      <c r="J122" s="6">
        <v>112.16</v>
      </c>
      <c r="K122" s="5">
        <v>445</v>
      </c>
    </row>
    <row r="123" spans="1:11" x14ac:dyDescent="0.3">
      <c r="A123" s="3">
        <v>8953</v>
      </c>
      <c r="B123" s="3" t="s">
        <v>42</v>
      </c>
      <c r="C123" s="4">
        <v>45311</v>
      </c>
      <c r="D123" s="3" t="s">
        <v>28</v>
      </c>
      <c r="E123" s="3" t="s">
        <v>32</v>
      </c>
      <c r="F123" s="5">
        <v>2</v>
      </c>
      <c r="G123" s="6">
        <v>25.81</v>
      </c>
      <c r="H123" s="6">
        <v>51.62</v>
      </c>
      <c r="I123" s="6">
        <v>7.74</v>
      </c>
      <c r="J123" s="6">
        <v>43.88</v>
      </c>
      <c r="K123" s="5">
        <v>210</v>
      </c>
    </row>
    <row r="124" spans="1:11" x14ac:dyDescent="0.3">
      <c r="A124" s="3">
        <v>9834</v>
      </c>
      <c r="B124" s="3" t="s">
        <v>26</v>
      </c>
      <c r="C124" s="4">
        <v>45247</v>
      </c>
      <c r="D124" s="3" t="s">
        <v>20</v>
      </c>
      <c r="E124" s="3" t="s">
        <v>32</v>
      </c>
      <c r="F124" s="5">
        <v>2</v>
      </c>
      <c r="G124" s="6">
        <v>15.35</v>
      </c>
      <c r="H124" s="6">
        <v>30.7</v>
      </c>
      <c r="I124" s="6">
        <v>4.8600000000000003</v>
      </c>
      <c r="J124" s="6">
        <v>25.84</v>
      </c>
      <c r="K124" s="5">
        <v>18</v>
      </c>
    </row>
    <row r="125" spans="1:11" x14ac:dyDescent="0.3">
      <c r="A125" s="3">
        <v>8744</v>
      </c>
      <c r="B125" s="3" t="s">
        <v>36</v>
      </c>
      <c r="C125" s="4">
        <v>45333</v>
      </c>
      <c r="D125" s="3" t="s">
        <v>15</v>
      </c>
      <c r="E125" s="3" t="s">
        <v>33</v>
      </c>
      <c r="F125" s="5">
        <v>1</v>
      </c>
      <c r="G125" s="6">
        <v>16.239999999999998</v>
      </c>
      <c r="H125" s="6">
        <v>16.239999999999998</v>
      </c>
      <c r="I125" s="6">
        <v>0</v>
      </c>
      <c r="J125" s="6">
        <v>16.239999999999998</v>
      </c>
      <c r="K125" s="5">
        <v>233</v>
      </c>
    </row>
    <row r="126" spans="1:11" x14ac:dyDescent="0.3">
      <c r="A126" s="3">
        <v>8749</v>
      </c>
      <c r="B126" s="3" t="s">
        <v>19</v>
      </c>
      <c r="C126" s="4">
        <v>45772</v>
      </c>
      <c r="D126" s="3" t="s">
        <v>20</v>
      </c>
      <c r="E126" s="3" t="s">
        <v>41</v>
      </c>
      <c r="F126" s="5">
        <v>1</v>
      </c>
      <c r="G126" s="6">
        <v>14.61</v>
      </c>
      <c r="H126" s="6">
        <v>14.61</v>
      </c>
      <c r="I126" s="6">
        <v>2.19</v>
      </c>
      <c r="J126" s="6">
        <v>12.42</v>
      </c>
      <c r="K126" s="5">
        <v>496</v>
      </c>
    </row>
    <row r="127" spans="1:11" x14ac:dyDescent="0.3">
      <c r="A127" s="3">
        <v>7669</v>
      </c>
      <c r="B127" s="3" t="s">
        <v>24</v>
      </c>
      <c r="C127" s="4">
        <v>45292</v>
      </c>
      <c r="D127" s="3" t="s">
        <v>27</v>
      </c>
      <c r="E127" s="3" t="s">
        <v>43</v>
      </c>
      <c r="F127" s="5">
        <v>3</v>
      </c>
      <c r="G127" s="6">
        <v>25.71</v>
      </c>
      <c r="H127" s="6">
        <v>77.13</v>
      </c>
      <c r="I127" s="6">
        <v>11.57</v>
      </c>
      <c r="J127" s="6">
        <v>65.56</v>
      </c>
      <c r="K127" s="5">
        <v>439</v>
      </c>
    </row>
    <row r="128" spans="1:11" x14ac:dyDescent="0.3">
      <c r="A128" s="3">
        <v>2545</v>
      </c>
      <c r="B128" s="3" t="s">
        <v>26</v>
      </c>
      <c r="C128" s="4">
        <v>45220</v>
      </c>
      <c r="D128" s="3" t="s">
        <v>38</v>
      </c>
      <c r="E128" s="3" t="s">
        <v>40</v>
      </c>
      <c r="F128" s="5">
        <v>5</v>
      </c>
      <c r="G128" s="6">
        <v>2.97</v>
      </c>
      <c r="H128" s="6">
        <v>14.85</v>
      </c>
      <c r="I128" s="6">
        <v>2.97</v>
      </c>
      <c r="J128" s="6">
        <v>11.88</v>
      </c>
      <c r="K128" s="5">
        <v>323</v>
      </c>
    </row>
    <row r="129" spans="1:11" x14ac:dyDescent="0.3">
      <c r="A129" s="3">
        <v>8062</v>
      </c>
      <c r="B129" s="3" t="s">
        <v>11</v>
      </c>
      <c r="C129" s="4">
        <v>45420</v>
      </c>
      <c r="D129" s="3" t="s">
        <v>20</v>
      </c>
      <c r="E129" s="3" t="s">
        <v>48</v>
      </c>
      <c r="F129" s="5">
        <v>1</v>
      </c>
      <c r="G129" s="6">
        <v>13.86</v>
      </c>
      <c r="H129" s="6">
        <v>13.86</v>
      </c>
      <c r="I129" s="6">
        <v>1.18</v>
      </c>
      <c r="J129" s="6">
        <v>12.68</v>
      </c>
      <c r="K129" s="5">
        <v>355</v>
      </c>
    </row>
    <row r="130" spans="1:11" x14ac:dyDescent="0.3">
      <c r="A130" s="3">
        <v>7939</v>
      </c>
      <c r="B130" s="3" t="s">
        <v>31</v>
      </c>
      <c r="C130" s="4">
        <v>45464</v>
      </c>
      <c r="D130" s="3" t="s">
        <v>35</v>
      </c>
      <c r="E130" s="3" t="s">
        <v>23</v>
      </c>
      <c r="F130" s="5">
        <v>3</v>
      </c>
      <c r="G130" s="6">
        <v>13.48</v>
      </c>
      <c r="H130" s="6">
        <v>40.44</v>
      </c>
      <c r="I130" s="6">
        <v>3.73</v>
      </c>
      <c r="J130" s="6">
        <v>36.71</v>
      </c>
      <c r="K130" s="5">
        <v>125</v>
      </c>
    </row>
    <row r="131" spans="1:11" x14ac:dyDescent="0.3">
      <c r="A131" s="3">
        <v>8651</v>
      </c>
      <c r="B131" s="3" t="s">
        <v>19</v>
      </c>
      <c r="C131" s="4">
        <v>45815</v>
      </c>
      <c r="D131" s="3" t="s">
        <v>34</v>
      </c>
      <c r="E131" s="3" t="s">
        <v>29</v>
      </c>
      <c r="F131" s="5">
        <v>1</v>
      </c>
      <c r="G131" s="6">
        <v>18.670000000000002</v>
      </c>
      <c r="H131" s="6">
        <v>18.670000000000002</v>
      </c>
      <c r="I131" s="6">
        <v>1.87</v>
      </c>
      <c r="J131" s="6">
        <v>16.8</v>
      </c>
      <c r="K131" s="5">
        <v>195</v>
      </c>
    </row>
    <row r="132" spans="1:11" x14ac:dyDescent="0.3">
      <c r="A132" s="3">
        <v>1887</v>
      </c>
      <c r="B132" s="3" t="s">
        <v>19</v>
      </c>
      <c r="C132" s="4">
        <v>45668</v>
      </c>
      <c r="D132" s="3" t="s">
        <v>17</v>
      </c>
      <c r="E132" s="3" t="s">
        <v>33</v>
      </c>
      <c r="F132" s="5">
        <v>3</v>
      </c>
      <c r="G132" s="6">
        <v>14.32</v>
      </c>
      <c r="H132" s="6">
        <v>42.96</v>
      </c>
      <c r="I132" s="6">
        <v>4.3</v>
      </c>
      <c r="J132" s="6">
        <v>38.659999999999997</v>
      </c>
      <c r="K132" s="5">
        <v>341</v>
      </c>
    </row>
    <row r="133" spans="1:11" x14ac:dyDescent="0.3">
      <c r="A133" s="3">
        <v>2612</v>
      </c>
      <c r="B133" s="3" t="s">
        <v>30</v>
      </c>
      <c r="C133" s="4">
        <v>45192</v>
      </c>
      <c r="D133" s="3" t="s">
        <v>27</v>
      </c>
      <c r="E133" s="3" t="s">
        <v>18</v>
      </c>
      <c r="F133" s="5">
        <v>2</v>
      </c>
      <c r="G133" s="6">
        <v>3.13</v>
      </c>
      <c r="H133" s="6">
        <v>6.26</v>
      </c>
      <c r="I133" s="6">
        <v>2.2000000000000002</v>
      </c>
      <c r="J133" s="6">
        <v>4.0599999999999996</v>
      </c>
      <c r="K133" s="5">
        <v>483</v>
      </c>
    </row>
    <row r="134" spans="1:11" x14ac:dyDescent="0.3">
      <c r="A134" s="3">
        <v>7596</v>
      </c>
      <c r="B134" s="3" t="s">
        <v>24</v>
      </c>
      <c r="C134" s="4">
        <v>45710</v>
      </c>
      <c r="D134" s="3" t="s">
        <v>35</v>
      </c>
      <c r="E134" s="3" t="s">
        <v>33</v>
      </c>
      <c r="F134" s="5">
        <v>3</v>
      </c>
      <c r="G134" s="6">
        <v>6.77</v>
      </c>
      <c r="H134" s="6">
        <v>20.309999999999999</v>
      </c>
      <c r="I134" s="6">
        <v>1.95</v>
      </c>
      <c r="J134" s="6">
        <v>18.36</v>
      </c>
      <c r="K134" s="5">
        <v>196</v>
      </c>
    </row>
    <row r="135" spans="1:11" x14ac:dyDescent="0.3">
      <c r="A135" s="3">
        <v>6559</v>
      </c>
      <c r="B135" s="3" t="s">
        <v>36</v>
      </c>
      <c r="C135" s="4">
        <v>45766</v>
      </c>
      <c r="D135" s="3" t="s">
        <v>28</v>
      </c>
      <c r="E135" s="3" t="s">
        <v>37</v>
      </c>
      <c r="F135" s="5">
        <v>3</v>
      </c>
      <c r="G135" s="6">
        <v>1.63</v>
      </c>
      <c r="H135" s="6">
        <v>4.8899999999999997</v>
      </c>
      <c r="I135" s="6">
        <v>0.73</v>
      </c>
      <c r="J135" s="6">
        <v>4.16</v>
      </c>
      <c r="K135" s="5">
        <v>424</v>
      </c>
    </row>
    <row r="136" spans="1:11" x14ac:dyDescent="0.3">
      <c r="A136" s="3">
        <v>2790</v>
      </c>
      <c r="B136" s="3" t="s">
        <v>31</v>
      </c>
      <c r="C136" s="4">
        <v>45338</v>
      </c>
      <c r="D136" s="3" t="s">
        <v>28</v>
      </c>
      <c r="E136" s="3" t="s">
        <v>40</v>
      </c>
      <c r="F136" s="5">
        <v>5</v>
      </c>
      <c r="G136" s="6">
        <v>22.6</v>
      </c>
      <c r="H136" s="6">
        <v>113</v>
      </c>
      <c r="I136" s="6">
        <v>22.6</v>
      </c>
      <c r="J136" s="6">
        <v>90.4</v>
      </c>
      <c r="K136" s="5">
        <v>426</v>
      </c>
    </row>
    <row r="137" spans="1:11" x14ac:dyDescent="0.3">
      <c r="A137" s="3">
        <v>4139</v>
      </c>
      <c r="B137" s="3" t="s">
        <v>36</v>
      </c>
      <c r="C137" s="4">
        <v>45292</v>
      </c>
      <c r="D137" s="3" t="s">
        <v>17</v>
      </c>
      <c r="E137" s="3" t="s">
        <v>44</v>
      </c>
      <c r="F137" s="5">
        <v>5</v>
      </c>
      <c r="G137" s="6">
        <v>8.26</v>
      </c>
      <c r="H137" s="6">
        <v>41.3</v>
      </c>
      <c r="I137" s="6">
        <v>0</v>
      </c>
      <c r="J137" s="6">
        <v>41.3</v>
      </c>
      <c r="K137" s="5">
        <v>386</v>
      </c>
    </row>
    <row r="138" spans="1:11" x14ac:dyDescent="0.3">
      <c r="A138" s="3">
        <v>9786</v>
      </c>
      <c r="B138" s="3" t="s">
        <v>11</v>
      </c>
      <c r="C138" s="4">
        <v>45493</v>
      </c>
      <c r="D138" s="3" t="s">
        <v>27</v>
      </c>
      <c r="E138" s="3" t="s">
        <v>40</v>
      </c>
      <c r="F138" s="5">
        <v>3</v>
      </c>
      <c r="G138" s="6">
        <v>23.86</v>
      </c>
      <c r="H138" s="6">
        <v>71.58</v>
      </c>
      <c r="I138" s="6">
        <v>0</v>
      </c>
      <c r="J138" s="6">
        <v>71.58</v>
      </c>
      <c r="K138" s="5">
        <v>17</v>
      </c>
    </row>
    <row r="139" spans="1:11" x14ac:dyDescent="0.3">
      <c r="A139" s="3">
        <v>3296</v>
      </c>
      <c r="B139" s="3" t="s">
        <v>19</v>
      </c>
      <c r="C139" s="4">
        <v>45472</v>
      </c>
      <c r="D139" s="3" t="s">
        <v>15</v>
      </c>
      <c r="E139" s="3" t="s">
        <v>37</v>
      </c>
      <c r="F139" s="5">
        <v>3</v>
      </c>
      <c r="G139" s="6">
        <v>22.67</v>
      </c>
      <c r="H139" s="6">
        <v>68.010000000000005</v>
      </c>
      <c r="I139" s="6">
        <v>13.6</v>
      </c>
      <c r="J139" s="6">
        <v>54.41</v>
      </c>
      <c r="K139" s="5">
        <v>89</v>
      </c>
    </row>
    <row r="140" spans="1:11" x14ac:dyDescent="0.3">
      <c r="A140" s="3">
        <v>4006</v>
      </c>
      <c r="B140" s="3" t="s">
        <v>14</v>
      </c>
      <c r="C140" s="4">
        <v>45361</v>
      </c>
      <c r="D140" s="3" t="s">
        <v>22</v>
      </c>
      <c r="E140" s="3" t="s">
        <v>46</v>
      </c>
      <c r="F140" s="5">
        <v>5</v>
      </c>
      <c r="G140" s="6">
        <v>27.48</v>
      </c>
      <c r="H140" s="6">
        <v>137.4</v>
      </c>
      <c r="I140" s="6">
        <v>20.61</v>
      </c>
      <c r="J140" s="6">
        <v>116.79</v>
      </c>
      <c r="K140" s="5">
        <v>425</v>
      </c>
    </row>
    <row r="141" spans="1:11" x14ac:dyDescent="0.3">
      <c r="A141" s="3">
        <v>8579</v>
      </c>
      <c r="B141" s="3" t="s">
        <v>26</v>
      </c>
      <c r="C141" s="4">
        <v>45339</v>
      </c>
      <c r="D141" s="3" t="s">
        <v>35</v>
      </c>
      <c r="E141" s="3" t="s">
        <v>21</v>
      </c>
      <c r="F141" s="5">
        <v>1</v>
      </c>
      <c r="G141" s="6">
        <v>14.57</v>
      </c>
      <c r="H141" s="6">
        <v>14.57</v>
      </c>
      <c r="I141" s="6">
        <v>2.91</v>
      </c>
      <c r="J141" s="6">
        <v>11.66</v>
      </c>
      <c r="K141" s="5">
        <v>38</v>
      </c>
    </row>
    <row r="142" spans="1:11" x14ac:dyDescent="0.3">
      <c r="A142" s="3">
        <v>2235</v>
      </c>
      <c r="B142" s="3" t="s">
        <v>24</v>
      </c>
      <c r="C142" s="4">
        <v>45489</v>
      </c>
      <c r="D142" s="3" t="s">
        <v>38</v>
      </c>
      <c r="E142" s="3" t="s">
        <v>23</v>
      </c>
      <c r="F142" s="5">
        <v>1</v>
      </c>
      <c r="G142" s="6">
        <v>23.92</v>
      </c>
      <c r="H142" s="6">
        <v>23.92</v>
      </c>
      <c r="I142" s="6">
        <v>1.49</v>
      </c>
      <c r="J142" s="6">
        <v>22.43</v>
      </c>
      <c r="K142" s="5">
        <v>7</v>
      </c>
    </row>
    <row r="143" spans="1:11" x14ac:dyDescent="0.3">
      <c r="A143" s="3">
        <v>2604</v>
      </c>
      <c r="B143" s="3" t="s">
        <v>36</v>
      </c>
      <c r="C143" s="4">
        <v>45184</v>
      </c>
      <c r="D143" s="3" t="s">
        <v>27</v>
      </c>
      <c r="E143" s="3" t="s">
        <v>13</v>
      </c>
      <c r="F143" s="5">
        <v>5</v>
      </c>
      <c r="G143" s="6">
        <v>12.04</v>
      </c>
      <c r="H143" s="6">
        <v>60.2</v>
      </c>
      <c r="I143" s="6">
        <v>3.7</v>
      </c>
      <c r="J143" s="6">
        <v>56.5</v>
      </c>
      <c r="K143" s="5">
        <v>326</v>
      </c>
    </row>
    <row r="144" spans="1:11" x14ac:dyDescent="0.3">
      <c r="A144" s="3">
        <v>9856</v>
      </c>
      <c r="B144" s="3" t="s">
        <v>26</v>
      </c>
      <c r="C144" s="4">
        <v>45794</v>
      </c>
      <c r="D144" s="3" t="s">
        <v>12</v>
      </c>
      <c r="E144" s="3" t="s">
        <v>18</v>
      </c>
      <c r="F144" s="5">
        <v>3</v>
      </c>
      <c r="G144" s="6">
        <v>27.53</v>
      </c>
      <c r="H144" s="6">
        <v>82.59</v>
      </c>
      <c r="I144" s="6">
        <v>0</v>
      </c>
      <c r="J144" s="6">
        <v>82.59</v>
      </c>
      <c r="K144" s="5">
        <v>113</v>
      </c>
    </row>
    <row r="145" spans="1:11" x14ac:dyDescent="0.3">
      <c r="A145" s="3">
        <v>1241</v>
      </c>
      <c r="B145" s="3" t="s">
        <v>26</v>
      </c>
      <c r="C145" s="4">
        <v>45217</v>
      </c>
      <c r="D145" s="3" t="s">
        <v>35</v>
      </c>
      <c r="E145" s="3" t="s">
        <v>16</v>
      </c>
      <c r="F145" s="5">
        <v>1</v>
      </c>
      <c r="G145" s="6">
        <v>5.04</v>
      </c>
      <c r="H145" s="6">
        <v>5.04</v>
      </c>
      <c r="I145" s="6">
        <v>0.76</v>
      </c>
      <c r="J145" s="6">
        <v>4.28</v>
      </c>
      <c r="K145" s="5">
        <v>484</v>
      </c>
    </row>
    <row r="146" spans="1:11" x14ac:dyDescent="0.3">
      <c r="A146" s="3">
        <v>4872</v>
      </c>
      <c r="B146" s="3" t="s">
        <v>26</v>
      </c>
      <c r="C146" s="4">
        <v>45274</v>
      </c>
      <c r="D146" s="3" t="s">
        <v>15</v>
      </c>
      <c r="E146" s="3" t="s">
        <v>48</v>
      </c>
      <c r="F146" s="5">
        <v>2</v>
      </c>
      <c r="G146" s="6">
        <v>26.72</v>
      </c>
      <c r="H146" s="6">
        <v>53.44</v>
      </c>
      <c r="I146" s="6">
        <v>5.34</v>
      </c>
      <c r="J146" s="6">
        <v>48.1</v>
      </c>
      <c r="K146" s="5">
        <v>69</v>
      </c>
    </row>
    <row r="147" spans="1:11" x14ac:dyDescent="0.3">
      <c r="A147" s="3">
        <v>7658</v>
      </c>
      <c r="B147" s="3" t="s">
        <v>36</v>
      </c>
      <c r="C147" s="4">
        <v>45522</v>
      </c>
      <c r="D147" s="3" t="s">
        <v>27</v>
      </c>
      <c r="E147" s="3" t="s">
        <v>18</v>
      </c>
      <c r="F147" s="5">
        <v>4</v>
      </c>
      <c r="G147" s="6">
        <v>18.02</v>
      </c>
      <c r="H147" s="6">
        <v>72.08</v>
      </c>
      <c r="I147" s="6">
        <v>7.21</v>
      </c>
      <c r="J147" s="6">
        <v>64.87</v>
      </c>
      <c r="K147" s="5">
        <v>372</v>
      </c>
    </row>
    <row r="148" spans="1:11" x14ac:dyDescent="0.3">
      <c r="A148" s="3">
        <v>8886</v>
      </c>
      <c r="B148" s="3" t="s">
        <v>11</v>
      </c>
      <c r="C148" s="4">
        <v>45311</v>
      </c>
      <c r="D148" s="3" t="s">
        <v>45</v>
      </c>
      <c r="E148" s="3" t="s">
        <v>16</v>
      </c>
      <c r="F148" s="5">
        <v>3</v>
      </c>
      <c r="G148" s="6">
        <v>1.94</v>
      </c>
      <c r="H148" s="6">
        <v>5.82</v>
      </c>
      <c r="I148" s="6">
        <v>0.57999999999999996</v>
      </c>
      <c r="J148" s="6">
        <v>5.24</v>
      </c>
      <c r="K148" s="5">
        <v>189</v>
      </c>
    </row>
    <row r="149" spans="1:11" x14ac:dyDescent="0.3">
      <c r="A149" s="3">
        <v>7570</v>
      </c>
      <c r="B149" s="3" t="s">
        <v>26</v>
      </c>
      <c r="C149" s="4">
        <v>45845</v>
      </c>
      <c r="D149" s="3" t="s">
        <v>17</v>
      </c>
      <c r="E149" s="3" t="s">
        <v>23</v>
      </c>
      <c r="F149" s="5">
        <v>1</v>
      </c>
      <c r="G149" s="6">
        <v>29.44</v>
      </c>
      <c r="H149" s="6">
        <v>29.44</v>
      </c>
      <c r="I149" s="6">
        <v>2.59</v>
      </c>
      <c r="J149" s="6">
        <v>26.85</v>
      </c>
      <c r="K149" s="5">
        <v>188</v>
      </c>
    </row>
    <row r="150" spans="1:11" x14ac:dyDescent="0.3">
      <c r="A150" s="3">
        <v>1960</v>
      </c>
      <c r="B150" s="3" t="s">
        <v>42</v>
      </c>
      <c r="C150" s="4">
        <v>45272</v>
      </c>
      <c r="D150" s="3" t="s">
        <v>15</v>
      </c>
      <c r="E150" s="3" t="s">
        <v>33</v>
      </c>
      <c r="F150" s="5">
        <v>1</v>
      </c>
      <c r="G150" s="6">
        <v>20.21</v>
      </c>
      <c r="H150" s="6">
        <v>20.21</v>
      </c>
      <c r="I150" s="6">
        <v>4.1500000000000004</v>
      </c>
      <c r="J150" s="6">
        <v>16.059999999999999</v>
      </c>
      <c r="K150" s="5">
        <v>328</v>
      </c>
    </row>
    <row r="151" spans="1:11" x14ac:dyDescent="0.3">
      <c r="A151" s="3">
        <v>7209</v>
      </c>
      <c r="B151" s="3" t="s">
        <v>42</v>
      </c>
      <c r="C151" s="4">
        <v>45146</v>
      </c>
      <c r="D151" s="3" t="s">
        <v>34</v>
      </c>
      <c r="E151" s="3" t="s">
        <v>44</v>
      </c>
      <c r="F151" s="5">
        <v>1</v>
      </c>
      <c r="G151" s="6">
        <v>25.05</v>
      </c>
      <c r="H151" s="6">
        <v>25.05</v>
      </c>
      <c r="I151" s="6">
        <v>1.86</v>
      </c>
      <c r="J151" s="6">
        <v>23.19</v>
      </c>
      <c r="K151" s="5">
        <v>283</v>
      </c>
    </row>
    <row r="152" spans="1:11" x14ac:dyDescent="0.3">
      <c r="A152" s="3">
        <v>7396</v>
      </c>
      <c r="B152" s="3" t="s">
        <v>42</v>
      </c>
      <c r="C152" s="4">
        <v>45350</v>
      </c>
      <c r="D152" s="3" t="s">
        <v>22</v>
      </c>
      <c r="E152" s="3" t="s">
        <v>41</v>
      </c>
      <c r="F152" s="5">
        <v>5</v>
      </c>
      <c r="G152" s="6">
        <v>1.07</v>
      </c>
      <c r="H152" s="6">
        <v>5.35</v>
      </c>
      <c r="I152" s="6">
        <v>1.07</v>
      </c>
      <c r="J152" s="6">
        <v>4.28</v>
      </c>
      <c r="K152" s="5">
        <v>439</v>
      </c>
    </row>
    <row r="153" spans="1:11" x14ac:dyDescent="0.3">
      <c r="A153" s="3">
        <v>8454</v>
      </c>
      <c r="B153" s="3" t="s">
        <v>14</v>
      </c>
      <c r="C153" s="4">
        <v>45366</v>
      </c>
      <c r="D153" s="3" t="s">
        <v>35</v>
      </c>
      <c r="E153" s="3" t="s">
        <v>29</v>
      </c>
      <c r="F153" s="5">
        <v>1</v>
      </c>
      <c r="G153" s="6">
        <v>20.16</v>
      </c>
      <c r="H153" s="6">
        <v>20.16</v>
      </c>
      <c r="I153" s="6">
        <v>2.4300000000000002</v>
      </c>
      <c r="J153" s="6">
        <v>17.73</v>
      </c>
      <c r="K153" s="5">
        <v>13</v>
      </c>
    </row>
    <row r="154" spans="1:11" x14ac:dyDescent="0.3">
      <c r="A154" s="3">
        <v>7930</v>
      </c>
      <c r="B154" s="3" t="s">
        <v>42</v>
      </c>
      <c r="C154" s="4">
        <v>45686</v>
      </c>
      <c r="D154" s="3" t="s">
        <v>28</v>
      </c>
      <c r="E154" s="3" t="s">
        <v>21</v>
      </c>
      <c r="F154" s="5">
        <v>1</v>
      </c>
      <c r="G154" s="6">
        <v>6.04</v>
      </c>
      <c r="H154" s="6">
        <v>6.04</v>
      </c>
      <c r="I154" s="6">
        <v>0</v>
      </c>
      <c r="J154" s="6">
        <v>6.04</v>
      </c>
      <c r="K154" s="5">
        <v>26</v>
      </c>
    </row>
    <row r="155" spans="1:11" x14ac:dyDescent="0.3">
      <c r="A155" s="3">
        <v>8973</v>
      </c>
      <c r="B155" s="3" t="s">
        <v>24</v>
      </c>
      <c r="C155" s="4">
        <v>45265</v>
      </c>
      <c r="D155" s="3" t="s">
        <v>38</v>
      </c>
      <c r="E155" s="3" t="s">
        <v>48</v>
      </c>
      <c r="F155" s="5">
        <v>1</v>
      </c>
      <c r="G155" s="6">
        <v>14.8</v>
      </c>
      <c r="H155" s="6">
        <v>14.8</v>
      </c>
      <c r="I155" s="6">
        <v>3.37</v>
      </c>
      <c r="J155" s="6">
        <v>11.43</v>
      </c>
      <c r="K155" s="5">
        <v>398</v>
      </c>
    </row>
    <row r="156" spans="1:11" x14ac:dyDescent="0.3">
      <c r="A156" s="3">
        <v>4111</v>
      </c>
      <c r="B156" s="3" t="s">
        <v>26</v>
      </c>
      <c r="C156" s="4">
        <v>45375</v>
      </c>
      <c r="D156" s="3" t="s">
        <v>38</v>
      </c>
      <c r="E156" s="3" t="s">
        <v>25</v>
      </c>
      <c r="F156" s="5">
        <v>5</v>
      </c>
      <c r="G156" s="6">
        <v>2.25</v>
      </c>
      <c r="H156" s="6">
        <v>11.25</v>
      </c>
      <c r="I156" s="6">
        <v>1.1200000000000001</v>
      </c>
      <c r="J156" s="6">
        <v>10.130000000000001</v>
      </c>
      <c r="K156" s="5">
        <v>401</v>
      </c>
    </row>
    <row r="157" spans="1:11" x14ac:dyDescent="0.3">
      <c r="A157" s="3">
        <v>4566</v>
      </c>
      <c r="B157" s="3" t="s">
        <v>31</v>
      </c>
      <c r="C157" s="4">
        <v>45190</v>
      </c>
      <c r="D157" s="3" t="s">
        <v>12</v>
      </c>
      <c r="E157" s="3" t="s">
        <v>47</v>
      </c>
      <c r="F157" s="5">
        <v>4</v>
      </c>
      <c r="G157" s="6">
        <v>13.35</v>
      </c>
      <c r="H157" s="6">
        <v>53.4</v>
      </c>
      <c r="I157" s="6">
        <v>0</v>
      </c>
      <c r="J157" s="6">
        <v>53.4</v>
      </c>
      <c r="K157" s="5">
        <v>55</v>
      </c>
    </row>
    <row r="158" spans="1:11" x14ac:dyDescent="0.3">
      <c r="A158" s="3">
        <v>9883</v>
      </c>
      <c r="B158" s="3" t="s">
        <v>26</v>
      </c>
      <c r="C158" s="4">
        <v>45192</v>
      </c>
      <c r="D158" s="3" t="s">
        <v>15</v>
      </c>
      <c r="E158" s="3" t="s">
        <v>43</v>
      </c>
      <c r="F158" s="5">
        <v>3</v>
      </c>
      <c r="G158" s="6">
        <v>18.63</v>
      </c>
      <c r="H158" s="6">
        <v>55.89</v>
      </c>
      <c r="I158" s="6">
        <v>8.3800000000000008</v>
      </c>
      <c r="J158" s="6">
        <v>47.51</v>
      </c>
      <c r="K158" s="5">
        <v>33</v>
      </c>
    </row>
    <row r="159" spans="1:11" x14ac:dyDescent="0.3">
      <c r="A159" s="3">
        <v>6138</v>
      </c>
      <c r="B159" s="3" t="s">
        <v>14</v>
      </c>
      <c r="C159" s="4">
        <v>45189</v>
      </c>
      <c r="D159" s="3" t="s">
        <v>22</v>
      </c>
      <c r="E159" s="3" t="s">
        <v>32</v>
      </c>
      <c r="F159" s="5">
        <v>5</v>
      </c>
      <c r="G159" s="6">
        <v>16.38</v>
      </c>
      <c r="H159" s="6">
        <v>81.900000000000006</v>
      </c>
      <c r="I159" s="6">
        <v>4.17</v>
      </c>
      <c r="J159" s="6">
        <v>77.73</v>
      </c>
      <c r="K159" s="5">
        <v>232</v>
      </c>
    </row>
    <row r="160" spans="1:11" x14ac:dyDescent="0.3">
      <c r="A160" s="3">
        <v>1821</v>
      </c>
      <c r="B160" s="3" t="s">
        <v>11</v>
      </c>
      <c r="C160" s="4">
        <v>45598</v>
      </c>
      <c r="D160" s="3" t="s">
        <v>27</v>
      </c>
      <c r="E160" s="3" t="s">
        <v>18</v>
      </c>
      <c r="F160" s="5">
        <v>2</v>
      </c>
      <c r="G160" s="6">
        <v>13.46</v>
      </c>
      <c r="H160" s="6">
        <v>26.92</v>
      </c>
      <c r="I160" s="6">
        <v>2.69</v>
      </c>
      <c r="J160" s="6">
        <v>24.23</v>
      </c>
      <c r="K160" s="5">
        <v>454</v>
      </c>
    </row>
    <row r="161" spans="1:11" x14ac:dyDescent="0.3">
      <c r="A161" s="3">
        <v>8811</v>
      </c>
      <c r="B161" s="3" t="s">
        <v>36</v>
      </c>
      <c r="C161" s="4">
        <v>45535</v>
      </c>
      <c r="D161" s="3" t="s">
        <v>45</v>
      </c>
      <c r="E161" s="3" t="s">
        <v>32</v>
      </c>
      <c r="F161" s="5">
        <v>4</v>
      </c>
      <c r="G161" s="6">
        <v>22.15</v>
      </c>
      <c r="H161" s="6">
        <v>88.6</v>
      </c>
      <c r="I161" s="6">
        <v>13.29</v>
      </c>
      <c r="J161" s="6">
        <v>75.31</v>
      </c>
      <c r="K161" s="5">
        <v>160</v>
      </c>
    </row>
    <row r="162" spans="1:11" x14ac:dyDescent="0.3">
      <c r="A162" s="3">
        <v>9701</v>
      </c>
      <c r="B162" s="3" t="s">
        <v>30</v>
      </c>
      <c r="C162" s="4">
        <v>45267</v>
      </c>
      <c r="D162" s="3" t="s">
        <v>22</v>
      </c>
      <c r="E162" s="3" t="s">
        <v>41</v>
      </c>
      <c r="F162" s="5">
        <v>4</v>
      </c>
      <c r="G162" s="6">
        <v>2.94</v>
      </c>
      <c r="H162" s="6">
        <v>11.76</v>
      </c>
      <c r="I162" s="6">
        <v>2.73</v>
      </c>
      <c r="J162" s="6">
        <v>9.0299999999999994</v>
      </c>
      <c r="K162" s="5">
        <v>425</v>
      </c>
    </row>
    <row r="163" spans="1:11" x14ac:dyDescent="0.3">
      <c r="A163" s="3">
        <v>1931</v>
      </c>
      <c r="B163" s="3" t="s">
        <v>36</v>
      </c>
      <c r="C163" s="4">
        <v>45539</v>
      </c>
      <c r="D163" s="3" t="s">
        <v>34</v>
      </c>
      <c r="E163" s="3" t="s">
        <v>18</v>
      </c>
      <c r="F163" s="5">
        <v>1</v>
      </c>
      <c r="G163" s="6">
        <v>18</v>
      </c>
      <c r="H163" s="6">
        <v>18</v>
      </c>
      <c r="I163" s="6">
        <v>0</v>
      </c>
      <c r="J163" s="6">
        <v>18</v>
      </c>
      <c r="K163" s="5">
        <v>287</v>
      </c>
    </row>
    <row r="164" spans="1:11" x14ac:dyDescent="0.3">
      <c r="A164" s="3">
        <v>2312</v>
      </c>
      <c r="B164" s="3" t="s">
        <v>11</v>
      </c>
      <c r="C164" s="4">
        <v>45806</v>
      </c>
      <c r="D164" s="3" t="s">
        <v>20</v>
      </c>
      <c r="E164" s="3" t="s">
        <v>23</v>
      </c>
      <c r="F164" s="5">
        <v>4</v>
      </c>
      <c r="G164" s="6">
        <v>26.16</v>
      </c>
      <c r="H164" s="6">
        <v>104.64</v>
      </c>
      <c r="I164" s="6">
        <v>15.7</v>
      </c>
      <c r="J164" s="6">
        <v>88.94</v>
      </c>
      <c r="K164" s="5">
        <v>369</v>
      </c>
    </row>
    <row r="165" spans="1:11" x14ac:dyDescent="0.3">
      <c r="A165" s="3">
        <v>4044</v>
      </c>
      <c r="B165" s="3" t="s">
        <v>30</v>
      </c>
      <c r="C165" s="4">
        <v>45198</v>
      </c>
      <c r="D165" s="3" t="s">
        <v>22</v>
      </c>
      <c r="E165" s="3" t="s">
        <v>48</v>
      </c>
      <c r="F165" s="5">
        <v>5</v>
      </c>
      <c r="G165" s="6">
        <v>15.7</v>
      </c>
      <c r="H165" s="6">
        <v>78.5</v>
      </c>
      <c r="I165" s="6">
        <v>15.7</v>
      </c>
      <c r="J165" s="6">
        <v>62.8</v>
      </c>
      <c r="K165" s="5">
        <v>79</v>
      </c>
    </row>
    <row r="166" spans="1:11" x14ac:dyDescent="0.3">
      <c r="A166" s="3">
        <v>2113</v>
      </c>
      <c r="B166" s="3" t="s">
        <v>11</v>
      </c>
      <c r="C166" s="4">
        <v>45669</v>
      </c>
      <c r="D166" s="3" t="s">
        <v>22</v>
      </c>
      <c r="E166" s="3" t="s">
        <v>18</v>
      </c>
      <c r="F166" s="5">
        <v>3</v>
      </c>
      <c r="G166" s="6">
        <v>4.32</v>
      </c>
      <c r="H166" s="6">
        <v>12.96</v>
      </c>
      <c r="I166" s="6">
        <v>1.3</v>
      </c>
      <c r="J166" s="6">
        <v>11.66</v>
      </c>
      <c r="K166" s="5">
        <v>142</v>
      </c>
    </row>
    <row r="167" spans="1:11" x14ac:dyDescent="0.3">
      <c r="A167" s="3">
        <v>4853</v>
      </c>
      <c r="B167" s="3" t="s">
        <v>14</v>
      </c>
      <c r="C167" s="4">
        <v>45458</v>
      </c>
      <c r="D167" s="3" t="s">
        <v>28</v>
      </c>
      <c r="E167" s="3" t="s">
        <v>18</v>
      </c>
      <c r="F167" s="5">
        <v>1</v>
      </c>
      <c r="G167" s="6">
        <v>18.649999999999999</v>
      </c>
      <c r="H167" s="6">
        <v>18.649999999999999</v>
      </c>
      <c r="I167" s="6">
        <v>1.72</v>
      </c>
      <c r="J167" s="6">
        <v>16.93</v>
      </c>
      <c r="K167" s="5">
        <v>336</v>
      </c>
    </row>
    <row r="168" spans="1:11" x14ac:dyDescent="0.3">
      <c r="A168" s="3">
        <v>2964</v>
      </c>
      <c r="B168" s="3" t="s">
        <v>30</v>
      </c>
      <c r="C168" s="4">
        <v>45836</v>
      </c>
      <c r="D168" s="3" t="s">
        <v>22</v>
      </c>
      <c r="E168" s="3" t="s">
        <v>23</v>
      </c>
      <c r="F168" s="5">
        <v>1</v>
      </c>
      <c r="G168" s="6">
        <v>6.25</v>
      </c>
      <c r="H168" s="6">
        <v>6.25</v>
      </c>
      <c r="I168" s="6">
        <v>1.57</v>
      </c>
      <c r="J168" s="6">
        <v>4.68</v>
      </c>
      <c r="K168" s="5">
        <v>73</v>
      </c>
    </row>
    <row r="169" spans="1:11" x14ac:dyDescent="0.3">
      <c r="A169" s="3">
        <v>5033</v>
      </c>
      <c r="B169" s="3" t="s">
        <v>31</v>
      </c>
      <c r="C169" s="4">
        <v>45594</v>
      </c>
      <c r="D169" s="3" t="s">
        <v>15</v>
      </c>
      <c r="E169" s="3" t="s">
        <v>46</v>
      </c>
      <c r="F169" s="5">
        <v>2</v>
      </c>
      <c r="G169" s="6">
        <v>11.9</v>
      </c>
      <c r="H169" s="6">
        <v>23.8</v>
      </c>
      <c r="I169" s="6">
        <v>4.76</v>
      </c>
      <c r="J169" s="6">
        <v>19.04</v>
      </c>
      <c r="K169" s="5">
        <v>232</v>
      </c>
    </row>
    <row r="170" spans="1:11" x14ac:dyDescent="0.3">
      <c r="A170" s="3">
        <v>1651</v>
      </c>
      <c r="B170" s="3" t="s">
        <v>36</v>
      </c>
      <c r="C170" s="4">
        <v>45626</v>
      </c>
      <c r="D170" s="3" t="s">
        <v>35</v>
      </c>
      <c r="E170" s="3" t="s">
        <v>21</v>
      </c>
      <c r="F170" s="5">
        <v>5</v>
      </c>
      <c r="G170" s="6">
        <v>18.28</v>
      </c>
      <c r="H170" s="6">
        <v>91.4</v>
      </c>
      <c r="I170" s="6">
        <v>18.28</v>
      </c>
      <c r="J170" s="6">
        <v>73.12</v>
      </c>
      <c r="K170" s="5">
        <v>452</v>
      </c>
    </row>
    <row r="171" spans="1:11" x14ac:dyDescent="0.3">
      <c r="A171" s="3">
        <v>2343</v>
      </c>
      <c r="B171" s="3" t="s">
        <v>19</v>
      </c>
      <c r="C171" s="4">
        <v>45470</v>
      </c>
      <c r="D171" s="3" t="s">
        <v>28</v>
      </c>
      <c r="E171" s="3" t="s">
        <v>40</v>
      </c>
      <c r="F171" s="5">
        <v>1</v>
      </c>
      <c r="G171" s="6">
        <v>8.8800000000000008</v>
      </c>
      <c r="H171" s="6">
        <v>8.8800000000000008</v>
      </c>
      <c r="I171" s="6">
        <v>0.89</v>
      </c>
      <c r="J171" s="6">
        <v>7.99</v>
      </c>
      <c r="K171" s="5">
        <v>338</v>
      </c>
    </row>
    <row r="172" spans="1:11" x14ac:dyDescent="0.3">
      <c r="A172" s="3">
        <v>9565</v>
      </c>
      <c r="B172" s="3" t="s">
        <v>26</v>
      </c>
      <c r="C172" s="4">
        <v>45390</v>
      </c>
      <c r="D172" s="3" t="s">
        <v>20</v>
      </c>
      <c r="E172" s="3" t="s">
        <v>13</v>
      </c>
      <c r="F172" s="5">
        <v>2</v>
      </c>
      <c r="G172" s="6">
        <v>22.88</v>
      </c>
      <c r="H172" s="6">
        <v>45.76</v>
      </c>
      <c r="I172" s="6">
        <v>4.58</v>
      </c>
      <c r="J172" s="6">
        <v>41.18</v>
      </c>
      <c r="K172" s="5">
        <v>58</v>
      </c>
    </row>
    <row r="173" spans="1:11" x14ac:dyDescent="0.3">
      <c r="A173" s="3">
        <v>5272</v>
      </c>
      <c r="B173" s="3" t="s">
        <v>11</v>
      </c>
      <c r="C173" s="4">
        <v>45303</v>
      </c>
      <c r="D173" s="3" t="s">
        <v>35</v>
      </c>
      <c r="E173" s="3" t="s">
        <v>47</v>
      </c>
      <c r="F173" s="5">
        <v>5</v>
      </c>
      <c r="G173" s="6">
        <v>20.34</v>
      </c>
      <c r="H173" s="6">
        <v>101.7</v>
      </c>
      <c r="I173" s="6">
        <v>10.17</v>
      </c>
      <c r="J173" s="6">
        <v>91.53</v>
      </c>
      <c r="K173" s="5">
        <v>23</v>
      </c>
    </row>
    <row r="174" spans="1:11" x14ac:dyDescent="0.3">
      <c r="A174" s="3">
        <v>6147</v>
      </c>
      <c r="B174" s="3" t="s">
        <v>31</v>
      </c>
      <c r="C174" s="4">
        <v>45330</v>
      </c>
      <c r="D174" s="3" t="s">
        <v>12</v>
      </c>
      <c r="E174" s="3" t="s">
        <v>44</v>
      </c>
      <c r="F174" s="5">
        <v>3</v>
      </c>
      <c r="G174" s="6">
        <v>28.4</v>
      </c>
      <c r="H174" s="6">
        <v>85.2</v>
      </c>
      <c r="I174" s="6">
        <v>12.78</v>
      </c>
      <c r="J174" s="6">
        <v>72.42</v>
      </c>
      <c r="K174" s="5">
        <v>392</v>
      </c>
    </row>
    <row r="175" spans="1:11" x14ac:dyDescent="0.3">
      <c r="A175" s="3">
        <v>5351</v>
      </c>
      <c r="B175" s="3" t="s">
        <v>30</v>
      </c>
      <c r="C175" s="4">
        <v>45452</v>
      </c>
      <c r="D175" s="3" t="s">
        <v>22</v>
      </c>
      <c r="E175" s="3" t="s">
        <v>48</v>
      </c>
      <c r="F175" s="5">
        <v>1</v>
      </c>
      <c r="G175" s="6">
        <v>15.41</v>
      </c>
      <c r="H175" s="6">
        <v>15.41</v>
      </c>
      <c r="I175" s="6">
        <v>3.08</v>
      </c>
      <c r="J175" s="6">
        <v>12.33</v>
      </c>
      <c r="K175" s="5">
        <v>220</v>
      </c>
    </row>
    <row r="176" spans="1:11" x14ac:dyDescent="0.3">
      <c r="A176" s="3">
        <v>3144</v>
      </c>
      <c r="B176" s="3" t="s">
        <v>24</v>
      </c>
      <c r="C176" s="4">
        <v>45666</v>
      </c>
      <c r="D176" s="3" t="s">
        <v>38</v>
      </c>
      <c r="E176" s="3" t="s">
        <v>25</v>
      </c>
      <c r="F176" s="5">
        <v>5</v>
      </c>
      <c r="G176" s="6">
        <v>17.190000000000001</v>
      </c>
      <c r="H176" s="6">
        <v>85.95</v>
      </c>
      <c r="I176" s="6">
        <v>2.59</v>
      </c>
      <c r="J176" s="6">
        <v>83.36</v>
      </c>
      <c r="K176" s="5">
        <v>342</v>
      </c>
    </row>
    <row r="177" spans="1:11" x14ac:dyDescent="0.3">
      <c r="A177" s="3">
        <v>5915</v>
      </c>
      <c r="B177" s="3" t="s">
        <v>31</v>
      </c>
      <c r="C177" s="4">
        <v>45500</v>
      </c>
      <c r="D177" s="3" t="s">
        <v>20</v>
      </c>
      <c r="E177" s="3" t="s">
        <v>39</v>
      </c>
      <c r="F177" s="5">
        <v>4</v>
      </c>
      <c r="G177" s="6">
        <v>27.7</v>
      </c>
      <c r="H177" s="6">
        <v>110.8</v>
      </c>
      <c r="I177" s="6">
        <v>2.72</v>
      </c>
      <c r="J177" s="6">
        <v>108.08</v>
      </c>
      <c r="K177" s="5">
        <v>441</v>
      </c>
    </row>
    <row r="178" spans="1:11" x14ac:dyDescent="0.3">
      <c r="A178" s="3">
        <v>6180</v>
      </c>
      <c r="B178" s="3" t="s">
        <v>24</v>
      </c>
      <c r="C178" s="4">
        <v>45866</v>
      </c>
      <c r="D178" s="3" t="s">
        <v>27</v>
      </c>
      <c r="E178" s="3" t="s">
        <v>16</v>
      </c>
      <c r="F178" s="5">
        <v>3</v>
      </c>
      <c r="G178" s="6">
        <v>4.33</v>
      </c>
      <c r="H178" s="6">
        <v>12.99</v>
      </c>
      <c r="I178" s="6">
        <v>2.6</v>
      </c>
      <c r="J178" s="6">
        <v>10.39</v>
      </c>
      <c r="K178" s="5">
        <v>10</v>
      </c>
    </row>
    <row r="179" spans="1:11" x14ac:dyDescent="0.3">
      <c r="A179" s="3">
        <v>2188</v>
      </c>
      <c r="B179" s="3" t="s">
        <v>26</v>
      </c>
      <c r="C179" s="4">
        <v>45152</v>
      </c>
      <c r="D179" s="3" t="s">
        <v>22</v>
      </c>
      <c r="E179" s="3" t="s">
        <v>43</v>
      </c>
      <c r="F179" s="5">
        <v>4</v>
      </c>
      <c r="G179" s="6">
        <v>25.48</v>
      </c>
      <c r="H179" s="6">
        <v>101.92</v>
      </c>
      <c r="I179" s="6">
        <v>2.6</v>
      </c>
      <c r="J179" s="6">
        <v>99.32</v>
      </c>
      <c r="K179" s="5">
        <v>124</v>
      </c>
    </row>
    <row r="180" spans="1:11" x14ac:dyDescent="0.3">
      <c r="A180" s="3">
        <v>8508</v>
      </c>
      <c r="B180" s="3" t="s">
        <v>11</v>
      </c>
      <c r="C180" s="4">
        <v>45627</v>
      </c>
      <c r="D180" s="3" t="s">
        <v>20</v>
      </c>
      <c r="E180" s="3" t="s">
        <v>37</v>
      </c>
      <c r="F180" s="5">
        <v>3</v>
      </c>
      <c r="G180" s="6">
        <v>7.42</v>
      </c>
      <c r="H180" s="6">
        <v>22.26</v>
      </c>
      <c r="I180" s="6">
        <v>3.04</v>
      </c>
      <c r="J180" s="6">
        <v>19.22</v>
      </c>
      <c r="K180" s="5">
        <v>398</v>
      </c>
    </row>
    <row r="181" spans="1:11" x14ac:dyDescent="0.3">
      <c r="A181" s="3">
        <v>2638</v>
      </c>
      <c r="B181" s="3" t="s">
        <v>11</v>
      </c>
      <c r="C181" s="4">
        <v>45201</v>
      </c>
      <c r="D181" s="3" t="s">
        <v>38</v>
      </c>
      <c r="E181" s="3" t="s">
        <v>46</v>
      </c>
      <c r="F181" s="5">
        <v>2</v>
      </c>
      <c r="G181" s="6">
        <v>27.26</v>
      </c>
      <c r="H181" s="6">
        <v>54.52</v>
      </c>
      <c r="I181" s="6">
        <v>0</v>
      </c>
      <c r="J181" s="6">
        <v>54.52</v>
      </c>
      <c r="K181" s="5">
        <v>178</v>
      </c>
    </row>
    <row r="182" spans="1:11" x14ac:dyDescent="0.3">
      <c r="A182" s="3">
        <v>9808</v>
      </c>
      <c r="B182" s="3" t="s">
        <v>19</v>
      </c>
      <c r="C182" s="4">
        <v>45310</v>
      </c>
      <c r="D182" s="3" t="s">
        <v>17</v>
      </c>
      <c r="E182" s="3" t="s">
        <v>48</v>
      </c>
      <c r="F182" s="5">
        <v>2</v>
      </c>
      <c r="G182" s="6">
        <v>8.41</v>
      </c>
      <c r="H182" s="6">
        <v>16.82</v>
      </c>
      <c r="I182" s="6">
        <v>0</v>
      </c>
      <c r="J182" s="6">
        <v>16.82</v>
      </c>
      <c r="K182" s="5">
        <v>88</v>
      </c>
    </row>
    <row r="183" spans="1:11" x14ac:dyDescent="0.3">
      <c r="A183" s="3">
        <v>9288</v>
      </c>
      <c r="B183" s="3" t="s">
        <v>11</v>
      </c>
      <c r="C183" s="4">
        <v>45350</v>
      </c>
      <c r="D183" s="3" t="s">
        <v>34</v>
      </c>
      <c r="E183" s="3" t="s">
        <v>47</v>
      </c>
      <c r="F183" s="5">
        <v>4</v>
      </c>
      <c r="G183" s="6">
        <v>22.87</v>
      </c>
      <c r="H183" s="6">
        <v>91.48</v>
      </c>
      <c r="I183" s="6">
        <v>0</v>
      </c>
      <c r="J183" s="6">
        <v>91.48</v>
      </c>
      <c r="K183" s="5">
        <v>389</v>
      </c>
    </row>
    <row r="184" spans="1:11" x14ac:dyDescent="0.3">
      <c r="A184" s="3">
        <v>3170</v>
      </c>
      <c r="B184" s="3" t="s">
        <v>36</v>
      </c>
      <c r="C184" s="4">
        <v>45869</v>
      </c>
      <c r="D184" s="3" t="s">
        <v>27</v>
      </c>
      <c r="E184" s="3" t="s">
        <v>21</v>
      </c>
      <c r="F184" s="5">
        <v>2</v>
      </c>
      <c r="G184" s="6">
        <v>13.74</v>
      </c>
      <c r="H184" s="6">
        <v>27.48</v>
      </c>
      <c r="I184" s="6">
        <v>0</v>
      </c>
      <c r="J184" s="6">
        <v>27.48</v>
      </c>
      <c r="K184" s="5">
        <v>240</v>
      </c>
    </row>
    <row r="185" spans="1:11" x14ac:dyDescent="0.3">
      <c r="A185" s="3">
        <v>6718</v>
      </c>
      <c r="B185" s="3" t="s">
        <v>30</v>
      </c>
      <c r="C185" s="4">
        <v>45829</v>
      </c>
      <c r="D185" s="3" t="s">
        <v>35</v>
      </c>
      <c r="E185" s="3" t="s">
        <v>40</v>
      </c>
      <c r="F185" s="5">
        <v>3</v>
      </c>
      <c r="G185" s="6">
        <v>15.7</v>
      </c>
      <c r="H185" s="6">
        <v>47.1</v>
      </c>
      <c r="I185" s="6">
        <v>4.71</v>
      </c>
      <c r="J185" s="6">
        <v>42.39</v>
      </c>
      <c r="K185" s="5">
        <v>158</v>
      </c>
    </row>
    <row r="186" spans="1:11" x14ac:dyDescent="0.3">
      <c r="A186" s="3">
        <v>2127</v>
      </c>
      <c r="B186" s="3" t="s">
        <v>31</v>
      </c>
      <c r="C186" s="4">
        <v>45827</v>
      </c>
      <c r="D186" s="3" t="s">
        <v>12</v>
      </c>
      <c r="E186" s="3" t="s">
        <v>23</v>
      </c>
      <c r="F186" s="5">
        <v>3</v>
      </c>
      <c r="G186" s="6">
        <v>3.22</v>
      </c>
      <c r="H186" s="6">
        <v>9.66</v>
      </c>
      <c r="I186" s="6">
        <v>3.38</v>
      </c>
      <c r="J186" s="6">
        <v>6.28</v>
      </c>
      <c r="K186" s="5">
        <v>442</v>
      </c>
    </row>
    <row r="187" spans="1:11" x14ac:dyDescent="0.3">
      <c r="A187" s="3">
        <v>5002</v>
      </c>
      <c r="B187" s="3" t="s">
        <v>24</v>
      </c>
      <c r="C187" s="4">
        <v>45432</v>
      </c>
      <c r="D187" s="3" t="s">
        <v>45</v>
      </c>
      <c r="E187" s="3" t="s">
        <v>18</v>
      </c>
      <c r="F187" s="5">
        <v>1</v>
      </c>
      <c r="G187" s="6">
        <v>14.03</v>
      </c>
      <c r="H187" s="6">
        <v>14.03</v>
      </c>
      <c r="I187" s="6">
        <v>2.1</v>
      </c>
      <c r="J187" s="6">
        <v>11.93</v>
      </c>
      <c r="K187" s="5">
        <v>414</v>
      </c>
    </row>
    <row r="188" spans="1:11" x14ac:dyDescent="0.3">
      <c r="A188" s="3">
        <v>5669</v>
      </c>
      <c r="B188" s="3" t="s">
        <v>26</v>
      </c>
      <c r="C188" s="4">
        <v>45267</v>
      </c>
      <c r="D188" s="3" t="s">
        <v>38</v>
      </c>
      <c r="E188" s="3" t="s">
        <v>41</v>
      </c>
      <c r="F188" s="5">
        <v>1</v>
      </c>
      <c r="G188" s="6">
        <v>14.06</v>
      </c>
      <c r="H188" s="6">
        <v>14.06</v>
      </c>
      <c r="I188" s="6">
        <v>0</v>
      </c>
      <c r="J188" s="6">
        <v>14.06</v>
      </c>
      <c r="K188" s="5">
        <v>415</v>
      </c>
    </row>
    <row r="189" spans="1:11" x14ac:dyDescent="0.3">
      <c r="A189" s="3">
        <v>8179</v>
      </c>
      <c r="B189" s="3" t="s">
        <v>11</v>
      </c>
      <c r="C189" s="4">
        <v>45792</v>
      </c>
      <c r="D189" s="3" t="s">
        <v>38</v>
      </c>
      <c r="E189" s="3" t="s">
        <v>29</v>
      </c>
      <c r="F189" s="5">
        <v>1</v>
      </c>
      <c r="G189" s="6">
        <v>8.17</v>
      </c>
      <c r="H189" s="6">
        <v>8.17</v>
      </c>
      <c r="I189" s="6">
        <v>3.09</v>
      </c>
      <c r="J189" s="6">
        <v>5.08</v>
      </c>
      <c r="K189" s="5">
        <v>224</v>
      </c>
    </row>
    <row r="190" spans="1:11" x14ac:dyDescent="0.3">
      <c r="A190" s="3">
        <v>9900</v>
      </c>
      <c r="B190" s="3" t="s">
        <v>19</v>
      </c>
      <c r="C190" s="4">
        <v>45691</v>
      </c>
      <c r="D190" s="3" t="s">
        <v>22</v>
      </c>
      <c r="E190" s="3" t="s">
        <v>23</v>
      </c>
      <c r="F190" s="5">
        <v>3</v>
      </c>
      <c r="G190" s="6">
        <v>12.23</v>
      </c>
      <c r="H190" s="6">
        <v>36.69</v>
      </c>
      <c r="I190" s="6">
        <v>0</v>
      </c>
      <c r="J190" s="6">
        <v>36.69</v>
      </c>
      <c r="K190" s="5">
        <v>396</v>
      </c>
    </row>
    <row r="191" spans="1:11" x14ac:dyDescent="0.3">
      <c r="A191" s="3">
        <v>5956</v>
      </c>
      <c r="B191" s="3" t="s">
        <v>31</v>
      </c>
      <c r="C191" s="4">
        <v>45620</v>
      </c>
      <c r="D191" s="3" t="s">
        <v>27</v>
      </c>
      <c r="E191" s="3" t="s">
        <v>21</v>
      </c>
      <c r="F191" s="5">
        <v>1</v>
      </c>
      <c r="G191" s="6">
        <v>10.55</v>
      </c>
      <c r="H191" s="6">
        <v>10.55</v>
      </c>
      <c r="I191" s="6">
        <v>1.58</v>
      </c>
      <c r="J191" s="6">
        <v>8.9700000000000006</v>
      </c>
      <c r="K191" s="5">
        <v>285</v>
      </c>
    </row>
    <row r="192" spans="1:11" x14ac:dyDescent="0.3">
      <c r="A192" s="3">
        <v>9666</v>
      </c>
      <c r="B192" s="3" t="s">
        <v>30</v>
      </c>
      <c r="C192" s="4">
        <v>45151</v>
      </c>
      <c r="D192" s="3" t="s">
        <v>27</v>
      </c>
      <c r="E192" s="3" t="s">
        <v>41</v>
      </c>
      <c r="F192" s="5">
        <v>3</v>
      </c>
      <c r="G192" s="6">
        <v>3.35</v>
      </c>
      <c r="H192" s="6">
        <v>10.050000000000001</v>
      </c>
      <c r="I192" s="6">
        <v>1.51</v>
      </c>
      <c r="J192" s="6">
        <v>8.5399999999999991</v>
      </c>
      <c r="K192" s="5">
        <v>339</v>
      </c>
    </row>
    <row r="193" spans="1:11" x14ac:dyDescent="0.3">
      <c r="A193" s="3">
        <v>5905</v>
      </c>
      <c r="B193" s="3" t="s">
        <v>30</v>
      </c>
      <c r="C193" s="4">
        <v>45868</v>
      </c>
      <c r="D193" s="3" t="s">
        <v>27</v>
      </c>
      <c r="E193" s="3" t="s">
        <v>32</v>
      </c>
      <c r="F193" s="5">
        <v>2</v>
      </c>
      <c r="G193" s="6">
        <v>18.25</v>
      </c>
      <c r="H193" s="6">
        <v>36.5</v>
      </c>
      <c r="I193" s="6">
        <v>5.47</v>
      </c>
      <c r="J193" s="6">
        <v>31.03</v>
      </c>
      <c r="K193" s="5">
        <v>480</v>
      </c>
    </row>
    <row r="194" spans="1:11" x14ac:dyDescent="0.3">
      <c r="A194" s="3">
        <v>2697</v>
      </c>
      <c r="B194" s="3" t="s">
        <v>14</v>
      </c>
      <c r="C194" s="4">
        <v>45874</v>
      </c>
      <c r="D194" s="3" t="s">
        <v>20</v>
      </c>
      <c r="E194" s="3" t="s">
        <v>21</v>
      </c>
      <c r="F194" s="5">
        <v>2</v>
      </c>
      <c r="G194" s="6">
        <v>20.420000000000002</v>
      </c>
      <c r="H194" s="6">
        <v>40.840000000000003</v>
      </c>
      <c r="I194" s="6">
        <v>0</v>
      </c>
      <c r="J194" s="6">
        <v>40.840000000000003</v>
      </c>
      <c r="K194" s="5">
        <v>424</v>
      </c>
    </row>
    <row r="195" spans="1:11" x14ac:dyDescent="0.3">
      <c r="A195" s="3">
        <v>3200</v>
      </c>
      <c r="B195" s="3" t="s">
        <v>24</v>
      </c>
      <c r="C195" s="4">
        <v>45350</v>
      </c>
      <c r="D195" s="3" t="s">
        <v>38</v>
      </c>
      <c r="E195" s="3" t="s">
        <v>23</v>
      </c>
      <c r="F195" s="5">
        <v>1</v>
      </c>
      <c r="G195" s="6">
        <v>11.51</v>
      </c>
      <c r="H195" s="6">
        <v>11.51</v>
      </c>
      <c r="I195" s="6">
        <v>1.73</v>
      </c>
      <c r="J195" s="6">
        <v>9.7799999999999994</v>
      </c>
      <c r="K195" s="5">
        <v>92</v>
      </c>
    </row>
    <row r="196" spans="1:11" x14ac:dyDescent="0.3">
      <c r="A196" s="3">
        <v>2891</v>
      </c>
      <c r="B196" s="3" t="s">
        <v>26</v>
      </c>
      <c r="C196" s="4">
        <v>45836</v>
      </c>
      <c r="D196" s="3" t="s">
        <v>17</v>
      </c>
      <c r="E196" s="3" t="s">
        <v>25</v>
      </c>
      <c r="F196" s="5">
        <v>2</v>
      </c>
      <c r="G196" s="6">
        <v>5.48</v>
      </c>
      <c r="H196" s="6">
        <v>10.96</v>
      </c>
      <c r="I196" s="6">
        <v>4.08</v>
      </c>
      <c r="J196" s="6">
        <v>6.88</v>
      </c>
      <c r="K196" s="5">
        <v>151</v>
      </c>
    </row>
    <row r="197" spans="1:11" x14ac:dyDescent="0.3">
      <c r="A197" s="3">
        <v>2753</v>
      </c>
      <c r="B197" s="3" t="s">
        <v>14</v>
      </c>
      <c r="C197" s="4">
        <v>45721</v>
      </c>
      <c r="D197" s="3" t="s">
        <v>12</v>
      </c>
      <c r="E197" s="3" t="s">
        <v>21</v>
      </c>
      <c r="F197" s="5">
        <v>5</v>
      </c>
      <c r="G197" s="6">
        <v>4.79</v>
      </c>
      <c r="H197" s="6">
        <v>23.95</v>
      </c>
      <c r="I197" s="6">
        <v>4.79</v>
      </c>
      <c r="J197" s="6">
        <v>19.16</v>
      </c>
      <c r="K197" s="5">
        <v>192</v>
      </c>
    </row>
    <row r="198" spans="1:11" x14ac:dyDescent="0.3">
      <c r="A198" s="3">
        <v>3546</v>
      </c>
      <c r="B198" s="3" t="s">
        <v>19</v>
      </c>
      <c r="C198" s="4">
        <v>45356</v>
      </c>
      <c r="D198" s="3" t="s">
        <v>28</v>
      </c>
      <c r="E198" s="3" t="s">
        <v>29</v>
      </c>
      <c r="F198" s="5">
        <v>4</v>
      </c>
      <c r="G198" s="6">
        <v>2.2599999999999998</v>
      </c>
      <c r="H198" s="6">
        <v>9.0399999999999991</v>
      </c>
      <c r="I198" s="6">
        <v>0.9</v>
      </c>
      <c r="J198" s="6">
        <v>8.14</v>
      </c>
      <c r="K198" s="5">
        <v>186</v>
      </c>
    </row>
    <row r="199" spans="1:11" x14ac:dyDescent="0.3">
      <c r="A199" s="3">
        <v>5616</v>
      </c>
      <c r="B199" s="3" t="s">
        <v>30</v>
      </c>
      <c r="C199" s="4">
        <v>45614</v>
      </c>
      <c r="D199" s="3" t="s">
        <v>45</v>
      </c>
      <c r="E199" s="3" t="s">
        <v>25</v>
      </c>
      <c r="F199" s="5">
        <v>5</v>
      </c>
      <c r="G199" s="6">
        <v>7.93</v>
      </c>
      <c r="H199" s="6">
        <v>39.65</v>
      </c>
      <c r="I199" s="6">
        <v>7.93</v>
      </c>
      <c r="J199" s="6">
        <v>31.72</v>
      </c>
      <c r="K199" s="5">
        <v>494</v>
      </c>
    </row>
    <row r="200" spans="1:11" x14ac:dyDescent="0.3">
      <c r="A200" s="3">
        <v>4450</v>
      </c>
      <c r="B200" s="3" t="s">
        <v>36</v>
      </c>
      <c r="C200" s="4">
        <v>45702</v>
      </c>
      <c r="D200" s="3" t="s">
        <v>27</v>
      </c>
      <c r="E200" s="3" t="s">
        <v>33</v>
      </c>
      <c r="F200" s="5">
        <v>4</v>
      </c>
      <c r="G200" s="6">
        <v>23.3</v>
      </c>
      <c r="H200" s="6">
        <v>93.2</v>
      </c>
      <c r="I200" s="6">
        <v>3.11</v>
      </c>
      <c r="J200" s="6">
        <v>90.09</v>
      </c>
      <c r="K200" s="5">
        <v>398</v>
      </c>
    </row>
    <row r="201" spans="1:11" x14ac:dyDescent="0.3">
      <c r="A201" s="3">
        <v>6617</v>
      </c>
      <c r="B201" s="3" t="s">
        <v>19</v>
      </c>
      <c r="C201" s="4">
        <v>45303</v>
      </c>
      <c r="D201" s="3" t="s">
        <v>17</v>
      </c>
      <c r="E201" s="3" t="s">
        <v>41</v>
      </c>
      <c r="F201" s="5">
        <v>3</v>
      </c>
      <c r="G201" s="6">
        <v>2.5</v>
      </c>
      <c r="H201" s="6">
        <v>7.5</v>
      </c>
      <c r="I201" s="6">
        <v>4.74</v>
      </c>
      <c r="J201" s="6">
        <v>2.76</v>
      </c>
      <c r="K201" s="5">
        <v>246</v>
      </c>
    </row>
    <row r="202" spans="1:11" x14ac:dyDescent="0.3">
      <c r="A202" s="3">
        <v>5325</v>
      </c>
      <c r="B202" s="3" t="s">
        <v>14</v>
      </c>
      <c r="C202" s="4">
        <v>45537</v>
      </c>
      <c r="D202" s="3" t="s">
        <v>15</v>
      </c>
      <c r="E202" s="3" t="s">
        <v>37</v>
      </c>
      <c r="F202" s="5">
        <v>1</v>
      </c>
      <c r="G202" s="6">
        <v>23.12</v>
      </c>
      <c r="H202" s="6">
        <v>23.12</v>
      </c>
      <c r="I202" s="6">
        <v>1.59</v>
      </c>
      <c r="J202" s="6">
        <v>21.53</v>
      </c>
      <c r="K202" s="5">
        <v>139</v>
      </c>
    </row>
    <row r="203" spans="1:11" x14ac:dyDescent="0.3">
      <c r="A203" s="3">
        <v>9004</v>
      </c>
      <c r="B203" s="3" t="s">
        <v>24</v>
      </c>
      <c r="C203" s="4">
        <v>45340</v>
      </c>
      <c r="D203" s="3" t="s">
        <v>15</v>
      </c>
      <c r="E203" s="3" t="s">
        <v>25</v>
      </c>
      <c r="F203" s="5">
        <v>4</v>
      </c>
      <c r="G203" s="6">
        <v>26.64</v>
      </c>
      <c r="H203" s="6">
        <v>106.56</v>
      </c>
      <c r="I203" s="6">
        <v>10.66</v>
      </c>
      <c r="J203" s="6">
        <v>95.9</v>
      </c>
      <c r="K203" s="5">
        <v>476</v>
      </c>
    </row>
    <row r="204" spans="1:11" x14ac:dyDescent="0.3">
      <c r="A204" s="3">
        <v>1832</v>
      </c>
      <c r="B204" s="3" t="s">
        <v>31</v>
      </c>
      <c r="C204" s="4">
        <v>45216</v>
      </c>
      <c r="D204" s="3" t="s">
        <v>20</v>
      </c>
      <c r="E204" s="3" t="s">
        <v>46</v>
      </c>
      <c r="F204" s="5">
        <v>3</v>
      </c>
      <c r="G204" s="6">
        <v>7.83</v>
      </c>
      <c r="H204" s="6">
        <v>23.49</v>
      </c>
      <c r="I204" s="6">
        <v>4.7</v>
      </c>
      <c r="J204" s="6">
        <v>18.79</v>
      </c>
      <c r="K204" s="5">
        <v>41</v>
      </c>
    </row>
    <row r="205" spans="1:11" x14ac:dyDescent="0.3">
      <c r="A205" s="3">
        <v>7939</v>
      </c>
      <c r="B205" s="3" t="s">
        <v>31</v>
      </c>
      <c r="C205" s="4">
        <v>45789</v>
      </c>
      <c r="D205" s="3" t="s">
        <v>22</v>
      </c>
      <c r="E205" s="3" t="s">
        <v>48</v>
      </c>
      <c r="F205" s="5">
        <v>3</v>
      </c>
      <c r="G205" s="6">
        <v>23.94</v>
      </c>
      <c r="H205" s="6">
        <v>71.819999999999993</v>
      </c>
      <c r="I205" s="6">
        <v>10.77</v>
      </c>
      <c r="J205" s="6">
        <v>61.05</v>
      </c>
      <c r="K205" s="5">
        <v>70</v>
      </c>
    </row>
    <row r="206" spans="1:11" x14ac:dyDescent="0.3">
      <c r="A206" s="3">
        <v>5533</v>
      </c>
      <c r="B206" s="3" t="s">
        <v>26</v>
      </c>
      <c r="C206" s="4">
        <v>45179</v>
      </c>
      <c r="D206" s="3" t="s">
        <v>34</v>
      </c>
      <c r="E206" s="3" t="s">
        <v>47</v>
      </c>
      <c r="F206" s="5">
        <v>4</v>
      </c>
      <c r="G206" s="6">
        <v>18.84</v>
      </c>
      <c r="H206" s="6">
        <v>75.36</v>
      </c>
      <c r="I206" s="6">
        <v>2.02</v>
      </c>
      <c r="J206" s="6">
        <v>73.34</v>
      </c>
      <c r="K206" s="5">
        <v>463</v>
      </c>
    </row>
    <row r="207" spans="1:11" x14ac:dyDescent="0.3">
      <c r="A207" s="3">
        <v>1058</v>
      </c>
      <c r="B207" s="3" t="s">
        <v>19</v>
      </c>
      <c r="C207" s="4">
        <v>45404</v>
      </c>
      <c r="D207" s="3" t="s">
        <v>38</v>
      </c>
      <c r="E207" s="3" t="s">
        <v>46</v>
      </c>
      <c r="F207" s="5">
        <v>4</v>
      </c>
      <c r="G207" s="6">
        <v>4.21</v>
      </c>
      <c r="H207" s="6">
        <v>16.84</v>
      </c>
      <c r="I207" s="6">
        <v>2.5299999999999998</v>
      </c>
      <c r="J207" s="6">
        <v>14.31</v>
      </c>
      <c r="K207" s="5">
        <v>147</v>
      </c>
    </row>
    <row r="208" spans="1:11" x14ac:dyDescent="0.3">
      <c r="A208" s="3">
        <v>3143</v>
      </c>
      <c r="B208" s="3" t="s">
        <v>11</v>
      </c>
      <c r="C208" s="4">
        <v>45639</v>
      </c>
      <c r="D208" s="3" t="s">
        <v>12</v>
      </c>
      <c r="E208" s="3" t="s">
        <v>25</v>
      </c>
      <c r="F208" s="5">
        <v>4</v>
      </c>
      <c r="G208" s="6">
        <v>19.52</v>
      </c>
      <c r="H208" s="6">
        <v>78.08</v>
      </c>
      <c r="I208" s="6">
        <v>1.44</v>
      </c>
      <c r="J208" s="6">
        <v>76.64</v>
      </c>
      <c r="K208" s="5">
        <v>318</v>
      </c>
    </row>
    <row r="209" spans="1:11" x14ac:dyDescent="0.3">
      <c r="A209" s="3">
        <v>5291</v>
      </c>
      <c r="B209" s="3" t="s">
        <v>26</v>
      </c>
      <c r="C209" s="4">
        <v>45270</v>
      </c>
      <c r="D209" s="3" t="s">
        <v>28</v>
      </c>
      <c r="E209" s="3" t="s">
        <v>18</v>
      </c>
      <c r="F209" s="5">
        <v>1</v>
      </c>
      <c r="G209" s="6">
        <v>19.32</v>
      </c>
      <c r="H209" s="6">
        <v>19.32</v>
      </c>
      <c r="I209" s="6">
        <v>0</v>
      </c>
      <c r="J209" s="6">
        <v>19.32</v>
      </c>
      <c r="K209" s="5">
        <v>294</v>
      </c>
    </row>
    <row r="210" spans="1:11" x14ac:dyDescent="0.3">
      <c r="A210" s="3">
        <v>8239</v>
      </c>
      <c r="B210" s="3" t="s">
        <v>19</v>
      </c>
      <c r="C210" s="4">
        <v>45573</v>
      </c>
      <c r="D210" s="3" t="s">
        <v>35</v>
      </c>
      <c r="E210" s="3" t="s">
        <v>16</v>
      </c>
      <c r="F210" s="5">
        <v>1</v>
      </c>
      <c r="G210" s="6">
        <v>18.82</v>
      </c>
      <c r="H210" s="6">
        <v>18.82</v>
      </c>
      <c r="I210" s="6">
        <v>3.76</v>
      </c>
      <c r="J210" s="6">
        <v>15.06</v>
      </c>
      <c r="K210" s="5">
        <v>123</v>
      </c>
    </row>
    <row r="211" spans="1:11" x14ac:dyDescent="0.3">
      <c r="A211" s="3">
        <v>8007</v>
      </c>
      <c r="B211" s="3" t="s">
        <v>11</v>
      </c>
      <c r="C211" s="4">
        <v>45580</v>
      </c>
      <c r="D211" s="3" t="s">
        <v>38</v>
      </c>
      <c r="E211" s="3" t="s">
        <v>23</v>
      </c>
      <c r="F211" s="5">
        <v>1</v>
      </c>
      <c r="G211" s="6">
        <v>28.64</v>
      </c>
      <c r="H211" s="6">
        <v>28.64</v>
      </c>
      <c r="I211" s="6">
        <v>2.86</v>
      </c>
      <c r="J211" s="6">
        <v>25.78</v>
      </c>
      <c r="K211" s="5">
        <v>278</v>
      </c>
    </row>
    <row r="212" spans="1:11" x14ac:dyDescent="0.3">
      <c r="A212" s="3">
        <v>1158</v>
      </c>
      <c r="B212" s="3" t="s">
        <v>26</v>
      </c>
      <c r="C212" s="4">
        <v>45231</v>
      </c>
      <c r="D212" s="3" t="s">
        <v>12</v>
      </c>
      <c r="E212" s="3" t="s">
        <v>32</v>
      </c>
      <c r="F212" s="5">
        <v>3</v>
      </c>
      <c r="G212" s="6">
        <v>8.35</v>
      </c>
      <c r="H212" s="6">
        <v>25.05</v>
      </c>
      <c r="I212" s="6">
        <v>2.38</v>
      </c>
      <c r="J212" s="6">
        <v>22.67</v>
      </c>
      <c r="K212" s="5">
        <v>8</v>
      </c>
    </row>
    <row r="213" spans="1:11" x14ac:dyDescent="0.3">
      <c r="A213" s="3">
        <v>2232</v>
      </c>
      <c r="B213" s="3" t="s">
        <v>11</v>
      </c>
      <c r="C213" s="4">
        <v>45830</v>
      </c>
      <c r="D213" s="3" t="s">
        <v>28</v>
      </c>
      <c r="E213" s="3" t="s">
        <v>21</v>
      </c>
      <c r="F213" s="5">
        <v>2</v>
      </c>
      <c r="G213" s="6">
        <v>2.2799999999999998</v>
      </c>
      <c r="H213" s="6">
        <v>4.5599999999999996</v>
      </c>
      <c r="I213" s="6">
        <v>0</v>
      </c>
      <c r="J213" s="6">
        <v>4.5599999999999996</v>
      </c>
      <c r="K213" s="5">
        <v>279</v>
      </c>
    </row>
    <row r="214" spans="1:11" x14ac:dyDescent="0.3">
      <c r="A214" s="3">
        <v>3442</v>
      </c>
      <c r="B214" s="3" t="s">
        <v>19</v>
      </c>
      <c r="C214" s="4">
        <v>45568</v>
      </c>
      <c r="D214" s="3" t="s">
        <v>27</v>
      </c>
      <c r="E214" s="3" t="s">
        <v>33</v>
      </c>
      <c r="F214" s="5">
        <v>4</v>
      </c>
      <c r="G214" s="6">
        <v>19.309999999999999</v>
      </c>
      <c r="H214" s="6">
        <v>77.239999999999995</v>
      </c>
      <c r="I214" s="6">
        <v>3.86</v>
      </c>
      <c r="J214" s="6">
        <v>73.38</v>
      </c>
      <c r="K214" s="5">
        <v>415</v>
      </c>
    </row>
    <row r="215" spans="1:11" x14ac:dyDescent="0.3">
      <c r="A215" s="3">
        <v>1590</v>
      </c>
      <c r="B215" s="3" t="s">
        <v>26</v>
      </c>
      <c r="C215" s="4">
        <v>45793</v>
      </c>
      <c r="D215" s="3" t="s">
        <v>12</v>
      </c>
      <c r="E215" s="3" t="s">
        <v>37</v>
      </c>
      <c r="F215" s="5">
        <v>2</v>
      </c>
      <c r="G215" s="6">
        <v>2.2599999999999998</v>
      </c>
      <c r="H215" s="6">
        <v>4.5199999999999996</v>
      </c>
      <c r="I215" s="6">
        <v>0.68</v>
      </c>
      <c r="J215" s="6">
        <v>3.84</v>
      </c>
      <c r="K215" s="5">
        <v>102</v>
      </c>
    </row>
    <row r="216" spans="1:11" x14ac:dyDescent="0.3">
      <c r="A216" s="3">
        <v>7049</v>
      </c>
      <c r="B216" s="3" t="s">
        <v>30</v>
      </c>
      <c r="C216" s="4">
        <v>45597</v>
      </c>
      <c r="D216" s="3" t="s">
        <v>38</v>
      </c>
      <c r="E216" s="3" t="s">
        <v>32</v>
      </c>
      <c r="F216" s="5">
        <v>5</v>
      </c>
      <c r="G216" s="6">
        <v>14.72</v>
      </c>
      <c r="H216" s="6">
        <v>73.599999999999994</v>
      </c>
      <c r="I216" s="6">
        <v>11.04</v>
      </c>
      <c r="J216" s="6">
        <v>62.56</v>
      </c>
      <c r="K216" s="5">
        <v>18</v>
      </c>
    </row>
    <row r="217" spans="1:11" x14ac:dyDescent="0.3">
      <c r="A217" s="3">
        <v>3426</v>
      </c>
      <c r="B217" s="3" t="s">
        <v>36</v>
      </c>
      <c r="C217" s="4">
        <v>45478</v>
      </c>
      <c r="D217" s="3" t="s">
        <v>12</v>
      </c>
      <c r="E217" s="3" t="s">
        <v>21</v>
      </c>
      <c r="F217" s="5">
        <v>3</v>
      </c>
      <c r="G217" s="6">
        <v>4.5999999999999996</v>
      </c>
      <c r="H217" s="6">
        <v>13.8</v>
      </c>
      <c r="I217" s="6">
        <v>1.38</v>
      </c>
      <c r="J217" s="6">
        <v>12.42</v>
      </c>
      <c r="K217" s="5">
        <v>188</v>
      </c>
    </row>
    <row r="218" spans="1:11" x14ac:dyDescent="0.3">
      <c r="A218" s="3">
        <v>3088</v>
      </c>
      <c r="B218" s="3" t="s">
        <v>26</v>
      </c>
      <c r="C218" s="4">
        <v>45177</v>
      </c>
      <c r="D218" s="3" t="s">
        <v>20</v>
      </c>
      <c r="E218" s="3" t="s">
        <v>21</v>
      </c>
      <c r="F218" s="5">
        <v>2</v>
      </c>
      <c r="G218" s="6">
        <v>15.38</v>
      </c>
      <c r="H218" s="6">
        <v>30.76</v>
      </c>
      <c r="I218" s="6">
        <v>2.0699999999999998</v>
      </c>
      <c r="J218" s="6">
        <v>28.69</v>
      </c>
      <c r="K218" s="5">
        <v>254</v>
      </c>
    </row>
    <row r="219" spans="1:11" x14ac:dyDescent="0.3">
      <c r="A219" s="3">
        <v>6050</v>
      </c>
      <c r="B219" s="3" t="s">
        <v>11</v>
      </c>
      <c r="C219" s="4">
        <v>45428</v>
      </c>
      <c r="D219" s="3" t="s">
        <v>20</v>
      </c>
      <c r="E219" s="3" t="s">
        <v>43</v>
      </c>
      <c r="F219" s="5">
        <v>4</v>
      </c>
      <c r="G219" s="6">
        <v>18.46</v>
      </c>
      <c r="H219" s="6">
        <v>73.84</v>
      </c>
      <c r="I219" s="6">
        <v>2.1800000000000002</v>
      </c>
      <c r="J219" s="6">
        <v>71.66</v>
      </c>
      <c r="K219" s="5">
        <v>421</v>
      </c>
    </row>
    <row r="220" spans="1:11" x14ac:dyDescent="0.3">
      <c r="A220" s="3">
        <v>1653</v>
      </c>
      <c r="B220" s="3" t="s">
        <v>11</v>
      </c>
      <c r="C220" s="4">
        <v>45843</v>
      </c>
      <c r="D220" s="3" t="s">
        <v>15</v>
      </c>
      <c r="E220" s="3" t="s">
        <v>21</v>
      </c>
      <c r="F220" s="5">
        <v>3</v>
      </c>
      <c r="G220" s="6">
        <v>9.8800000000000008</v>
      </c>
      <c r="H220" s="6">
        <v>29.64</v>
      </c>
      <c r="I220" s="6">
        <v>5.93</v>
      </c>
      <c r="J220" s="6">
        <v>23.71</v>
      </c>
      <c r="K220" s="5">
        <v>308</v>
      </c>
    </row>
    <row r="221" spans="1:11" x14ac:dyDescent="0.3">
      <c r="A221" s="3">
        <v>6862</v>
      </c>
      <c r="B221" s="3" t="s">
        <v>26</v>
      </c>
      <c r="C221" s="4">
        <v>45308</v>
      </c>
      <c r="D221" s="3" t="s">
        <v>22</v>
      </c>
      <c r="E221" s="3" t="s">
        <v>33</v>
      </c>
      <c r="F221" s="5">
        <v>1</v>
      </c>
      <c r="G221" s="6">
        <v>22.07</v>
      </c>
      <c r="H221" s="6">
        <v>22.07</v>
      </c>
      <c r="I221" s="6">
        <v>4.99</v>
      </c>
      <c r="J221" s="6">
        <v>17.079999999999998</v>
      </c>
      <c r="K221" s="5">
        <v>466</v>
      </c>
    </row>
    <row r="222" spans="1:11" x14ac:dyDescent="0.3">
      <c r="A222" s="3">
        <v>5088</v>
      </c>
      <c r="B222" s="3" t="s">
        <v>30</v>
      </c>
      <c r="C222" s="4">
        <v>45663</v>
      </c>
      <c r="D222" s="3" t="s">
        <v>27</v>
      </c>
      <c r="E222" s="3" t="s">
        <v>40</v>
      </c>
      <c r="F222" s="5">
        <v>1</v>
      </c>
      <c r="G222" s="6">
        <v>20.45</v>
      </c>
      <c r="H222" s="6">
        <v>20.45</v>
      </c>
      <c r="I222" s="6">
        <v>4.2</v>
      </c>
      <c r="J222" s="6">
        <v>16.25</v>
      </c>
      <c r="K222" s="5">
        <v>207</v>
      </c>
    </row>
    <row r="223" spans="1:11" x14ac:dyDescent="0.3">
      <c r="A223" s="3">
        <v>2684</v>
      </c>
      <c r="B223" s="3" t="s">
        <v>19</v>
      </c>
      <c r="C223" s="4">
        <v>45419</v>
      </c>
      <c r="D223" s="3" t="s">
        <v>12</v>
      </c>
      <c r="E223" s="3" t="s">
        <v>41</v>
      </c>
      <c r="F223" s="5">
        <v>5</v>
      </c>
      <c r="G223" s="6">
        <v>20.65</v>
      </c>
      <c r="H223" s="6">
        <v>103.25</v>
      </c>
      <c r="I223" s="6">
        <v>20.65</v>
      </c>
      <c r="J223" s="6">
        <v>82.6</v>
      </c>
      <c r="K223" s="5">
        <v>224</v>
      </c>
    </row>
    <row r="224" spans="1:11" x14ac:dyDescent="0.3">
      <c r="A224" s="3">
        <v>7658</v>
      </c>
      <c r="B224" s="3" t="s">
        <v>11</v>
      </c>
      <c r="C224" s="4">
        <v>45627</v>
      </c>
      <c r="D224" s="3" t="s">
        <v>17</v>
      </c>
      <c r="E224" s="3" t="s">
        <v>23</v>
      </c>
      <c r="F224" s="5">
        <v>3</v>
      </c>
      <c r="G224" s="6">
        <v>12.09</v>
      </c>
      <c r="H224" s="6">
        <v>36.270000000000003</v>
      </c>
      <c r="I224" s="6">
        <v>1.61</v>
      </c>
      <c r="J224" s="6">
        <v>34.659999999999997</v>
      </c>
      <c r="K224" s="5">
        <v>290</v>
      </c>
    </row>
    <row r="225" spans="1:11" x14ac:dyDescent="0.3">
      <c r="A225" s="3">
        <v>3532</v>
      </c>
      <c r="B225" s="3" t="s">
        <v>26</v>
      </c>
      <c r="C225" s="4">
        <v>45864</v>
      </c>
      <c r="D225" s="3" t="s">
        <v>22</v>
      </c>
      <c r="E225" s="3" t="s">
        <v>23</v>
      </c>
      <c r="F225" s="5">
        <v>4</v>
      </c>
      <c r="G225" s="6">
        <v>23.12</v>
      </c>
      <c r="H225" s="6">
        <v>92.48</v>
      </c>
      <c r="I225" s="6">
        <v>2.4700000000000002</v>
      </c>
      <c r="J225" s="6">
        <v>90.01</v>
      </c>
      <c r="K225" s="5">
        <v>293</v>
      </c>
    </row>
    <row r="226" spans="1:11" x14ac:dyDescent="0.3">
      <c r="A226" s="3">
        <v>4878</v>
      </c>
      <c r="B226" s="3" t="s">
        <v>36</v>
      </c>
      <c r="C226" s="4">
        <v>45816</v>
      </c>
      <c r="D226" s="3" t="s">
        <v>27</v>
      </c>
      <c r="E226" s="3" t="s">
        <v>13</v>
      </c>
      <c r="F226" s="5">
        <v>2</v>
      </c>
      <c r="G226" s="6">
        <v>28.85</v>
      </c>
      <c r="H226" s="6">
        <v>57.7</v>
      </c>
      <c r="I226" s="6">
        <v>5.77</v>
      </c>
      <c r="J226" s="6">
        <v>51.93</v>
      </c>
      <c r="K226" s="5">
        <v>13</v>
      </c>
    </row>
    <row r="227" spans="1:11" x14ac:dyDescent="0.3">
      <c r="A227" s="3">
        <v>3662</v>
      </c>
      <c r="B227" s="3" t="s">
        <v>14</v>
      </c>
      <c r="C227" s="4">
        <v>45766</v>
      </c>
      <c r="D227" s="3" t="s">
        <v>20</v>
      </c>
      <c r="E227" s="3" t="s">
        <v>18</v>
      </c>
      <c r="F227" s="5">
        <v>1</v>
      </c>
      <c r="G227" s="6">
        <v>8.58</v>
      </c>
      <c r="H227" s="6">
        <v>8.58</v>
      </c>
      <c r="I227" s="6">
        <v>1.72</v>
      </c>
      <c r="J227" s="6">
        <v>6.86</v>
      </c>
      <c r="K227" s="5">
        <v>133</v>
      </c>
    </row>
    <row r="228" spans="1:11" x14ac:dyDescent="0.3">
      <c r="A228" s="3">
        <v>3900</v>
      </c>
      <c r="B228" s="3" t="s">
        <v>30</v>
      </c>
      <c r="C228" s="4">
        <v>45829</v>
      </c>
      <c r="D228" s="3" t="s">
        <v>45</v>
      </c>
      <c r="E228" s="3" t="s">
        <v>44</v>
      </c>
      <c r="F228" s="5">
        <v>1</v>
      </c>
      <c r="G228" s="6">
        <v>4.93</v>
      </c>
      <c r="H228" s="6">
        <v>4.93</v>
      </c>
      <c r="I228" s="6">
        <v>0.99</v>
      </c>
      <c r="J228" s="6">
        <v>3.94</v>
      </c>
      <c r="K228" s="5">
        <v>37</v>
      </c>
    </row>
    <row r="229" spans="1:11" x14ac:dyDescent="0.3">
      <c r="A229" s="3">
        <v>7755</v>
      </c>
      <c r="B229" s="3" t="s">
        <v>26</v>
      </c>
      <c r="C229" s="4">
        <v>45164</v>
      </c>
      <c r="D229" s="3" t="s">
        <v>15</v>
      </c>
      <c r="E229" s="3" t="s">
        <v>21</v>
      </c>
      <c r="F229" s="5">
        <v>3</v>
      </c>
      <c r="G229" s="6">
        <v>21.57</v>
      </c>
      <c r="H229" s="6">
        <v>64.709999999999994</v>
      </c>
      <c r="I229" s="6">
        <v>9.7100000000000009</v>
      </c>
      <c r="J229" s="6">
        <v>55</v>
      </c>
      <c r="K229" s="5">
        <v>281</v>
      </c>
    </row>
    <row r="230" spans="1:11" x14ac:dyDescent="0.3">
      <c r="A230" s="3">
        <v>3938</v>
      </c>
      <c r="B230" s="3" t="s">
        <v>19</v>
      </c>
      <c r="C230" s="4">
        <v>45717</v>
      </c>
      <c r="D230" s="3" t="s">
        <v>27</v>
      </c>
      <c r="E230" s="3" t="s">
        <v>29</v>
      </c>
      <c r="F230" s="5">
        <v>3</v>
      </c>
      <c r="G230" s="6">
        <v>15.74</v>
      </c>
      <c r="H230" s="6">
        <v>47.22</v>
      </c>
      <c r="I230" s="6">
        <v>9.44</v>
      </c>
      <c r="J230" s="6">
        <v>37.78</v>
      </c>
      <c r="K230" s="5">
        <v>62</v>
      </c>
    </row>
    <row r="231" spans="1:11" x14ac:dyDescent="0.3">
      <c r="A231" s="3">
        <v>6442</v>
      </c>
      <c r="B231" s="3" t="s">
        <v>42</v>
      </c>
      <c r="C231" s="4">
        <v>45752</v>
      </c>
      <c r="D231" s="3" t="s">
        <v>45</v>
      </c>
      <c r="E231" s="3" t="s">
        <v>39</v>
      </c>
      <c r="F231" s="5">
        <v>3</v>
      </c>
      <c r="G231" s="6">
        <v>17.059999999999999</v>
      </c>
      <c r="H231" s="6">
        <v>51.18</v>
      </c>
      <c r="I231" s="6">
        <v>1.52</v>
      </c>
      <c r="J231" s="6">
        <v>49.66</v>
      </c>
      <c r="K231" s="5">
        <v>188</v>
      </c>
    </row>
    <row r="232" spans="1:11" x14ac:dyDescent="0.3">
      <c r="A232" s="3">
        <v>7745</v>
      </c>
      <c r="B232" s="3" t="s">
        <v>11</v>
      </c>
      <c r="C232" s="4">
        <v>45768</v>
      </c>
      <c r="D232" s="3" t="s">
        <v>15</v>
      </c>
      <c r="E232" s="3" t="s">
        <v>37</v>
      </c>
      <c r="F232" s="5">
        <v>4</v>
      </c>
      <c r="G232" s="6">
        <v>29.98</v>
      </c>
      <c r="H232" s="6">
        <v>119.92</v>
      </c>
      <c r="I232" s="6">
        <v>2.64</v>
      </c>
      <c r="J232" s="6">
        <v>117.28</v>
      </c>
      <c r="K232" s="5">
        <v>368</v>
      </c>
    </row>
    <row r="233" spans="1:11" x14ac:dyDescent="0.3">
      <c r="A233" s="3">
        <v>5065</v>
      </c>
      <c r="B233" s="3" t="s">
        <v>24</v>
      </c>
      <c r="C233" s="4">
        <v>45352</v>
      </c>
      <c r="D233" s="3" t="s">
        <v>28</v>
      </c>
      <c r="E233" s="3" t="s">
        <v>43</v>
      </c>
      <c r="F233" s="5">
        <v>2</v>
      </c>
      <c r="G233" s="6">
        <v>29.19</v>
      </c>
      <c r="H233" s="6">
        <v>58.38</v>
      </c>
      <c r="I233" s="6">
        <v>5.84</v>
      </c>
      <c r="J233" s="6">
        <v>52.54</v>
      </c>
      <c r="K233" s="5">
        <v>328</v>
      </c>
    </row>
    <row r="234" spans="1:11" x14ac:dyDescent="0.3">
      <c r="A234" s="3">
        <v>3608</v>
      </c>
      <c r="B234" s="3" t="s">
        <v>26</v>
      </c>
      <c r="C234" s="4">
        <v>45756</v>
      </c>
      <c r="D234" s="3" t="s">
        <v>27</v>
      </c>
      <c r="E234" s="3" t="s">
        <v>46</v>
      </c>
      <c r="F234" s="5">
        <v>3</v>
      </c>
      <c r="G234" s="6">
        <v>4.71</v>
      </c>
      <c r="H234" s="6">
        <v>14.13</v>
      </c>
      <c r="I234" s="6">
        <v>2.83</v>
      </c>
      <c r="J234" s="6">
        <v>11.3</v>
      </c>
      <c r="K234" s="5">
        <v>424</v>
      </c>
    </row>
    <row r="235" spans="1:11" x14ac:dyDescent="0.3">
      <c r="A235" s="3">
        <v>2771</v>
      </c>
      <c r="B235" s="3" t="s">
        <v>24</v>
      </c>
      <c r="C235" s="4">
        <v>45442</v>
      </c>
      <c r="D235" s="3" t="s">
        <v>38</v>
      </c>
      <c r="E235" s="3" t="s">
        <v>40</v>
      </c>
      <c r="F235" s="5">
        <v>1</v>
      </c>
      <c r="G235" s="6">
        <v>16.010000000000002</v>
      </c>
      <c r="H235" s="6">
        <v>16.010000000000002</v>
      </c>
      <c r="I235" s="6">
        <v>3.2</v>
      </c>
      <c r="J235" s="6">
        <v>12.81</v>
      </c>
      <c r="K235" s="5">
        <v>155</v>
      </c>
    </row>
    <row r="236" spans="1:11" x14ac:dyDescent="0.3">
      <c r="A236" s="3">
        <v>1634</v>
      </c>
      <c r="B236" s="3" t="s">
        <v>36</v>
      </c>
      <c r="C236" s="4">
        <v>45811</v>
      </c>
      <c r="D236" s="3" t="s">
        <v>17</v>
      </c>
      <c r="E236" s="3" t="s">
        <v>23</v>
      </c>
      <c r="F236" s="5">
        <v>5</v>
      </c>
      <c r="G236" s="6">
        <v>26.94</v>
      </c>
      <c r="H236" s="6">
        <v>134.69999999999999</v>
      </c>
      <c r="I236" s="6">
        <v>20.2</v>
      </c>
      <c r="J236" s="6">
        <v>114.5</v>
      </c>
      <c r="K236" s="5">
        <v>433</v>
      </c>
    </row>
    <row r="237" spans="1:11" x14ac:dyDescent="0.3">
      <c r="A237" s="3">
        <v>8711</v>
      </c>
      <c r="B237" s="3" t="s">
        <v>42</v>
      </c>
      <c r="C237" s="4">
        <v>45317</v>
      </c>
      <c r="D237" s="3" t="s">
        <v>27</v>
      </c>
      <c r="E237" s="3" t="s">
        <v>18</v>
      </c>
      <c r="F237" s="5">
        <v>3</v>
      </c>
      <c r="G237" s="6">
        <v>4.62</v>
      </c>
      <c r="H237" s="6">
        <v>13.86</v>
      </c>
      <c r="I237" s="6">
        <v>3.56</v>
      </c>
      <c r="J237" s="6">
        <v>10.3</v>
      </c>
      <c r="K237" s="5">
        <v>155</v>
      </c>
    </row>
    <row r="238" spans="1:11" x14ac:dyDescent="0.3">
      <c r="A238" s="3">
        <v>4269</v>
      </c>
      <c r="B238" s="3" t="s">
        <v>19</v>
      </c>
      <c r="C238" s="4">
        <v>45779</v>
      </c>
      <c r="D238" s="3" t="s">
        <v>34</v>
      </c>
      <c r="E238" s="3" t="s">
        <v>21</v>
      </c>
      <c r="F238" s="5">
        <v>5</v>
      </c>
      <c r="G238" s="6">
        <v>2.1800000000000002</v>
      </c>
      <c r="H238" s="6">
        <v>10.9</v>
      </c>
      <c r="I238" s="6">
        <v>1.18</v>
      </c>
      <c r="J238" s="6">
        <v>9.7200000000000006</v>
      </c>
      <c r="K238" s="5">
        <v>442</v>
      </c>
    </row>
    <row r="239" spans="1:11" x14ac:dyDescent="0.3">
      <c r="A239" s="3">
        <v>8541</v>
      </c>
      <c r="B239" s="3" t="s">
        <v>30</v>
      </c>
      <c r="C239" s="4">
        <v>45416</v>
      </c>
      <c r="D239" s="3" t="s">
        <v>27</v>
      </c>
      <c r="E239" s="3" t="s">
        <v>44</v>
      </c>
      <c r="F239" s="5">
        <v>5</v>
      </c>
      <c r="G239" s="6">
        <v>13.07</v>
      </c>
      <c r="H239" s="6">
        <v>65.349999999999994</v>
      </c>
      <c r="I239" s="6">
        <v>6.54</v>
      </c>
      <c r="J239" s="6">
        <v>58.81</v>
      </c>
      <c r="K239" s="5">
        <v>327</v>
      </c>
    </row>
    <row r="240" spans="1:11" x14ac:dyDescent="0.3">
      <c r="A240" s="3">
        <v>6000</v>
      </c>
      <c r="B240" s="3" t="s">
        <v>14</v>
      </c>
      <c r="C240" s="4">
        <v>45782</v>
      </c>
      <c r="D240" s="3" t="s">
        <v>35</v>
      </c>
      <c r="E240" s="3" t="s">
        <v>37</v>
      </c>
      <c r="F240" s="5">
        <v>4</v>
      </c>
      <c r="G240" s="6">
        <v>8.09</v>
      </c>
      <c r="H240" s="6">
        <v>32.36</v>
      </c>
      <c r="I240" s="6">
        <v>4.8499999999999996</v>
      </c>
      <c r="J240" s="6">
        <v>27.51</v>
      </c>
      <c r="K240" s="5">
        <v>413</v>
      </c>
    </row>
    <row r="241" spans="1:11" x14ac:dyDescent="0.3">
      <c r="A241" s="3">
        <v>4728</v>
      </c>
      <c r="B241" s="3" t="s">
        <v>26</v>
      </c>
      <c r="C241" s="4">
        <v>45318</v>
      </c>
      <c r="D241" s="3" t="s">
        <v>15</v>
      </c>
      <c r="E241" s="3" t="s">
        <v>40</v>
      </c>
      <c r="F241" s="5">
        <v>2</v>
      </c>
      <c r="G241" s="6">
        <v>13.74</v>
      </c>
      <c r="H241" s="6">
        <v>27.48</v>
      </c>
      <c r="I241" s="6">
        <v>5.5</v>
      </c>
      <c r="J241" s="6">
        <v>21.98</v>
      </c>
      <c r="K241" s="5">
        <v>247</v>
      </c>
    </row>
    <row r="242" spans="1:11" x14ac:dyDescent="0.3">
      <c r="A242" s="3">
        <v>1387</v>
      </c>
      <c r="B242" s="3" t="s">
        <v>36</v>
      </c>
      <c r="C242" s="4">
        <v>45657</v>
      </c>
      <c r="D242" s="3" t="s">
        <v>28</v>
      </c>
      <c r="E242" s="3" t="s">
        <v>41</v>
      </c>
      <c r="F242" s="5">
        <v>3</v>
      </c>
      <c r="G242" s="6">
        <v>25.97</v>
      </c>
      <c r="H242" s="6">
        <v>77.91</v>
      </c>
      <c r="I242" s="6">
        <v>7.79</v>
      </c>
      <c r="J242" s="6">
        <v>70.12</v>
      </c>
      <c r="K242" s="5">
        <v>163</v>
      </c>
    </row>
    <row r="243" spans="1:11" x14ac:dyDescent="0.3">
      <c r="A243" s="3">
        <v>4164</v>
      </c>
      <c r="B243" s="3" t="s">
        <v>19</v>
      </c>
      <c r="C243" s="4">
        <v>45454</v>
      </c>
      <c r="D243" s="3" t="s">
        <v>22</v>
      </c>
      <c r="E243" s="3" t="s">
        <v>46</v>
      </c>
      <c r="F243" s="5">
        <v>5</v>
      </c>
      <c r="G243" s="6">
        <v>4.07</v>
      </c>
      <c r="H243" s="6">
        <v>20.350000000000001</v>
      </c>
      <c r="I243" s="6">
        <v>2.0699999999999998</v>
      </c>
      <c r="J243" s="6">
        <v>18.28</v>
      </c>
      <c r="K243" s="5">
        <v>123</v>
      </c>
    </row>
    <row r="244" spans="1:11" x14ac:dyDescent="0.3">
      <c r="A244" s="3">
        <v>6378</v>
      </c>
      <c r="B244" s="3" t="s">
        <v>42</v>
      </c>
      <c r="C244" s="4">
        <v>45361</v>
      </c>
      <c r="D244" s="3" t="s">
        <v>34</v>
      </c>
      <c r="E244" s="3" t="s">
        <v>48</v>
      </c>
      <c r="F244" s="5">
        <v>1</v>
      </c>
      <c r="G244" s="6">
        <v>9.41</v>
      </c>
      <c r="H244" s="6">
        <v>9.41</v>
      </c>
      <c r="I244" s="6">
        <v>1.88</v>
      </c>
      <c r="J244" s="6">
        <v>7.53</v>
      </c>
      <c r="K244" s="5">
        <v>196</v>
      </c>
    </row>
    <row r="245" spans="1:11" x14ac:dyDescent="0.3">
      <c r="A245" s="3">
        <v>2137</v>
      </c>
      <c r="B245" s="3" t="s">
        <v>19</v>
      </c>
      <c r="C245" s="4">
        <v>45745</v>
      </c>
      <c r="D245" s="3" t="s">
        <v>22</v>
      </c>
      <c r="E245" s="3" t="s">
        <v>21</v>
      </c>
      <c r="F245" s="5">
        <v>2</v>
      </c>
      <c r="G245" s="6">
        <v>23.12</v>
      </c>
      <c r="H245" s="6">
        <v>46.24</v>
      </c>
      <c r="I245" s="6">
        <v>4.62</v>
      </c>
      <c r="J245" s="6">
        <v>41.62</v>
      </c>
      <c r="K245" s="5">
        <v>255</v>
      </c>
    </row>
    <row r="246" spans="1:11" x14ac:dyDescent="0.3">
      <c r="A246" s="3">
        <v>5573</v>
      </c>
      <c r="B246" s="3" t="s">
        <v>30</v>
      </c>
      <c r="C246" s="4">
        <v>45417</v>
      </c>
      <c r="D246" s="3" t="s">
        <v>45</v>
      </c>
      <c r="E246" s="3" t="s">
        <v>39</v>
      </c>
      <c r="F246" s="5">
        <v>1</v>
      </c>
      <c r="G246" s="6">
        <v>28.4</v>
      </c>
      <c r="H246" s="6">
        <v>28.4</v>
      </c>
      <c r="I246" s="6">
        <v>5.68</v>
      </c>
      <c r="J246" s="6">
        <v>22.72</v>
      </c>
      <c r="K246" s="5">
        <v>258</v>
      </c>
    </row>
    <row r="247" spans="1:11" x14ac:dyDescent="0.3">
      <c r="A247" s="3">
        <v>9346</v>
      </c>
      <c r="B247" s="3" t="s">
        <v>42</v>
      </c>
      <c r="C247" s="4">
        <v>45455</v>
      </c>
      <c r="D247" s="3" t="s">
        <v>28</v>
      </c>
      <c r="E247" s="3" t="s">
        <v>23</v>
      </c>
      <c r="F247" s="5">
        <v>1</v>
      </c>
      <c r="G247" s="6">
        <v>2.46</v>
      </c>
      <c r="H247" s="6">
        <v>2.46</v>
      </c>
      <c r="I247" s="6">
        <v>0.37</v>
      </c>
      <c r="J247" s="6">
        <v>2.09</v>
      </c>
      <c r="K247" s="5">
        <v>253</v>
      </c>
    </row>
    <row r="248" spans="1:11" x14ac:dyDescent="0.3">
      <c r="A248" s="3">
        <v>9785</v>
      </c>
      <c r="B248" s="3" t="s">
        <v>14</v>
      </c>
      <c r="C248" s="4">
        <v>45402</v>
      </c>
      <c r="D248" s="3" t="s">
        <v>12</v>
      </c>
      <c r="E248" s="3" t="s">
        <v>48</v>
      </c>
      <c r="F248" s="5">
        <v>4</v>
      </c>
      <c r="G248" s="6">
        <v>4.87</v>
      </c>
      <c r="H248" s="6">
        <v>19.48</v>
      </c>
      <c r="I248" s="6">
        <v>1.95</v>
      </c>
      <c r="J248" s="6">
        <v>17.53</v>
      </c>
      <c r="K248" s="5">
        <v>135</v>
      </c>
    </row>
    <row r="249" spans="1:11" x14ac:dyDescent="0.3">
      <c r="A249" s="3">
        <v>1452</v>
      </c>
      <c r="B249" s="3" t="s">
        <v>36</v>
      </c>
      <c r="C249" s="4">
        <v>45234</v>
      </c>
      <c r="D249" s="3" t="s">
        <v>12</v>
      </c>
      <c r="E249" s="3" t="s">
        <v>32</v>
      </c>
      <c r="F249" s="5">
        <v>1</v>
      </c>
      <c r="G249" s="6">
        <v>17.53</v>
      </c>
      <c r="H249" s="6">
        <v>17.53</v>
      </c>
      <c r="I249" s="6">
        <v>2.15</v>
      </c>
      <c r="J249" s="6">
        <v>15.38</v>
      </c>
      <c r="K249" s="5">
        <v>99</v>
      </c>
    </row>
    <row r="250" spans="1:11" x14ac:dyDescent="0.3">
      <c r="A250" s="3">
        <v>5279</v>
      </c>
      <c r="B250" s="3" t="s">
        <v>24</v>
      </c>
      <c r="C250" s="4">
        <v>45283</v>
      </c>
      <c r="D250" s="3" t="s">
        <v>38</v>
      </c>
      <c r="E250" s="3" t="s">
        <v>33</v>
      </c>
      <c r="F250" s="5">
        <v>5</v>
      </c>
      <c r="G250" s="6">
        <v>9.1</v>
      </c>
      <c r="H250" s="6">
        <v>45.5</v>
      </c>
      <c r="I250" s="6">
        <v>9.1</v>
      </c>
      <c r="J250" s="6">
        <v>36.4</v>
      </c>
      <c r="K250" s="5">
        <v>319</v>
      </c>
    </row>
    <row r="251" spans="1:11" x14ac:dyDescent="0.3">
      <c r="A251" s="3">
        <v>5349</v>
      </c>
      <c r="B251" s="3" t="s">
        <v>11</v>
      </c>
      <c r="C251" s="4">
        <v>45174</v>
      </c>
      <c r="D251" s="3" t="s">
        <v>20</v>
      </c>
      <c r="E251" s="3" t="s">
        <v>23</v>
      </c>
      <c r="F251" s="5">
        <v>3</v>
      </c>
      <c r="G251" s="6">
        <v>17.170000000000002</v>
      </c>
      <c r="H251" s="6">
        <v>51.51</v>
      </c>
      <c r="I251" s="6">
        <v>10.3</v>
      </c>
      <c r="J251" s="6">
        <v>41.21</v>
      </c>
      <c r="K251" s="5">
        <v>187</v>
      </c>
    </row>
    <row r="252" spans="1:11" x14ac:dyDescent="0.3">
      <c r="A252" s="3">
        <v>2776</v>
      </c>
      <c r="B252" s="3" t="s">
        <v>14</v>
      </c>
      <c r="C252" s="4">
        <v>45608</v>
      </c>
      <c r="D252" s="3" t="s">
        <v>20</v>
      </c>
      <c r="E252" s="3" t="s">
        <v>46</v>
      </c>
      <c r="F252" s="5">
        <v>1</v>
      </c>
      <c r="G252" s="6">
        <v>2.2999999999999998</v>
      </c>
      <c r="H252" s="6">
        <v>2.2999999999999998</v>
      </c>
      <c r="I252" s="6">
        <v>0.23</v>
      </c>
      <c r="J252" s="6">
        <v>2.0699999999999998</v>
      </c>
      <c r="K252" s="5">
        <v>70</v>
      </c>
    </row>
    <row r="253" spans="1:11" x14ac:dyDescent="0.3">
      <c r="A253" s="3">
        <v>8119</v>
      </c>
      <c r="B253" s="3" t="s">
        <v>14</v>
      </c>
      <c r="C253" s="4">
        <v>45413</v>
      </c>
      <c r="D253" s="3" t="s">
        <v>45</v>
      </c>
      <c r="E253" s="3" t="s">
        <v>41</v>
      </c>
      <c r="F253" s="5">
        <v>5</v>
      </c>
      <c r="G253" s="6">
        <v>26.89</v>
      </c>
      <c r="H253" s="6">
        <v>134.44999999999999</v>
      </c>
      <c r="I253" s="6">
        <v>2.27</v>
      </c>
      <c r="J253" s="6">
        <v>132.18</v>
      </c>
      <c r="K253" s="5">
        <v>71</v>
      </c>
    </row>
    <row r="254" spans="1:11" x14ac:dyDescent="0.3">
      <c r="A254" s="3">
        <v>6139</v>
      </c>
      <c r="B254" s="3" t="s">
        <v>24</v>
      </c>
      <c r="C254" s="4">
        <v>45483</v>
      </c>
      <c r="D254" s="3" t="s">
        <v>28</v>
      </c>
      <c r="E254" s="3" t="s">
        <v>37</v>
      </c>
      <c r="F254" s="5">
        <v>5</v>
      </c>
      <c r="G254" s="6">
        <v>10.74</v>
      </c>
      <c r="H254" s="6">
        <v>53.7</v>
      </c>
      <c r="I254" s="6">
        <v>0</v>
      </c>
      <c r="J254" s="6">
        <v>53.7</v>
      </c>
      <c r="K254" s="5">
        <v>424</v>
      </c>
    </row>
    <row r="255" spans="1:11" x14ac:dyDescent="0.3">
      <c r="A255" s="3">
        <v>9379</v>
      </c>
      <c r="B255" s="3" t="s">
        <v>30</v>
      </c>
      <c r="C255" s="4">
        <v>45234</v>
      </c>
      <c r="D255" s="3" t="s">
        <v>45</v>
      </c>
      <c r="E255" s="3" t="s">
        <v>39</v>
      </c>
      <c r="F255" s="5">
        <v>3</v>
      </c>
      <c r="G255" s="6">
        <v>10.6</v>
      </c>
      <c r="H255" s="6">
        <v>31.8</v>
      </c>
      <c r="I255" s="6">
        <v>2.23</v>
      </c>
      <c r="J255" s="6">
        <v>29.57</v>
      </c>
      <c r="K255" s="5">
        <v>56</v>
      </c>
    </row>
    <row r="256" spans="1:11" x14ac:dyDescent="0.3">
      <c r="A256" s="3">
        <v>7311</v>
      </c>
      <c r="B256" s="3" t="s">
        <v>31</v>
      </c>
      <c r="C256" s="4">
        <v>45843</v>
      </c>
      <c r="D256" s="3" t="s">
        <v>28</v>
      </c>
      <c r="E256" s="3" t="s">
        <v>47</v>
      </c>
      <c r="F256" s="5">
        <v>3</v>
      </c>
      <c r="G256" s="6">
        <v>29.04</v>
      </c>
      <c r="H256" s="6">
        <v>87.12</v>
      </c>
      <c r="I256" s="6">
        <v>0</v>
      </c>
      <c r="J256" s="6">
        <v>87.12</v>
      </c>
      <c r="K256" s="5">
        <v>400</v>
      </c>
    </row>
    <row r="257" spans="1:11" x14ac:dyDescent="0.3">
      <c r="A257" s="3">
        <v>4114</v>
      </c>
      <c r="B257" s="3" t="s">
        <v>31</v>
      </c>
      <c r="C257" s="4">
        <v>45342</v>
      </c>
      <c r="D257" s="3" t="s">
        <v>28</v>
      </c>
      <c r="E257" s="3" t="s">
        <v>47</v>
      </c>
      <c r="F257" s="5">
        <v>2</v>
      </c>
      <c r="G257" s="6">
        <v>16.190000000000001</v>
      </c>
      <c r="H257" s="6">
        <v>32.380000000000003</v>
      </c>
      <c r="I257" s="6">
        <v>6.48</v>
      </c>
      <c r="J257" s="6">
        <v>25.9</v>
      </c>
      <c r="K257" s="5">
        <v>369</v>
      </c>
    </row>
    <row r="258" spans="1:11" x14ac:dyDescent="0.3">
      <c r="A258" s="3">
        <v>1727</v>
      </c>
      <c r="B258" s="3" t="s">
        <v>42</v>
      </c>
      <c r="C258" s="4">
        <v>45695</v>
      </c>
      <c r="D258" s="3" t="s">
        <v>12</v>
      </c>
      <c r="E258" s="3" t="s">
        <v>48</v>
      </c>
      <c r="F258" s="5">
        <v>2</v>
      </c>
      <c r="G258" s="6">
        <v>1.54</v>
      </c>
      <c r="H258" s="6">
        <v>3.08</v>
      </c>
      <c r="I258" s="6">
        <v>0.62</v>
      </c>
      <c r="J258" s="6">
        <v>2.46</v>
      </c>
      <c r="K258" s="5">
        <v>160</v>
      </c>
    </row>
    <row r="259" spans="1:11" x14ac:dyDescent="0.3">
      <c r="A259" s="3">
        <v>8144</v>
      </c>
      <c r="B259" s="3" t="s">
        <v>24</v>
      </c>
      <c r="C259" s="4">
        <v>45146</v>
      </c>
      <c r="D259" s="3" t="s">
        <v>17</v>
      </c>
      <c r="E259" s="3" t="s">
        <v>16</v>
      </c>
      <c r="F259" s="5">
        <v>5</v>
      </c>
      <c r="G259" s="6">
        <v>23.46</v>
      </c>
      <c r="H259" s="6">
        <v>117.3</v>
      </c>
      <c r="I259" s="6">
        <v>0</v>
      </c>
      <c r="J259" s="6">
        <v>117.3</v>
      </c>
      <c r="K259" s="5">
        <v>471</v>
      </c>
    </row>
    <row r="260" spans="1:11" x14ac:dyDescent="0.3">
      <c r="A260" s="3">
        <v>9518</v>
      </c>
      <c r="B260" s="3" t="s">
        <v>31</v>
      </c>
      <c r="C260" s="4">
        <v>45863</v>
      </c>
      <c r="D260" s="3" t="s">
        <v>34</v>
      </c>
      <c r="E260" s="3" t="s">
        <v>46</v>
      </c>
      <c r="F260" s="5">
        <v>2</v>
      </c>
      <c r="G260" s="6">
        <v>17.260000000000002</v>
      </c>
      <c r="H260" s="6">
        <v>34.520000000000003</v>
      </c>
      <c r="I260" s="6">
        <v>2.5099999999999998</v>
      </c>
      <c r="J260" s="6">
        <v>32.01</v>
      </c>
      <c r="K260" s="5">
        <v>339</v>
      </c>
    </row>
    <row r="261" spans="1:11" x14ac:dyDescent="0.3">
      <c r="A261" s="3">
        <v>9821</v>
      </c>
      <c r="B261" s="3" t="s">
        <v>19</v>
      </c>
      <c r="C261" s="4">
        <v>45678</v>
      </c>
      <c r="D261" s="3" t="s">
        <v>45</v>
      </c>
      <c r="E261" s="3" t="s">
        <v>18</v>
      </c>
      <c r="F261" s="5">
        <v>3</v>
      </c>
      <c r="G261" s="6">
        <v>16.829999999999998</v>
      </c>
      <c r="H261" s="6">
        <v>50.49</v>
      </c>
      <c r="I261" s="6">
        <v>2.94</v>
      </c>
      <c r="J261" s="6">
        <v>47.55</v>
      </c>
      <c r="K261" s="5">
        <v>346</v>
      </c>
    </row>
    <row r="262" spans="1:11" x14ac:dyDescent="0.3">
      <c r="A262" s="3">
        <v>4228</v>
      </c>
      <c r="B262" s="3" t="s">
        <v>42</v>
      </c>
      <c r="C262" s="4">
        <v>45427</v>
      </c>
      <c r="D262" s="3" t="s">
        <v>35</v>
      </c>
      <c r="E262" s="3" t="s">
        <v>18</v>
      </c>
      <c r="F262" s="5">
        <v>3</v>
      </c>
      <c r="G262" s="6">
        <v>7.51</v>
      </c>
      <c r="H262" s="6">
        <v>22.53</v>
      </c>
      <c r="I262" s="6">
        <v>3.38</v>
      </c>
      <c r="J262" s="6">
        <v>19.149999999999999</v>
      </c>
      <c r="K262" s="5">
        <v>498</v>
      </c>
    </row>
    <row r="263" spans="1:11" x14ac:dyDescent="0.3">
      <c r="A263" s="3">
        <v>8066</v>
      </c>
      <c r="B263" s="3" t="s">
        <v>42</v>
      </c>
      <c r="C263" s="4">
        <v>45199</v>
      </c>
      <c r="D263" s="3" t="s">
        <v>45</v>
      </c>
      <c r="E263" s="3" t="s">
        <v>21</v>
      </c>
      <c r="F263" s="5">
        <v>4</v>
      </c>
      <c r="G263" s="6">
        <v>11.11</v>
      </c>
      <c r="H263" s="6">
        <v>44.44</v>
      </c>
      <c r="I263" s="6">
        <v>6.67</v>
      </c>
      <c r="J263" s="6">
        <v>37.770000000000003</v>
      </c>
      <c r="K263" s="5">
        <v>478</v>
      </c>
    </row>
    <row r="264" spans="1:11" x14ac:dyDescent="0.3">
      <c r="A264" s="3">
        <v>6409</v>
      </c>
      <c r="B264" s="3" t="s">
        <v>11</v>
      </c>
      <c r="C264" s="4">
        <v>45629</v>
      </c>
      <c r="D264" s="3" t="s">
        <v>28</v>
      </c>
      <c r="E264" s="3" t="s">
        <v>18</v>
      </c>
      <c r="F264" s="5">
        <v>4</v>
      </c>
      <c r="G264" s="6">
        <v>26.97</v>
      </c>
      <c r="H264" s="6">
        <v>107.88</v>
      </c>
      <c r="I264" s="6">
        <v>21.58</v>
      </c>
      <c r="J264" s="6">
        <v>86.3</v>
      </c>
      <c r="K264" s="5">
        <v>202</v>
      </c>
    </row>
    <row r="265" spans="1:11" x14ac:dyDescent="0.3">
      <c r="A265" s="3">
        <v>6143</v>
      </c>
      <c r="B265" s="3" t="s">
        <v>30</v>
      </c>
      <c r="C265" s="4">
        <v>45660</v>
      </c>
      <c r="D265" s="3" t="s">
        <v>12</v>
      </c>
      <c r="E265" s="3" t="s">
        <v>37</v>
      </c>
      <c r="F265" s="5">
        <v>1</v>
      </c>
      <c r="G265" s="6">
        <v>11.03</v>
      </c>
      <c r="H265" s="6">
        <v>11.03</v>
      </c>
      <c r="I265" s="6">
        <v>0</v>
      </c>
      <c r="J265" s="6">
        <v>11.03</v>
      </c>
      <c r="K265" s="5">
        <v>226</v>
      </c>
    </row>
    <row r="266" spans="1:11" x14ac:dyDescent="0.3">
      <c r="A266" s="3">
        <v>3041</v>
      </c>
      <c r="B266" s="3" t="s">
        <v>26</v>
      </c>
      <c r="C266" s="4">
        <v>45704</v>
      </c>
      <c r="D266" s="3" t="s">
        <v>17</v>
      </c>
      <c r="E266" s="3" t="s">
        <v>44</v>
      </c>
      <c r="F266" s="5">
        <v>5</v>
      </c>
      <c r="G266" s="6">
        <v>8.85</v>
      </c>
      <c r="H266" s="6">
        <v>44.25</v>
      </c>
      <c r="I266" s="6">
        <v>8.85</v>
      </c>
      <c r="J266" s="6">
        <v>35.4</v>
      </c>
      <c r="K266" s="5">
        <v>287</v>
      </c>
    </row>
    <row r="267" spans="1:11" x14ac:dyDescent="0.3">
      <c r="A267" s="3">
        <v>5920</v>
      </c>
      <c r="B267" s="3" t="s">
        <v>11</v>
      </c>
      <c r="C267" s="4">
        <v>45538</v>
      </c>
      <c r="D267" s="3" t="s">
        <v>28</v>
      </c>
      <c r="E267" s="3" t="s">
        <v>25</v>
      </c>
      <c r="F267" s="5">
        <v>2</v>
      </c>
      <c r="G267" s="6">
        <v>2.46</v>
      </c>
      <c r="H267" s="6">
        <v>4.92</v>
      </c>
      <c r="I267" s="6">
        <v>0</v>
      </c>
      <c r="J267" s="6">
        <v>4.92</v>
      </c>
      <c r="K267" s="5">
        <v>463</v>
      </c>
    </row>
    <row r="268" spans="1:11" x14ac:dyDescent="0.3">
      <c r="A268" s="3">
        <v>6067</v>
      </c>
      <c r="B268" s="3" t="s">
        <v>42</v>
      </c>
      <c r="C268" s="4">
        <v>45662</v>
      </c>
      <c r="D268" s="3" t="s">
        <v>12</v>
      </c>
      <c r="E268" s="3" t="s">
        <v>48</v>
      </c>
      <c r="F268" s="5">
        <v>4</v>
      </c>
      <c r="G268" s="6">
        <v>10.57</v>
      </c>
      <c r="H268" s="6">
        <v>42.28</v>
      </c>
      <c r="I268" s="6">
        <v>0</v>
      </c>
      <c r="J268" s="6">
        <v>42.28</v>
      </c>
      <c r="K268" s="5">
        <v>241</v>
      </c>
    </row>
    <row r="269" spans="1:11" x14ac:dyDescent="0.3">
      <c r="A269" s="3">
        <v>7691</v>
      </c>
      <c r="B269" s="3" t="s">
        <v>19</v>
      </c>
      <c r="C269" s="4">
        <v>45398</v>
      </c>
      <c r="D269" s="3" t="s">
        <v>12</v>
      </c>
      <c r="E269" s="3" t="s">
        <v>18</v>
      </c>
      <c r="F269" s="5">
        <v>2</v>
      </c>
      <c r="G269" s="6">
        <v>12.79</v>
      </c>
      <c r="H269" s="6">
        <v>25.58</v>
      </c>
      <c r="I269" s="6">
        <v>2.56</v>
      </c>
      <c r="J269" s="6">
        <v>23.02</v>
      </c>
      <c r="K269" s="5">
        <v>478</v>
      </c>
    </row>
    <row r="270" spans="1:11" x14ac:dyDescent="0.3">
      <c r="A270" s="3">
        <v>7592</v>
      </c>
      <c r="B270" s="3" t="s">
        <v>42</v>
      </c>
      <c r="C270" s="4">
        <v>45686</v>
      </c>
      <c r="D270" s="3" t="s">
        <v>35</v>
      </c>
      <c r="E270" s="3" t="s">
        <v>21</v>
      </c>
      <c r="F270" s="5">
        <v>3</v>
      </c>
      <c r="G270" s="6">
        <v>19.72</v>
      </c>
      <c r="H270" s="6">
        <v>59.16</v>
      </c>
      <c r="I270" s="6">
        <v>0</v>
      </c>
      <c r="J270" s="6">
        <v>59.16</v>
      </c>
      <c r="K270" s="5">
        <v>464</v>
      </c>
    </row>
    <row r="271" spans="1:11" x14ac:dyDescent="0.3">
      <c r="A271" s="3">
        <v>5844</v>
      </c>
      <c r="B271" s="3" t="s">
        <v>42</v>
      </c>
      <c r="C271" s="4">
        <v>45575</v>
      </c>
      <c r="D271" s="3" t="s">
        <v>38</v>
      </c>
      <c r="E271" s="3" t="s">
        <v>40</v>
      </c>
      <c r="F271" s="5">
        <v>2</v>
      </c>
      <c r="G271" s="6">
        <v>13.11</v>
      </c>
      <c r="H271" s="6">
        <v>26.22</v>
      </c>
      <c r="I271" s="6">
        <v>4.99</v>
      </c>
      <c r="J271" s="6">
        <v>21.23</v>
      </c>
      <c r="K271" s="5">
        <v>428</v>
      </c>
    </row>
    <row r="272" spans="1:11" x14ac:dyDescent="0.3">
      <c r="A272" s="3">
        <v>3085</v>
      </c>
      <c r="B272" s="3" t="s">
        <v>24</v>
      </c>
      <c r="C272" s="4">
        <v>45294</v>
      </c>
      <c r="D272" s="3" t="s">
        <v>45</v>
      </c>
      <c r="E272" s="3" t="s">
        <v>29</v>
      </c>
      <c r="F272" s="5">
        <v>3</v>
      </c>
      <c r="G272" s="6">
        <v>26.42</v>
      </c>
      <c r="H272" s="6">
        <v>79.260000000000005</v>
      </c>
      <c r="I272" s="6">
        <v>3.41</v>
      </c>
      <c r="J272" s="6">
        <v>75.849999999999994</v>
      </c>
      <c r="K272" s="5">
        <v>4</v>
      </c>
    </row>
    <row r="273" spans="1:11" x14ac:dyDescent="0.3">
      <c r="A273" s="3">
        <v>7888</v>
      </c>
      <c r="B273" s="3" t="s">
        <v>36</v>
      </c>
      <c r="C273" s="4">
        <v>45661</v>
      </c>
      <c r="D273" s="3" t="s">
        <v>35</v>
      </c>
      <c r="E273" s="3" t="s">
        <v>33</v>
      </c>
      <c r="F273" s="5">
        <v>5</v>
      </c>
      <c r="G273" s="6">
        <v>16.2</v>
      </c>
      <c r="H273" s="6">
        <v>81</v>
      </c>
      <c r="I273" s="6">
        <v>2.87</v>
      </c>
      <c r="J273" s="6">
        <v>78.13</v>
      </c>
      <c r="K273" s="5">
        <v>455</v>
      </c>
    </row>
    <row r="274" spans="1:11" x14ac:dyDescent="0.3">
      <c r="A274" s="3">
        <v>7211</v>
      </c>
      <c r="B274" s="3" t="s">
        <v>42</v>
      </c>
      <c r="C274" s="4">
        <v>45671</v>
      </c>
      <c r="D274" s="3" t="s">
        <v>15</v>
      </c>
      <c r="E274" s="3" t="s">
        <v>21</v>
      </c>
      <c r="F274" s="5">
        <v>2</v>
      </c>
      <c r="G274" s="6">
        <v>22.19</v>
      </c>
      <c r="H274" s="6">
        <v>44.38</v>
      </c>
      <c r="I274" s="6">
        <v>0</v>
      </c>
      <c r="J274" s="6">
        <v>44.38</v>
      </c>
      <c r="K274" s="5">
        <v>331</v>
      </c>
    </row>
    <row r="275" spans="1:11" x14ac:dyDescent="0.3">
      <c r="A275" s="3">
        <v>3851</v>
      </c>
      <c r="B275" s="3" t="s">
        <v>19</v>
      </c>
      <c r="C275" s="4">
        <v>45623</v>
      </c>
      <c r="D275" s="3" t="s">
        <v>12</v>
      </c>
      <c r="E275" s="3" t="s">
        <v>21</v>
      </c>
      <c r="F275" s="5">
        <v>3</v>
      </c>
      <c r="G275" s="6">
        <v>17.46</v>
      </c>
      <c r="H275" s="6">
        <v>52.38</v>
      </c>
      <c r="I275" s="6">
        <v>10.48</v>
      </c>
      <c r="J275" s="6">
        <v>41.9</v>
      </c>
      <c r="K275" s="5">
        <v>387</v>
      </c>
    </row>
    <row r="276" spans="1:11" x14ac:dyDescent="0.3">
      <c r="A276" s="3">
        <v>5930</v>
      </c>
      <c r="B276" s="3" t="s">
        <v>24</v>
      </c>
      <c r="C276" s="4">
        <v>45460</v>
      </c>
      <c r="D276" s="3" t="s">
        <v>20</v>
      </c>
      <c r="E276" s="3" t="s">
        <v>46</v>
      </c>
      <c r="F276" s="5">
        <v>3</v>
      </c>
      <c r="G276" s="6">
        <v>3.51</v>
      </c>
      <c r="H276" s="6">
        <v>10.53</v>
      </c>
      <c r="I276" s="6">
        <v>2.11</v>
      </c>
      <c r="J276" s="6">
        <v>8.42</v>
      </c>
      <c r="K276" s="5">
        <v>342</v>
      </c>
    </row>
    <row r="277" spans="1:11" x14ac:dyDescent="0.3">
      <c r="A277" s="3">
        <v>9977</v>
      </c>
      <c r="B277" s="3" t="s">
        <v>19</v>
      </c>
      <c r="C277" s="4">
        <v>45792</v>
      </c>
      <c r="D277" s="3" t="s">
        <v>45</v>
      </c>
      <c r="E277" s="3" t="s">
        <v>21</v>
      </c>
      <c r="F277" s="5">
        <v>2</v>
      </c>
      <c r="G277" s="6">
        <v>1.19</v>
      </c>
      <c r="H277" s="6">
        <v>2.38</v>
      </c>
      <c r="I277" s="6">
        <v>0.24</v>
      </c>
      <c r="J277" s="6">
        <v>2.14</v>
      </c>
      <c r="K277" s="5">
        <v>196</v>
      </c>
    </row>
    <row r="278" spans="1:11" x14ac:dyDescent="0.3">
      <c r="A278" s="3">
        <v>1006</v>
      </c>
      <c r="B278" s="3" t="s">
        <v>30</v>
      </c>
      <c r="C278" s="4">
        <v>45381</v>
      </c>
      <c r="D278" s="3" t="s">
        <v>22</v>
      </c>
      <c r="E278" s="3" t="s">
        <v>37</v>
      </c>
      <c r="F278" s="5">
        <v>5</v>
      </c>
      <c r="G278" s="6">
        <v>21.95</v>
      </c>
      <c r="H278" s="6">
        <v>109.75</v>
      </c>
      <c r="I278" s="6">
        <v>0</v>
      </c>
      <c r="J278" s="6">
        <v>109.75</v>
      </c>
      <c r="K278" s="5">
        <v>5</v>
      </c>
    </row>
    <row r="279" spans="1:11" x14ac:dyDescent="0.3">
      <c r="A279" s="3">
        <v>5700</v>
      </c>
      <c r="B279" s="3" t="s">
        <v>36</v>
      </c>
      <c r="C279" s="4">
        <v>45308</v>
      </c>
      <c r="D279" s="3" t="s">
        <v>17</v>
      </c>
      <c r="E279" s="3" t="s">
        <v>40</v>
      </c>
      <c r="F279" s="5">
        <v>1</v>
      </c>
      <c r="G279" s="6">
        <v>14.49</v>
      </c>
      <c r="H279" s="6">
        <v>14.49</v>
      </c>
      <c r="I279" s="6">
        <v>0</v>
      </c>
      <c r="J279" s="6">
        <v>14.49</v>
      </c>
      <c r="K279" s="5">
        <v>81</v>
      </c>
    </row>
    <row r="280" spans="1:11" x14ac:dyDescent="0.3">
      <c r="A280" s="3">
        <v>8043</v>
      </c>
      <c r="B280" s="3" t="s">
        <v>14</v>
      </c>
      <c r="C280" s="4">
        <v>45755</v>
      </c>
      <c r="D280" s="3" t="s">
        <v>35</v>
      </c>
      <c r="E280" s="3" t="s">
        <v>48</v>
      </c>
      <c r="F280" s="5">
        <v>3</v>
      </c>
      <c r="G280" s="6">
        <v>11.65</v>
      </c>
      <c r="H280" s="6">
        <v>34.950000000000003</v>
      </c>
      <c r="I280" s="6">
        <v>6.99</v>
      </c>
      <c r="J280" s="6">
        <v>27.96</v>
      </c>
      <c r="K280" s="5">
        <v>113</v>
      </c>
    </row>
    <row r="281" spans="1:11" x14ac:dyDescent="0.3">
      <c r="A281" s="3">
        <v>6279</v>
      </c>
      <c r="B281" s="3" t="s">
        <v>26</v>
      </c>
      <c r="C281" s="4">
        <v>45506</v>
      </c>
      <c r="D281" s="3" t="s">
        <v>34</v>
      </c>
      <c r="E281" s="3" t="s">
        <v>33</v>
      </c>
      <c r="F281" s="5">
        <v>5</v>
      </c>
      <c r="G281" s="6">
        <v>11.83</v>
      </c>
      <c r="H281" s="6">
        <v>59.15</v>
      </c>
      <c r="I281" s="6">
        <v>4.21</v>
      </c>
      <c r="J281" s="6">
        <v>54.94</v>
      </c>
      <c r="K281" s="5">
        <v>359</v>
      </c>
    </row>
    <row r="282" spans="1:11" x14ac:dyDescent="0.3">
      <c r="A282" s="3">
        <v>8238</v>
      </c>
      <c r="B282" s="3" t="s">
        <v>42</v>
      </c>
      <c r="C282" s="4">
        <v>45488</v>
      </c>
      <c r="D282" s="3" t="s">
        <v>17</v>
      </c>
      <c r="E282" s="3" t="s">
        <v>43</v>
      </c>
      <c r="F282" s="5">
        <v>5</v>
      </c>
      <c r="G282" s="6">
        <v>13.95</v>
      </c>
      <c r="H282" s="6">
        <v>69.75</v>
      </c>
      <c r="I282" s="6">
        <v>4.67</v>
      </c>
      <c r="J282" s="6">
        <v>65.08</v>
      </c>
      <c r="K282" s="5">
        <v>360</v>
      </c>
    </row>
    <row r="283" spans="1:11" x14ac:dyDescent="0.3">
      <c r="A283" s="3">
        <v>4501</v>
      </c>
      <c r="B283" s="3" t="s">
        <v>11</v>
      </c>
      <c r="C283" s="4">
        <v>45542</v>
      </c>
      <c r="D283" s="3" t="s">
        <v>12</v>
      </c>
      <c r="E283" s="3" t="s">
        <v>18</v>
      </c>
      <c r="F283" s="5">
        <v>5</v>
      </c>
      <c r="G283" s="6">
        <v>6.85</v>
      </c>
      <c r="H283" s="6">
        <v>34.25</v>
      </c>
      <c r="I283" s="6">
        <v>6.85</v>
      </c>
      <c r="J283" s="6">
        <v>27.4</v>
      </c>
      <c r="K283" s="5">
        <v>274</v>
      </c>
    </row>
    <row r="284" spans="1:11" x14ac:dyDescent="0.3">
      <c r="A284" s="3">
        <v>8752</v>
      </c>
      <c r="B284" s="3" t="s">
        <v>36</v>
      </c>
      <c r="C284" s="4">
        <v>45761</v>
      </c>
      <c r="D284" s="3" t="s">
        <v>38</v>
      </c>
      <c r="E284" s="3" t="s">
        <v>33</v>
      </c>
      <c r="F284" s="5">
        <v>1</v>
      </c>
      <c r="G284" s="6">
        <v>20.72</v>
      </c>
      <c r="H284" s="6">
        <v>20.72</v>
      </c>
      <c r="I284" s="6">
        <v>4.5999999999999996</v>
      </c>
      <c r="J284" s="6">
        <v>16.12</v>
      </c>
      <c r="K284" s="5">
        <v>367</v>
      </c>
    </row>
    <row r="285" spans="1:11" x14ac:dyDescent="0.3">
      <c r="A285" s="3">
        <v>3780</v>
      </c>
      <c r="B285" s="3" t="s">
        <v>26</v>
      </c>
      <c r="C285" s="4">
        <v>45656</v>
      </c>
      <c r="D285" s="3" t="s">
        <v>12</v>
      </c>
      <c r="E285" s="3" t="s">
        <v>33</v>
      </c>
      <c r="F285" s="5">
        <v>2</v>
      </c>
      <c r="G285" s="6">
        <v>15.87</v>
      </c>
      <c r="H285" s="6">
        <v>31.74</v>
      </c>
      <c r="I285" s="6">
        <v>2.85</v>
      </c>
      <c r="J285" s="6">
        <v>28.89</v>
      </c>
      <c r="K285" s="5">
        <v>233</v>
      </c>
    </row>
    <row r="286" spans="1:11" x14ac:dyDescent="0.3">
      <c r="A286" s="3">
        <v>2389</v>
      </c>
      <c r="B286" s="3" t="s">
        <v>30</v>
      </c>
      <c r="C286" s="4">
        <v>45365</v>
      </c>
      <c r="D286" s="3" t="s">
        <v>12</v>
      </c>
      <c r="E286" s="3" t="s">
        <v>32</v>
      </c>
      <c r="F286" s="5">
        <v>3</v>
      </c>
      <c r="G286" s="6">
        <v>24.67</v>
      </c>
      <c r="H286" s="6">
        <v>74.010000000000005</v>
      </c>
      <c r="I286" s="6">
        <v>1.29</v>
      </c>
      <c r="J286" s="6">
        <v>72.72</v>
      </c>
      <c r="K286" s="5">
        <v>381</v>
      </c>
    </row>
    <row r="287" spans="1:11" x14ac:dyDescent="0.3">
      <c r="A287" s="3">
        <v>9445</v>
      </c>
      <c r="B287" s="3"/>
      <c r="C287" s="4">
        <v>45660</v>
      </c>
      <c r="D287" s="3" t="s">
        <v>22</v>
      </c>
      <c r="E287" s="3" t="s">
        <v>43</v>
      </c>
      <c r="F287" s="5">
        <v>5</v>
      </c>
      <c r="G287" s="6">
        <v>29.82</v>
      </c>
      <c r="H287" s="6">
        <v>149.1</v>
      </c>
      <c r="I287" s="6">
        <v>14.91</v>
      </c>
      <c r="J287" s="6">
        <v>134.19</v>
      </c>
      <c r="K287" s="5">
        <v>478</v>
      </c>
    </row>
    <row r="288" spans="1:11" x14ac:dyDescent="0.3">
      <c r="A288" s="3">
        <v>6491</v>
      </c>
      <c r="B288" s="3" t="s">
        <v>31</v>
      </c>
      <c r="C288" s="4">
        <v>45217</v>
      </c>
      <c r="D288" s="3" t="s">
        <v>35</v>
      </c>
      <c r="E288" s="3" t="s">
        <v>16</v>
      </c>
      <c r="F288" s="5">
        <v>2</v>
      </c>
      <c r="G288" s="6">
        <v>23.29</v>
      </c>
      <c r="H288" s="6">
        <v>46.58</v>
      </c>
      <c r="I288" s="6">
        <v>6.99</v>
      </c>
      <c r="J288" s="6">
        <v>39.590000000000003</v>
      </c>
      <c r="K288" s="5">
        <v>392</v>
      </c>
    </row>
    <row r="289" spans="1:11" x14ac:dyDescent="0.3">
      <c r="A289" s="3">
        <v>4848</v>
      </c>
      <c r="B289" s="3" t="s">
        <v>24</v>
      </c>
      <c r="C289" s="4">
        <v>45667</v>
      </c>
      <c r="D289" s="3" t="s">
        <v>45</v>
      </c>
      <c r="E289" s="3" t="s">
        <v>32</v>
      </c>
      <c r="F289" s="5">
        <v>4</v>
      </c>
      <c r="G289" s="6">
        <v>3.32</v>
      </c>
      <c r="H289" s="6">
        <v>13.28</v>
      </c>
      <c r="I289" s="6">
        <v>0</v>
      </c>
      <c r="J289" s="6">
        <v>13.28</v>
      </c>
      <c r="K289" s="5">
        <v>493</v>
      </c>
    </row>
    <row r="290" spans="1:11" x14ac:dyDescent="0.3">
      <c r="A290" s="3">
        <v>6085</v>
      </c>
      <c r="B290" s="3" t="s">
        <v>36</v>
      </c>
      <c r="C290" s="4">
        <v>45319</v>
      </c>
      <c r="D290" s="3" t="s">
        <v>15</v>
      </c>
      <c r="E290" s="3" t="s">
        <v>29</v>
      </c>
      <c r="F290" s="5">
        <v>5</v>
      </c>
      <c r="G290" s="6">
        <v>12.39</v>
      </c>
      <c r="H290" s="6">
        <v>61.95</v>
      </c>
      <c r="I290" s="6">
        <v>4.0199999999999996</v>
      </c>
      <c r="J290" s="6">
        <v>57.93</v>
      </c>
      <c r="K290" s="5">
        <v>65</v>
      </c>
    </row>
    <row r="291" spans="1:11" x14ac:dyDescent="0.3">
      <c r="A291" s="3">
        <v>4262</v>
      </c>
      <c r="B291" s="3" t="s">
        <v>30</v>
      </c>
      <c r="C291" s="4">
        <v>45259</v>
      </c>
      <c r="D291" s="3" t="s">
        <v>45</v>
      </c>
      <c r="E291" s="3" t="s">
        <v>18</v>
      </c>
      <c r="F291" s="5">
        <v>4</v>
      </c>
      <c r="G291" s="6">
        <v>16.420000000000002</v>
      </c>
      <c r="H291" s="6">
        <v>65.680000000000007</v>
      </c>
      <c r="I291" s="6">
        <v>13.14</v>
      </c>
      <c r="J291" s="6">
        <v>52.54</v>
      </c>
      <c r="K291" s="5">
        <v>421</v>
      </c>
    </row>
    <row r="292" spans="1:11" x14ac:dyDescent="0.3">
      <c r="A292" s="3">
        <v>1400</v>
      </c>
      <c r="B292" s="3" t="s">
        <v>26</v>
      </c>
      <c r="C292" s="4">
        <v>45180</v>
      </c>
      <c r="D292" s="3" t="s">
        <v>22</v>
      </c>
      <c r="E292" s="3" t="s">
        <v>41</v>
      </c>
      <c r="F292" s="5">
        <v>3</v>
      </c>
      <c r="G292" s="6">
        <v>6.46</v>
      </c>
      <c r="H292" s="6">
        <v>19.38</v>
      </c>
      <c r="I292" s="6">
        <v>4.24</v>
      </c>
      <c r="J292" s="6">
        <v>15.14</v>
      </c>
      <c r="K292" s="5">
        <v>448</v>
      </c>
    </row>
    <row r="293" spans="1:11" x14ac:dyDescent="0.3">
      <c r="A293" s="3">
        <v>5011</v>
      </c>
      <c r="B293" s="3" t="s">
        <v>24</v>
      </c>
      <c r="C293" s="4">
        <v>45514</v>
      </c>
      <c r="D293" s="3" t="s">
        <v>28</v>
      </c>
      <c r="E293" s="3" t="s">
        <v>39</v>
      </c>
      <c r="F293" s="5">
        <v>2</v>
      </c>
      <c r="G293" s="6">
        <v>6.97</v>
      </c>
      <c r="H293" s="6">
        <v>13.94</v>
      </c>
      <c r="I293" s="6">
        <v>1.39</v>
      </c>
      <c r="J293" s="6">
        <v>12.55</v>
      </c>
      <c r="K293" s="5">
        <v>51</v>
      </c>
    </row>
    <row r="294" spans="1:11" x14ac:dyDescent="0.3">
      <c r="A294" s="3">
        <v>2193</v>
      </c>
      <c r="B294" s="3" t="s">
        <v>31</v>
      </c>
      <c r="C294" s="4">
        <v>45498</v>
      </c>
      <c r="D294" s="3" t="s">
        <v>17</v>
      </c>
      <c r="E294" s="3" t="s">
        <v>40</v>
      </c>
      <c r="F294" s="5">
        <v>4</v>
      </c>
      <c r="G294" s="6">
        <v>13.72</v>
      </c>
      <c r="H294" s="6">
        <v>54.88</v>
      </c>
      <c r="I294" s="6">
        <v>1.56</v>
      </c>
      <c r="J294" s="6">
        <v>53.32</v>
      </c>
      <c r="K294" s="5">
        <v>276</v>
      </c>
    </row>
    <row r="295" spans="1:11" x14ac:dyDescent="0.3">
      <c r="A295" s="3">
        <v>7790</v>
      </c>
      <c r="B295" s="3" t="s">
        <v>30</v>
      </c>
      <c r="C295" s="4">
        <v>45833</v>
      </c>
      <c r="D295" s="3" t="s">
        <v>17</v>
      </c>
      <c r="E295" s="3" t="s">
        <v>21</v>
      </c>
      <c r="F295" s="5">
        <v>5</v>
      </c>
      <c r="G295" s="6">
        <v>18.329999999999998</v>
      </c>
      <c r="H295" s="6">
        <v>91.65</v>
      </c>
      <c r="I295" s="6">
        <v>18.329999999999998</v>
      </c>
      <c r="J295" s="6">
        <v>73.319999999999993</v>
      </c>
      <c r="K295" s="5">
        <v>344</v>
      </c>
    </row>
    <row r="296" spans="1:11" x14ac:dyDescent="0.3">
      <c r="A296" s="3">
        <v>4185</v>
      </c>
      <c r="B296" s="3" t="s">
        <v>30</v>
      </c>
      <c r="C296" s="4">
        <v>45702</v>
      </c>
      <c r="D296" s="3" t="s">
        <v>34</v>
      </c>
      <c r="E296" s="3" t="s">
        <v>46</v>
      </c>
      <c r="F296" s="5">
        <v>2</v>
      </c>
      <c r="G296" s="6">
        <v>12.98</v>
      </c>
      <c r="H296" s="6">
        <v>25.96</v>
      </c>
      <c r="I296" s="6">
        <v>4.79</v>
      </c>
      <c r="J296" s="6">
        <v>21.17</v>
      </c>
      <c r="K296" s="5">
        <v>140</v>
      </c>
    </row>
    <row r="297" spans="1:11" x14ac:dyDescent="0.3">
      <c r="A297" s="3">
        <v>7291</v>
      </c>
      <c r="B297" s="3" t="s">
        <v>19</v>
      </c>
      <c r="C297" s="4">
        <v>45528</v>
      </c>
      <c r="D297" s="3" t="s">
        <v>27</v>
      </c>
      <c r="E297" s="3" t="s">
        <v>16</v>
      </c>
      <c r="F297" s="5">
        <v>5</v>
      </c>
      <c r="G297" s="6">
        <v>15.36</v>
      </c>
      <c r="H297" s="6">
        <v>76.8</v>
      </c>
      <c r="I297" s="6">
        <v>0</v>
      </c>
      <c r="J297" s="6">
        <v>76.8</v>
      </c>
      <c r="K297" s="5">
        <v>497</v>
      </c>
    </row>
    <row r="298" spans="1:11" x14ac:dyDescent="0.3">
      <c r="A298" s="3">
        <v>7547</v>
      </c>
      <c r="B298" s="3" t="s">
        <v>24</v>
      </c>
      <c r="C298" s="4">
        <v>45334</v>
      </c>
      <c r="D298" s="3" t="s">
        <v>38</v>
      </c>
      <c r="E298" s="3" t="s">
        <v>21</v>
      </c>
      <c r="F298" s="5">
        <v>4</v>
      </c>
      <c r="G298" s="6">
        <v>12.83</v>
      </c>
      <c r="H298" s="6">
        <v>51.32</v>
      </c>
      <c r="I298" s="6">
        <v>10.26</v>
      </c>
      <c r="J298" s="6">
        <v>41.06</v>
      </c>
      <c r="K298" s="5">
        <v>153</v>
      </c>
    </row>
    <row r="299" spans="1:11" x14ac:dyDescent="0.3">
      <c r="A299" s="3">
        <v>3417</v>
      </c>
      <c r="B299" s="3" t="s">
        <v>14</v>
      </c>
      <c r="C299" s="4">
        <v>45654</v>
      </c>
      <c r="D299" s="3" t="s">
        <v>45</v>
      </c>
      <c r="E299" s="3" t="s">
        <v>25</v>
      </c>
      <c r="F299" s="5">
        <v>2</v>
      </c>
      <c r="G299" s="6">
        <v>9.7100000000000009</v>
      </c>
      <c r="H299" s="6">
        <v>19.420000000000002</v>
      </c>
      <c r="I299" s="6">
        <v>1.94</v>
      </c>
      <c r="J299" s="6">
        <v>17.48</v>
      </c>
      <c r="K299" s="5">
        <v>362</v>
      </c>
    </row>
    <row r="300" spans="1:11" x14ac:dyDescent="0.3">
      <c r="A300" s="3">
        <v>1090</v>
      </c>
      <c r="B300" s="3" t="s">
        <v>31</v>
      </c>
      <c r="C300" s="4">
        <v>45838</v>
      </c>
      <c r="D300" s="3" t="s">
        <v>38</v>
      </c>
      <c r="E300" s="3" t="s">
        <v>16</v>
      </c>
      <c r="F300" s="5">
        <v>4</v>
      </c>
      <c r="G300" s="6">
        <v>17.149999999999999</v>
      </c>
      <c r="H300" s="6">
        <v>68.599999999999994</v>
      </c>
      <c r="I300" s="6">
        <v>13.72</v>
      </c>
      <c r="J300" s="6">
        <v>54.88</v>
      </c>
      <c r="K300" s="5">
        <v>68</v>
      </c>
    </row>
    <row r="301" spans="1:11" x14ac:dyDescent="0.3">
      <c r="A301" s="3">
        <v>2746</v>
      </c>
      <c r="B301" s="3" t="s">
        <v>30</v>
      </c>
      <c r="C301" s="4">
        <v>45749</v>
      </c>
      <c r="D301" s="3" t="s">
        <v>17</v>
      </c>
      <c r="E301" s="3" t="s">
        <v>21</v>
      </c>
      <c r="F301" s="5">
        <v>1</v>
      </c>
      <c r="G301" s="6">
        <v>27.73</v>
      </c>
      <c r="H301" s="6">
        <v>27.73</v>
      </c>
      <c r="I301" s="6">
        <v>3.14</v>
      </c>
      <c r="J301" s="6">
        <v>24.59</v>
      </c>
      <c r="K301" s="5">
        <v>433</v>
      </c>
    </row>
    <row r="302" spans="1:11" x14ac:dyDescent="0.3">
      <c r="A302" s="3">
        <v>7965</v>
      </c>
      <c r="B302" s="3" t="s">
        <v>42</v>
      </c>
      <c r="C302" s="4">
        <v>45314</v>
      </c>
      <c r="D302" s="3" t="s">
        <v>12</v>
      </c>
      <c r="E302" s="3" t="s">
        <v>13</v>
      </c>
      <c r="F302" s="5">
        <v>4</v>
      </c>
      <c r="G302" s="6">
        <v>20.53</v>
      </c>
      <c r="H302" s="6">
        <v>82.12</v>
      </c>
      <c r="I302" s="6">
        <v>1.75</v>
      </c>
      <c r="J302" s="6">
        <v>80.37</v>
      </c>
      <c r="K302" s="5">
        <v>308</v>
      </c>
    </row>
    <row r="303" spans="1:11" x14ac:dyDescent="0.3">
      <c r="A303" s="3">
        <v>3881</v>
      </c>
      <c r="B303" s="3" t="s">
        <v>14</v>
      </c>
      <c r="C303" s="4">
        <v>45769</v>
      </c>
      <c r="D303" s="3" t="s">
        <v>17</v>
      </c>
      <c r="E303" s="3" t="s">
        <v>47</v>
      </c>
      <c r="F303" s="5">
        <v>2</v>
      </c>
      <c r="G303" s="6">
        <v>26.2</v>
      </c>
      <c r="H303" s="6">
        <v>52.4</v>
      </c>
      <c r="I303" s="6">
        <v>1.85</v>
      </c>
      <c r="J303" s="6">
        <v>50.55</v>
      </c>
      <c r="K303" s="5">
        <v>170</v>
      </c>
    </row>
    <row r="304" spans="1:11" x14ac:dyDescent="0.3">
      <c r="A304" s="3">
        <v>9486</v>
      </c>
      <c r="B304" s="3" t="s">
        <v>42</v>
      </c>
      <c r="C304" s="4">
        <v>45505</v>
      </c>
      <c r="D304" s="3" t="s">
        <v>15</v>
      </c>
      <c r="E304" s="3" t="s">
        <v>47</v>
      </c>
      <c r="F304" s="5">
        <v>2</v>
      </c>
      <c r="G304" s="6">
        <v>21.16</v>
      </c>
      <c r="H304" s="6">
        <v>42.32</v>
      </c>
      <c r="I304" s="6">
        <v>4.2300000000000004</v>
      </c>
      <c r="J304" s="6">
        <v>38.090000000000003</v>
      </c>
      <c r="K304" s="5">
        <v>360</v>
      </c>
    </row>
    <row r="305" spans="1:11" x14ac:dyDescent="0.3">
      <c r="A305" s="3">
        <v>1822</v>
      </c>
      <c r="B305" s="3" t="s">
        <v>42</v>
      </c>
      <c r="C305" s="4">
        <v>45577</v>
      </c>
      <c r="D305" s="3" t="s">
        <v>38</v>
      </c>
      <c r="E305" s="3" t="s">
        <v>21</v>
      </c>
      <c r="F305" s="5">
        <v>3</v>
      </c>
      <c r="G305" s="6">
        <v>12.03</v>
      </c>
      <c r="H305" s="6">
        <v>36.090000000000003</v>
      </c>
      <c r="I305" s="6">
        <v>5.41</v>
      </c>
      <c r="J305" s="6">
        <v>30.68</v>
      </c>
      <c r="K305" s="5">
        <v>273</v>
      </c>
    </row>
    <row r="306" spans="1:11" x14ac:dyDescent="0.3">
      <c r="A306" s="3">
        <v>5082</v>
      </c>
      <c r="B306" s="3" t="s">
        <v>30</v>
      </c>
      <c r="C306" s="4">
        <v>45857</v>
      </c>
      <c r="D306" s="3" t="s">
        <v>22</v>
      </c>
      <c r="E306" s="3" t="s">
        <v>46</v>
      </c>
      <c r="F306" s="5">
        <v>4</v>
      </c>
      <c r="G306" s="6">
        <v>14.5</v>
      </c>
      <c r="H306" s="6">
        <v>58</v>
      </c>
      <c r="I306" s="6">
        <v>8.6999999999999993</v>
      </c>
      <c r="J306" s="6">
        <v>49.3</v>
      </c>
      <c r="K306" s="5">
        <v>411</v>
      </c>
    </row>
    <row r="307" spans="1:11" x14ac:dyDescent="0.3">
      <c r="A307" s="3">
        <v>2988</v>
      </c>
      <c r="B307" s="3" t="s">
        <v>42</v>
      </c>
      <c r="C307" s="4">
        <v>45499</v>
      </c>
      <c r="D307" s="3" t="s">
        <v>22</v>
      </c>
      <c r="E307" s="3" t="s">
        <v>21</v>
      </c>
      <c r="F307" s="5">
        <v>4</v>
      </c>
      <c r="G307" s="6">
        <v>2.3199999999999998</v>
      </c>
      <c r="H307" s="6">
        <v>9.2799999999999994</v>
      </c>
      <c r="I307" s="6">
        <v>0</v>
      </c>
      <c r="J307" s="6">
        <v>9.2799999999999994</v>
      </c>
      <c r="K307" s="5">
        <v>442</v>
      </c>
    </row>
    <row r="308" spans="1:11" x14ac:dyDescent="0.3">
      <c r="A308" s="3">
        <v>3184</v>
      </c>
      <c r="B308" s="3" t="s">
        <v>19</v>
      </c>
      <c r="C308" s="4">
        <v>45767</v>
      </c>
      <c r="D308" s="3" t="s">
        <v>12</v>
      </c>
      <c r="E308" s="3" t="s">
        <v>13</v>
      </c>
      <c r="F308" s="5">
        <v>5</v>
      </c>
      <c r="G308" s="6">
        <v>28.1</v>
      </c>
      <c r="H308" s="6">
        <v>140.5</v>
      </c>
      <c r="I308" s="6">
        <v>21.07</v>
      </c>
      <c r="J308" s="6">
        <v>119.43</v>
      </c>
      <c r="K308" s="5">
        <v>296</v>
      </c>
    </row>
    <row r="309" spans="1:11" x14ac:dyDescent="0.3">
      <c r="A309" s="3">
        <v>8612</v>
      </c>
      <c r="B309" s="3" t="s">
        <v>19</v>
      </c>
      <c r="C309" s="4">
        <v>45663</v>
      </c>
      <c r="D309" s="3" t="s">
        <v>17</v>
      </c>
      <c r="E309" s="3" t="s">
        <v>21</v>
      </c>
      <c r="F309" s="5">
        <v>2</v>
      </c>
      <c r="G309" s="6">
        <v>12.01</v>
      </c>
      <c r="H309" s="6">
        <v>24.02</v>
      </c>
      <c r="I309" s="6">
        <v>2.4</v>
      </c>
      <c r="J309" s="6">
        <v>21.62</v>
      </c>
      <c r="K309" s="5">
        <v>426</v>
      </c>
    </row>
    <row r="310" spans="1:11" x14ac:dyDescent="0.3">
      <c r="A310" s="3">
        <v>9702</v>
      </c>
      <c r="B310" s="3" t="s">
        <v>14</v>
      </c>
      <c r="C310" s="4">
        <v>45579</v>
      </c>
      <c r="D310" s="3" t="s">
        <v>27</v>
      </c>
      <c r="E310" s="3" t="s">
        <v>21</v>
      </c>
      <c r="F310" s="5">
        <v>3</v>
      </c>
      <c r="G310" s="6">
        <v>23.13</v>
      </c>
      <c r="H310" s="6">
        <v>69.39</v>
      </c>
      <c r="I310" s="6">
        <v>6.94</v>
      </c>
      <c r="J310" s="6">
        <v>62.45</v>
      </c>
      <c r="K310" s="5">
        <v>250</v>
      </c>
    </row>
    <row r="311" spans="1:11" x14ac:dyDescent="0.3">
      <c r="A311" s="3">
        <v>6198</v>
      </c>
      <c r="B311" s="3" t="s">
        <v>19</v>
      </c>
      <c r="C311" s="4">
        <v>45731</v>
      </c>
      <c r="D311" s="3" t="s">
        <v>22</v>
      </c>
      <c r="E311" s="3" t="s">
        <v>29</v>
      </c>
      <c r="F311" s="5">
        <v>2</v>
      </c>
      <c r="G311" s="6">
        <v>21.88</v>
      </c>
      <c r="H311" s="6">
        <v>43.76</v>
      </c>
      <c r="I311" s="6">
        <v>4.96</v>
      </c>
      <c r="J311" s="6">
        <v>38.799999999999997</v>
      </c>
      <c r="K311" s="5">
        <v>250</v>
      </c>
    </row>
    <row r="312" spans="1:11" x14ac:dyDescent="0.3">
      <c r="A312" s="3">
        <v>8251</v>
      </c>
      <c r="B312" s="3" t="s">
        <v>31</v>
      </c>
      <c r="C312" s="4">
        <v>45620</v>
      </c>
      <c r="D312" s="3" t="s">
        <v>38</v>
      </c>
      <c r="E312" s="3" t="s">
        <v>40</v>
      </c>
      <c r="F312" s="5">
        <v>1</v>
      </c>
      <c r="G312" s="6">
        <v>28.4</v>
      </c>
      <c r="H312" s="6">
        <v>28.4</v>
      </c>
      <c r="I312" s="6">
        <v>2.65</v>
      </c>
      <c r="J312" s="6">
        <v>25.75</v>
      </c>
      <c r="K312" s="5">
        <v>342</v>
      </c>
    </row>
    <row r="313" spans="1:11" x14ac:dyDescent="0.3">
      <c r="A313" s="3">
        <v>9270</v>
      </c>
      <c r="B313" s="3" t="s">
        <v>42</v>
      </c>
      <c r="C313" s="4">
        <v>45476</v>
      </c>
      <c r="D313" s="3" t="s">
        <v>15</v>
      </c>
      <c r="E313" s="3" t="s">
        <v>41</v>
      </c>
      <c r="F313" s="5">
        <v>1</v>
      </c>
      <c r="G313" s="6">
        <v>7.33</v>
      </c>
      <c r="H313" s="6">
        <v>7.33</v>
      </c>
      <c r="I313" s="6">
        <v>3.47</v>
      </c>
      <c r="J313" s="6">
        <v>3.86</v>
      </c>
      <c r="K313" s="5">
        <v>233</v>
      </c>
    </row>
    <row r="314" spans="1:11" x14ac:dyDescent="0.3">
      <c r="A314" s="3">
        <v>9976</v>
      </c>
      <c r="B314" s="3" t="s">
        <v>26</v>
      </c>
      <c r="C314" s="4">
        <v>45491</v>
      </c>
      <c r="D314" s="3" t="s">
        <v>27</v>
      </c>
      <c r="E314" s="3" t="s">
        <v>47</v>
      </c>
      <c r="F314" s="5">
        <v>1</v>
      </c>
      <c r="G314" s="6">
        <v>1.18</v>
      </c>
      <c r="H314" s="6">
        <v>1.18</v>
      </c>
      <c r="I314" s="6">
        <v>1.07</v>
      </c>
      <c r="J314" s="6">
        <v>0.11</v>
      </c>
      <c r="K314" s="5">
        <v>282</v>
      </c>
    </row>
    <row r="315" spans="1:11" x14ac:dyDescent="0.3">
      <c r="A315" s="3">
        <v>3607</v>
      </c>
      <c r="B315" s="3" t="s">
        <v>30</v>
      </c>
      <c r="C315" s="4">
        <v>45722</v>
      </c>
      <c r="D315" s="3" t="s">
        <v>38</v>
      </c>
      <c r="E315" s="3" t="s">
        <v>37</v>
      </c>
      <c r="F315" s="5">
        <v>1</v>
      </c>
      <c r="G315" s="6">
        <v>15.55</v>
      </c>
      <c r="H315" s="6">
        <v>15.55</v>
      </c>
      <c r="I315" s="6">
        <v>3.11</v>
      </c>
      <c r="J315" s="6">
        <v>12.44</v>
      </c>
      <c r="K315" s="5">
        <v>357</v>
      </c>
    </row>
    <row r="316" spans="1:11" x14ac:dyDescent="0.3">
      <c r="A316" s="3">
        <v>8777</v>
      </c>
      <c r="B316" s="3" t="s">
        <v>11</v>
      </c>
      <c r="C316" s="4">
        <v>45494</v>
      </c>
      <c r="D316" s="3" t="s">
        <v>15</v>
      </c>
      <c r="E316" s="3" t="s">
        <v>46</v>
      </c>
      <c r="F316" s="5">
        <v>2</v>
      </c>
      <c r="G316" s="6">
        <v>7.98</v>
      </c>
      <c r="H316" s="6">
        <v>15.96</v>
      </c>
      <c r="I316" s="6">
        <v>2.39</v>
      </c>
      <c r="J316" s="6">
        <v>13.57</v>
      </c>
      <c r="K316" s="5">
        <v>317</v>
      </c>
    </row>
    <row r="317" spans="1:11" x14ac:dyDescent="0.3">
      <c r="A317" s="3">
        <v>5246</v>
      </c>
      <c r="B317" s="3" t="s">
        <v>30</v>
      </c>
      <c r="C317" s="4">
        <v>45728</v>
      </c>
      <c r="D317" s="3" t="s">
        <v>20</v>
      </c>
      <c r="E317" s="3" t="s">
        <v>43</v>
      </c>
      <c r="F317" s="5">
        <v>3</v>
      </c>
      <c r="G317" s="6">
        <v>28.81</v>
      </c>
      <c r="H317" s="6">
        <v>86.43</v>
      </c>
      <c r="I317" s="6">
        <v>0</v>
      </c>
      <c r="J317" s="6">
        <v>86.43</v>
      </c>
      <c r="K317" s="5">
        <v>235</v>
      </c>
    </row>
    <row r="318" spans="1:11" x14ac:dyDescent="0.3">
      <c r="A318" s="3">
        <v>5050</v>
      </c>
      <c r="B318" s="3" t="s">
        <v>42</v>
      </c>
      <c r="C318" s="4">
        <v>45797</v>
      </c>
      <c r="D318" s="3" t="s">
        <v>35</v>
      </c>
      <c r="E318" s="3" t="s">
        <v>43</v>
      </c>
      <c r="F318" s="5">
        <v>1</v>
      </c>
      <c r="G318" s="6">
        <v>3.7</v>
      </c>
      <c r="H318" s="6">
        <v>3.7</v>
      </c>
      <c r="I318" s="6">
        <v>2.9</v>
      </c>
      <c r="J318" s="6">
        <v>0.8</v>
      </c>
      <c r="K318" s="5">
        <v>194</v>
      </c>
    </row>
    <row r="319" spans="1:11" x14ac:dyDescent="0.3">
      <c r="A319" s="3">
        <v>5543</v>
      </c>
      <c r="B319" s="3" t="s">
        <v>31</v>
      </c>
      <c r="C319" s="4">
        <v>45739</v>
      </c>
      <c r="D319" s="3" t="s">
        <v>34</v>
      </c>
      <c r="E319" s="3" t="s">
        <v>43</v>
      </c>
      <c r="F319" s="5">
        <v>4</v>
      </c>
      <c r="G319" s="6">
        <v>25.5</v>
      </c>
      <c r="H319" s="6">
        <v>102</v>
      </c>
      <c r="I319" s="6">
        <v>4.91</v>
      </c>
      <c r="J319" s="6">
        <v>97.09</v>
      </c>
      <c r="K319" s="5">
        <v>330</v>
      </c>
    </row>
    <row r="320" spans="1:11" x14ac:dyDescent="0.3">
      <c r="A320" s="3">
        <v>9540</v>
      </c>
      <c r="B320" s="3" t="s">
        <v>11</v>
      </c>
      <c r="C320" s="4">
        <v>45521</v>
      </c>
      <c r="D320" s="3" t="s">
        <v>38</v>
      </c>
      <c r="E320" s="3" t="s">
        <v>40</v>
      </c>
      <c r="F320" s="5">
        <v>2</v>
      </c>
      <c r="G320" s="6">
        <v>7.12</v>
      </c>
      <c r="H320" s="6">
        <v>14.24</v>
      </c>
      <c r="I320" s="6">
        <v>2.14</v>
      </c>
      <c r="J320" s="6">
        <v>12.1</v>
      </c>
      <c r="K320" s="5">
        <v>444</v>
      </c>
    </row>
    <row r="321" spans="1:11" x14ac:dyDescent="0.3">
      <c r="A321" s="3">
        <v>4919</v>
      </c>
      <c r="B321" s="3" t="s">
        <v>31</v>
      </c>
      <c r="C321" s="4">
        <v>45358</v>
      </c>
      <c r="D321" s="3" t="s">
        <v>15</v>
      </c>
      <c r="E321" s="3" t="s">
        <v>13</v>
      </c>
      <c r="F321" s="5">
        <v>5</v>
      </c>
      <c r="G321" s="6">
        <v>17.329999999999998</v>
      </c>
      <c r="H321" s="6">
        <v>86.65</v>
      </c>
      <c r="I321" s="6">
        <v>13</v>
      </c>
      <c r="J321" s="6">
        <v>73.650000000000006</v>
      </c>
      <c r="K321" s="5">
        <v>16</v>
      </c>
    </row>
    <row r="322" spans="1:11" x14ac:dyDescent="0.3">
      <c r="A322" s="3">
        <v>8206</v>
      </c>
      <c r="B322" s="3" t="s">
        <v>31</v>
      </c>
      <c r="C322" s="4">
        <v>45205</v>
      </c>
      <c r="D322" s="3" t="s">
        <v>17</v>
      </c>
      <c r="E322" s="3" t="s">
        <v>41</v>
      </c>
      <c r="F322" s="5">
        <v>4</v>
      </c>
      <c r="G322" s="6">
        <v>27.93</v>
      </c>
      <c r="H322" s="6">
        <v>111.72</v>
      </c>
      <c r="I322" s="6">
        <v>1.96</v>
      </c>
      <c r="J322" s="6">
        <v>109.76</v>
      </c>
      <c r="K322" s="5">
        <v>153</v>
      </c>
    </row>
    <row r="323" spans="1:11" x14ac:dyDescent="0.3">
      <c r="A323" s="3">
        <v>5681</v>
      </c>
      <c r="B323" s="3" t="s">
        <v>24</v>
      </c>
      <c r="C323" s="4">
        <v>45327</v>
      </c>
      <c r="D323" s="3" t="s">
        <v>27</v>
      </c>
      <c r="E323" s="3" t="s">
        <v>18</v>
      </c>
      <c r="F323" s="5">
        <v>3</v>
      </c>
      <c r="G323" s="6">
        <v>12.12</v>
      </c>
      <c r="H323" s="6">
        <v>36.36</v>
      </c>
      <c r="I323" s="6">
        <v>0</v>
      </c>
      <c r="J323" s="6">
        <v>36.36</v>
      </c>
      <c r="K323" s="5">
        <v>378</v>
      </c>
    </row>
    <row r="324" spans="1:11" x14ac:dyDescent="0.3">
      <c r="A324" s="3">
        <v>5451</v>
      </c>
      <c r="B324" s="3" t="s">
        <v>11</v>
      </c>
      <c r="C324" s="4">
        <v>45405</v>
      </c>
      <c r="D324" s="3" t="s">
        <v>38</v>
      </c>
      <c r="E324" s="3" t="s">
        <v>23</v>
      </c>
      <c r="F324" s="5">
        <v>1</v>
      </c>
      <c r="G324" s="6">
        <v>3.82</v>
      </c>
      <c r="H324" s="6">
        <v>3.82</v>
      </c>
      <c r="I324" s="6">
        <v>0.56999999999999995</v>
      </c>
      <c r="J324" s="6">
        <v>3.25</v>
      </c>
      <c r="K324" s="5">
        <v>118</v>
      </c>
    </row>
    <row r="325" spans="1:11" x14ac:dyDescent="0.3">
      <c r="A325" s="3">
        <v>6238</v>
      </c>
      <c r="B325" s="3" t="s">
        <v>24</v>
      </c>
      <c r="C325" s="4">
        <v>45838</v>
      </c>
      <c r="D325" s="3" t="s">
        <v>22</v>
      </c>
      <c r="E325" s="3" t="s">
        <v>39</v>
      </c>
      <c r="F325" s="5">
        <v>3</v>
      </c>
      <c r="G325" s="6">
        <v>23.71</v>
      </c>
      <c r="H325" s="6">
        <v>71.13</v>
      </c>
      <c r="I325" s="6">
        <v>14.23</v>
      </c>
      <c r="J325" s="6">
        <v>56.9</v>
      </c>
      <c r="K325" s="5">
        <v>230</v>
      </c>
    </row>
    <row r="326" spans="1:11" x14ac:dyDescent="0.3">
      <c r="A326" s="3">
        <v>9849</v>
      </c>
      <c r="B326" s="3" t="s">
        <v>36</v>
      </c>
      <c r="C326" s="4">
        <v>45207</v>
      </c>
      <c r="D326" s="3" t="s">
        <v>38</v>
      </c>
      <c r="E326" s="3" t="s">
        <v>32</v>
      </c>
      <c r="F326" s="5">
        <v>4</v>
      </c>
      <c r="G326" s="6">
        <v>6.38</v>
      </c>
      <c r="H326" s="6">
        <v>25.52</v>
      </c>
      <c r="I326" s="6">
        <v>4.09</v>
      </c>
      <c r="J326" s="6">
        <v>21.43</v>
      </c>
      <c r="K326" s="5">
        <v>299</v>
      </c>
    </row>
    <row r="327" spans="1:11" x14ac:dyDescent="0.3">
      <c r="A327" s="3">
        <v>3267</v>
      </c>
      <c r="B327" s="3" t="s">
        <v>30</v>
      </c>
      <c r="C327" s="4">
        <v>45262</v>
      </c>
      <c r="D327" s="3" t="s">
        <v>17</v>
      </c>
      <c r="E327" s="3" t="s">
        <v>43</v>
      </c>
      <c r="F327" s="5">
        <v>1</v>
      </c>
      <c r="G327" s="6">
        <v>8.76</v>
      </c>
      <c r="H327" s="6">
        <v>8.76</v>
      </c>
      <c r="I327" s="6">
        <v>0</v>
      </c>
      <c r="J327" s="6">
        <v>8.76</v>
      </c>
      <c r="K327" s="5">
        <v>194</v>
      </c>
    </row>
    <row r="328" spans="1:11" x14ac:dyDescent="0.3">
      <c r="A328" s="3">
        <v>4788</v>
      </c>
      <c r="B328" s="3" t="s">
        <v>24</v>
      </c>
      <c r="C328" s="4">
        <v>45442</v>
      </c>
      <c r="D328" s="3" t="s">
        <v>22</v>
      </c>
      <c r="E328" s="3" t="s">
        <v>23</v>
      </c>
      <c r="F328" s="5">
        <v>1</v>
      </c>
      <c r="G328" s="6">
        <v>3.64</v>
      </c>
      <c r="H328" s="6">
        <v>3.64</v>
      </c>
      <c r="I328" s="6">
        <v>0.36</v>
      </c>
      <c r="J328" s="6">
        <v>3.28</v>
      </c>
      <c r="K328" s="5">
        <v>482</v>
      </c>
    </row>
    <row r="329" spans="1:11" x14ac:dyDescent="0.3">
      <c r="A329" s="3">
        <v>3503</v>
      </c>
      <c r="B329" s="3" t="s">
        <v>36</v>
      </c>
      <c r="C329" s="4">
        <v>45693</v>
      </c>
      <c r="D329" s="3" t="s">
        <v>35</v>
      </c>
      <c r="E329" s="3" t="s">
        <v>48</v>
      </c>
      <c r="F329" s="5">
        <v>2</v>
      </c>
      <c r="G329" s="6">
        <v>3.52</v>
      </c>
      <c r="H329" s="6">
        <v>7.04</v>
      </c>
      <c r="I329" s="6">
        <v>3.22</v>
      </c>
      <c r="J329" s="6">
        <v>3.82</v>
      </c>
      <c r="K329" s="5">
        <v>220</v>
      </c>
    </row>
    <row r="330" spans="1:11" x14ac:dyDescent="0.3">
      <c r="A330" s="3">
        <v>4505</v>
      </c>
      <c r="B330" s="3" t="s">
        <v>24</v>
      </c>
      <c r="C330" s="4">
        <v>45194</v>
      </c>
      <c r="D330" s="3" t="s">
        <v>15</v>
      </c>
      <c r="E330" s="3" t="s">
        <v>39</v>
      </c>
      <c r="F330" s="5">
        <v>1</v>
      </c>
      <c r="G330" s="6">
        <v>11.25</v>
      </c>
      <c r="H330" s="6">
        <v>11.25</v>
      </c>
      <c r="I330" s="6">
        <v>1.1200000000000001</v>
      </c>
      <c r="J330" s="6">
        <v>10.130000000000001</v>
      </c>
      <c r="K330" s="5">
        <v>47</v>
      </c>
    </row>
    <row r="331" spans="1:11" x14ac:dyDescent="0.3">
      <c r="A331" s="3">
        <v>7797</v>
      </c>
      <c r="B331" s="3" t="s">
        <v>31</v>
      </c>
      <c r="C331" s="4">
        <v>45461</v>
      </c>
      <c r="D331" s="3" t="s">
        <v>35</v>
      </c>
      <c r="E331" s="3" t="s">
        <v>16</v>
      </c>
      <c r="F331" s="5">
        <v>4</v>
      </c>
      <c r="G331" s="6">
        <v>23.59</v>
      </c>
      <c r="H331" s="6">
        <v>94.36</v>
      </c>
      <c r="I331" s="6">
        <v>3.08</v>
      </c>
      <c r="J331" s="6">
        <v>91.28</v>
      </c>
      <c r="K331" s="5">
        <v>371</v>
      </c>
    </row>
    <row r="332" spans="1:11" x14ac:dyDescent="0.3">
      <c r="A332" s="3">
        <v>6421</v>
      </c>
      <c r="B332" s="3" t="s">
        <v>24</v>
      </c>
      <c r="C332" s="4">
        <v>45566</v>
      </c>
      <c r="D332" s="3" t="s">
        <v>34</v>
      </c>
      <c r="E332" s="3" t="s">
        <v>41</v>
      </c>
      <c r="F332" s="5">
        <v>3</v>
      </c>
      <c r="G332" s="6">
        <v>9.7200000000000006</v>
      </c>
      <c r="H332" s="6">
        <v>29.16</v>
      </c>
      <c r="I332" s="6">
        <v>1.67</v>
      </c>
      <c r="J332" s="6">
        <v>27.49</v>
      </c>
      <c r="K332" s="5">
        <v>252</v>
      </c>
    </row>
    <row r="333" spans="1:11" x14ac:dyDescent="0.3">
      <c r="A333" s="3">
        <v>8633</v>
      </c>
      <c r="B333" s="3" t="s">
        <v>30</v>
      </c>
      <c r="C333" s="4">
        <v>45467</v>
      </c>
      <c r="D333" s="3" t="s">
        <v>20</v>
      </c>
      <c r="E333" s="3" t="s">
        <v>37</v>
      </c>
      <c r="F333" s="5">
        <v>4</v>
      </c>
      <c r="G333" s="6">
        <v>23.69</v>
      </c>
      <c r="H333" s="6">
        <v>94.76</v>
      </c>
      <c r="I333" s="6">
        <v>18.95</v>
      </c>
      <c r="J333" s="6">
        <v>75.81</v>
      </c>
      <c r="K333" s="5">
        <v>184</v>
      </c>
    </row>
    <row r="334" spans="1:11" x14ac:dyDescent="0.3">
      <c r="A334" s="3">
        <v>2020</v>
      </c>
      <c r="B334" s="3" t="s">
        <v>26</v>
      </c>
      <c r="C334" s="4">
        <v>45305</v>
      </c>
      <c r="D334" s="3" t="s">
        <v>28</v>
      </c>
      <c r="E334" s="3" t="s">
        <v>44</v>
      </c>
      <c r="F334" s="5">
        <v>4</v>
      </c>
      <c r="G334" s="6">
        <v>4.09</v>
      </c>
      <c r="H334" s="6">
        <v>16.36</v>
      </c>
      <c r="I334" s="6">
        <v>1.64</v>
      </c>
      <c r="J334" s="6">
        <v>14.72</v>
      </c>
      <c r="K334" s="5">
        <v>155</v>
      </c>
    </row>
    <row r="335" spans="1:11" x14ac:dyDescent="0.3">
      <c r="A335" s="3">
        <v>7883</v>
      </c>
      <c r="B335" s="3" t="s">
        <v>36</v>
      </c>
      <c r="C335" s="4">
        <v>45447</v>
      </c>
      <c r="D335" s="3" t="s">
        <v>28</v>
      </c>
      <c r="E335" s="3" t="s">
        <v>32</v>
      </c>
      <c r="F335" s="5">
        <v>3</v>
      </c>
      <c r="G335" s="6">
        <v>13.76</v>
      </c>
      <c r="H335" s="6">
        <v>41.28</v>
      </c>
      <c r="I335" s="6">
        <v>6.19</v>
      </c>
      <c r="J335" s="6">
        <v>35.090000000000003</v>
      </c>
      <c r="K335" s="5">
        <v>220</v>
      </c>
    </row>
    <row r="336" spans="1:11" x14ac:dyDescent="0.3">
      <c r="A336" s="3">
        <v>1320</v>
      </c>
      <c r="B336" s="3" t="s">
        <v>36</v>
      </c>
      <c r="C336" s="4">
        <v>45810</v>
      </c>
      <c r="D336" s="3" t="s">
        <v>28</v>
      </c>
      <c r="E336" s="3" t="s">
        <v>44</v>
      </c>
      <c r="F336" s="5">
        <v>4</v>
      </c>
      <c r="G336" s="6">
        <v>10.1</v>
      </c>
      <c r="H336" s="6">
        <v>40.4</v>
      </c>
      <c r="I336" s="6">
        <v>6.06</v>
      </c>
      <c r="J336" s="6">
        <v>34.340000000000003</v>
      </c>
      <c r="K336" s="5">
        <v>493</v>
      </c>
    </row>
    <row r="337" spans="1:11" x14ac:dyDescent="0.3">
      <c r="A337" s="3">
        <v>7232</v>
      </c>
      <c r="B337" s="3" t="s">
        <v>30</v>
      </c>
      <c r="C337" s="4">
        <v>45515</v>
      </c>
      <c r="D337" s="3" t="s">
        <v>27</v>
      </c>
      <c r="E337" s="3" t="s">
        <v>47</v>
      </c>
      <c r="F337" s="5">
        <v>5</v>
      </c>
      <c r="G337" s="6">
        <v>23.67</v>
      </c>
      <c r="H337" s="6">
        <v>118.35</v>
      </c>
      <c r="I337" s="6">
        <v>17.75</v>
      </c>
      <c r="J337" s="6">
        <v>100.6</v>
      </c>
      <c r="K337" s="5">
        <v>166</v>
      </c>
    </row>
    <row r="338" spans="1:11" x14ac:dyDescent="0.3">
      <c r="A338" s="3">
        <v>1096</v>
      </c>
      <c r="B338" s="3" t="s">
        <v>24</v>
      </c>
      <c r="C338" s="4">
        <v>45418</v>
      </c>
      <c r="D338" s="3" t="s">
        <v>22</v>
      </c>
      <c r="E338" s="3" t="s">
        <v>48</v>
      </c>
      <c r="F338" s="5">
        <v>5</v>
      </c>
      <c r="G338" s="6">
        <v>6.78</v>
      </c>
      <c r="H338" s="6">
        <v>33.9</v>
      </c>
      <c r="I338" s="6">
        <v>0</v>
      </c>
      <c r="J338" s="6">
        <v>33.9</v>
      </c>
      <c r="K338" s="5">
        <v>279</v>
      </c>
    </row>
    <row r="339" spans="1:11" x14ac:dyDescent="0.3">
      <c r="A339" s="3">
        <v>5892</v>
      </c>
      <c r="B339" s="3" t="s">
        <v>14</v>
      </c>
      <c r="C339" s="4">
        <v>45730</v>
      </c>
      <c r="D339" s="3" t="s">
        <v>12</v>
      </c>
      <c r="E339" s="3" t="s">
        <v>33</v>
      </c>
      <c r="F339" s="5">
        <v>2</v>
      </c>
      <c r="G339" s="6">
        <v>13.71</v>
      </c>
      <c r="H339" s="6">
        <v>27.42</v>
      </c>
      <c r="I339" s="6">
        <v>2.74</v>
      </c>
      <c r="J339" s="6">
        <v>24.68</v>
      </c>
      <c r="K339" s="5">
        <v>149</v>
      </c>
    </row>
    <row r="340" spans="1:11" x14ac:dyDescent="0.3">
      <c r="A340" s="3">
        <v>7389</v>
      </c>
      <c r="B340" s="3" t="s">
        <v>26</v>
      </c>
      <c r="C340" s="4">
        <v>45807</v>
      </c>
      <c r="D340" s="3" t="s">
        <v>34</v>
      </c>
      <c r="E340" s="3" t="s">
        <v>37</v>
      </c>
      <c r="F340" s="5">
        <v>2</v>
      </c>
      <c r="G340" s="6">
        <v>8.32</v>
      </c>
      <c r="H340" s="6">
        <v>16.64</v>
      </c>
      <c r="I340" s="6">
        <v>1.66</v>
      </c>
      <c r="J340" s="6">
        <v>14.98</v>
      </c>
      <c r="K340" s="5">
        <v>78</v>
      </c>
    </row>
    <row r="341" spans="1:11" x14ac:dyDescent="0.3">
      <c r="A341" s="3">
        <v>7865</v>
      </c>
      <c r="B341" s="3" t="s">
        <v>11</v>
      </c>
      <c r="C341" s="4">
        <v>45563</v>
      </c>
      <c r="D341" s="3" t="s">
        <v>45</v>
      </c>
      <c r="E341" s="3" t="s">
        <v>47</v>
      </c>
      <c r="F341" s="5">
        <v>5</v>
      </c>
      <c r="G341" s="6">
        <v>12.61</v>
      </c>
      <c r="H341" s="6">
        <v>63.05</v>
      </c>
      <c r="I341" s="6">
        <v>1.1499999999999999</v>
      </c>
      <c r="J341" s="6">
        <v>61.9</v>
      </c>
      <c r="K341" s="5">
        <v>259</v>
      </c>
    </row>
    <row r="342" spans="1:11" x14ac:dyDescent="0.3">
      <c r="A342" s="3">
        <v>9947</v>
      </c>
      <c r="B342" s="3" t="s">
        <v>36</v>
      </c>
      <c r="C342" s="4">
        <v>45766</v>
      </c>
      <c r="D342" s="3" t="s">
        <v>38</v>
      </c>
      <c r="E342" s="3" t="s">
        <v>43</v>
      </c>
      <c r="F342" s="5">
        <v>1</v>
      </c>
      <c r="G342" s="6">
        <v>23.29</v>
      </c>
      <c r="H342" s="6">
        <v>23.29</v>
      </c>
      <c r="I342" s="6">
        <v>4.66</v>
      </c>
      <c r="J342" s="6">
        <v>18.63</v>
      </c>
      <c r="K342" s="5">
        <v>336</v>
      </c>
    </row>
    <row r="343" spans="1:11" x14ac:dyDescent="0.3">
      <c r="A343" s="3">
        <v>4613</v>
      </c>
      <c r="B343" s="3" t="s">
        <v>31</v>
      </c>
      <c r="C343" s="4">
        <v>45524</v>
      </c>
      <c r="D343" s="3" t="s">
        <v>28</v>
      </c>
      <c r="E343" s="3" t="s">
        <v>32</v>
      </c>
      <c r="F343" s="5">
        <v>3</v>
      </c>
      <c r="G343" s="6">
        <v>29</v>
      </c>
      <c r="H343" s="6">
        <v>87</v>
      </c>
      <c r="I343" s="6">
        <v>1.39</v>
      </c>
      <c r="J343" s="6">
        <v>85.61</v>
      </c>
      <c r="K343" s="5">
        <v>220</v>
      </c>
    </row>
    <row r="344" spans="1:11" x14ac:dyDescent="0.3">
      <c r="A344" s="3">
        <v>4595</v>
      </c>
      <c r="B344" s="3" t="s">
        <v>42</v>
      </c>
      <c r="C344" s="4">
        <v>45356</v>
      </c>
      <c r="D344" s="3" t="s">
        <v>38</v>
      </c>
      <c r="E344" s="3" t="s">
        <v>46</v>
      </c>
      <c r="F344" s="5">
        <v>5</v>
      </c>
      <c r="G344" s="6">
        <v>17.829999999999998</v>
      </c>
      <c r="H344" s="6">
        <v>89.15</v>
      </c>
      <c r="I344" s="6">
        <v>8.92</v>
      </c>
      <c r="J344" s="6">
        <v>80.23</v>
      </c>
      <c r="K344" s="5">
        <v>294</v>
      </c>
    </row>
    <row r="345" spans="1:11" x14ac:dyDescent="0.3">
      <c r="A345" s="3">
        <v>8140</v>
      </c>
      <c r="B345" s="3" t="s">
        <v>36</v>
      </c>
      <c r="C345" s="4">
        <v>45522</v>
      </c>
      <c r="D345" s="3" t="s">
        <v>20</v>
      </c>
      <c r="E345" s="3" t="s">
        <v>33</v>
      </c>
      <c r="F345" s="5">
        <v>5</v>
      </c>
      <c r="G345" s="6">
        <v>21.01</v>
      </c>
      <c r="H345" s="6">
        <v>105.05</v>
      </c>
      <c r="I345" s="6">
        <v>2.93</v>
      </c>
      <c r="J345" s="6">
        <v>102.12</v>
      </c>
      <c r="K345" s="5">
        <v>77</v>
      </c>
    </row>
    <row r="346" spans="1:11" x14ac:dyDescent="0.3">
      <c r="A346" s="3">
        <v>1475</v>
      </c>
      <c r="B346" s="3" t="s">
        <v>30</v>
      </c>
      <c r="C346" s="4">
        <v>45447</v>
      </c>
      <c r="D346" s="3" t="s">
        <v>20</v>
      </c>
      <c r="E346" s="3" t="s">
        <v>43</v>
      </c>
      <c r="F346" s="5">
        <v>1</v>
      </c>
      <c r="G346" s="6">
        <v>25.1</v>
      </c>
      <c r="H346" s="6">
        <v>25.1</v>
      </c>
      <c r="I346" s="6">
        <v>3.77</v>
      </c>
      <c r="J346" s="6">
        <v>21.33</v>
      </c>
      <c r="K346" s="5">
        <v>373</v>
      </c>
    </row>
    <row r="347" spans="1:11" x14ac:dyDescent="0.3">
      <c r="A347" s="3">
        <v>6507</v>
      </c>
      <c r="B347" s="3" t="s">
        <v>30</v>
      </c>
      <c r="C347" s="4">
        <v>45664</v>
      </c>
      <c r="D347" s="3" t="s">
        <v>22</v>
      </c>
      <c r="E347" s="3" t="s">
        <v>33</v>
      </c>
      <c r="F347" s="5">
        <v>2</v>
      </c>
      <c r="G347" s="6">
        <v>16.100000000000001</v>
      </c>
      <c r="H347" s="6">
        <v>32.200000000000003</v>
      </c>
      <c r="I347" s="6">
        <v>2.75</v>
      </c>
      <c r="J347" s="6">
        <v>29.45</v>
      </c>
      <c r="K347" s="5">
        <v>178</v>
      </c>
    </row>
    <row r="348" spans="1:11" x14ac:dyDescent="0.3">
      <c r="A348" s="3">
        <v>7624</v>
      </c>
      <c r="B348" s="3" t="s">
        <v>26</v>
      </c>
      <c r="C348" s="4">
        <v>45707</v>
      </c>
      <c r="D348" s="3" t="s">
        <v>22</v>
      </c>
      <c r="E348" s="3" t="s">
        <v>43</v>
      </c>
      <c r="F348" s="5">
        <v>3</v>
      </c>
      <c r="G348" s="6">
        <v>2.29</v>
      </c>
      <c r="H348" s="6">
        <v>6.87</v>
      </c>
      <c r="I348" s="6">
        <v>4.4000000000000004</v>
      </c>
      <c r="J348" s="6">
        <v>2.4700000000000002</v>
      </c>
      <c r="K348" s="5">
        <v>363</v>
      </c>
    </row>
    <row r="349" spans="1:11" x14ac:dyDescent="0.3">
      <c r="A349" s="3">
        <v>3704</v>
      </c>
      <c r="B349" s="3" t="s">
        <v>11</v>
      </c>
      <c r="C349" s="4">
        <v>45797</v>
      </c>
      <c r="D349" s="3" t="s">
        <v>27</v>
      </c>
      <c r="E349" s="3" t="s">
        <v>29</v>
      </c>
      <c r="F349" s="5">
        <v>2</v>
      </c>
      <c r="G349" s="6">
        <v>15.95</v>
      </c>
      <c r="H349" s="6">
        <v>31.9</v>
      </c>
      <c r="I349" s="6">
        <v>4.78</v>
      </c>
      <c r="J349" s="6">
        <v>27.12</v>
      </c>
      <c r="K349" s="5">
        <v>282</v>
      </c>
    </row>
    <row r="350" spans="1:11" x14ac:dyDescent="0.3">
      <c r="A350" s="3">
        <v>8657</v>
      </c>
      <c r="B350" s="3" t="s">
        <v>14</v>
      </c>
      <c r="C350" s="4">
        <v>45859</v>
      </c>
      <c r="D350" s="3" t="s">
        <v>20</v>
      </c>
      <c r="E350" s="3" t="s">
        <v>33</v>
      </c>
      <c r="F350" s="5">
        <v>2</v>
      </c>
      <c r="G350" s="6">
        <v>24.12</v>
      </c>
      <c r="H350" s="6">
        <v>48.24</v>
      </c>
      <c r="I350" s="6">
        <v>9.65</v>
      </c>
      <c r="J350" s="6">
        <v>38.590000000000003</v>
      </c>
      <c r="K350" s="5">
        <v>322</v>
      </c>
    </row>
    <row r="351" spans="1:11" x14ac:dyDescent="0.3">
      <c r="A351" s="3">
        <v>3091</v>
      </c>
      <c r="B351" s="3" t="s">
        <v>24</v>
      </c>
      <c r="C351" s="4">
        <v>45628</v>
      </c>
      <c r="D351" s="3" t="s">
        <v>20</v>
      </c>
      <c r="E351" s="3" t="s">
        <v>39</v>
      </c>
      <c r="F351" s="5">
        <v>5</v>
      </c>
      <c r="G351" s="6">
        <v>26.6</v>
      </c>
      <c r="H351" s="6">
        <v>133</v>
      </c>
      <c r="I351" s="6">
        <v>13.3</v>
      </c>
      <c r="J351" s="6">
        <v>119.7</v>
      </c>
      <c r="K351" s="5">
        <v>230</v>
      </c>
    </row>
    <row r="352" spans="1:11" x14ac:dyDescent="0.3">
      <c r="A352" s="3">
        <v>9751</v>
      </c>
      <c r="B352" s="3" t="s">
        <v>31</v>
      </c>
      <c r="C352" s="4">
        <v>45165</v>
      </c>
      <c r="D352" s="3" t="s">
        <v>17</v>
      </c>
      <c r="E352" s="3" t="s">
        <v>44</v>
      </c>
      <c r="F352" s="5">
        <v>3</v>
      </c>
      <c r="G352" s="6">
        <v>22.81</v>
      </c>
      <c r="H352" s="6">
        <v>68.430000000000007</v>
      </c>
      <c r="I352" s="6">
        <v>1.41</v>
      </c>
      <c r="J352" s="6">
        <v>67.02</v>
      </c>
      <c r="K352" s="5">
        <v>414</v>
      </c>
    </row>
    <row r="353" spans="1:11" x14ac:dyDescent="0.3">
      <c r="A353" s="3">
        <v>7455</v>
      </c>
      <c r="B353" s="3" t="s">
        <v>14</v>
      </c>
      <c r="C353" s="4">
        <v>45604</v>
      </c>
      <c r="D353" s="3" t="s">
        <v>34</v>
      </c>
      <c r="E353" s="3" t="s">
        <v>23</v>
      </c>
      <c r="F353" s="5">
        <v>3</v>
      </c>
      <c r="G353" s="6">
        <v>6.71</v>
      </c>
      <c r="H353" s="6">
        <v>20.13</v>
      </c>
      <c r="I353" s="6">
        <v>0</v>
      </c>
      <c r="J353" s="6">
        <v>20.13</v>
      </c>
      <c r="K353" s="5">
        <v>58</v>
      </c>
    </row>
    <row r="354" spans="1:11" x14ac:dyDescent="0.3">
      <c r="A354" s="3">
        <v>1444</v>
      </c>
      <c r="B354" s="3" t="s">
        <v>26</v>
      </c>
      <c r="C354" s="4">
        <v>45210</v>
      </c>
      <c r="D354" s="3" t="s">
        <v>38</v>
      </c>
      <c r="E354" s="3" t="s">
        <v>21</v>
      </c>
      <c r="F354" s="5">
        <v>5</v>
      </c>
      <c r="G354" s="6">
        <v>12.26</v>
      </c>
      <c r="H354" s="6">
        <v>61.3</v>
      </c>
      <c r="I354" s="6">
        <v>9.19</v>
      </c>
      <c r="J354" s="6">
        <v>52.11</v>
      </c>
      <c r="K354" s="5">
        <v>200</v>
      </c>
    </row>
    <row r="355" spans="1:11" x14ac:dyDescent="0.3">
      <c r="A355" s="3">
        <v>8022</v>
      </c>
      <c r="B355" s="3" t="s">
        <v>36</v>
      </c>
      <c r="C355" s="4">
        <v>45250</v>
      </c>
      <c r="D355" s="3" t="s">
        <v>45</v>
      </c>
      <c r="E355" s="3" t="s">
        <v>29</v>
      </c>
      <c r="F355" s="5">
        <v>3</v>
      </c>
      <c r="G355" s="6">
        <v>27.63</v>
      </c>
      <c r="H355" s="6">
        <v>82.89</v>
      </c>
      <c r="I355" s="6">
        <v>0</v>
      </c>
      <c r="J355" s="6">
        <v>82.89</v>
      </c>
      <c r="K355" s="5">
        <v>302</v>
      </c>
    </row>
    <row r="356" spans="1:11" x14ac:dyDescent="0.3">
      <c r="A356" s="3">
        <v>8564</v>
      </c>
      <c r="B356" s="3" t="s">
        <v>19</v>
      </c>
      <c r="C356" s="4">
        <v>45286</v>
      </c>
      <c r="D356" s="3" t="s">
        <v>22</v>
      </c>
      <c r="E356" s="3" t="s">
        <v>48</v>
      </c>
      <c r="F356" s="5">
        <v>2</v>
      </c>
      <c r="G356" s="6">
        <v>9.85</v>
      </c>
      <c r="H356" s="6">
        <v>19.7</v>
      </c>
      <c r="I356" s="6">
        <v>0</v>
      </c>
      <c r="J356" s="6">
        <v>19.7</v>
      </c>
      <c r="K356" s="5">
        <v>93</v>
      </c>
    </row>
    <row r="357" spans="1:11" x14ac:dyDescent="0.3">
      <c r="A357" s="3">
        <v>1823</v>
      </c>
      <c r="B357" s="3" t="s">
        <v>19</v>
      </c>
      <c r="C357" s="4">
        <v>45347</v>
      </c>
      <c r="D357" s="3" t="s">
        <v>38</v>
      </c>
      <c r="E357" s="3" t="s">
        <v>32</v>
      </c>
      <c r="F357" s="5">
        <v>4</v>
      </c>
      <c r="G357" s="6">
        <v>18.29</v>
      </c>
      <c r="H357" s="6">
        <v>73.16</v>
      </c>
      <c r="I357" s="6">
        <v>7.32</v>
      </c>
      <c r="J357" s="6">
        <v>65.84</v>
      </c>
      <c r="K357" s="5">
        <v>294</v>
      </c>
    </row>
    <row r="358" spans="1:11" x14ac:dyDescent="0.3">
      <c r="A358" s="3">
        <v>7211</v>
      </c>
      <c r="B358" s="3" t="s">
        <v>19</v>
      </c>
      <c r="C358" s="4">
        <v>45399</v>
      </c>
      <c r="D358" s="3" t="s">
        <v>45</v>
      </c>
      <c r="E358" s="3" t="s">
        <v>18</v>
      </c>
      <c r="F358" s="5">
        <v>2</v>
      </c>
      <c r="G358" s="6">
        <v>17.079999999999998</v>
      </c>
      <c r="H358" s="6">
        <v>34.159999999999997</v>
      </c>
      <c r="I358" s="6">
        <v>6.83</v>
      </c>
      <c r="J358" s="6">
        <v>27.33</v>
      </c>
      <c r="K358" s="5">
        <v>250</v>
      </c>
    </row>
    <row r="359" spans="1:11" x14ac:dyDescent="0.3">
      <c r="A359" s="3">
        <v>4467</v>
      </c>
      <c r="B359" s="3" t="s">
        <v>19</v>
      </c>
      <c r="C359" s="4">
        <v>45498</v>
      </c>
      <c r="D359" s="3" t="s">
        <v>22</v>
      </c>
      <c r="E359" s="3" t="s">
        <v>33</v>
      </c>
      <c r="F359" s="5">
        <v>5</v>
      </c>
      <c r="G359" s="6">
        <v>2.54</v>
      </c>
      <c r="H359" s="6">
        <v>12.7</v>
      </c>
      <c r="I359" s="6">
        <v>1.27</v>
      </c>
      <c r="J359" s="6">
        <v>11.43</v>
      </c>
      <c r="K359" s="5">
        <v>183</v>
      </c>
    </row>
    <row r="360" spans="1:11" x14ac:dyDescent="0.3">
      <c r="A360" s="3">
        <v>6355</v>
      </c>
      <c r="B360" s="3" t="s">
        <v>19</v>
      </c>
      <c r="C360" s="4">
        <v>45407</v>
      </c>
      <c r="D360" s="3" t="s">
        <v>17</v>
      </c>
      <c r="E360" s="3" t="s">
        <v>32</v>
      </c>
      <c r="F360" s="5">
        <v>5</v>
      </c>
      <c r="G360" s="6">
        <v>15.65</v>
      </c>
      <c r="H360" s="6">
        <v>78.25</v>
      </c>
      <c r="I360" s="6">
        <v>0</v>
      </c>
      <c r="J360" s="6">
        <v>78.25</v>
      </c>
      <c r="K360" s="5">
        <v>253</v>
      </c>
    </row>
    <row r="361" spans="1:11" x14ac:dyDescent="0.3">
      <c r="A361" s="3">
        <v>7211</v>
      </c>
      <c r="B361" s="3" t="s">
        <v>26</v>
      </c>
      <c r="C361" s="4">
        <v>45361</v>
      </c>
      <c r="D361" s="3" t="s">
        <v>20</v>
      </c>
      <c r="E361" s="3" t="s">
        <v>33</v>
      </c>
      <c r="F361" s="5">
        <v>4</v>
      </c>
      <c r="G361" s="6">
        <v>5.84</v>
      </c>
      <c r="H361" s="6">
        <v>23.36</v>
      </c>
      <c r="I361" s="6">
        <v>4.67</v>
      </c>
      <c r="J361" s="6">
        <v>18.690000000000001</v>
      </c>
      <c r="K361" s="5">
        <v>289</v>
      </c>
    </row>
    <row r="362" spans="1:11" x14ac:dyDescent="0.3">
      <c r="A362" s="3">
        <v>7906</v>
      </c>
      <c r="B362" s="3" t="s">
        <v>30</v>
      </c>
      <c r="C362" s="4">
        <v>45340</v>
      </c>
      <c r="D362" s="3" t="s">
        <v>12</v>
      </c>
      <c r="E362" s="3" t="s">
        <v>13</v>
      </c>
      <c r="F362" s="5">
        <v>2</v>
      </c>
      <c r="G362" s="6">
        <v>16.579999999999998</v>
      </c>
      <c r="H362" s="6">
        <v>33.159999999999997</v>
      </c>
      <c r="I362" s="6">
        <v>3.97</v>
      </c>
      <c r="J362" s="6">
        <v>29.19</v>
      </c>
      <c r="K362" s="5">
        <v>86</v>
      </c>
    </row>
    <row r="363" spans="1:11" x14ac:dyDescent="0.3">
      <c r="A363" s="3">
        <v>2341</v>
      </c>
      <c r="B363" s="3" t="s">
        <v>26</v>
      </c>
      <c r="C363" s="4">
        <v>45510</v>
      </c>
      <c r="D363" s="3" t="s">
        <v>38</v>
      </c>
      <c r="E363" s="3" t="s">
        <v>46</v>
      </c>
      <c r="F363" s="5">
        <v>1</v>
      </c>
      <c r="G363" s="6">
        <v>17.600000000000001</v>
      </c>
      <c r="H363" s="6">
        <v>17.600000000000001</v>
      </c>
      <c r="I363" s="6">
        <v>4.29</v>
      </c>
      <c r="J363" s="6">
        <v>13.31</v>
      </c>
      <c r="K363" s="5">
        <v>137</v>
      </c>
    </row>
    <row r="364" spans="1:11" x14ac:dyDescent="0.3">
      <c r="A364" s="3">
        <v>1317</v>
      </c>
      <c r="B364" s="3" t="s">
        <v>31</v>
      </c>
      <c r="C364" s="4">
        <v>45726</v>
      </c>
      <c r="D364" s="3" t="s">
        <v>45</v>
      </c>
      <c r="E364" s="3" t="s">
        <v>18</v>
      </c>
      <c r="F364" s="5">
        <v>2</v>
      </c>
      <c r="G364" s="6">
        <v>29.69</v>
      </c>
      <c r="H364" s="6">
        <v>59.38</v>
      </c>
      <c r="I364" s="6">
        <v>8.91</v>
      </c>
      <c r="J364" s="6">
        <v>50.47</v>
      </c>
      <c r="K364" s="5">
        <v>52</v>
      </c>
    </row>
    <row r="365" spans="1:11" x14ac:dyDescent="0.3">
      <c r="A365" s="3">
        <v>9837</v>
      </c>
      <c r="B365" s="3" t="s">
        <v>31</v>
      </c>
      <c r="C365" s="4">
        <v>45185</v>
      </c>
      <c r="D365" s="3" t="s">
        <v>45</v>
      </c>
      <c r="E365" s="3" t="s">
        <v>13</v>
      </c>
      <c r="F365" s="5">
        <v>3</v>
      </c>
      <c r="G365" s="6">
        <v>25.99</v>
      </c>
      <c r="H365" s="6">
        <v>77.97</v>
      </c>
      <c r="I365" s="6">
        <v>4.0999999999999996</v>
      </c>
      <c r="J365" s="6">
        <v>73.87</v>
      </c>
      <c r="K365" s="5">
        <v>44</v>
      </c>
    </row>
    <row r="366" spans="1:11" x14ac:dyDescent="0.3">
      <c r="A366" s="3">
        <v>6733</v>
      </c>
      <c r="B366" s="3" t="s">
        <v>42</v>
      </c>
      <c r="C366" s="4">
        <v>45319</v>
      </c>
      <c r="D366" s="3" t="s">
        <v>17</v>
      </c>
      <c r="E366" s="3" t="s">
        <v>23</v>
      </c>
      <c r="F366" s="5">
        <v>5</v>
      </c>
      <c r="G366" s="6">
        <v>19.34</v>
      </c>
      <c r="H366" s="6">
        <v>96.7</v>
      </c>
      <c r="I366" s="6">
        <v>19.34</v>
      </c>
      <c r="J366" s="6">
        <v>77.36</v>
      </c>
      <c r="K366" s="5">
        <v>84</v>
      </c>
    </row>
    <row r="367" spans="1:11" x14ac:dyDescent="0.3">
      <c r="A367" s="3">
        <v>2124</v>
      </c>
      <c r="B367" s="3" t="s">
        <v>42</v>
      </c>
      <c r="C367" s="4">
        <v>45751</v>
      </c>
      <c r="D367" s="3" t="s">
        <v>12</v>
      </c>
      <c r="E367" s="3" t="s">
        <v>23</v>
      </c>
      <c r="F367" s="5">
        <v>5</v>
      </c>
      <c r="G367" s="6">
        <v>9.14</v>
      </c>
      <c r="H367" s="6">
        <v>45.7</v>
      </c>
      <c r="I367" s="6">
        <v>6.86</v>
      </c>
      <c r="J367" s="6">
        <v>38.840000000000003</v>
      </c>
      <c r="K367" s="5">
        <v>275</v>
      </c>
    </row>
    <row r="368" spans="1:11" x14ac:dyDescent="0.3">
      <c r="A368" s="3">
        <v>1659</v>
      </c>
      <c r="B368" s="3" t="s">
        <v>30</v>
      </c>
      <c r="C368" s="4">
        <v>45730</v>
      </c>
      <c r="D368" s="3" t="s">
        <v>35</v>
      </c>
      <c r="E368" s="3" t="s">
        <v>13</v>
      </c>
      <c r="F368" s="5">
        <v>5</v>
      </c>
      <c r="G368" s="6">
        <v>29.57</v>
      </c>
      <c r="H368" s="6">
        <v>147.85</v>
      </c>
      <c r="I368" s="6">
        <v>29.57</v>
      </c>
      <c r="J368" s="6">
        <v>118.28</v>
      </c>
      <c r="K368" s="5">
        <v>347</v>
      </c>
    </row>
    <row r="369" spans="1:11" x14ac:dyDescent="0.3">
      <c r="A369" s="3">
        <v>1508</v>
      </c>
      <c r="B369" s="3" t="s">
        <v>24</v>
      </c>
      <c r="C369" s="4">
        <v>45337</v>
      </c>
      <c r="D369" s="3" t="s">
        <v>12</v>
      </c>
      <c r="E369" s="3" t="s">
        <v>13</v>
      </c>
      <c r="F369" s="5">
        <v>2</v>
      </c>
      <c r="G369" s="6">
        <v>21.33</v>
      </c>
      <c r="H369" s="6">
        <v>42.66</v>
      </c>
      <c r="I369" s="6">
        <v>8.5299999999999994</v>
      </c>
      <c r="J369" s="6">
        <v>34.130000000000003</v>
      </c>
      <c r="K369" s="5">
        <v>67</v>
      </c>
    </row>
    <row r="370" spans="1:11" x14ac:dyDescent="0.3">
      <c r="A370" s="3">
        <v>4266</v>
      </c>
      <c r="B370" s="3" t="s">
        <v>36</v>
      </c>
      <c r="C370" s="4">
        <v>45796</v>
      </c>
      <c r="D370" s="3" t="s">
        <v>17</v>
      </c>
      <c r="E370" s="3" t="s">
        <v>32</v>
      </c>
      <c r="F370" s="5">
        <v>4</v>
      </c>
      <c r="G370" s="6">
        <v>5.1100000000000003</v>
      </c>
      <c r="H370" s="6">
        <v>20.440000000000001</v>
      </c>
      <c r="I370" s="6">
        <v>0</v>
      </c>
      <c r="J370" s="6">
        <v>20.440000000000001</v>
      </c>
      <c r="K370" s="5">
        <v>323</v>
      </c>
    </row>
    <row r="371" spans="1:11" x14ac:dyDescent="0.3">
      <c r="A371" s="3">
        <v>1333</v>
      </c>
      <c r="B371" s="3" t="s">
        <v>24</v>
      </c>
      <c r="C371" s="4">
        <v>45627</v>
      </c>
      <c r="D371" s="3" t="s">
        <v>20</v>
      </c>
      <c r="E371" s="3" t="s">
        <v>33</v>
      </c>
      <c r="F371" s="5">
        <v>1</v>
      </c>
      <c r="G371" s="6">
        <v>19.37</v>
      </c>
      <c r="H371" s="6">
        <v>19.37</v>
      </c>
      <c r="I371" s="6">
        <v>1.94</v>
      </c>
      <c r="J371" s="6">
        <v>17.43</v>
      </c>
      <c r="K371" s="5">
        <v>450</v>
      </c>
    </row>
    <row r="372" spans="1:11" x14ac:dyDescent="0.3">
      <c r="A372" s="3">
        <v>3496</v>
      </c>
      <c r="B372" s="3" t="s">
        <v>14</v>
      </c>
      <c r="C372" s="4">
        <v>45330</v>
      </c>
      <c r="D372" s="3" t="s">
        <v>35</v>
      </c>
      <c r="E372" s="3" t="s">
        <v>23</v>
      </c>
      <c r="F372" s="5">
        <v>4</v>
      </c>
      <c r="G372" s="6">
        <v>28.55</v>
      </c>
      <c r="H372" s="6">
        <v>114.2</v>
      </c>
      <c r="I372" s="6">
        <v>0</v>
      </c>
      <c r="J372" s="6">
        <v>114.2</v>
      </c>
      <c r="K372" s="5">
        <v>167</v>
      </c>
    </row>
    <row r="373" spans="1:11" x14ac:dyDescent="0.3">
      <c r="A373" s="3">
        <v>3068</v>
      </c>
      <c r="B373" s="3" t="s">
        <v>11</v>
      </c>
      <c r="C373" s="4">
        <v>45512</v>
      </c>
      <c r="D373" s="3" t="s">
        <v>45</v>
      </c>
      <c r="E373" s="3" t="s">
        <v>23</v>
      </c>
      <c r="F373" s="5">
        <v>1</v>
      </c>
      <c r="G373" s="6">
        <v>24.06</v>
      </c>
      <c r="H373" s="6">
        <v>24.06</v>
      </c>
      <c r="I373" s="6">
        <v>2.41</v>
      </c>
      <c r="J373" s="6">
        <v>21.65</v>
      </c>
      <c r="K373" s="5">
        <v>203</v>
      </c>
    </row>
    <row r="374" spans="1:11" x14ac:dyDescent="0.3">
      <c r="A374" s="3">
        <v>2874</v>
      </c>
      <c r="B374" s="3" t="s">
        <v>42</v>
      </c>
      <c r="C374" s="4">
        <v>45583</v>
      </c>
      <c r="D374" s="3" t="s">
        <v>45</v>
      </c>
      <c r="E374" s="3" t="s">
        <v>13</v>
      </c>
      <c r="F374" s="5">
        <v>3</v>
      </c>
      <c r="G374" s="6">
        <v>25.01</v>
      </c>
      <c r="H374" s="6">
        <v>75.03</v>
      </c>
      <c r="I374" s="6">
        <v>4.41</v>
      </c>
      <c r="J374" s="6">
        <v>70.62</v>
      </c>
      <c r="K374" s="5">
        <v>172</v>
      </c>
    </row>
    <row r="375" spans="1:11" x14ac:dyDescent="0.3">
      <c r="A375" s="3">
        <v>4571</v>
      </c>
      <c r="B375" s="3" t="s">
        <v>36</v>
      </c>
      <c r="C375" s="4">
        <v>45506</v>
      </c>
      <c r="D375" s="3" t="s">
        <v>27</v>
      </c>
      <c r="E375" s="3" t="s">
        <v>40</v>
      </c>
      <c r="F375" s="5">
        <v>1</v>
      </c>
      <c r="G375" s="6">
        <v>3.88</v>
      </c>
      <c r="H375" s="6">
        <v>3.88</v>
      </c>
      <c r="I375" s="6">
        <v>1.5</v>
      </c>
      <c r="J375" s="6">
        <v>2.38</v>
      </c>
      <c r="K375" s="5">
        <v>401</v>
      </c>
    </row>
    <row r="376" spans="1:11" x14ac:dyDescent="0.3">
      <c r="A376" s="3">
        <v>5198</v>
      </c>
      <c r="B376" s="3" t="s">
        <v>19</v>
      </c>
      <c r="C376" s="4">
        <v>45740</v>
      </c>
      <c r="D376" s="3" t="s">
        <v>45</v>
      </c>
      <c r="E376" s="3" t="s">
        <v>33</v>
      </c>
      <c r="F376" s="5">
        <v>1</v>
      </c>
      <c r="G376" s="6">
        <v>29.75</v>
      </c>
      <c r="H376" s="6">
        <v>29.75</v>
      </c>
      <c r="I376" s="6">
        <v>0</v>
      </c>
      <c r="J376" s="6">
        <v>29.75</v>
      </c>
      <c r="K376" s="5">
        <v>219</v>
      </c>
    </row>
    <row r="377" spans="1:11" x14ac:dyDescent="0.3">
      <c r="A377" s="3">
        <v>7043</v>
      </c>
      <c r="B377" s="3" t="s">
        <v>19</v>
      </c>
      <c r="C377" s="4">
        <v>45275</v>
      </c>
      <c r="D377" s="3" t="s">
        <v>27</v>
      </c>
      <c r="E377" s="3" t="s">
        <v>37</v>
      </c>
      <c r="F377" s="5">
        <v>2</v>
      </c>
      <c r="G377" s="6">
        <v>26.35</v>
      </c>
      <c r="H377" s="6">
        <v>52.7</v>
      </c>
      <c r="I377" s="6">
        <v>3.62</v>
      </c>
      <c r="J377" s="6">
        <v>49.08</v>
      </c>
      <c r="K377" s="5">
        <v>448</v>
      </c>
    </row>
    <row r="378" spans="1:11" x14ac:dyDescent="0.3">
      <c r="A378" s="3">
        <v>2876</v>
      </c>
      <c r="B378" s="3" t="s">
        <v>30</v>
      </c>
      <c r="C378" s="4">
        <v>45749</v>
      </c>
      <c r="D378" s="3" t="s">
        <v>15</v>
      </c>
      <c r="E378" s="3" t="s">
        <v>23</v>
      </c>
      <c r="F378" s="5">
        <v>2</v>
      </c>
      <c r="G378" s="6">
        <v>2.4900000000000002</v>
      </c>
      <c r="H378" s="6">
        <v>4.9800000000000004</v>
      </c>
      <c r="I378" s="6">
        <v>0</v>
      </c>
      <c r="J378" s="6">
        <v>4.9800000000000004</v>
      </c>
      <c r="K378" s="5">
        <v>320</v>
      </c>
    </row>
    <row r="379" spans="1:11" x14ac:dyDescent="0.3">
      <c r="A379" s="3">
        <v>3683</v>
      </c>
      <c r="B379" s="3" t="s">
        <v>42</v>
      </c>
      <c r="C379" s="4">
        <v>45386</v>
      </c>
      <c r="D379" s="3" t="s">
        <v>20</v>
      </c>
      <c r="E379" s="3" t="s">
        <v>43</v>
      </c>
      <c r="F379" s="5">
        <v>1</v>
      </c>
      <c r="G379" s="6">
        <v>1.02</v>
      </c>
      <c r="H379" s="6">
        <v>1.02</v>
      </c>
      <c r="I379" s="6">
        <v>0.2</v>
      </c>
      <c r="J379" s="6">
        <v>0.82</v>
      </c>
      <c r="K379" s="5">
        <v>244</v>
      </c>
    </row>
    <row r="380" spans="1:11" x14ac:dyDescent="0.3">
      <c r="A380" s="3">
        <v>2771</v>
      </c>
      <c r="B380" s="3" t="s">
        <v>42</v>
      </c>
      <c r="C380" s="4">
        <v>45594</v>
      </c>
      <c r="D380" s="3" t="s">
        <v>38</v>
      </c>
      <c r="E380" s="3" t="s">
        <v>33</v>
      </c>
      <c r="F380" s="5">
        <v>1</v>
      </c>
      <c r="G380" s="6">
        <v>1.22</v>
      </c>
      <c r="H380" s="6">
        <v>1.22</v>
      </c>
      <c r="I380" s="6">
        <v>0.12</v>
      </c>
      <c r="J380" s="6">
        <v>1.1000000000000001</v>
      </c>
      <c r="K380" s="5">
        <v>175</v>
      </c>
    </row>
    <row r="381" spans="1:11" x14ac:dyDescent="0.3">
      <c r="A381" s="3">
        <v>1420</v>
      </c>
      <c r="B381" s="3" t="s">
        <v>19</v>
      </c>
      <c r="C381" s="4">
        <v>45866</v>
      </c>
      <c r="D381" s="3" t="s">
        <v>45</v>
      </c>
      <c r="E381" s="3" t="s">
        <v>43</v>
      </c>
      <c r="F381" s="5">
        <v>2</v>
      </c>
      <c r="G381" s="6">
        <v>12.1</v>
      </c>
      <c r="H381" s="6">
        <v>24.2</v>
      </c>
      <c r="I381" s="6">
        <v>2.25</v>
      </c>
      <c r="J381" s="6">
        <v>21.95</v>
      </c>
      <c r="K381" s="5">
        <v>374</v>
      </c>
    </row>
    <row r="382" spans="1:11" x14ac:dyDescent="0.3">
      <c r="A382" s="3">
        <v>6111</v>
      </c>
      <c r="B382" s="3" t="s">
        <v>30</v>
      </c>
      <c r="C382" s="4">
        <v>45592</v>
      </c>
      <c r="D382" s="3" t="s">
        <v>34</v>
      </c>
      <c r="E382" s="3" t="s">
        <v>32</v>
      </c>
      <c r="F382" s="5">
        <v>2</v>
      </c>
      <c r="G382" s="6">
        <v>19.600000000000001</v>
      </c>
      <c r="H382" s="6">
        <v>39.200000000000003</v>
      </c>
      <c r="I382" s="6">
        <v>3.12</v>
      </c>
      <c r="J382" s="6">
        <v>36.08</v>
      </c>
      <c r="K382" s="5">
        <v>346</v>
      </c>
    </row>
    <row r="383" spans="1:11" x14ac:dyDescent="0.3">
      <c r="A383" s="3">
        <v>7149</v>
      </c>
      <c r="B383" s="3" t="s">
        <v>31</v>
      </c>
      <c r="C383" s="4">
        <v>45453</v>
      </c>
      <c r="D383" s="3" t="s">
        <v>28</v>
      </c>
      <c r="E383" s="3" t="s">
        <v>29</v>
      </c>
      <c r="F383" s="5">
        <v>4</v>
      </c>
      <c r="G383" s="6">
        <v>11.17</v>
      </c>
      <c r="H383" s="6">
        <v>44.68</v>
      </c>
      <c r="I383" s="6">
        <v>4.47</v>
      </c>
      <c r="J383" s="6">
        <v>40.21</v>
      </c>
      <c r="K383" s="5">
        <v>109</v>
      </c>
    </row>
    <row r="384" spans="1:11" x14ac:dyDescent="0.3">
      <c r="A384" s="3">
        <v>4249</v>
      </c>
      <c r="B384" s="3" t="s">
        <v>26</v>
      </c>
      <c r="C384" s="4">
        <v>45204</v>
      </c>
      <c r="D384" s="3" t="s">
        <v>17</v>
      </c>
      <c r="E384" s="3" t="s">
        <v>43</v>
      </c>
      <c r="F384" s="5">
        <v>1</v>
      </c>
      <c r="G384" s="6">
        <v>5.05</v>
      </c>
      <c r="H384" s="6">
        <v>5.05</v>
      </c>
      <c r="I384" s="6">
        <v>0.76</v>
      </c>
      <c r="J384" s="6">
        <v>4.29</v>
      </c>
      <c r="K384" s="5">
        <v>63</v>
      </c>
    </row>
    <row r="385" spans="1:11" x14ac:dyDescent="0.3">
      <c r="A385" s="3">
        <v>4978</v>
      </c>
      <c r="B385" s="3" t="s">
        <v>24</v>
      </c>
      <c r="C385" s="4">
        <v>45224</v>
      </c>
      <c r="D385" s="3" t="s">
        <v>22</v>
      </c>
      <c r="E385" s="3" t="s">
        <v>41</v>
      </c>
      <c r="F385" s="5">
        <v>2</v>
      </c>
      <c r="G385" s="6">
        <v>9.02</v>
      </c>
      <c r="H385" s="6">
        <v>18.04</v>
      </c>
      <c r="I385" s="6">
        <v>3.4</v>
      </c>
      <c r="J385" s="6">
        <v>14.64</v>
      </c>
      <c r="K385" s="5">
        <v>43</v>
      </c>
    </row>
    <row r="386" spans="1:11" x14ac:dyDescent="0.3">
      <c r="A386" s="3">
        <v>5941</v>
      </c>
      <c r="B386" s="3" t="s">
        <v>30</v>
      </c>
      <c r="C386" s="4">
        <v>45805</v>
      </c>
      <c r="D386" s="3" t="s">
        <v>12</v>
      </c>
      <c r="E386" s="3" t="s">
        <v>37</v>
      </c>
      <c r="F386" s="5">
        <v>2</v>
      </c>
      <c r="G386" s="6">
        <v>16</v>
      </c>
      <c r="H386" s="6">
        <v>32</v>
      </c>
      <c r="I386" s="6">
        <v>0</v>
      </c>
      <c r="J386" s="6">
        <v>32</v>
      </c>
      <c r="K386" s="5">
        <v>260</v>
      </c>
    </row>
    <row r="387" spans="1:11" x14ac:dyDescent="0.3">
      <c r="A387" s="3">
        <v>2983</v>
      </c>
      <c r="B387" s="3"/>
      <c r="C387" s="4">
        <v>45763</v>
      </c>
      <c r="D387" s="3" t="s">
        <v>35</v>
      </c>
      <c r="E387" s="3" t="s">
        <v>40</v>
      </c>
      <c r="F387" s="5">
        <v>2</v>
      </c>
      <c r="G387" s="6">
        <v>15.34</v>
      </c>
      <c r="H387" s="6">
        <v>30.68</v>
      </c>
      <c r="I387" s="6">
        <v>3.07</v>
      </c>
      <c r="J387" s="6">
        <v>27.61</v>
      </c>
      <c r="K387" s="5">
        <v>57</v>
      </c>
    </row>
    <row r="388" spans="1:11" x14ac:dyDescent="0.3">
      <c r="A388" s="3">
        <v>1672</v>
      </c>
      <c r="B388" s="3" t="s">
        <v>11</v>
      </c>
      <c r="C388" s="4">
        <v>45414</v>
      </c>
      <c r="D388" s="3" t="s">
        <v>38</v>
      </c>
      <c r="E388" s="3" t="s">
        <v>39</v>
      </c>
      <c r="F388" s="5">
        <v>3</v>
      </c>
      <c r="G388" s="6">
        <v>28.07</v>
      </c>
      <c r="H388" s="6">
        <v>84.21</v>
      </c>
      <c r="I388" s="6">
        <v>2.68</v>
      </c>
      <c r="J388" s="6">
        <v>81.53</v>
      </c>
      <c r="K388" s="5">
        <v>67</v>
      </c>
    </row>
    <row r="389" spans="1:11" x14ac:dyDescent="0.3">
      <c r="A389" s="3">
        <v>9728</v>
      </c>
      <c r="B389" s="3" t="s">
        <v>14</v>
      </c>
      <c r="C389" s="4">
        <v>45477</v>
      </c>
      <c r="D389" s="3" t="s">
        <v>27</v>
      </c>
      <c r="E389" s="3" t="s">
        <v>29</v>
      </c>
      <c r="F389" s="5">
        <v>4</v>
      </c>
      <c r="G389" s="6">
        <v>28.67</v>
      </c>
      <c r="H389" s="6">
        <v>114.68</v>
      </c>
      <c r="I389" s="6">
        <v>3.35</v>
      </c>
      <c r="J389" s="6">
        <v>111.33</v>
      </c>
      <c r="K389" s="5">
        <v>394</v>
      </c>
    </row>
    <row r="390" spans="1:11" x14ac:dyDescent="0.3">
      <c r="A390" s="3">
        <v>7071</v>
      </c>
      <c r="B390" s="3" t="s">
        <v>31</v>
      </c>
      <c r="C390" s="4">
        <v>45198</v>
      </c>
      <c r="D390" s="3" t="s">
        <v>35</v>
      </c>
      <c r="E390" s="3" t="s">
        <v>44</v>
      </c>
      <c r="F390" s="5">
        <v>1</v>
      </c>
      <c r="G390" s="6">
        <v>27.74</v>
      </c>
      <c r="H390" s="6">
        <v>27.74</v>
      </c>
      <c r="I390" s="6">
        <v>2.15</v>
      </c>
      <c r="J390" s="6">
        <v>25.59</v>
      </c>
      <c r="K390" s="5">
        <v>485</v>
      </c>
    </row>
    <row r="391" spans="1:11" x14ac:dyDescent="0.3">
      <c r="A391" s="3">
        <v>9289</v>
      </c>
      <c r="B391" s="3"/>
      <c r="C391" s="4">
        <v>45647</v>
      </c>
      <c r="D391" s="3" t="s">
        <v>20</v>
      </c>
      <c r="E391" s="3" t="s">
        <v>16</v>
      </c>
      <c r="F391" s="5">
        <v>4</v>
      </c>
      <c r="G391" s="6">
        <v>3.38</v>
      </c>
      <c r="H391" s="6">
        <v>13.52</v>
      </c>
      <c r="I391" s="6">
        <v>2.0299999999999998</v>
      </c>
      <c r="J391" s="6">
        <v>11.49</v>
      </c>
      <c r="K391" s="5">
        <v>274</v>
      </c>
    </row>
    <row r="392" spans="1:11" x14ac:dyDescent="0.3">
      <c r="A392" s="3">
        <v>6590</v>
      </c>
      <c r="B392" s="3" t="s">
        <v>11</v>
      </c>
      <c r="C392" s="4">
        <v>45154</v>
      </c>
      <c r="D392" s="3" t="s">
        <v>35</v>
      </c>
      <c r="E392" s="3" t="s">
        <v>43</v>
      </c>
      <c r="F392" s="5">
        <v>5</v>
      </c>
      <c r="G392" s="6">
        <v>27.7</v>
      </c>
      <c r="H392" s="6">
        <v>138.5</v>
      </c>
      <c r="I392" s="6">
        <v>2.31</v>
      </c>
      <c r="J392" s="6">
        <v>136.19</v>
      </c>
      <c r="K392" s="5">
        <v>498</v>
      </c>
    </row>
    <row r="393" spans="1:11" x14ac:dyDescent="0.3">
      <c r="A393" s="3">
        <v>7882</v>
      </c>
      <c r="B393" s="3" t="s">
        <v>11</v>
      </c>
      <c r="C393" s="4">
        <v>45783</v>
      </c>
      <c r="D393" s="3" t="s">
        <v>35</v>
      </c>
      <c r="E393" s="3" t="s">
        <v>16</v>
      </c>
      <c r="F393" s="5">
        <v>2</v>
      </c>
      <c r="G393" s="6">
        <v>2.67</v>
      </c>
      <c r="H393" s="6">
        <v>5.34</v>
      </c>
      <c r="I393" s="6">
        <v>2.81</v>
      </c>
      <c r="J393" s="6">
        <v>2.5299999999999998</v>
      </c>
      <c r="K393" s="5">
        <v>44</v>
      </c>
    </row>
    <row r="394" spans="1:11" x14ac:dyDescent="0.3">
      <c r="A394" s="3">
        <v>9031</v>
      </c>
      <c r="B394" s="3" t="s">
        <v>31</v>
      </c>
      <c r="C394" s="4">
        <v>45226</v>
      </c>
      <c r="D394" s="3" t="s">
        <v>35</v>
      </c>
      <c r="E394" s="3" t="s">
        <v>29</v>
      </c>
      <c r="F394" s="5">
        <v>1</v>
      </c>
      <c r="G394" s="6">
        <v>1.36</v>
      </c>
      <c r="H394" s="6">
        <v>1.36</v>
      </c>
      <c r="I394" s="6">
        <v>0.27</v>
      </c>
      <c r="J394" s="6">
        <v>1.0900000000000001</v>
      </c>
      <c r="K394" s="5">
        <v>70</v>
      </c>
    </row>
    <row r="395" spans="1:11" x14ac:dyDescent="0.3">
      <c r="A395" s="3">
        <v>8102</v>
      </c>
      <c r="B395" s="3" t="s">
        <v>26</v>
      </c>
      <c r="C395" s="4">
        <v>45426</v>
      </c>
      <c r="D395" s="3" t="s">
        <v>22</v>
      </c>
      <c r="E395" s="3" t="s">
        <v>46</v>
      </c>
      <c r="F395" s="5">
        <v>5</v>
      </c>
      <c r="G395" s="6">
        <v>23.7</v>
      </c>
      <c r="H395" s="6">
        <v>118.5</v>
      </c>
      <c r="I395" s="6">
        <v>23.7</v>
      </c>
      <c r="J395" s="6">
        <v>94.8</v>
      </c>
      <c r="K395" s="5">
        <v>369</v>
      </c>
    </row>
    <row r="396" spans="1:11" x14ac:dyDescent="0.3">
      <c r="A396" s="3">
        <v>8532</v>
      </c>
      <c r="B396" s="3" t="s">
        <v>36</v>
      </c>
      <c r="C396" s="4">
        <v>45694</v>
      </c>
      <c r="D396" s="3" t="s">
        <v>34</v>
      </c>
      <c r="E396" s="3" t="s">
        <v>13</v>
      </c>
      <c r="F396" s="5">
        <v>1</v>
      </c>
      <c r="G396" s="6">
        <v>23.36</v>
      </c>
      <c r="H396" s="6">
        <v>23.36</v>
      </c>
      <c r="I396" s="6">
        <v>2.34</v>
      </c>
      <c r="J396" s="6">
        <v>21.02</v>
      </c>
      <c r="K396" s="5">
        <v>15</v>
      </c>
    </row>
    <row r="397" spans="1:11" x14ac:dyDescent="0.3">
      <c r="A397" s="3">
        <v>3506</v>
      </c>
      <c r="B397" s="3" t="s">
        <v>30</v>
      </c>
      <c r="C397" s="4">
        <v>45483</v>
      </c>
      <c r="D397" s="3" t="s">
        <v>38</v>
      </c>
      <c r="E397" s="3" t="s">
        <v>43</v>
      </c>
      <c r="F397" s="5">
        <v>3</v>
      </c>
      <c r="G397" s="6">
        <v>21.65</v>
      </c>
      <c r="H397" s="6">
        <v>64.95</v>
      </c>
      <c r="I397" s="6">
        <v>6.5</v>
      </c>
      <c r="J397" s="6">
        <v>58.45</v>
      </c>
      <c r="K397" s="5">
        <v>295</v>
      </c>
    </row>
    <row r="398" spans="1:11" x14ac:dyDescent="0.3">
      <c r="A398" s="3">
        <v>3885</v>
      </c>
      <c r="B398" s="3" t="s">
        <v>26</v>
      </c>
      <c r="C398" s="4">
        <v>45714</v>
      </c>
      <c r="D398" s="3" t="s">
        <v>38</v>
      </c>
      <c r="E398" s="3" t="s">
        <v>23</v>
      </c>
      <c r="F398" s="5">
        <v>1</v>
      </c>
      <c r="G398" s="6">
        <v>15.48</v>
      </c>
      <c r="H398" s="6">
        <v>15.48</v>
      </c>
      <c r="I398" s="6">
        <v>2.3199999999999998</v>
      </c>
      <c r="J398" s="6">
        <v>13.16</v>
      </c>
      <c r="K398" s="5">
        <v>290</v>
      </c>
    </row>
    <row r="399" spans="1:11" x14ac:dyDescent="0.3">
      <c r="A399" s="3">
        <v>9548</v>
      </c>
      <c r="B399" s="3" t="s">
        <v>19</v>
      </c>
      <c r="C399" s="4">
        <v>45650</v>
      </c>
      <c r="D399" s="3" t="s">
        <v>35</v>
      </c>
      <c r="E399" s="3" t="s">
        <v>48</v>
      </c>
      <c r="F399" s="5">
        <v>5</v>
      </c>
      <c r="G399" s="6">
        <v>20.54</v>
      </c>
      <c r="H399" s="6">
        <v>102.7</v>
      </c>
      <c r="I399" s="6">
        <v>0</v>
      </c>
      <c r="J399" s="6">
        <v>102.7</v>
      </c>
      <c r="K399" s="5">
        <v>59</v>
      </c>
    </row>
    <row r="400" spans="1:11" x14ac:dyDescent="0.3">
      <c r="A400" s="3">
        <v>5425</v>
      </c>
      <c r="B400" s="3" t="s">
        <v>14</v>
      </c>
      <c r="C400" s="4">
        <v>45623</v>
      </c>
      <c r="D400" s="3" t="s">
        <v>12</v>
      </c>
      <c r="E400" s="3" t="s">
        <v>40</v>
      </c>
      <c r="F400" s="5">
        <v>1</v>
      </c>
      <c r="G400" s="6">
        <v>8.08</v>
      </c>
      <c r="H400" s="6">
        <v>8.08</v>
      </c>
      <c r="I400" s="6">
        <v>0.81</v>
      </c>
      <c r="J400" s="6">
        <v>7.27</v>
      </c>
      <c r="K400" s="5">
        <v>241</v>
      </c>
    </row>
    <row r="401" spans="1:11" x14ac:dyDescent="0.3">
      <c r="A401" s="3">
        <v>9817</v>
      </c>
      <c r="B401" s="3" t="s">
        <v>19</v>
      </c>
      <c r="C401" s="4">
        <v>45746</v>
      </c>
      <c r="D401" s="3" t="s">
        <v>34</v>
      </c>
      <c r="E401" s="3" t="s">
        <v>40</v>
      </c>
      <c r="F401" s="5">
        <v>5</v>
      </c>
      <c r="G401" s="6">
        <v>24.28</v>
      </c>
      <c r="H401" s="6">
        <v>121.4</v>
      </c>
      <c r="I401" s="6">
        <v>24.28</v>
      </c>
      <c r="J401" s="6">
        <v>97.12</v>
      </c>
      <c r="K401" s="5">
        <v>365</v>
      </c>
    </row>
    <row r="402" spans="1:11" x14ac:dyDescent="0.3">
      <c r="A402" s="3">
        <v>8921</v>
      </c>
      <c r="B402" s="3" t="s">
        <v>36</v>
      </c>
      <c r="C402" s="4">
        <v>45506</v>
      </c>
      <c r="D402" s="3" t="s">
        <v>17</v>
      </c>
      <c r="E402" s="3" t="s">
        <v>16</v>
      </c>
      <c r="F402" s="5">
        <v>3</v>
      </c>
      <c r="G402" s="6">
        <v>8.86</v>
      </c>
      <c r="H402" s="6">
        <v>26.58</v>
      </c>
      <c r="I402" s="6">
        <v>3.01</v>
      </c>
      <c r="J402" s="6">
        <v>23.57</v>
      </c>
      <c r="K402" s="5">
        <v>39</v>
      </c>
    </row>
    <row r="403" spans="1:11" x14ac:dyDescent="0.3">
      <c r="A403" s="3">
        <v>8136</v>
      </c>
      <c r="B403" s="3" t="s">
        <v>31</v>
      </c>
      <c r="C403" s="4">
        <v>45786</v>
      </c>
      <c r="D403" s="3" t="s">
        <v>34</v>
      </c>
      <c r="E403" s="3" t="s">
        <v>25</v>
      </c>
      <c r="F403" s="5">
        <v>5</v>
      </c>
      <c r="G403" s="6">
        <v>29.45</v>
      </c>
      <c r="H403" s="6">
        <v>147.25</v>
      </c>
      <c r="I403" s="6">
        <v>4.51</v>
      </c>
      <c r="J403" s="6">
        <v>142.74</v>
      </c>
      <c r="K403" s="5">
        <v>488</v>
      </c>
    </row>
    <row r="404" spans="1:11" x14ac:dyDescent="0.3">
      <c r="A404" s="3">
        <v>5397</v>
      </c>
      <c r="B404" s="3" t="s">
        <v>30</v>
      </c>
      <c r="C404" s="4">
        <v>45395</v>
      </c>
      <c r="D404" s="3" t="s">
        <v>35</v>
      </c>
      <c r="E404" s="3" t="s">
        <v>21</v>
      </c>
      <c r="F404" s="5">
        <v>1</v>
      </c>
      <c r="G404" s="6">
        <v>17.03</v>
      </c>
      <c r="H404" s="6">
        <v>17.03</v>
      </c>
      <c r="I404" s="6">
        <v>3.41</v>
      </c>
      <c r="J404" s="6">
        <v>13.62</v>
      </c>
      <c r="K404" s="5">
        <v>4</v>
      </c>
    </row>
    <row r="405" spans="1:11" x14ac:dyDescent="0.3">
      <c r="A405" s="3">
        <v>5022</v>
      </c>
      <c r="B405" s="3" t="s">
        <v>30</v>
      </c>
      <c r="C405" s="4">
        <v>45790</v>
      </c>
      <c r="D405" s="3" t="s">
        <v>28</v>
      </c>
      <c r="E405" s="3" t="s">
        <v>37</v>
      </c>
      <c r="F405" s="5">
        <v>5</v>
      </c>
      <c r="G405" s="6">
        <v>8.02</v>
      </c>
      <c r="H405" s="6">
        <v>40.1</v>
      </c>
      <c r="I405" s="6">
        <v>8.02</v>
      </c>
      <c r="J405" s="6">
        <v>32.08</v>
      </c>
      <c r="K405" s="5">
        <v>188</v>
      </c>
    </row>
    <row r="406" spans="1:11" x14ac:dyDescent="0.3">
      <c r="A406" s="3">
        <v>2419</v>
      </c>
      <c r="B406" s="3" t="s">
        <v>14</v>
      </c>
      <c r="C406" s="4">
        <v>45361</v>
      </c>
      <c r="D406" s="3" t="s">
        <v>17</v>
      </c>
      <c r="E406" s="3" t="s">
        <v>41</v>
      </c>
      <c r="F406" s="5">
        <v>1</v>
      </c>
      <c r="G406" s="6">
        <v>28.03</v>
      </c>
      <c r="H406" s="6">
        <v>28.03</v>
      </c>
      <c r="I406" s="6">
        <v>2.39</v>
      </c>
      <c r="J406" s="6">
        <v>25.64</v>
      </c>
      <c r="K406" s="5">
        <v>12</v>
      </c>
    </row>
    <row r="407" spans="1:11" x14ac:dyDescent="0.3">
      <c r="A407" s="3">
        <v>8385</v>
      </c>
      <c r="B407" s="3" t="s">
        <v>31</v>
      </c>
      <c r="C407" s="4">
        <v>45334</v>
      </c>
      <c r="D407" s="3" t="s">
        <v>22</v>
      </c>
      <c r="E407" s="3" t="s">
        <v>39</v>
      </c>
      <c r="F407" s="5">
        <v>4</v>
      </c>
      <c r="G407" s="6">
        <v>25.61</v>
      </c>
      <c r="H407" s="6">
        <v>102.44</v>
      </c>
      <c r="I407" s="6">
        <v>1.82</v>
      </c>
      <c r="J407" s="6">
        <v>100.62</v>
      </c>
      <c r="K407" s="5">
        <v>372</v>
      </c>
    </row>
    <row r="408" spans="1:11" x14ac:dyDescent="0.3">
      <c r="A408" s="3">
        <v>8613</v>
      </c>
      <c r="B408" s="3" t="s">
        <v>42</v>
      </c>
      <c r="C408" s="4">
        <v>45587</v>
      </c>
      <c r="D408" s="3" t="s">
        <v>20</v>
      </c>
      <c r="E408" s="3" t="s">
        <v>47</v>
      </c>
      <c r="F408" s="5">
        <v>1</v>
      </c>
      <c r="G408" s="6">
        <v>29.19</v>
      </c>
      <c r="H408" s="6">
        <v>29.19</v>
      </c>
      <c r="I408" s="6">
        <v>1.18</v>
      </c>
      <c r="J408" s="6">
        <v>28.01</v>
      </c>
      <c r="K408" s="5">
        <v>72</v>
      </c>
    </row>
    <row r="409" spans="1:11" x14ac:dyDescent="0.3">
      <c r="A409" s="3">
        <v>7209</v>
      </c>
      <c r="B409" s="3" t="s">
        <v>42</v>
      </c>
      <c r="C409" s="4">
        <v>45406</v>
      </c>
      <c r="D409" s="3" t="s">
        <v>38</v>
      </c>
      <c r="E409" s="3" t="s">
        <v>16</v>
      </c>
      <c r="F409" s="5">
        <v>3</v>
      </c>
      <c r="G409" s="6">
        <v>14.29</v>
      </c>
      <c r="H409" s="6">
        <v>42.87</v>
      </c>
      <c r="I409" s="6">
        <v>1.38</v>
      </c>
      <c r="J409" s="6">
        <v>41.49</v>
      </c>
      <c r="K409" s="5">
        <v>382</v>
      </c>
    </row>
    <row r="410" spans="1:11" x14ac:dyDescent="0.3">
      <c r="A410" s="3">
        <v>1470</v>
      </c>
      <c r="B410" s="3" t="s">
        <v>19</v>
      </c>
      <c r="C410" s="4">
        <v>45528</v>
      </c>
      <c r="D410" s="3" t="s">
        <v>27</v>
      </c>
      <c r="E410" s="3" t="s">
        <v>32</v>
      </c>
      <c r="F410" s="5">
        <v>1</v>
      </c>
      <c r="G410" s="6">
        <v>18.149999999999999</v>
      </c>
      <c r="H410" s="6">
        <v>18.149999999999999</v>
      </c>
      <c r="I410" s="6">
        <v>0</v>
      </c>
      <c r="J410" s="6">
        <v>18.149999999999999</v>
      </c>
      <c r="K410" s="5">
        <v>31</v>
      </c>
    </row>
    <row r="411" spans="1:11" x14ac:dyDescent="0.3">
      <c r="A411" s="3">
        <v>6325</v>
      </c>
      <c r="B411" s="3" t="s">
        <v>19</v>
      </c>
      <c r="C411" s="4">
        <v>45286</v>
      </c>
      <c r="D411" s="3" t="s">
        <v>17</v>
      </c>
      <c r="E411" s="3" t="s">
        <v>37</v>
      </c>
      <c r="F411" s="5">
        <v>3</v>
      </c>
      <c r="G411" s="6">
        <v>25.67</v>
      </c>
      <c r="H411" s="6">
        <v>77.010000000000005</v>
      </c>
      <c r="I411" s="6">
        <v>0</v>
      </c>
      <c r="J411" s="6">
        <v>77.010000000000005</v>
      </c>
      <c r="K411" s="5">
        <v>474</v>
      </c>
    </row>
    <row r="412" spans="1:11" x14ac:dyDescent="0.3">
      <c r="A412" s="3">
        <v>8988</v>
      </c>
      <c r="B412" s="3" t="s">
        <v>36</v>
      </c>
      <c r="C412" s="4">
        <v>45309</v>
      </c>
      <c r="D412" s="3" t="s">
        <v>22</v>
      </c>
      <c r="E412" s="3" t="s">
        <v>33</v>
      </c>
      <c r="F412" s="5">
        <v>3</v>
      </c>
      <c r="G412" s="6">
        <v>7.76</v>
      </c>
      <c r="H412" s="6">
        <v>23.28</v>
      </c>
      <c r="I412" s="6">
        <v>4.66</v>
      </c>
      <c r="J412" s="6">
        <v>18.62</v>
      </c>
      <c r="K412" s="5">
        <v>483</v>
      </c>
    </row>
    <row r="413" spans="1:11" x14ac:dyDescent="0.3">
      <c r="A413" s="3">
        <v>6813</v>
      </c>
      <c r="B413" s="3" t="s">
        <v>11</v>
      </c>
      <c r="C413" s="4">
        <v>45764</v>
      </c>
      <c r="D413" s="3" t="s">
        <v>34</v>
      </c>
      <c r="E413" s="3" t="s">
        <v>48</v>
      </c>
      <c r="F413" s="5">
        <v>2</v>
      </c>
      <c r="G413" s="6">
        <v>14.03</v>
      </c>
      <c r="H413" s="6">
        <v>28.06</v>
      </c>
      <c r="I413" s="6">
        <v>3.14</v>
      </c>
      <c r="J413" s="6">
        <v>24.92</v>
      </c>
      <c r="K413" s="5">
        <v>160</v>
      </c>
    </row>
    <row r="414" spans="1:11" x14ac:dyDescent="0.3">
      <c r="A414" s="3">
        <v>5232</v>
      </c>
      <c r="B414" s="3" t="s">
        <v>42</v>
      </c>
      <c r="C414" s="4">
        <v>45409</v>
      </c>
      <c r="D414" s="3" t="s">
        <v>45</v>
      </c>
      <c r="E414" s="3" t="s">
        <v>37</v>
      </c>
      <c r="F414" s="5">
        <v>4</v>
      </c>
      <c r="G414" s="6">
        <v>8.68</v>
      </c>
      <c r="H414" s="6">
        <v>34.72</v>
      </c>
      <c r="I414" s="6">
        <v>6.94</v>
      </c>
      <c r="J414" s="6">
        <v>27.78</v>
      </c>
      <c r="K414" s="5">
        <v>61</v>
      </c>
    </row>
    <row r="415" spans="1:11" x14ac:dyDescent="0.3">
      <c r="A415" s="3">
        <v>5581</v>
      </c>
      <c r="B415" s="3" t="s">
        <v>30</v>
      </c>
      <c r="C415" s="4">
        <v>45828</v>
      </c>
      <c r="D415" s="3" t="s">
        <v>28</v>
      </c>
      <c r="E415" s="3" t="s">
        <v>40</v>
      </c>
      <c r="F415" s="5">
        <v>2</v>
      </c>
      <c r="G415" s="6">
        <v>25.23</v>
      </c>
      <c r="H415" s="6">
        <v>50.46</v>
      </c>
      <c r="I415" s="6">
        <v>3.84</v>
      </c>
      <c r="J415" s="6">
        <v>46.62</v>
      </c>
      <c r="K415" s="5">
        <v>167</v>
      </c>
    </row>
    <row r="416" spans="1:11" x14ac:dyDescent="0.3">
      <c r="A416" s="3">
        <v>5526</v>
      </c>
      <c r="B416" s="3" t="s">
        <v>36</v>
      </c>
      <c r="C416" s="4">
        <v>45576</v>
      </c>
      <c r="D416" s="3" t="s">
        <v>20</v>
      </c>
      <c r="E416" s="3" t="s">
        <v>46</v>
      </c>
      <c r="F416" s="5">
        <v>1</v>
      </c>
      <c r="G416" s="6">
        <v>20.63</v>
      </c>
      <c r="H416" s="6">
        <v>20.63</v>
      </c>
      <c r="I416" s="6">
        <v>4.8099999999999996</v>
      </c>
      <c r="J416" s="6">
        <v>15.82</v>
      </c>
      <c r="K416" s="5">
        <v>133</v>
      </c>
    </row>
    <row r="417" spans="1:11" x14ac:dyDescent="0.3">
      <c r="A417" s="3">
        <v>1166</v>
      </c>
      <c r="B417" s="3" t="s">
        <v>26</v>
      </c>
      <c r="C417" s="4">
        <v>45546</v>
      </c>
      <c r="D417" s="3" t="s">
        <v>38</v>
      </c>
      <c r="E417" s="3" t="s">
        <v>18</v>
      </c>
      <c r="F417" s="5">
        <v>2</v>
      </c>
      <c r="G417" s="6">
        <v>3.74</v>
      </c>
      <c r="H417" s="6">
        <v>7.48</v>
      </c>
      <c r="I417" s="6">
        <v>1.05</v>
      </c>
      <c r="J417" s="6">
        <v>6.43</v>
      </c>
      <c r="K417" s="5">
        <v>52</v>
      </c>
    </row>
    <row r="418" spans="1:11" x14ac:dyDescent="0.3">
      <c r="A418" s="3">
        <v>4130</v>
      </c>
      <c r="B418" s="3" t="s">
        <v>42</v>
      </c>
      <c r="C418" s="4">
        <v>45211</v>
      </c>
      <c r="D418" s="3" t="s">
        <v>34</v>
      </c>
      <c r="E418" s="3" t="s">
        <v>44</v>
      </c>
      <c r="F418" s="5">
        <v>4</v>
      </c>
      <c r="G418" s="6">
        <v>11.78</v>
      </c>
      <c r="H418" s="6">
        <v>47.12</v>
      </c>
      <c r="I418" s="6">
        <v>3.34</v>
      </c>
      <c r="J418" s="6">
        <v>43.78</v>
      </c>
      <c r="K418" s="5">
        <v>322</v>
      </c>
    </row>
    <row r="419" spans="1:11" x14ac:dyDescent="0.3">
      <c r="A419" s="3">
        <v>4954</v>
      </c>
      <c r="B419" s="3" t="s">
        <v>11</v>
      </c>
      <c r="C419" s="4">
        <v>45704</v>
      </c>
      <c r="D419" s="3" t="s">
        <v>12</v>
      </c>
      <c r="E419" s="3" t="s">
        <v>43</v>
      </c>
      <c r="F419" s="5">
        <v>2</v>
      </c>
      <c r="G419" s="6">
        <v>27.16</v>
      </c>
      <c r="H419" s="6">
        <v>54.32</v>
      </c>
      <c r="I419" s="6">
        <v>4.62</v>
      </c>
      <c r="J419" s="6">
        <v>49.7</v>
      </c>
      <c r="K419" s="5">
        <v>227</v>
      </c>
    </row>
    <row r="420" spans="1:11" x14ac:dyDescent="0.3">
      <c r="A420" s="3">
        <v>7658</v>
      </c>
      <c r="B420" s="3"/>
      <c r="C420" s="4">
        <v>45524</v>
      </c>
      <c r="D420" s="3" t="s">
        <v>15</v>
      </c>
      <c r="E420" s="3" t="s">
        <v>40</v>
      </c>
      <c r="F420" s="5">
        <v>4</v>
      </c>
      <c r="G420" s="6">
        <v>2.46</v>
      </c>
      <c r="H420" s="6">
        <v>9.84</v>
      </c>
      <c r="I420" s="6">
        <v>0</v>
      </c>
      <c r="J420" s="6">
        <v>9.84</v>
      </c>
      <c r="K420" s="5">
        <v>473</v>
      </c>
    </row>
    <row r="421" spans="1:11" x14ac:dyDescent="0.3">
      <c r="A421" s="3">
        <v>4937</v>
      </c>
      <c r="B421" s="3" t="s">
        <v>24</v>
      </c>
      <c r="C421" s="4">
        <v>45681</v>
      </c>
      <c r="D421" s="3" t="s">
        <v>45</v>
      </c>
      <c r="E421" s="3" t="s">
        <v>39</v>
      </c>
      <c r="F421" s="5">
        <v>4</v>
      </c>
      <c r="G421" s="6">
        <v>20.8</v>
      </c>
      <c r="H421" s="6">
        <v>83.2</v>
      </c>
      <c r="I421" s="6">
        <v>16.64</v>
      </c>
      <c r="J421" s="6">
        <v>66.56</v>
      </c>
      <c r="K421" s="5">
        <v>88</v>
      </c>
    </row>
    <row r="422" spans="1:11" x14ac:dyDescent="0.3">
      <c r="A422" s="3">
        <v>8800</v>
      </c>
      <c r="B422" s="3" t="s">
        <v>19</v>
      </c>
      <c r="C422" s="4">
        <v>45646</v>
      </c>
      <c r="D422" s="3" t="s">
        <v>35</v>
      </c>
      <c r="E422" s="3" t="s">
        <v>13</v>
      </c>
      <c r="F422" s="5">
        <v>4</v>
      </c>
      <c r="G422" s="6">
        <v>26.61</v>
      </c>
      <c r="H422" s="6">
        <v>106.44</v>
      </c>
      <c r="I422" s="6">
        <v>0</v>
      </c>
      <c r="J422" s="6">
        <v>106.44</v>
      </c>
      <c r="K422" s="5">
        <v>17</v>
      </c>
    </row>
    <row r="423" spans="1:11" x14ac:dyDescent="0.3">
      <c r="A423" s="3">
        <v>9041</v>
      </c>
      <c r="B423" s="3" t="s">
        <v>30</v>
      </c>
      <c r="C423" s="4">
        <v>45493</v>
      </c>
      <c r="D423" s="3" t="s">
        <v>45</v>
      </c>
      <c r="E423" s="3" t="s">
        <v>16</v>
      </c>
      <c r="F423" s="5">
        <v>5</v>
      </c>
      <c r="G423" s="6">
        <v>14.88</v>
      </c>
      <c r="H423" s="6">
        <v>74.400000000000006</v>
      </c>
      <c r="I423" s="6">
        <v>7.44</v>
      </c>
      <c r="J423" s="6">
        <v>66.959999999999994</v>
      </c>
      <c r="K423" s="5">
        <v>44</v>
      </c>
    </row>
    <row r="424" spans="1:11" x14ac:dyDescent="0.3">
      <c r="A424" s="3">
        <v>1282</v>
      </c>
      <c r="B424" s="3" t="s">
        <v>19</v>
      </c>
      <c r="C424" s="4">
        <v>45217</v>
      </c>
      <c r="D424" s="3" t="s">
        <v>20</v>
      </c>
      <c r="E424" s="3" t="s">
        <v>44</v>
      </c>
      <c r="F424" s="5">
        <v>5</v>
      </c>
      <c r="G424" s="6">
        <v>8.2200000000000006</v>
      </c>
      <c r="H424" s="6">
        <v>41.1</v>
      </c>
      <c r="I424" s="6">
        <v>4.1100000000000003</v>
      </c>
      <c r="J424" s="6">
        <v>36.99</v>
      </c>
      <c r="K424" s="5">
        <v>410</v>
      </c>
    </row>
    <row r="425" spans="1:11" x14ac:dyDescent="0.3">
      <c r="A425" s="3">
        <v>5820</v>
      </c>
      <c r="B425" s="3" t="s">
        <v>36</v>
      </c>
      <c r="C425" s="4">
        <v>45317</v>
      </c>
      <c r="D425" s="3" t="s">
        <v>45</v>
      </c>
      <c r="E425" s="3" t="s">
        <v>18</v>
      </c>
      <c r="F425" s="5">
        <v>4</v>
      </c>
      <c r="G425" s="6">
        <v>10.97</v>
      </c>
      <c r="H425" s="6">
        <v>43.88</v>
      </c>
      <c r="I425" s="6">
        <v>4.3899999999999997</v>
      </c>
      <c r="J425" s="6">
        <v>39.49</v>
      </c>
      <c r="K425" s="5">
        <v>289</v>
      </c>
    </row>
    <row r="426" spans="1:11" x14ac:dyDescent="0.3">
      <c r="A426" s="3">
        <v>7625</v>
      </c>
      <c r="B426" s="3" t="s">
        <v>30</v>
      </c>
      <c r="C426" s="4">
        <v>45682</v>
      </c>
      <c r="D426" s="3" t="s">
        <v>34</v>
      </c>
      <c r="E426" s="3" t="s">
        <v>39</v>
      </c>
      <c r="F426" s="5">
        <v>3</v>
      </c>
      <c r="G426" s="6">
        <v>18.309999999999999</v>
      </c>
      <c r="H426" s="6">
        <v>54.93</v>
      </c>
      <c r="I426" s="6">
        <v>4.2300000000000004</v>
      </c>
      <c r="J426" s="6">
        <v>50.7</v>
      </c>
      <c r="K426" s="5">
        <v>15</v>
      </c>
    </row>
    <row r="427" spans="1:11" x14ac:dyDescent="0.3">
      <c r="A427" s="3">
        <v>4986</v>
      </c>
      <c r="B427" s="3" t="s">
        <v>26</v>
      </c>
      <c r="C427" s="4">
        <v>45382</v>
      </c>
      <c r="D427" s="3" t="s">
        <v>38</v>
      </c>
      <c r="E427" s="3" t="s">
        <v>23</v>
      </c>
      <c r="F427" s="5">
        <v>5</v>
      </c>
      <c r="G427" s="6">
        <v>29.98</v>
      </c>
      <c r="H427" s="6">
        <v>149.9</v>
      </c>
      <c r="I427" s="6">
        <v>1.99</v>
      </c>
      <c r="J427" s="6">
        <v>147.91</v>
      </c>
      <c r="K427" s="5">
        <v>498</v>
      </c>
    </row>
    <row r="428" spans="1:11" x14ac:dyDescent="0.3">
      <c r="A428" s="3">
        <v>7046</v>
      </c>
      <c r="B428" s="3" t="s">
        <v>42</v>
      </c>
      <c r="C428" s="4">
        <v>45512</v>
      </c>
      <c r="D428" s="3" t="s">
        <v>35</v>
      </c>
      <c r="E428" s="3" t="s">
        <v>18</v>
      </c>
      <c r="F428" s="5">
        <v>1</v>
      </c>
      <c r="G428" s="6">
        <v>23.15</v>
      </c>
      <c r="H428" s="6">
        <v>23.15</v>
      </c>
      <c r="I428" s="6">
        <v>4.3899999999999997</v>
      </c>
      <c r="J428" s="6">
        <v>18.760000000000002</v>
      </c>
      <c r="K428" s="5">
        <v>485</v>
      </c>
    </row>
    <row r="429" spans="1:11" x14ac:dyDescent="0.3">
      <c r="A429" s="3">
        <v>9698</v>
      </c>
      <c r="B429" s="3" t="s">
        <v>24</v>
      </c>
      <c r="C429" s="4">
        <v>45412</v>
      </c>
      <c r="D429" s="3" t="s">
        <v>22</v>
      </c>
      <c r="E429" s="3" t="s">
        <v>29</v>
      </c>
      <c r="F429" s="5">
        <v>2</v>
      </c>
      <c r="G429" s="6">
        <v>7.85</v>
      </c>
      <c r="H429" s="6">
        <v>15.7</v>
      </c>
      <c r="I429" s="6">
        <v>1.1100000000000001</v>
      </c>
      <c r="J429" s="6">
        <v>14.59</v>
      </c>
      <c r="K429" s="5">
        <v>162</v>
      </c>
    </row>
    <row r="430" spans="1:11" x14ac:dyDescent="0.3">
      <c r="A430" s="3">
        <v>7971</v>
      </c>
      <c r="B430" s="3" t="s">
        <v>36</v>
      </c>
      <c r="C430" s="4">
        <v>45724</v>
      </c>
      <c r="D430" s="3" t="s">
        <v>28</v>
      </c>
      <c r="E430" s="3" t="s">
        <v>41</v>
      </c>
      <c r="F430" s="5">
        <v>5</v>
      </c>
      <c r="G430" s="6">
        <v>28.49</v>
      </c>
      <c r="H430" s="6">
        <v>142.44999999999999</v>
      </c>
      <c r="I430" s="6">
        <v>2.2400000000000002</v>
      </c>
      <c r="J430" s="6">
        <v>140.21</v>
      </c>
      <c r="K430" s="5">
        <v>428</v>
      </c>
    </row>
    <row r="431" spans="1:11" x14ac:dyDescent="0.3">
      <c r="A431" s="3">
        <v>6419</v>
      </c>
      <c r="B431" s="3" t="s">
        <v>26</v>
      </c>
      <c r="C431" s="4">
        <v>45418</v>
      </c>
      <c r="D431" s="3" t="s">
        <v>12</v>
      </c>
      <c r="E431" s="3" t="s">
        <v>43</v>
      </c>
      <c r="F431" s="5">
        <v>1</v>
      </c>
      <c r="G431" s="6">
        <v>7.74</v>
      </c>
      <c r="H431" s="6">
        <v>7.74</v>
      </c>
      <c r="I431" s="6">
        <v>2.91</v>
      </c>
      <c r="J431" s="6">
        <v>4.83</v>
      </c>
      <c r="K431" s="5">
        <v>112</v>
      </c>
    </row>
    <row r="432" spans="1:11" x14ac:dyDescent="0.3">
      <c r="A432" s="3">
        <v>8434</v>
      </c>
      <c r="B432" s="3" t="s">
        <v>36</v>
      </c>
      <c r="C432" s="4">
        <v>45355</v>
      </c>
      <c r="D432" s="3" t="s">
        <v>28</v>
      </c>
      <c r="E432" s="3" t="s">
        <v>44</v>
      </c>
      <c r="F432" s="5">
        <v>2</v>
      </c>
      <c r="G432" s="6">
        <v>10.87</v>
      </c>
      <c r="H432" s="6">
        <v>21.74</v>
      </c>
      <c r="I432" s="6">
        <v>1.0900000000000001</v>
      </c>
      <c r="J432" s="6">
        <v>20.65</v>
      </c>
      <c r="K432" s="5">
        <v>90</v>
      </c>
    </row>
    <row r="433" spans="1:11" x14ac:dyDescent="0.3">
      <c r="A433" s="3">
        <v>6023</v>
      </c>
      <c r="B433" s="3" t="s">
        <v>19</v>
      </c>
      <c r="C433" s="4">
        <v>45340</v>
      </c>
      <c r="D433" s="3" t="s">
        <v>15</v>
      </c>
      <c r="E433" s="3" t="s">
        <v>46</v>
      </c>
      <c r="F433" s="5">
        <v>3</v>
      </c>
      <c r="G433" s="6">
        <v>28.85</v>
      </c>
      <c r="H433" s="6">
        <v>86.55</v>
      </c>
      <c r="I433" s="6">
        <v>1.4</v>
      </c>
      <c r="J433" s="6">
        <v>85.15</v>
      </c>
      <c r="K433" s="5">
        <v>191</v>
      </c>
    </row>
    <row r="434" spans="1:11" x14ac:dyDescent="0.3">
      <c r="A434" s="3">
        <v>4777</v>
      </c>
      <c r="B434" s="3" t="s">
        <v>30</v>
      </c>
      <c r="C434" s="4">
        <v>45238</v>
      </c>
      <c r="D434" s="3" t="s">
        <v>22</v>
      </c>
      <c r="E434" s="3" t="s">
        <v>41</v>
      </c>
      <c r="F434" s="5">
        <v>2</v>
      </c>
      <c r="G434" s="6">
        <v>22.23</v>
      </c>
      <c r="H434" s="6">
        <v>44.46</v>
      </c>
      <c r="I434" s="6">
        <v>0</v>
      </c>
      <c r="J434" s="6">
        <v>44.46</v>
      </c>
      <c r="K434" s="5">
        <v>223</v>
      </c>
    </row>
    <row r="435" spans="1:11" x14ac:dyDescent="0.3">
      <c r="A435" s="3">
        <v>4155</v>
      </c>
      <c r="B435" s="3" t="s">
        <v>36</v>
      </c>
      <c r="C435" s="4">
        <v>45390</v>
      </c>
      <c r="D435" s="3" t="s">
        <v>34</v>
      </c>
      <c r="E435" s="3" t="s">
        <v>18</v>
      </c>
      <c r="F435" s="5">
        <v>5</v>
      </c>
      <c r="G435" s="6">
        <v>23.81</v>
      </c>
      <c r="H435" s="6">
        <v>119.05</v>
      </c>
      <c r="I435" s="6">
        <v>11.91</v>
      </c>
      <c r="J435" s="6">
        <v>107.14</v>
      </c>
      <c r="K435" s="5">
        <v>114</v>
      </c>
    </row>
    <row r="436" spans="1:11" x14ac:dyDescent="0.3">
      <c r="A436" s="3">
        <v>2958</v>
      </c>
      <c r="B436" s="3" t="s">
        <v>30</v>
      </c>
      <c r="C436" s="4">
        <v>45722</v>
      </c>
      <c r="D436" s="3" t="s">
        <v>35</v>
      </c>
      <c r="E436" s="3" t="s">
        <v>41</v>
      </c>
      <c r="F436" s="5">
        <v>2</v>
      </c>
      <c r="G436" s="6">
        <v>22.13</v>
      </c>
      <c r="H436" s="6">
        <v>44.26</v>
      </c>
      <c r="I436" s="6">
        <v>1.1299999999999999</v>
      </c>
      <c r="J436" s="6">
        <v>43.13</v>
      </c>
      <c r="K436" s="5">
        <v>485</v>
      </c>
    </row>
    <row r="437" spans="1:11" x14ac:dyDescent="0.3">
      <c r="A437" s="3">
        <v>9779</v>
      </c>
      <c r="B437" s="3" t="s">
        <v>36</v>
      </c>
      <c r="C437" s="4">
        <v>45737</v>
      </c>
      <c r="D437" s="3" t="s">
        <v>28</v>
      </c>
      <c r="E437" s="3" t="s">
        <v>25</v>
      </c>
      <c r="F437" s="5">
        <v>5</v>
      </c>
      <c r="G437" s="6">
        <v>4.01</v>
      </c>
      <c r="H437" s="6">
        <v>20.05</v>
      </c>
      <c r="I437" s="6">
        <v>3.01</v>
      </c>
      <c r="J437" s="6">
        <v>17.04</v>
      </c>
      <c r="K437" s="5">
        <v>254</v>
      </c>
    </row>
    <row r="438" spans="1:11" x14ac:dyDescent="0.3">
      <c r="A438" s="3">
        <v>4033</v>
      </c>
      <c r="B438" s="3" t="s">
        <v>11</v>
      </c>
      <c r="C438" s="4">
        <v>45293</v>
      </c>
      <c r="D438" s="3" t="s">
        <v>17</v>
      </c>
      <c r="E438" s="3" t="s">
        <v>23</v>
      </c>
      <c r="F438" s="5">
        <v>3</v>
      </c>
      <c r="G438" s="6">
        <v>5.86</v>
      </c>
      <c r="H438" s="6">
        <v>17.579999999999998</v>
      </c>
      <c r="I438" s="6">
        <v>0</v>
      </c>
      <c r="J438" s="6">
        <v>17.579999999999998</v>
      </c>
      <c r="K438" s="5">
        <v>453</v>
      </c>
    </row>
    <row r="439" spans="1:11" x14ac:dyDescent="0.3">
      <c r="A439" s="3">
        <v>4545</v>
      </c>
      <c r="B439" s="3" t="s">
        <v>36</v>
      </c>
      <c r="C439" s="4">
        <v>45718</v>
      </c>
      <c r="D439" s="3" t="s">
        <v>45</v>
      </c>
      <c r="E439" s="3" t="s">
        <v>39</v>
      </c>
      <c r="F439" s="5">
        <v>3</v>
      </c>
      <c r="G439" s="6">
        <v>7.07</v>
      </c>
      <c r="H439" s="6">
        <v>21.21</v>
      </c>
      <c r="I439" s="6">
        <v>3.18</v>
      </c>
      <c r="J439" s="6">
        <v>18.03</v>
      </c>
      <c r="K439" s="5">
        <v>354</v>
      </c>
    </row>
    <row r="440" spans="1:11" x14ac:dyDescent="0.3">
      <c r="A440" s="3">
        <v>8933</v>
      </c>
      <c r="B440" s="3" t="s">
        <v>30</v>
      </c>
      <c r="C440" s="4">
        <v>45359</v>
      </c>
      <c r="D440" s="3" t="s">
        <v>15</v>
      </c>
      <c r="E440" s="3" t="s">
        <v>39</v>
      </c>
      <c r="F440" s="5">
        <v>1</v>
      </c>
      <c r="G440" s="6">
        <v>12.18</v>
      </c>
      <c r="H440" s="6">
        <v>12.18</v>
      </c>
      <c r="I440" s="6">
        <v>2.44</v>
      </c>
      <c r="J440" s="6">
        <v>9.74</v>
      </c>
      <c r="K440" s="5">
        <v>375</v>
      </c>
    </row>
    <row r="441" spans="1:11" x14ac:dyDescent="0.3">
      <c r="A441" s="3">
        <v>9595</v>
      </c>
      <c r="B441" s="3" t="s">
        <v>24</v>
      </c>
      <c r="C441" s="4">
        <v>45608</v>
      </c>
      <c r="D441" s="3" t="s">
        <v>45</v>
      </c>
      <c r="E441" s="3" t="s">
        <v>32</v>
      </c>
      <c r="F441" s="5">
        <v>3</v>
      </c>
      <c r="G441" s="6">
        <v>16.82</v>
      </c>
      <c r="H441" s="6">
        <v>50.46</v>
      </c>
      <c r="I441" s="6">
        <v>3.6</v>
      </c>
      <c r="J441" s="6">
        <v>46.86</v>
      </c>
      <c r="K441" s="5">
        <v>51</v>
      </c>
    </row>
    <row r="442" spans="1:11" x14ac:dyDescent="0.3">
      <c r="A442" s="3">
        <v>5636</v>
      </c>
      <c r="B442" s="3" t="s">
        <v>42</v>
      </c>
      <c r="C442" s="4">
        <v>45223</v>
      </c>
      <c r="D442" s="3" t="s">
        <v>34</v>
      </c>
      <c r="E442" s="3" t="s">
        <v>33</v>
      </c>
      <c r="F442" s="5">
        <v>1</v>
      </c>
      <c r="G442" s="6">
        <v>24.17</v>
      </c>
      <c r="H442" s="6">
        <v>24.17</v>
      </c>
      <c r="I442" s="6">
        <v>2.27</v>
      </c>
      <c r="J442" s="6">
        <v>21.9</v>
      </c>
      <c r="K442" s="5">
        <v>17</v>
      </c>
    </row>
    <row r="443" spans="1:11" x14ac:dyDescent="0.3">
      <c r="A443" s="3">
        <v>4180</v>
      </c>
      <c r="B443" s="3" t="s">
        <v>11</v>
      </c>
      <c r="C443" s="4">
        <v>45375</v>
      </c>
      <c r="D443" s="3" t="s">
        <v>15</v>
      </c>
      <c r="E443" s="3" t="s">
        <v>21</v>
      </c>
      <c r="F443" s="5">
        <v>2</v>
      </c>
      <c r="G443" s="6">
        <v>26.74</v>
      </c>
      <c r="H443" s="6">
        <v>53.48</v>
      </c>
      <c r="I443" s="6">
        <v>4.7699999999999996</v>
      </c>
      <c r="J443" s="6">
        <v>48.71</v>
      </c>
      <c r="K443" s="5">
        <v>82</v>
      </c>
    </row>
    <row r="444" spans="1:11" x14ac:dyDescent="0.3">
      <c r="A444" s="3">
        <v>4727</v>
      </c>
      <c r="B444" s="3" t="s">
        <v>11</v>
      </c>
      <c r="C444" s="4">
        <v>45425</v>
      </c>
      <c r="D444" s="3" t="s">
        <v>22</v>
      </c>
      <c r="E444" s="3" t="s">
        <v>47</v>
      </c>
      <c r="F444" s="5">
        <v>1</v>
      </c>
      <c r="G444" s="6">
        <v>13.5</v>
      </c>
      <c r="H444" s="6">
        <v>13.5</v>
      </c>
      <c r="I444" s="6">
        <v>4.5599999999999996</v>
      </c>
      <c r="J444" s="6">
        <v>8.94</v>
      </c>
      <c r="K444" s="5">
        <v>334</v>
      </c>
    </row>
    <row r="445" spans="1:11" x14ac:dyDescent="0.3">
      <c r="A445" s="3">
        <v>3939</v>
      </c>
      <c r="B445" s="3" t="s">
        <v>19</v>
      </c>
      <c r="C445" s="4">
        <v>45379</v>
      </c>
      <c r="D445" s="3" t="s">
        <v>12</v>
      </c>
      <c r="E445" s="3" t="s">
        <v>48</v>
      </c>
      <c r="F445" s="5">
        <v>3</v>
      </c>
      <c r="G445" s="6">
        <v>6.95</v>
      </c>
      <c r="H445" s="6">
        <v>20.85</v>
      </c>
      <c r="I445" s="6">
        <v>0</v>
      </c>
      <c r="J445" s="6">
        <v>20.85</v>
      </c>
      <c r="K445" s="5">
        <v>97</v>
      </c>
    </row>
    <row r="446" spans="1:11" x14ac:dyDescent="0.3">
      <c r="A446" s="3">
        <v>1231</v>
      </c>
      <c r="B446" s="3" t="s">
        <v>14</v>
      </c>
      <c r="C446" s="4">
        <v>45694</v>
      </c>
      <c r="D446" s="3" t="s">
        <v>38</v>
      </c>
      <c r="E446" s="3" t="s">
        <v>13</v>
      </c>
      <c r="F446" s="5">
        <v>3</v>
      </c>
      <c r="G446" s="6">
        <v>9.61</v>
      </c>
      <c r="H446" s="6">
        <v>28.83</v>
      </c>
      <c r="I446" s="6">
        <v>2.88</v>
      </c>
      <c r="J446" s="6">
        <v>25.95</v>
      </c>
      <c r="K446" s="5">
        <v>49</v>
      </c>
    </row>
    <row r="447" spans="1:11" x14ac:dyDescent="0.3">
      <c r="A447" s="3">
        <v>9751</v>
      </c>
      <c r="B447" s="3" t="s">
        <v>14</v>
      </c>
      <c r="C447" s="4">
        <v>45243</v>
      </c>
      <c r="D447" s="3" t="s">
        <v>45</v>
      </c>
      <c r="E447" s="3" t="s">
        <v>41</v>
      </c>
      <c r="F447" s="5">
        <v>1</v>
      </c>
      <c r="G447" s="6">
        <v>11.45</v>
      </c>
      <c r="H447" s="6">
        <v>11.45</v>
      </c>
      <c r="I447" s="6">
        <v>1.72</v>
      </c>
      <c r="J447" s="6">
        <v>9.73</v>
      </c>
      <c r="K447" s="5">
        <v>218</v>
      </c>
    </row>
    <row r="448" spans="1:11" x14ac:dyDescent="0.3">
      <c r="A448" s="3">
        <v>5494</v>
      </c>
      <c r="B448" s="3" t="s">
        <v>26</v>
      </c>
      <c r="C448" s="4">
        <v>45180</v>
      </c>
      <c r="D448" s="3" t="s">
        <v>17</v>
      </c>
      <c r="E448" s="3" t="s">
        <v>48</v>
      </c>
      <c r="F448" s="5">
        <v>1</v>
      </c>
      <c r="G448" s="6">
        <v>6.99</v>
      </c>
      <c r="H448" s="6">
        <v>6.99</v>
      </c>
      <c r="I448" s="6">
        <v>2.89</v>
      </c>
      <c r="J448" s="6">
        <v>4.0999999999999996</v>
      </c>
      <c r="K448" s="5">
        <v>326</v>
      </c>
    </row>
    <row r="449" spans="1:11" x14ac:dyDescent="0.3">
      <c r="A449" s="3">
        <v>1893</v>
      </c>
      <c r="B449" s="3" t="s">
        <v>11</v>
      </c>
      <c r="C449" s="4">
        <v>45574</v>
      </c>
      <c r="D449" s="3" t="s">
        <v>35</v>
      </c>
      <c r="E449" s="3" t="s">
        <v>32</v>
      </c>
      <c r="F449" s="5">
        <v>4</v>
      </c>
      <c r="G449" s="6">
        <v>15.17</v>
      </c>
      <c r="H449" s="6">
        <v>60.68</v>
      </c>
      <c r="I449" s="6">
        <v>3.57</v>
      </c>
      <c r="J449" s="6">
        <v>57.11</v>
      </c>
      <c r="K449" s="5">
        <v>338</v>
      </c>
    </row>
    <row r="450" spans="1:11" x14ac:dyDescent="0.3">
      <c r="A450" s="3">
        <v>5786</v>
      </c>
      <c r="B450" s="3" t="s">
        <v>24</v>
      </c>
      <c r="C450" s="4">
        <v>45686</v>
      </c>
      <c r="D450" s="3" t="s">
        <v>34</v>
      </c>
      <c r="E450" s="3" t="s">
        <v>23</v>
      </c>
      <c r="F450" s="5">
        <v>4</v>
      </c>
      <c r="G450" s="6">
        <v>11.7</v>
      </c>
      <c r="H450" s="6">
        <v>46.8</v>
      </c>
      <c r="I450" s="6">
        <v>7.02</v>
      </c>
      <c r="J450" s="6">
        <v>39.78</v>
      </c>
      <c r="K450" s="5">
        <v>228</v>
      </c>
    </row>
    <row r="451" spans="1:11" x14ac:dyDescent="0.3">
      <c r="A451" s="3">
        <v>3068</v>
      </c>
      <c r="B451" s="3" t="s">
        <v>26</v>
      </c>
      <c r="C451" s="4">
        <v>45640</v>
      </c>
      <c r="D451" s="3" t="s">
        <v>45</v>
      </c>
      <c r="E451" s="3" t="s">
        <v>13</v>
      </c>
      <c r="F451" s="5">
        <v>2</v>
      </c>
      <c r="G451" s="6">
        <v>25.27</v>
      </c>
      <c r="H451" s="6">
        <v>50.54</v>
      </c>
      <c r="I451" s="6">
        <v>10.11</v>
      </c>
      <c r="J451" s="6">
        <v>40.43</v>
      </c>
      <c r="K451" s="5">
        <v>288</v>
      </c>
    </row>
    <row r="452" spans="1:11" x14ac:dyDescent="0.3">
      <c r="A452" s="3">
        <v>9042</v>
      </c>
      <c r="B452" s="3" t="s">
        <v>11</v>
      </c>
      <c r="C452" s="4">
        <v>45224</v>
      </c>
      <c r="D452" s="3" t="s">
        <v>15</v>
      </c>
      <c r="E452" s="3" t="s">
        <v>23</v>
      </c>
      <c r="F452" s="5">
        <v>5</v>
      </c>
      <c r="G452" s="6">
        <v>13</v>
      </c>
      <c r="H452" s="6">
        <v>65</v>
      </c>
      <c r="I452" s="6">
        <v>1.24</v>
      </c>
      <c r="J452" s="6">
        <v>63.76</v>
      </c>
      <c r="K452" s="5">
        <v>387</v>
      </c>
    </row>
    <row r="453" spans="1:11" x14ac:dyDescent="0.3">
      <c r="A453" s="3">
        <v>1200</v>
      </c>
      <c r="B453" s="3" t="s">
        <v>24</v>
      </c>
      <c r="C453" s="4">
        <v>45590</v>
      </c>
      <c r="D453" s="3" t="s">
        <v>38</v>
      </c>
      <c r="E453" s="3" t="s">
        <v>16</v>
      </c>
      <c r="F453" s="5">
        <v>5</v>
      </c>
      <c r="G453" s="6">
        <v>20.91</v>
      </c>
      <c r="H453" s="6">
        <v>104.55</v>
      </c>
      <c r="I453" s="6">
        <v>4.53</v>
      </c>
      <c r="J453" s="6">
        <v>100.02</v>
      </c>
      <c r="K453" s="5">
        <v>479</v>
      </c>
    </row>
    <row r="454" spans="1:11" x14ac:dyDescent="0.3">
      <c r="A454" s="3">
        <v>5658</v>
      </c>
      <c r="B454" s="3" t="s">
        <v>26</v>
      </c>
      <c r="C454" s="4">
        <v>45509</v>
      </c>
      <c r="D454" s="3" t="s">
        <v>35</v>
      </c>
      <c r="E454" s="3" t="s">
        <v>43</v>
      </c>
      <c r="F454" s="5">
        <v>4</v>
      </c>
      <c r="G454" s="6">
        <v>27.17</v>
      </c>
      <c r="H454" s="6">
        <v>108.68</v>
      </c>
      <c r="I454" s="6">
        <v>3.28</v>
      </c>
      <c r="J454" s="6">
        <v>105.4</v>
      </c>
      <c r="K454" s="5">
        <v>365</v>
      </c>
    </row>
    <row r="455" spans="1:11" x14ac:dyDescent="0.3">
      <c r="A455" s="3">
        <v>8843</v>
      </c>
      <c r="B455" s="3" t="s">
        <v>14</v>
      </c>
      <c r="C455" s="4">
        <v>45487</v>
      </c>
      <c r="D455" s="3" t="s">
        <v>28</v>
      </c>
      <c r="E455" s="3" t="s">
        <v>41</v>
      </c>
      <c r="F455" s="5">
        <v>1</v>
      </c>
      <c r="G455" s="6">
        <v>28.52</v>
      </c>
      <c r="H455" s="6">
        <v>28.52</v>
      </c>
      <c r="I455" s="6">
        <v>5.7</v>
      </c>
      <c r="J455" s="6">
        <v>22.82</v>
      </c>
      <c r="K455" s="5">
        <v>229</v>
      </c>
    </row>
    <row r="456" spans="1:11" x14ac:dyDescent="0.3">
      <c r="A456" s="3">
        <v>6582</v>
      </c>
      <c r="B456" s="3" t="s">
        <v>42</v>
      </c>
      <c r="C456" s="4">
        <v>45288</v>
      </c>
      <c r="D456" s="3" t="s">
        <v>17</v>
      </c>
      <c r="E456" s="3" t="s">
        <v>41</v>
      </c>
      <c r="F456" s="5">
        <v>1</v>
      </c>
      <c r="G456" s="6">
        <v>13.27</v>
      </c>
      <c r="H456" s="6">
        <v>13.27</v>
      </c>
      <c r="I456" s="6">
        <v>2.65</v>
      </c>
      <c r="J456" s="6">
        <v>10.62</v>
      </c>
      <c r="K456" s="5">
        <v>349</v>
      </c>
    </row>
    <row r="457" spans="1:11" x14ac:dyDescent="0.3">
      <c r="A457" s="3">
        <v>1841</v>
      </c>
      <c r="B457" s="3" t="s">
        <v>19</v>
      </c>
      <c r="C457" s="4">
        <v>45341</v>
      </c>
      <c r="D457" s="3" t="s">
        <v>28</v>
      </c>
      <c r="E457" s="3" t="s">
        <v>13</v>
      </c>
      <c r="F457" s="5">
        <v>3</v>
      </c>
      <c r="G457" s="6">
        <v>27.4</v>
      </c>
      <c r="H457" s="6">
        <v>82.2</v>
      </c>
      <c r="I457" s="6">
        <v>2.5499999999999998</v>
      </c>
      <c r="J457" s="6">
        <v>79.650000000000006</v>
      </c>
      <c r="K457" s="5">
        <v>468</v>
      </c>
    </row>
    <row r="458" spans="1:11" x14ac:dyDescent="0.3">
      <c r="A458" s="3">
        <v>8827</v>
      </c>
      <c r="B458" s="3" t="s">
        <v>24</v>
      </c>
      <c r="C458" s="4">
        <v>45233</v>
      </c>
      <c r="D458" s="3" t="s">
        <v>38</v>
      </c>
      <c r="E458" s="3" t="s">
        <v>21</v>
      </c>
      <c r="F458" s="5">
        <v>3</v>
      </c>
      <c r="G458" s="6">
        <v>16.059999999999999</v>
      </c>
      <c r="H458" s="6">
        <v>48.18</v>
      </c>
      <c r="I458" s="6">
        <v>0</v>
      </c>
      <c r="J458" s="6">
        <v>48.18</v>
      </c>
      <c r="K458" s="5">
        <v>469</v>
      </c>
    </row>
    <row r="459" spans="1:11" x14ac:dyDescent="0.3">
      <c r="A459" s="3">
        <v>2070</v>
      </c>
      <c r="B459" s="3" t="s">
        <v>14</v>
      </c>
      <c r="C459" s="4">
        <v>45456</v>
      </c>
      <c r="D459" s="3" t="s">
        <v>20</v>
      </c>
      <c r="E459" s="3" t="s">
        <v>48</v>
      </c>
      <c r="F459" s="5">
        <v>4</v>
      </c>
      <c r="G459" s="6">
        <v>5.33</v>
      </c>
      <c r="H459" s="6">
        <v>21.32</v>
      </c>
      <c r="I459" s="6">
        <v>3.25</v>
      </c>
      <c r="J459" s="6">
        <v>18.07</v>
      </c>
      <c r="K459" s="5">
        <v>290</v>
      </c>
    </row>
    <row r="460" spans="1:11" x14ac:dyDescent="0.3">
      <c r="A460" s="3">
        <v>9056</v>
      </c>
      <c r="B460" s="3" t="s">
        <v>11</v>
      </c>
      <c r="C460" s="4">
        <v>45202</v>
      </c>
      <c r="D460" s="3" t="s">
        <v>35</v>
      </c>
      <c r="E460" s="3" t="s">
        <v>18</v>
      </c>
      <c r="F460" s="5">
        <v>3</v>
      </c>
      <c r="G460" s="6">
        <v>26.45</v>
      </c>
      <c r="H460" s="6">
        <v>79.349999999999994</v>
      </c>
      <c r="I460" s="6">
        <v>0</v>
      </c>
      <c r="J460" s="6">
        <v>79.349999999999994</v>
      </c>
      <c r="K460" s="5">
        <v>135</v>
      </c>
    </row>
    <row r="461" spans="1:11" x14ac:dyDescent="0.3">
      <c r="A461" s="3">
        <v>1878</v>
      </c>
      <c r="B461" s="3" t="s">
        <v>26</v>
      </c>
      <c r="C461" s="4">
        <v>45262</v>
      </c>
      <c r="D461" s="3" t="s">
        <v>28</v>
      </c>
      <c r="E461" s="3" t="s">
        <v>47</v>
      </c>
      <c r="F461" s="5">
        <v>1</v>
      </c>
      <c r="G461" s="6">
        <v>5.98</v>
      </c>
      <c r="H461" s="6">
        <v>5.98</v>
      </c>
      <c r="I461" s="6">
        <v>3.43</v>
      </c>
      <c r="J461" s="6">
        <v>2.5499999999999998</v>
      </c>
      <c r="K461" s="5">
        <v>206</v>
      </c>
    </row>
    <row r="462" spans="1:11" x14ac:dyDescent="0.3">
      <c r="A462" s="3">
        <v>3444</v>
      </c>
      <c r="B462" s="3" t="s">
        <v>24</v>
      </c>
      <c r="C462" s="4">
        <v>45775</v>
      </c>
      <c r="D462" s="3" t="s">
        <v>12</v>
      </c>
      <c r="E462" s="3" t="s">
        <v>32</v>
      </c>
      <c r="F462" s="5">
        <v>3</v>
      </c>
      <c r="G462" s="6">
        <v>21.01</v>
      </c>
      <c r="H462" s="6">
        <v>63.03</v>
      </c>
      <c r="I462" s="6">
        <v>9.4499999999999993</v>
      </c>
      <c r="J462" s="6">
        <v>53.58</v>
      </c>
      <c r="K462" s="5">
        <v>25</v>
      </c>
    </row>
    <row r="463" spans="1:11" x14ac:dyDescent="0.3">
      <c r="A463" s="3">
        <v>5978</v>
      </c>
      <c r="B463" s="3" t="s">
        <v>36</v>
      </c>
      <c r="C463" s="4">
        <v>45211</v>
      </c>
      <c r="D463" s="3" t="s">
        <v>12</v>
      </c>
      <c r="E463" s="3" t="s">
        <v>21</v>
      </c>
      <c r="F463" s="5">
        <v>3</v>
      </c>
      <c r="G463" s="6">
        <v>10.01</v>
      </c>
      <c r="H463" s="6">
        <v>30.03</v>
      </c>
      <c r="I463" s="6">
        <v>0</v>
      </c>
      <c r="J463" s="6">
        <v>30.03</v>
      </c>
      <c r="K463" s="5">
        <v>431</v>
      </c>
    </row>
    <row r="464" spans="1:11" x14ac:dyDescent="0.3">
      <c r="A464" s="3">
        <v>5066</v>
      </c>
      <c r="B464" s="3" t="s">
        <v>11</v>
      </c>
      <c r="C464" s="4">
        <v>45237</v>
      </c>
      <c r="D464" s="3" t="s">
        <v>17</v>
      </c>
      <c r="E464" s="3" t="s">
        <v>41</v>
      </c>
      <c r="F464" s="5">
        <v>3</v>
      </c>
      <c r="G464" s="6">
        <v>29.24</v>
      </c>
      <c r="H464" s="6">
        <v>87.72</v>
      </c>
      <c r="I464" s="6">
        <v>13.16</v>
      </c>
      <c r="J464" s="6">
        <v>74.56</v>
      </c>
      <c r="K464" s="5">
        <v>226</v>
      </c>
    </row>
    <row r="465" spans="1:11" x14ac:dyDescent="0.3">
      <c r="A465" s="3">
        <v>7818</v>
      </c>
      <c r="B465" s="3" t="s">
        <v>24</v>
      </c>
      <c r="C465" s="4">
        <v>45615</v>
      </c>
      <c r="D465" s="3" t="s">
        <v>28</v>
      </c>
      <c r="E465" s="3" t="s">
        <v>43</v>
      </c>
      <c r="F465" s="5">
        <v>2</v>
      </c>
      <c r="G465" s="6">
        <v>13.8</v>
      </c>
      <c r="H465" s="6">
        <v>27.6</v>
      </c>
      <c r="I465" s="6">
        <v>0</v>
      </c>
      <c r="J465" s="6">
        <v>27.6</v>
      </c>
      <c r="K465" s="5">
        <v>467</v>
      </c>
    </row>
    <row r="466" spans="1:11" x14ac:dyDescent="0.3">
      <c r="A466" s="3">
        <v>4697</v>
      </c>
      <c r="B466" s="3" t="s">
        <v>26</v>
      </c>
      <c r="C466" s="4">
        <v>45747</v>
      </c>
      <c r="D466" s="3" t="s">
        <v>38</v>
      </c>
      <c r="E466" s="3" t="s">
        <v>23</v>
      </c>
      <c r="F466" s="5">
        <v>1</v>
      </c>
      <c r="G466" s="6">
        <v>15.93</v>
      </c>
      <c r="H466" s="6">
        <v>15.93</v>
      </c>
      <c r="I466" s="6">
        <v>2.39</v>
      </c>
      <c r="J466" s="6">
        <v>13.54</v>
      </c>
      <c r="K466" s="5">
        <v>81</v>
      </c>
    </row>
    <row r="467" spans="1:11" x14ac:dyDescent="0.3">
      <c r="A467" s="3">
        <v>9561</v>
      </c>
      <c r="B467" s="3" t="s">
        <v>14</v>
      </c>
      <c r="C467" s="4">
        <v>45440</v>
      </c>
      <c r="D467" s="3" t="s">
        <v>20</v>
      </c>
      <c r="E467" s="3" t="s">
        <v>41</v>
      </c>
      <c r="F467" s="5">
        <v>5</v>
      </c>
      <c r="G467" s="6">
        <v>26.49</v>
      </c>
      <c r="H467" s="6">
        <v>132.44999999999999</v>
      </c>
      <c r="I467" s="6">
        <v>26.49</v>
      </c>
      <c r="J467" s="6">
        <v>105.96</v>
      </c>
      <c r="K467" s="5">
        <v>14</v>
      </c>
    </row>
    <row r="468" spans="1:11" x14ac:dyDescent="0.3">
      <c r="A468" s="3">
        <v>8381</v>
      </c>
      <c r="B468" s="3" t="s">
        <v>42</v>
      </c>
      <c r="C468" s="4">
        <v>45850</v>
      </c>
      <c r="D468" s="3" t="s">
        <v>12</v>
      </c>
      <c r="E468" s="3" t="s">
        <v>25</v>
      </c>
      <c r="F468" s="5">
        <v>1</v>
      </c>
      <c r="G468" s="6">
        <v>14.23</v>
      </c>
      <c r="H468" s="6">
        <v>14.23</v>
      </c>
      <c r="I468" s="6">
        <v>0</v>
      </c>
      <c r="J468" s="6">
        <v>14.23</v>
      </c>
      <c r="K468" s="5">
        <v>470</v>
      </c>
    </row>
    <row r="469" spans="1:11" x14ac:dyDescent="0.3">
      <c r="A469" s="3">
        <v>8253</v>
      </c>
      <c r="B469" s="3" t="s">
        <v>42</v>
      </c>
      <c r="C469" s="4">
        <v>45375</v>
      </c>
      <c r="D469" s="3" t="s">
        <v>35</v>
      </c>
      <c r="E469" s="3" t="s">
        <v>23</v>
      </c>
      <c r="F469" s="5">
        <v>4</v>
      </c>
      <c r="G469" s="6">
        <v>15.64</v>
      </c>
      <c r="H469" s="6">
        <v>62.56</v>
      </c>
      <c r="I469" s="6">
        <v>0</v>
      </c>
      <c r="J469" s="6">
        <v>62.56</v>
      </c>
      <c r="K469" s="5">
        <v>325</v>
      </c>
    </row>
    <row r="470" spans="1:11" x14ac:dyDescent="0.3">
      <c r="A470" s="3">
        <v>8025</v>
      </c>
      <c r="B470" s="3" t="s">
        <v>31</v>
      </c>
      <c r="C470" s="4">
        <v>45382</v>
      </c>
      <c r="D470" s="3" t="s">
        <v>17</v>
      </c>
      <c r="E470" s="3" t="s">
        <v>23</v>
      </c>
      <c r="F470" s="5">
        <v>4</v>
      </c>
      <c r="G470" s="6">
        <v>18.22</v>
      </c>
      <c r="H470" s="6">
        <v>72.88</v>
      </c>
      <c r="I470" s="6">
        <v>3.21</v>
      </c>
      <c r="J470" s="6">
        <v>69.67</v>
      </c>
      <c r="K470" s="5">
        <v>90</v>
      </c>
    </row>
    <row r="471" spans="1:11" x14ac:dyDescent="0.3">
      <c r="A471" s="3">
        <v>1986</v>
      </c>
      <c r="B471" s="3" t="s">
        <v>36</v>
      </c>
      <c r="C471" s="4">
        <v>45618</v>
      </c>
      <c r="D471" s="3" t="s">
        <v>34</v>
      </c>
      <c r="E471" s="3" t="s">
        <v>13</v>
      </c>
      <c r="F471" s="5">
        <v>1</v>
      </c>
      <c r="G471" s="6">
        <v>9.26</v>
      </c>
      <c r="H471" s="6">
        <v>9.26</v>
      </c>
      <c r="I471" s="6">
        <v>1.85</v>
      </c>
      <c r="J471" s="6">
        <v>7.41</v>
      </c>
      <c r="K471" s="5">
        <v>197</v>
      </c>
    </row>
    <row r="472" spans="1:11" x14ac:dyDescent="0.3">
      <c r="A472" s="3">
        <v>2625</v>
      </c>
      <c r="B472" s="3" t="s">
        <v>42</v>
      </c>
      <c r="C472" s="4">
        <v>45737</v>
      </c>
      <c r="D472" s="3" t="s">
        <v>17</v>
      </c>
      <c r="E472" s="3" t="s">
        <v>25</v>
      </c>
      <c r="F472" s="5">
        <v>2</v>
      </c>
      <c r="G472" s="6">
        <v>8.7899999999999991</v>
      </c>
      <c r="H472" s="6">
        <v>17.579999999999998</v>
      </c>
      <c r="I472" s="6">
        <v>0</v>
      </c>
      <c r="J472" s="6">
        <v>17.579999999999998</v>
      </c>
      <c r="K472" s="5">
        <v>209</v>
      </c>
    </row>
    <row r="473" spans="1:11" x14ac:dyDescent="0.3">
      <c r="A473" s="3">
        <v>4404</v>
      </c>
      <c r="B473" s="3" t="s">
        <v>31</v>
      </c>
      <c r="C473" s="4">
        <v>45630</v>
      </c>
      <c r="D473" s="3" t="s">
        <v>45</v>
      </c>
      <c r="E473" s="3" t="s">
        <v>41</v>
      </c>
      <c r="F473" s="5">
        <v>2</v>
      </c>
      <c r="G473" s="6">
        <v>18.420000000000002</v>
      </c>
      <c r="H473" s="6">
        <v>36.840000000000003</v>
      </c>
      <c r="I473" s="6">
        <v>5.53</v>
      </c>
      <c r="J473" s="6">
        <v>31.31</v>
      </c>
      <c r="K473" s="5">
        <v>4</v>
      </c>
    </row>
    <row r="474" spans="1:11" x14ac:dyDescent="0.3">
      <c r="A474" s="3">
        <v>4457</v>
      </c>
      <c r="B474" s="3" t="s">
        <v>30</v>
      </c>
      <c r="C474" s="4">
        <v>45350</v>
      </c>
      <c r="D474" s="3" t="s">
        <v>27</v>
      </c>
      <c r="E474" s="3" t="s">
        <v>13</v>
      </c>
      <c r="F474" s="5">
        <v>4</v>
      </c>
      <c r="G474" s="6">
        <v>26.96</v>
      </c>
      <c r="H474" s="6">
        <v>107.84</v>
      </c>
      <c r="I474" s="6">
        <v>10.78</v>
      </c>
      <c r="J474" s="6">
        <v>97.06</v>
      </c>
      <c r="K474" s="5">
        <v>436</v>
      </c>
    </row>
    <row r="475" spans="1:11" x14ac:dyDescent="0.3">
      <c r="A475" s="3">
        <v>2330</v>
      </c>
      <c r="B475" s="3" t="s">
        <v>30</v>
      </c>
      <c r="C475" s="4">
        <v>45266</v>
      </c>
      <c r="D475" s="3" t="s">
        <v>17</v>
      </c>
      <c r="E475" s="3" t="s">
        <v>33</v>
      </c>
      <c r="F475" s="5">
        <v>3</v>
      </c>
      <c r="G475" s="6">
        <v>20.63</v>
      </c>
      <c r="H475" s="6">
        <v>61.89</v>
      </c>
      <c r="I475" s="6">
        <v>1.41</v>
      </c>
      <c r="J475" s="6">
        <v>60.48</v>
      </c>
      <c r="K475" s="5">
        <v>422</v>
      </c>
    </row>
    <row r="476" spans="1:11" x14ac:dyDescent="0.3">
      <c r="A476" s="3">
        <v>4929</v>
      </c>
      <c r="B476" s="3" t="s">
        <v>14</v>
      </c>
      <c r="C476" s="4">
        <v>45280</v>
      </c>
      <c r="D476" s="3" t="s">
        <v>27</v>
      </c>
      <c r="E476" s="3" t="s">
        <v>23</v>
      </c>
      <c r="F476" s="5">
        <v>5</v>
      </c>
      <c r="G476" s="6">
        <v>19.760000000000002</v>
      </c>
      <c r="H476" s="6">
        <v>98.8</v>
      </c>
      <c r="I476" s="6">
        <v>14.82</v>
      </c>
      <c r="J476" s="6">
        <v>83.98</v>
      </c>
      <c r="K476" s="5">
        <v>311</v>
      </c>
    </row>
    <row r="477" spans="1:11" x14ac:dyDescent="0.3">
      <c r="A477" s="3">
        <v>2229</v>
      </c>
      <c r="B477" s="3" t="s">
        <v>11</v>
      </c>
      <c r="C477" s="4">
        <v>45266</v>
      </c>
      <c r="D477" s="3" t="s">
        <v>45</v>
      </c>
      <c r="E477" s="3" t="s">
        <v>43</v>
      </c>
      <c r="F477" s="5">
        <v>3</v>
      </c>
      <c r="G477" s="6">
        <v>29.65</v>
      </c>
      <c r="H477" s="6">
        <v>88.95</v>
      </c>
      <c r="I477" s="6">
        <v>13.34</v>
      </c>
      <c r="J477" s="6">
        <v>75.61</v>
      </c>
      <c r="K477" s="5">
        <v>327</v>
      </c>
    </row>
    <row r="478" spans="1:11" x14ac:dyDescent="0.3">
      <c r="A478" s="3">
        <v>1043</v>
      </c>
      <c r="B478" s="3" t="s">
        <v>30</v>
      </c>
      <c r="C478" s="4">
        <v>45462</v>
      </c>
      <c r="D478" s="3" t="s">
        <v>27</v>
      </c>
      <c r="E478" s="3" t="s">
        <v>37</v>
      </c>
      <c r="F478" s="5">
        <v>2</v>
      </c>
      <c r="G478" s="6">
        <v>5.34</v>
      </c>
      <c r="H478" s="6">
        <v>10.68</v>
      </c>
      <c r="I478" s="6">
        <v>4.22</v>
      </c>
      <c r="J478" s="6">
        <v>6.46</v>
      </c>
      <c r="K478" s="5">
        <v>391</v>
      </c>
    </row>
    <row r="479" spans="1:11" x14ac:dyDescent="0.3">
      <c r="A479" s="3">
        <v>8381</v>
      </c>
      <c r="B479" s="3" t="s">
        <v>24</v>
      </c>
      <c r="C479" s="4">
        <v>45680</v>
      </c>
      <c r="D479" s="3" t="s">
        <v>27</v>
      </c>
      <c r="E479" s="3" t="s">
        <v>21</v>
      </c>
      <c r="F479" s="5">
        <v>2</v>
      </c>
      <c r="G479" s="6">
        <v>21.91</v>
      </c>
      <c r="H479" s="6">
        <v>43.82</v>
      </c>
      <c r="I479" s="6">
        <v>6.57</v>
      </c>
      <c r="J479" s="6">
        <v>37.25</v>
      </c>
      <c r="K479" s="5">
        <v>335</v>
      </c>
    </row>
    <row r="480" spans="1:11" x14ac:dyDescent="0.3">
      <c r="A480" s="3">
        <v>8699</v>
      </c>
      <c r="B480" s="3" t="s">
        <v>30</v>
      </c>
      <c r="C480" s="4">
        <v>45371</v>
      </c>
      <c r="D480" s="3" t="s">
        <v>20</v>
      </c>
      <c r="E480" s="3" t="s">
        <v>32</v>
      </c>
      <c r="F480" s="5">
        <v>4</v>
      </c>
      <c r="G480" s="6">
        <v>22.36</v>
      </c>
      <c r="H480" s="6">
        <v>89.44</v>
      </c>
      <c r="I480" s="6">
        <v>13.42</v>
      </c>
      <c r="J480" s="6">
        <v>76.02</v>
      </c>
      <c r="K480" s="5">
        <v>298</v>
      </c>
    </row>
    <row r="481" spans="1:11" x14ac:dyDescent="0.3">
      <c r="A481" s="3">
        <v>1534</v>
      </c>
      <c r="B481" s="3" t="s">
        <v>42</v>
      </c>
      <c r="C481" s="4">
        <v>45324</v>
      </c>
      <c r="D481" s="3" t="s">
        <v>27</v>
      </c>
      <c r="E481" s="3" t="s">
        <v>18</v>
      </c>
      <c r="F481" s="5">
        <v>4</v>
      </c>
      <c r="G481" s="6">
        <v>27.28</v>
      </c>
      <c r="H481" s="6">
        <v>109.12</v>
      </c>
      <c r="I481" s="6">
        <v>2.2000000000000002</v>
      </c>
      <c r="J481" s="6">
        <v>106.92</v>
      </c>
      <c r="K481" s="5">
        <v>343</v>
      </c>
    </row>
    <row r="482" spans="1:11" x14ac:dyDescent="0.3">
      <c r="A482" s="3">
        <v>5720</v>
      </c>
      <c r="B482" s="3" t="s">
        <v>19</v>
      </c>
      <c r="C482" s="4">
        <v>45694</v>
      </c>
      <c r="D482" s="3" t="s">
        <v>27</v>
      </c>
      <c r="E482" s="3" t="s">
        <v>18</v>
      </c>
      <c r="F482" s="5">
        <v>2</v>
      </c>
      <c r="G482" s="6">
        <v>9.51</v>
      </c>
      <c r="H482" s="6">
        <v>19.02</v>
      </c>
      <c r="I482" s="6">
        <v>0</v>
      </c>
      <c r="J482" s="6">
        <v>19.02</v>
      </c>
      <c r="K482" s="5">
        <v>241</v>
      </c>
    </row>
    <row r="483" spans="1:11" x14ac:dyDescent="0.3">
      <c r="A483" s="3">
        <v>5632</v>
      </c>
      <c r="B483" s="3" t="s">
        <v>30</v>
      </c>
      <c r="C483" s="4">
        <v>45691</v>
      </c>
      <c r="D483" s="3" t="s">
        <v>38</v>
      </c>
      <c r="E483" s="3" t="s">
        <v>29</v>
      </c>
      <c r="F483" s="5">
        <v>3</v>
      </c>
      <c r="G483" s="6">
        <v>19.97</v>
      </c>
      <c r="H483" s="6">
        <v>59.91</v>
      </c>
      <c r="I483" s="6">
        <v>11.98</v>
      </c>
      <c r="J483" s="6">
        <v>47.93</v>
      </c>
      <c r="K483" s="5">
        <v>113</v>
      </c>
    </row>
    <row r="484" spans="1:11" x14ac:dyDescent="0.3">
      <c r="A484" s="3">
        <v>8438</v>
      </c>
      <c r="B484" s="3" t="s">
        <v>30</v>
      </c>
      <c r="C484" s="4">
        <v>45200</v>
      </c>
      <c r="D484" s="3" t="s">
        <v>20</v>
      </c>
      <c r="E484" s="3" t="s">
        <v>21</v>
      </c>
      <c r="F484" s="5">
        <v>3</v>
      </c>
      <c r="G484" s="6">
        <v>8.5500000000000007</v>
      </c>
      <c r="H484" s="6">
        <v>25.65</v>
      </c>
      <c r="I484" s="6">
        <v>2.88</v>
      </c>
      <c r="J484" s="6">
        <v>22.77</v>
      </c>
      <c r="K484" s="5">
        <v>150</v>
      </c>
    </row>
    <row r="485" spans="1:11" x14ac:dyDescent="0.3">
      <c r="A485" s="3">
        <v>4824</v>
      </c>
      <c r="B485" s="3" t="s">
        <v>11</v>
      </c>
      <c r="C485" s="4">
        <v>45862</v>
      </c>
      <c r="D485" s="3" t="s">
        <v>45</v>
      </c>
      <c r="E485" s="3" t="s">
        <v>44</v>
      </c>
      <c r="F485" s="5">
        <v>5</v>
      </c>
      <c r="G485" s="6">
        <v>4.46</v>
      </c>
      <c r="H485" s="6">
        <v>22.3</v>
      </c>
      <c r="I485" s="6">
        <v>2.19</v>
      </c>
      <c r="J485" s="6">
        <v>20.11</v>
      </c>
      <c r="K485" s="5">
        <v>348</v>
      </c>
    </row>
    <row r="486" spans="1:11" x14ac:dyDescent="0.3">
      <c r="A486" s="3">
        <v>5334</v>
      </c>
      <c r="B486" s="3" t="s">
        <v>31</v>
      </c>
      <c r="C486" s="4">
        <v>45756</v>
      </c>
      <c r="D486" s="3" t="s">
        <v>34</v>
      </c>
      <c r="E486" s="3" t="s">
        <v>41</v>
      </c>
      <c r="F486" s="5">
        <v>2</v>
      </c>
      <c r="G486" s="6">
        <v>10.93</v>
      </c>
      <c r="H486" s="6">
        <v>21.86</v>
      </c>
      <c r="I486" s="6">
        <v>4.37</v>
      </c>
      <c r="J486" s="6">
        <v>17.489999999999998</v>
      </c>
      <c r="K486" s="5">
        <v>291</v>
      </c>
    </row>
    <row r="487" spans="1:11" x14ac:dyDescent="0.3">
      <c r="A487" s="3">
        <v>4241</v>
      </c>
      <c r="B487" s="3" t="s">
        <v>36</v>
      </c>
      <c r="C487" s="4">
        <v>45475</v>
      </c>
      <c r="D487" s="3" t="s">
        <v>34</v>
      </c>
      <c r="E487" s="3" t="s">
        <v>43</v>
      </c>
      <c r="F487" s="5">
        <v>4</v>
      </c>
      <c r="G487" s="6">
        <v>10.64</v>
      </c>
      <c r="H487" s="6">
        <v>42.56</v>
      </c>
      <c r="I487" s="6">
        <v>0</v>
      </c>
      <c r="J487" s="6">
        <v>42.56</v>
      </c>
      <c r="K487" s="5">
        <v>90</v>
      </c>
    </row>
    <row r="488" spans="1:11" x14ac:dyDescent="0.3">
      <c r="A488" s="3">
        <v>2880</v>
      </c>
      <c r="B488" s="3" t="s">
        <v>31</v>
      </c>
      <c r="C488" s="4">
        <v>45567</v>
      </c>
      <c r="D488" s="3" t="s">
        <v>12</v>
      </c>
      <c r="E488" s="3" t="s">
        <v>33</v>
      </c>
      <c r="F488" s="5">
        <v>3</v>
      </c>
      <c r="G488" s="6">
        <v>7.06</v>
      </c>
      <c r="H488" s="6">
        <v>21.18</v>
      </c>
      <c r="I488" s="6">
        <v>4.0599999999999996</v>
      </c>
      <c r="J488" s="6">
        <v>17.12</v>
      </c>
      <c r="K488" s="5">
        <v>396</v>
      </c>
    </row>
    <row r="489" spans="1:11" x14ac:dyDescent="0.3">
      <c r="A489" s="3">
        <v>4683</v>
      </c>
      <c r="B489" s="3" t="s">
        <v>26</v>
      </c>
      <c r="C489" s="4">
        <v>45648</v>
      </c>
      <c r="D489" s="3" t="s">
        <v>15</v>
      </c>
      <c r="E489" s="3" t="s">
        <v>41</v>
      </c>
      <c r="F489" s="5">
        <v>5</v>
      </c>
      <c r="G489" s="6">
        <v>13.57</v>
      </c>
      <c r="H489" s="6">
        <v>67.849999999999994</v>
      </c>
      <c r="I489" s="6">
        <v>6.79</v>
      </c>
      <c r="J489" s="6">
        <v>61.06</v>
      </c>
      <c r="K489" s="5">
        <v>219</v>
      </c>
    </row>
    <row r="490" spans="1:11" x14ac:dyDescent="0.3">
      <c r="A490" s="3">
        <v>3441</v>
      </c>
      <c r="B490" s="3" t="s">
        <v>26</v>
      </c>
      <c r="C490" s="4">
        <v>45850</v>
      </c>
      <c r="D490" s="3" t="s">
        <v>20</v>
      </c>
      <c r="E490" s="3" t="s">
        <v>39</v>
      </c>
      <c r="F490" s="5">
        <v>1</v>
      </c>
      <c r="G490" s="6">
        <v>16.47</v>
      </c>
      <c r="H490" s="6">
        <v>16.47</v>
      </c>
      <c r="I490" s="6">
        <v>4.57</v>
      </c>
      <c r="J490" s="6">
        <v>11.9</v>
      </c>
      <c r="K490" s="5">
        <v>374</v>
      </c>
    </row>
    <row r="491" spans="1:11" x14ac:dyDescent="0.3">
      <c r="A491" s="3">
        <v>5352</v>
      </c>
      <c r="B491" s="3" t="s">
        <v>14</v>
      </c>
      <c r="C491" s="4">
        <v>45787</v>
      </c>
      <c r="D491" s="3" t="s">
        <v>17</v>
      </c>
      <c r="E491" s="3" t="s">
        <v>39</v>
      </c>
      <c r="F491" s="5">
        <v>1</v>
      </c>
      <c r="G491" s="6">
        <v>19.16</v>
      </c>
      <c r="H491" s="6">
        <v>19.16</v>
      </c>
      <c r="I491" s="6">
        <v>0</v>
      </c>
      <c r="J491" s="6">
        <v>19.16</v>
      </c>
      <c r="K491" s="5">
        <v>127</v>
      </c>
    </row>
    <row r="492" spans="1:11" x14ac:dyDescent="0.3">
      <c r="A492" s="3">
        <v>3330</v>
      </c>
      <c r="B492" s="3" t="s">
        <v>36</v>
      </c>
      <c r="C492" s="4">
        <v>45200</v>
      </c>
      <c r="D492" s="3" t="s">
        <v>35</v>
      </c>
      <c r="E492" s="3" t="s">
        <v>41</v>
      </c>
      <c r="F492" s="5">
        <v>1</v>
      </c>
      <c r="G492" s="6">
        <v>12.11</v>
      </c>
      <c r="H492" s="6">
        <v>12.11</v>
      </c>
      <c r="I492" s="6">
        <v>2.42</v>
      </c>
      <c r="J492" s="6">
        <v>9.69</v>
      </c>
      <c r="K492" s="5">
        <v>301</v>
      </c>
    </row>
    <row r="493" spans="1:11" x14ac:dyDescent="0.3">
      <c r="A493" s="3">
        <v>1977</v>
      </c>
      <c r="B493" s="3" t="s">
        <v>11</v>
      </c>
      <c r="C493" s="4">
        <v>45273</v>
      </c>
      <c r="D493" s="3" t="s">
        <v>12</v>
      </c>
      <c r="E493" s="3" t="s">
        <v>37</v>
      </c>
      <c r="F493" s="5">
        <v>3</v>
      </c>
      <c r="G493" s="6">
        <v>14.21</v>
      </c>
      <c r="H493" s="6">
        <v>42.63</v>
      </c>
      <c r="I493" s="6">
        <v>4.26</v>
      </c>
      <c r="J493" s="6">
        <v>38.369999999999997</v>
      </c>
      <c r="K493" s="5">
        <v>266</v>
      </c>
    </row>
    <row r="494" spans="1:11" x14ac:dyDescent="0.3">
      <c r="A494" s="3">
        <v>6039</v>
      </c>
      <c r="B494" s="3" t="s">
        <v>19</v>
      </c>
      <c r="C494" s="4">
        <v>45607</v>
      </c>
      <c r="D494" s="3" t="s">
        <v>22</v>
      </c>
      <c r="E494" s="3" t="s">
        <v>47</v>
      </c>
      <c r="F494" s="5">
        <v>3</v>
      </c>
      <c r="G494" s="6">
        <v>22.74</v>
      </c>
      <c r="H494" s="6">
        <v>68.22</v>
      </c>
      <c r="I494" s="6">
        <v>1.91</v>
      </c>
      <c r="J494" s="6">
        <v>66.31</v>
      </c>
      <c r="K494" s="5">
        <v>84</v>
      </c>
    </row>
    <row r="495" spans="1:11" x14ac:dyDescent="0.3">
      <c r="A495" s="3">
        <v>5728</v>
      </c>
      <c r="B495" s="3" t="s">
        <v>19</v>
      </c>
      <c r="C495" s="4">
        <v>45486</v>
      </c>
      <c r="D495" s="3" t="s">
        <v>17</v>
      </c>
      <c r="E495" s="3" t="s">
        <v>39</v>
      </c>
      <c r="F495" s="5">
        <v>5</v>
      </c>
      <c r="G495" s="6">
        <v>15.62</v>
      </c>
      <c r="H495" s="6">
        <v>78.099999999999994</v>
      </c>
      <c r="I495" s="6">
        <v>0</v>
      </c>
      <c r="J495" s="6">
        <v>78.099999999999994</v>
      </c>
      <c r="K495" s="5">
        <v>63</v>
      </c>
    </row>
    <row r="496" spans="1:11" x14ac:dyDescent="0.3">
      <c r="A496" s="3">
        <v>3037</v>
      </c>
      <c r="B496" s="3" t="s">
        <v>31</v>
      </c>
      <c r="C496" s="4">
        <v>45509</v>
      </c>
      <c r="D496" s="3" t="s">
        <v>20</v>
      </c>
      <c r="E496" s="3" t="s">
        <v>13</v>
      </c>
      <c r="F496" s="5">
        <v>5</v>
      </c>
      <c r="G496" s="6">
        <v>19.059999999999999</v>
      </c>
      <c r="H496" s="6">
        <v>95.3</v>
      </c>
      <c r="I496" s="6">
        <v>0</v>
      </c>
      <c r="J496" s="6">
        <v>95.3</v>
      </c>
      <c r="K496" s="5">
        <v>304</v>
      </c>
    </row>
    <row r="497" spans="1:11" x14ac:dyDescent="0.3">
      <c r="A497" s="3">
        <v>5982</v>
      </c>
      <c r="B497" s="3" t="s">
        <v>11</v>
      </c>
      <c r="C497" s="4">
        <v>45688</v>
      </c>
      <c r="D497" s="3" t="s">
        <v>27</v>
      </c>
      <c r="E497" s="3" t="s">
        <v>39</v>
      </c>
      <c r="F497" s="5">
        <v>1</v>
      </c>
      <c r="G497" s="6">
        <v>20.99</v>
      </c>
      <c r="H497" s="6">
        <v>20.99</v>
      </c>
      <c r="I497" s="6">
        <v>2.1</v>
      </c>
      <c r="J497" s="6">
        <v>18.89</v>
      </c>
      <c r="K497" s="5">
        <v>213</v>
      </c>
    </row>
    <row r="498" spans="1:11" x14ac:dyDescent="0.3">
      <c r="A498" s="3">
        <v>7594</v>
      </c>
      <c r="B498" s="3" t="s">
        <v>11</v>
      </c>
      <c r="C498" s="4">
        <v>45356</v>
      </c>
      <c r="D498" s="3" t="s">
        <v>38</v>
      </c>
      <c r="E498" s="3" t="s">
        <v>13</v>
      </c>
      <c r="F498" s="5">
        <v>4</v>
      </c>
      <c r="G498" s="6">
        <v>21.34</v>
      </c>
      <c r="H498" s="6">
        <v>85.36</v>
      </c>
      <c r="I498" s="6">
        <v>12.8</v>
      </c>
      <c r="J498" s="6">
        <v>72.56</v>
      </c>
      <c r="K498" s="5">
        <v>105</v>
      </c>
    </row>
    <row r="499" spans="1:11" x14ac:dyDescent="0.3">
      <c r="A499" s="3">
        <v>9199</v>
      </c>
      <c r="B499" s="3" t="s">
        <v>24</v>
      </c>
      <c r="C499" s="4">
        <v>45564</v>
      </c>
      <c r="D499" s="3" t="s">
        <v>27</v>
      </c>
      <c r="E499" s="3" t="s">
        <v>48</v>
      </c>
      <c r="F499" s="5">
        <v>5</v>
      </c>
      <c r="G499" s="6">
        <v>8.82</v>
      </c>
      <c r="H499" s="6">
        <v>44.1</v>
      </c>
      <c r="I499" s="6">
        <v>4.41</v>
      </c>
      <c r="J499" s="6">
        <v>39.69</v>
      </c>
      <c r="K499" s="5">
        <v>310</v>
      </c>
    </row>
    <row r="500" spans="1:11" x14ac:dyDescent="0.3">
      <c r="A500" s="3">
        <v>9090</v>
      </c>
      <c r="B500" s="3" t="s">
        <v>11</v>
      </c>
      <c r="C500" s="4">
        <v>45485</v>
      </c>
      <c r="D500" s="3" t="s">
        <v>38</v>
      </c>
      <c r="E500" s="3" t="s">
        <v>48</v>
      </c>
      <c r="F500" s="5">
        <v>3</v>
      </c>
      <c r="G500" s="6">
        <v>4.3</v>
      </c>
      <c r="H500" s="6">
        <v>12.9</v>
      </c>
      <c r="I500" s="6">
        <v>2.58</v>
      </c>
      <c r="J500" s="6">
        <v>10.32</v>
      </c>
      <c r="K500" s="5">
        <v>54</v>
      </c>
    </row>
    <row r="501" spans="1:11" x14ac:dyDescent="0.3">
      <c r="A501" s="3">
        <v>2317</v>
      </c>
      <c r="B501" s="3" t="s">
        <v>42</v>
      </c>
      <c r="C501" s="4">
        <v>45609</v>
      </c>
      <c r="D501" s="3" t="s">
        <v>35</v>
      </c>
      <c r="E501" s="3" t="s">
        <v>46</v>
      </c>
      <c r="F501" s="5">
        <v>2</v>
      </c>
      <c r="G501" s="6">
        <v>11.37</v>
      </c>
      <c r="H501" s="6">
        <v>22.74</v>
      </c>
      <c r="I501" s="6">
        <v>4.55</v>
      </c>
      <c r="J501" s="6">
        <v>18.190000000000001</v>
      </c>
      <c r="K501" s="5">
        <v>209</v>
      </c>
    </row>
    <row r="502" spans="1:11" x14ac:dyDescent="0.3">
      <c r="A502" s="3">
        <v>1653</v>
      </c>
      <c r="B502" s="3" t="s">
        <v>31</v>
      </c>
      <c r="C502" s="4">
        <v>45835</v>
      </c>
      <c r="D502" s="3" t="s">
        <v>38</v>
      </c>
      <c r="E502" s="3" t="s">
        <v>47</v>
      </c>
      <c r="F502" s="5">
        <v>2</v>
      </c>
      <c r="G502" s="6">
        <v>20.95</v>
      </c>
      <c r="H502" s="6">
        <v>41.9</v>
      </c>
      <c r="I502" s="6">
        <v>8.3800000000000008</v>
      </c>
      <c r="J502" s="6">
        <v>33.520000000000003</v>
      </c>
      <c r="K502" s="5">
        <v>246</v>
      </c>
    </row>
    <row r="503" spans="1:11" x14ac:dyDescent="0.3">
      <c r="A503" s="3">
        <v>8078</v>
      </c>
      <c r="B503" s="3" t="s">
        <v>31</v>
      </c>
      <c r="C503" s="4">
        <v>45715</v>
      </c>
      <c r="D503" s="3" t="s">
        <v>12</v>
      </c>
      <c r="E503" s="3" t="s">
        <v>43</v>
      </c>
      <c r="F503" s="5">
        <v>1</v>
      </c>
      <c r="G503" s="6">
        <v>25.21</v>
      </c>
      <c r="H503" s="6">
        <v>25.21</v>
      </c>
      <c r="I503" s="6">
        <v>5.04</v>
      </c>
      <c r="J503" s="6">
        <v>20.170000000000002</v>
      </c>
      <c r="K503" s="5">
        <v>342</v>
      </c>
    </row>
    <row r="504" spans="1:11" x14ac:dyDescent="0.3">
      <c r="A504" s="3">
        <v>6280</v>
      </c>
      <c r="B504" s="3" t="s">
        <v>11</v>
      </c>
      <c r="C504" s="4">
        <v>45613</v>
      </c>
      <c r="D504" s="3" t="s">
        <v>38</v>
      </c>
      <c r="E504" s="3" t="s">
        <v>43</v>
      </c>
      <c r="F504" s="5">
        <v>1</v>
      </c>
      <c r="G504" s="6">
        <v>27.23</v>
      </c>
      <c r="H504" s="6">
        <v>27.23</v>
      </c>
      <c r="I504" s="6">
        <v>2.72</v>
      </c>
      <c r="J504" s="6">
        <v>24.51</v>
      </c>
      <c r="K504" s="5">
        <v>329</v>
      </c>
    </row>
    <row r="505" spans="1:11" x14ac:dyDescent="0.3">
      <c r="A505" s="3">
        <v>5102</v>
      </c>
      <c r="B505" s="3" t="s">
        <v>30</v>
      </c>
      <c r="C505" s="4">
        <v>45165</v>
      </c>
      <c r="D505" s="3" t="s">
        <v>35</v>
      </c>
      <c r="E505" s="3" t="s">
        <v>33</v>
      </c>
      <c r="F505" s="5">
        <v>1</v>
      </c>
      <c r="G505" s="6">
        <v>3.88</v>
      </c>
      <c r="H505" s="6">
        <v>3.88</v>
      </c>
      <c r="I505" s="6">
        <v>0.57999999999999996</v>
      </c>
      <c r="J505" s="6">
        <v>3.3</v>
      </c>
      <c r="K505" s="5">
        <v>89</v>
      </c>
    </row>
    <row r="506" spans="1:11" x14ac:dyDescent="0.3">
      <c r="A506" s="3">
        <v>2496</v>
      </c>
      <c r="B506" s="3" t="s">
        <v>36</v>
      </c>
      <c r="C506" s="4">
        <v>45322</v>
      </c>
      <c r="D506" s="3" t="s">
        <v>27</v>
      </c>
      <c r="E506" s="3" t="s">
        <v>21</v>
      </c>
      <c r="F506" s="5">
        <v>4</v>
      </c>
      <c r="G506" s="6">
        <v>22.41</v>
      </c>
      <c r="H506" s="6">
        <v>89.64</v>
      </c>
      <c r="I506" s="6">
        <v>4.41</v>
      </c>
      <c r="J506" s="6">
        <v>85.23</v>
      </c>
      <c r="K506" s="5">
        <v>48</v>
      </c>
    </row>
    <row r="507" spans="1:11" x14ac:dyDescent="0.3">
      <c r="A507" s="3">
        <v>1339</v>
      </c>
      <c r="B507" s="3" t="s">
        <v>19</v>
      </c>
      <c r="C507" s="4">
        <v>45739</v>
      </c>
      <c r="D507" s="3" t="s">
        <v>22</v>
      </c>
      <c r="E507" s="3" t="s">
        <v>23</v>
      </c>
      <c r="F507" s="5">
        <v>4</v>
      </c>
      <c r="G507" s="6">
        <v>28.69</v>
      </c>
      <c r="H507" s="6">
        <v>114.76</v>
      </c>
      <c r="I507" s="6">
        <v>17.21</v>
      </c>
      <c r="J507" s="6">
        <v>97.55</v>
      </c>
      <c r="K507" s="5">
        <v>137</v>
      </c>
    </row>
    <row r="508" spans="1:11" x14ac:dyDescent="0.3">
      <c r="A508" s="3">
        <v>5415</v>
      </c>
      <c r="B508" s="3" t="s">
        <v>36</v>
      </c>
      <c r="C508" s="4">
        <v>45592</v>
      </c>
      <c r="D508" s="3" t="s">
        <v>34</v>
      </c>
      <c r="E508" s="3" t="s">
        <v>48</v>
      </c>
      <c r="F508" s="5">
        <v>4</v>
      </c>
      <c r="G508" s="6">
        <v>12.6</v>
      </c>
      <c r="H508" s="6">
        <v>50.4</v>
      </c>
      <c r="I508" s="6">
        <v>5.04</v>
      </c>
      <c r="J508" s="6">
        <v>45.36</v>
      </c>
      <c r="K508" s="5">
        <v>233</v>
      </c>
    </row>
    <row r="509" spans="1:11" x14ac:dyDescent="0.3">
      <c r="A509" s="3">
        <v>1659</v>
      </c>
      <c r="B509" s="3" t="s">
        <v>26</v>
      </c>
      <c r="C509" s="4">
        <v>45737</v>
      </c>
      <c r="D509" s="3" t="s">
        <v>20</v>
      </c>
      <c r="E509" s="3" t="s">
        <v>29</v>
      </c>
      <c r="F509" s="5">
        <v>1</v>
      </c>
      <c r="G509" s="6">
        <v>4.83</v>
      </c>
      <c r="H509" s="6">
        <v>4.83</v>
      </c>
      <c r="I509" s="6">
        <v>0.97</v>
      </c>
      <c r="J509" s="6">
        <v>3.86</v>
      </c>
      <c r="K509" s="5">
        <v>371</v>
      </c>
    </row>
    <row r="510" spans="1:11" x14ac:dyDescent="0.3">
      <c r="A510" s="3">
        <v>3870</v>
      </c>
      <c r="B510" s="3" t="s">
        <v>11</v>
      </c>
      <c r="C510" s="4">
        <v>45510</v>
      </c>
      <c r="D510" s="3" t="s">
        <v>20</v>
      </c>
      <c r="E510" s="3" t="s">
        <v>47</v>
      </c>
      <c r="F510" s="5">
        <v>5</v>
      </c>
      <c r="G510" s="6">
        <v>20.66</v>
      </c>
      <c r="H510" s="6">
        <v>103.3</v>
      </c>
      <c r="I510" s="6">
        <v>15.49</v>
      </c>
      <c r="J510" s="6">
        <v>87.81</v>
      </c>
      <c r="K510" s="5">
        <v>92</v>
      </c>
    </row>
    <row r="511" spans="1:11" x14ac:dyDescent="0.3">
      <c r="A511" s="3">
        <v>9502</v>
      </c>
      <c r="B511" s="3" t="s">
        <v>31</v>
      </c>
      <c r="C511" s="4">
        <v>45651</v>
      </c>
      <c r="D511" s="3" t="s">
        <v>27</v>
      </c>
      <c r="E511" s="3" t="s">
        <v>41</v>
      </c>
      <c r="F511" s="5">
        <v>4</v>
      </c>
      <c r="G511" s="6">
        <v>27.68</v>
      </c>
      <c r="H511" s="6">
        <v>110.72</v>
      </c>
      <c r="I511" s="6">
        <v>11.07</v>
      </c>
      <c r="J511" s="6">
        <v>99.65</v>
      </c>
      <c r="K511" s="5">
        <v>57</v>
      </c>
    </row>
    <row r="512" spans="1:11" x14ac:dyDescent="0.3">
      <c r="A512" s="3">
        <v>8245</v>
      </c>
      <c r="B512" s="3" t="s">
        <v>31</v>
      </c>
      <c r="C512" s="4">
        <v>45856</v>
      </c>
      <c r="D512" s="3" t="s">
        <v>15</v>
      </c>
      <c r="E512" s="3" t="s">
        <v>13</v>
      </c>
      <c r="F512" s="5">
        <v>3</v>
      </c>
      <c r="G512" s="6">
        <v>1.35</v>
      </c>
      <c r="H512" s="6">
        <v>4.05</v>
      </c>
      <c r="I512" s="6">
        <v>0</v>
      </c>
      <c r="J512" s="6">
        <v>4.05</v>
      </c>
      <c r="K512" s="5">
        <v>444</v>
      </c>
    </row>
    <row r="513" spans="1:11" x14ac:dyDescent="0.3">
      <c r="A513" s="3">
        <v>5557</v>
      </c>
      <c r="B513" s="3" t="s">
        <v>36</v>
      </c>
      <c r="C513" s="4">
        <v>45285</v>
      </c>
      <c r="D513" s="3" t="s">
        <v>38</v>
      </c>
      <c r="E513" s="3" t="s">
        <v>46</v>
      </c>
      <c r="F513" s="5">
        <v>5</v>
      </c>
      <c r="G513" s="6">
        <v>3.75</v>
      </c>
      <c r="H513" s="6">
        <v>18.75</v>
      </c>
      <c r="I513" s="6">
        <v>1.88</v>
      </c>
      <c r="J513" s="6">
        <v>16.87</v>
      </c>
      <c r="K513" s="5">
        <v>338</v>
      </c>
    </row>
    <row r="514" spans="1:11" x14ac:dyDescent="0.3">
      <c r="A514" s="3">
        <v>8141</v>
      </c>
      <c r="B514" s="3" t="s">
        <v>36</v>
      </c>
      <c r="C514" s="4">
        <v>45638</v>
      </c>
      <c r="D514" s="3" t="s">
        <v>27</v>
      </c>
      <c r="E514" s="3" t="s">
        <v>32</v>
      </c>
      <c r="F514" s="5">
        <v>2</v>
      </c>
      <c r="G514" s="6">
        <v>25.32</v>
      </c>
      <c r="H514" s="6">
        <v>50.64</v>
      </c>
      <c r="I514" s="6">
        <v>3.57</v>
      </c>
      <c r="J514" s="6">
        <v>47.07</v>
      </c>
      <c r="K514" s="5">
        <v>285</v>
      </c>
    </row>
    <row r="515" spans="1:11" x14ac:dyDescent="0.3">
      <c r="A515" s="3">
        <v>9056</v>
      </c>
      <c r="B515" s="3" t="s">
        <v>19</v>
      </c>
      <c r="C515" s="4">
        <v>45215</v>
      </c>
      <c r="D515" s="3" t="s">
        <v>38</v>
      </c>
      <c r="E515" s="3" t="s">
        <v>47</v>
      </c>
      <c r="F515" s="5">
        <v>4</v>
      </c>
      <c r="G515" s="6">
        <v>26.2</v>
      </c>
      <c r="H515" s="6">
        <v>104.8</v>
      </c>
      <c r="I515" s="6">
        <v>15.72</v>
      </c>
      <c r="J515" s="6">
        <v>89.08</v>
      </c>
      <c r="K515" s="5">
        <v>38</v>
      </c>
    </row>
    <row r="516" spans="1:11" x14ac:dyDescent="0.3">
      <c r="A516" s="3">
        <v>8700</v>
      </c>
      <c r="B516" s="3" t="s">
        <v>42</v>
      </c>
      <c r="C516" s="4">
        <v>45415</v>
      </c>
      <c r="D516" s="3" t="s">
        <v>22</v>
      </c>
      <c r="E516" s="3" t="s">
        <v>13</v>
      </c>
      <c r="F516" s="5">
        <v>1</v>
      </c>
      <c r="G516" s="6">
        <v>15.69</v>
      </c>
      <c r="H516" s="6">
        <v>15.69</v>
      </c>
      <c r="I516" s="6">
        <v>1.57</v>
      </c>
      <c r="J516" s="6">
        <v>14.12</v>
      </c>
      <c r="K516" s="5">
        <v>281</v>
      </c>
    </row>
    <row r="517" spans="1:11" x14ac:dyDescent="0.3">
      <c r="A517" s="3">
        <v>7690</v>
      </c>
      <c r="B517" s="3" t="s">
        <v>42</v>
      </c>
      <c r="C517" s="4">
        <v>45403</v>
      </c>
      <c r="D517" s="3" t="s">
        <v>15</v>
      </c>
      <c r="E517" s="3" t="s">
        <v>33</v>
      </c>
      <c r="F517" s="5">
        <v>4</v>
      </c>
      <c r="G517" s="6">
        <v>24.23</v>
      </c>
      <c r="H517" s="6">
        <v>96.92</v>
      </c>
      <c r="I517" s="6">
        <v>9.69</v>
      </c>
      <c r="J517" s="6">
        <v>87.23</v>
      </c>
      <c r="K517" s="5">
        <v>229</v>
      </c>
    </row>
    <row r="518" spans="1:11" x14ac:dyDescent="0.3">
      <c r="A518" s="3">
        <v>6260</v>
      </c>
      <c r="B518" s="3" t="s">
        <v>26</v>
      </c>
      <c r="C518" s="4">
        <v>45665</v>
      </c>
      <c r="D518" s="3" t="s">
        <v>22</v>
      </c>
      <c r="E518" s="3" t="s">
        <v>48</v>
      </c>
      <c r="F518" s="5">
        <v>4</v>
      </c>
      <c r="G518" s="6">
        <v>22.6</v>
      </c>
      <c r="H518" s="6">
        <v>90.4</v>
      </c>
      <c r="I518" s="6">
        <v>9.0399999999999991</v>
      </c>
      <c r="J518" s="6">
        <v>81.36</v>
      </c>
      <c r="K518" s="5">
        <v>9</v>
      </c>
    </row>
    <row r="519" spans="1:11" x14ac:dyDescent="0.3">
      <c r="A519" s="3">
        <v>2713</v>
      </c>
      <c r="B519" s="3" t="s">
        <v>24</v>
      </c>
      <c r="C519" s="4">
        <v>45811</v>
      </c>
      <c r="D519" s="3" t="s">
        <v>12</v>
      </c>
      <c r="E519" s="3" t="s">
        <v>18</v>
      </c>
      <c r="F519" s="5">
        <v>5</v>
      </c>
      <c r="G519" s="6">
        <v>0.99</v>
      </c>
      <c r="H519" s="6">
        <v>4.95</v>
      </c>
      <c r="I519" s="6">
        <v>3.25</v>
      </c>
      <c r="J519" s="6">
        <v>1.7</v>
      </c>
      <c r="K519" s="5">
        <v>46</v>
      </c>
    </row>
    <row r="520" spans="1:11" x14ac:dyDescent="0.3">
      <c r="A520" s="3">
        <v>3634</v>
      </c>
      <c r="B520" s="3" t="s">
        <v>26</v>
      </c>
      <c r="C520" s="4">
        <v>45401</v>
      </c>
      <c r="D520" s="3" t="s">
        <v>22</v>
      </c>
      <c r="E520" s="3" t="s">
        <v>23</v>
      </c>
      <c r="F520" s="5">
        <v>1</v>
      </c>
      <c r="G520" s="6">
        <v>24.67</v>
      </c>
      <c r="H520" s="6">
        <v>24.67</v>
      </c>
      <c r="I520" s="6">
        <v>3.7</v>
      </c>
      <c r="J520" s="6">
        <v>20.97</v>
      </c>
      <c r="K520" s="5">
        <v>432</v>
      </c>
    </row>
    <row r="521" spans="1:11" x14ac:dyDescent="0.3">
      <c r="A521" s="3">
        <v>7744</v>
      </c>
      <c r="B521" s="3" t="s">
        <v>14</v>
      </c>
      <c r="C521" s="4">
        <v>45683</v>
      </c>
      <c r="D521" s="3" t="s">
        <v>28</v>
      </c>
      <c r="E521" s="3" t="s">
        <v>47</v>
      </c>
      <c r="F521" s="5">
        <v>3</v>
      </c>
      <c r="G521" s="6">
        <v>21.75</v>
      </c>
      <c r="H521" s="6">
        <v>65.25</v>
      </c>
      <c r="I521" s="6">
        <v>0</v>
      </c>
      <c r="J521" s="6">
        <v>65.25</v>
      </c>
      <c r="K521" s="5">
        <v>58</v>
      </c>
    </row>
    <row r="522" spans="1:11" x14ac:dyDescent="0.3">
      <c r="A522" s="3">
        <v>9117</v>
      </c>
      <c r="B522" s="3" t="s">
        <v>42</v>
      </c>
      <c r="C522" s="4">
        <v>45368</v>
      </c>
      <c r="D522" s="3" t="s">
        <v>12</v>
      </c>
      <c r="E522" s="3" t="s">
        <v>21</v>
      </c>
      <c r="F522" s="5">
        <v>3</v>
      </c>
      <c r="G522" s="6">
        <v>25.06</v>
      </c>
      <c r="H522" s="6">
        <v>75.180000000000007</v>
      </c>
      <c r="I522" s="6">
        <v>3.09</v>
      </c>
      <c r="J522" s="6">
        <v>72.09</v>
      </c>
      <c r="K522" s="5">
        <v>493</v>
      </c>
    </row>
    <row r="523" spans="1:11" x14ac:dyDescent="0.3">
      <c r="A523" s="3">
        <v>7561</v>
      </c>
      <c r="B523" s="3" t="s">
        <v>11</v>
      </c>
      <c r="C523" s="4">
        <v>45776</v>
      </c>
      <c r="D523" s="3" t="s">
        <v>12</v>
      </c>
      <c r="E523" s="3" t="s">
        <v>29</v>
      </c>
      <c r="F523" s="5">
        <v>4</v>
      </c>
      <c r="G523" s="6">
        <v>5.0599999999999996</v>
      </c>
      <c r="H523" s="6">
        <v>20.239999999999998</v>
      </c>
      <c r="I523" s="6">
        <v>2.02</v>
      </c>
      <c r="J523" s="6">
        <v>18.22</v>
      </c>
      <c r="K523" s="5">
        <v>367</v>
      </c>
    </row>
    <row r="524" spans="1:11" x14ac:dyDescent="0.3">
      <c r="A524" s="3">
        <v>1601</v>
      </c>
      <c r="B524" s="3" t="s">
        <v>42</v>
      </c>
      <c r="C524" s="4">
        <v>45498</v>
      </c>
      <c r="D524" s="3" t="s">
        <v>17</v>
      </c>
      <c r="E524" s="3" t="s">
        <v>48</v>
      </c>
      <c r="F524" s="5">
        <v>4</v>
      </c>
      <c r="G524" s="6">
        <v>7.24</v>
      </c>
      <c r="H524" s="6">
        <v>28.96</v>
      </c>
      <c r="I524" s="6">
        <v>0</v>
      </c>
      <c r="J524" s="6">
        <v>28.96</v>
      </c>
      <c r="K524" s="5">
        <v>422</v>
      </c>
    </row>
    <row r="525" spans="1:11" x14ac:dyDescent="0.3">
      <c r="A525" s="3">
        <v>2442</v>
      </c>
      <c r="B525" s="3" t="s">
        <v>36</v>
      </c>
      <c r="C525" s="4">
        <v>45389</v>
      </c>
      <c r="D525" s="3" t="s">
        <v>15</v>
      </c>
      <c r="E525" s="3" t="s">
        <v>16</v>
      </c>
      <c r="F525" s="5">
        <v>1</v>
      </c>
      <c r="G525" s="6">
        <v>27.86</v>
      </c>
      <c r="H525" s="6">
        <v>27.86</v>
      </c>
      <c r="I525" s="6">
        <v>2.79</v>
      </c>
      <c r="J525" s="6">
        <v>25.07</v>
      </c>
      <c r="K525" s="5">
        <v>428</v>
      </c>
    </row>
    <row r="526" spans="1:11" x14ac:dyDescent="0.3">
      <c r="A526" s="3">
        <v>5135</v>
      </c>
      <c r="B526" s="3" t="s">
        <v>26</v>
      </c>
      <c r="C526" s="4">
        <v>45396</v>
      </c>
      <c r="D526" s="3" t="s">
        <v>27</v>
      </c>
      <c r="E526" s="3" t="s">
        <v>46</v>
      </c>
      <c r="F526" s="5">
        <v>2</v>
      </c>
      <c r="G526" s="6">
        <v>28.94</v>
      </c>
      <c r="H526" s="6">
        <v>57.88</v>
      </c>
      <c r="I526" s="6">
        <v>4.74</v>
      </c>
      <c r="J526" s="6">
        <v>53.14</v>
      </c>
      <c r="K526" s="5">
        <v>2</v>
      </c>
    </row>
    <row r="527" spans="1:11" x14ac:dyDescent="0.3">
      <c r="A527" s="3">
        <v>2899</v>
      </c>
      <c r="B527" s="3" t="s">
        <v>26</v>
      </c>
      <c r="C527" s="4">
        <v>45745</v>
      </c>
      <c r="D527" s="3" t="s">
        <v>38</v>
      </c>
      <c r="E527" s="3" t="s">
        <v>29</v>
      </c>
      <c r="F527" s="5">
        <v>5</v>
      </c>
      <c r="G527" s="6">
        <v>6.03</v>
      </c>
      <c r="H527" s="6">
        <v>30.15</v>
      </c>
      <c r="I527" s="6">
        <v>2.5499999999999998</v>
      </c>
      <c r="J527" s="6">
        <v>27.6</v>
      </c>
      <c r="K527" s="5">
        <v>417</v>
      </c>
    </row>
    <row r="528" spans="1:11" x14ac:dyDescent="0.3">
      <c r="A528" s="3">
        <v>7622</v>
      </c>
      <c r="B528" s="3" t="s">
        <v>36</v>
      </c>
      <c r="C528" s="4">
        <v>45816</v>
      </c>
      <c r="D528" s="3" t="s">
        <v>38</v>
      </c>
      <c r="E528" s="3" t="s">
        <v>32</v>
      </c>
      <c r="F528" s="5">
        <v>4</v>
      </c>
      <c r="G528" s="6">
        <v>29.4</v>
      </c>
      <c r="H528" s="6">
        <v>117.6</v>
      </c>
      <c r="I528" s="6">
        <v>17.64</v>
      </c>
      <c r="J528" s="6">
        <v>99.96</v>
      </c>
      <c r="K528" s="5">
        <v>468</v>
      </c>
    </row>
    <row r="529" spans="1:11" x14ac:dyDescent="0.3">
      <c r="A529" s="3">
        <v>9431</v>
      </c>
      <c r="B529" s="3" t="s">
        <v>24</v>
      </c>
      <c r="C529" s="4">
        <v>45785</v>
      </c>
      <c r="D529" s="3" t="s">
        <v>22</v>
      </c>
      <c r="E529" s="3" t="s">
        <v>37</v>
      </c>
      <c r="F529" s="5">
        <v>4</v>
      </c>
      <c r="G529" s="6">
        <v>24.33</v>
      </c>
      <c r="H529" s="6">
        <v>97.32</v>
      </c>
      <c r="I529" s="6">
        <v>3.8</v>
      </c>
      <c r="J529" s="6">
        <v>93.52</v>
      </c>
      <c r="K529" s="5">
        <v>70</v>
      </c>
    </row>
    <row r="530" spans="1:11" x14ac:dyDescent="0.3">
      <c r="A530" s="3">
        <v>1018</v>
      </c>
      <c r="B530" s="3" t="s">
        <v>14</v>
      </c>
      <c r="C530" s="4">
        <v>45655</v>
      </c>
      <c r="D530" s="3" t="s">
        <v>35</v>
      </c>
      <c r="E530" s="3" t="s">
        <v>18</v>
      </c>
      <c r="F530" s="5">
        <v>3</v>
      </c>
      <c r="G530" s="6">
        <v>21.63</v>
      </c>
      <c r="H530" s="6">
        <v>64.89</v>
      </c>
      <c r="I530" s="6">
        <v>12.98</v>
      </c>
      <c r="J530" s="6">
        <v>51.91</v>
      </c>
      <c r="K530" s="5">
        <v>478</v>
      </c>
    </row>
    <row r="531" spans="1:11" x14ac:dyDescent="0.3">
      <c r="A531" s="3">
        <v>9889</v>
      </c>
      <c r="B531" s="3" t="s">
        <v>42</v>
      </c>
      <c r="C531" s="4">
        <v>45503</v>
      </c>
      <c r="D531" s="3" t="s">
        <v>28</v>
      </c>
      <c r="E531" s="3" t="s">
        <v>37</v>
      </c>
      <c r="F531" s="5">
        <v>3</v>
      </c>
      <c r="G531" s="6">
        <v>27.7</v>
      </c>
      <c r="H531" s="6">
        <v>83.1</v>
      </c>
      <c r="I531" s="6">
        <v>3.17</v>
      </c>
      <c r="J531" s="6">
        <v>79.930000000000007</v>
      </c>
      <c r="K531" s="5">
        <v>67</v>
      </c>
    </row>
    <row r="532" spans="1:11" x14ac:dyDescent="0.3">
      <c r="A532" s="3">
        <v>7770</v>
      </c>
      <c r="B532" s="3" t="s">
        <v>36</v>
      </c>
      <c r="C532" s="4">
        <v>45187</v>
      </c>
      <c r="D532" s="3" t="s">
        <v>15</v>
      </c>
      <c r="E532" s="3" t="s">
        <v>23</v>
      </c>
      <c r="F532" s="5">
        <v>5</v>
      </c>
      <c r="G532" s="6">
        <v>14.92</v>
      </c>
      <c r="H532" s="6">
        <v>74.599999999999994</v>
      </c>
      <c r="I532" s="6">
        <v>0</v>
      </c>
      <c r="J532" s="6">
        <v>74.599999999999994</v>
      </c>
      <c r="K532" s="5">
        <v>292</v>
      </c>
    </row>
    <row r="533" spans="1:11" x14ac:dyDescent="0.3">
      <c r="A533" s="3">
        <v>4073</v>
      </c>
      <c r="B533" s="3" t="s">
        <v>14</v>
      </c>
      <c r="C533" s="4">
        <v>45547</v>
      </c>
      <c r="D533" s="3" t="s">
        <v>35</v>
      </c>
      <c r="E533" s="3" t="s">
        <v>16</v>
      </c>
      <c r="F533" s="5">
        <v>1</v>
      </c>
      <c r="G533" s="6">
        <v>16.149999999999999</v>
      </c>
      <c r="H533" s="6">
        <v>16.149999999999999</v>
      </c>
      <c r="I533" s="6">
        <v>3.23</v>
      </c>
      <c r="J533" s="6">
        <v>12.92</v>
      </c>
      <c r="K533" s="5">
        <v>12</v>
      </c>
    </row>
    <row r="534" spans="1:11" x14ac:dyDescent="0.3">
      <c r="A534" s="3">
        <v>6927</v>
      </c>
      <c r="B534" s="3" t="s">
        <v>31</v>
      </c>
      <c r="C534" s="4">
        <v>45628</v>
      </c>
      <c r="D534" s="3" t="s">
        <v>27</v>
      </c>
      <c r="E534" s="3" t="s">
        <v>40</v>
      </c>
      <c r="F534" s="5">
        <v>2</v>
      </c>
      <c r="G534" s="6">
        <v>8.73</v>
      </c>
      <c r="H534" s="6">
        <v>17.46</v>
      </c>
      <c r="I534" s="6">
        <v>2.62</v>
      </c>
      <c r="J534" s="6">
        <v>14.84</v>
      </c>
      <c r="K534" s="5">
        <v>402</v>
      </c>
    </row>
    <row r="535" spans="1:11" x14ac:dyDescent="0.3">
      <c r="A535" s="3">
        <v>9167</v>
      </c>
      <c r="B535" s="3" t="s">
        <v>30</v>
      </c>
      <c r="C535" s="4">
        <v>45630</v>
      </c>
      <c r="D535" s="3" t="s">
        <v>34</v>
      </c>
      <c r="E535" s="3" t="s">
        <v>40</v>
      </c>
      <c r="F535" s="5">
        <v>3</v>
      </c>
      <c r="G535" s="6">
        <v>6.91</v>
      </c>
      <c r="H535" s="6">
        <v>20.73</v>
      </c>
      <c r="I535" s="6">
        <v>3.11</v>
      </c>
      <c r="J535" s="6">
        <v>17.62</v>
      </c>
      <c r="K535" s="5">
        <v>277</v>
      </c>
    </row>
    <row r="536" spans="1:11" x14ac:dyDescent="0.3">
      <c r="A536" s="3">
        <v>8242</v>
      </c>
      <c r="B536" s="3" t="s">
        <v>26</v>
      </c>
      <c r="C536" s="4">
        <v>45735</v>
      </c>
      <c r="D536" s="3" t="s">
        <v>15</v>
      </c>
      <c r="E536" s="3" t="s">
        <v>18</v>
      </c>
      <c r="F536" s="5">
        <v>2</v>
      </c>
      <c r="G536" s="6">
        <v>22.52</v>
      </c>
      <c r="H536" s="6">
        <v>45.04</v>
      </c>
      <c r="I536" s="6">
        <v>9.01</v>
      </c>
      <c r="J536" s="6">
        <v>36.03</v>
      </c>
      <c r="K536" s="5">
        <v>287</v>
      </c>
    </row>
    <row r="537" spans="1:11" x14ac:dyDescent="0.3">
      <c r="A537" s="3">
        <v>1845</v>
      </c>
      <c r="B537" s="3" t="s">
        <v>14</v>
      </c>
      <c r="C537" s="4">
        <v>45303</v>
      </c>
      <c r="D537" s="3" t="s">
        <v>35</v>
      </c>
      <c r="E537" s="3" t="s">
        <v>40</v>
      </c>
      <c r="F537" s="5">
        <v>4</v>
      </c>
      <c r="G537" s="6">
        <v>12.23</v>
      </c>
      <c r="H537" s="6">
        <v>48.92</v>
      </c>
      <c r="I537" s="6">
        <v>1.22</v>
      </c>
      <c r="J537" s="6">
        <v>47.7</v>
      </c>
      <c r="K537" s="5">
        <v>489</v>
      </c>
    </row>
    <row r="538" spans="1:11" x14ac:dyDescent="0.3">
      <c r="A538" s="3">
        <v>5375</v>
      </c>
      <c r="B538" s="3" t="s">
        <v>30</v>
      </c>
      <c r="C538" s="4">
        <v>45571</v>
      </c>
      <c r="D538" s="3" t="s">
        <v>17</v>
      </c>
      <c r="E538" s="3" t="s">
        <v>33</v>
      </c>
      <c r="F538" s="5">
        <v>2</v>
      </c>
      <c r="G538" s="6">
        <v>27.42</v>
      </c>
      <c r="H538" s="6">
        <v>54.84</v>
      </c>
      <c r="I538" s="6">
        <v>3.19</v>
      </c>
      <c r="J538" s="6">
        <v>51.65</v>
      </c>
      <c r="K538" s="5">
        <v>360</v>
      </c>
    </row>
    <row r="539" spans="1:11" x14ac:dyDescent="0.3">
      <c r="A539" s="3">
        <v>3146</v>
      </c>
      <c r="B539" s="3" t="s">
        <v>42</v>
      </c>
      <c r="C539" s="4">
        <v>45865</v>
      </c>
      <c r="D539" s="3" t="s">
        <v>17</v>
      </c>
      <c r="E539" s="3" t="s">
        <v>37</v>
      </c>
      <c r="F539" s="5">
        <v>4</v>
      </c>
      <c r="G539" s="6">
        <v>6.14</v>
      </c>
      <c r="H539" s="6">
        <v>24.56</v>
      </c>
      <c r="I539" s="6">
        <v>4.91</v>
      </c>
      <c r="J539" s="6">
        <v>19.649999999999999</v>
      </c>
      <c r="K539" s="5">
        <v>349</v>
      </c>
    </row>
    <row r="540" spans="1:11" x14ac:dyDescent="0.3">
      <c r="A540" s="3">
        <v>5719</v>
      </c>
      <c r="B540" s="3" t="s">
        <v>19</v>
      </c>
      <c r="C540" s="4">
        <v>45485</v>
      </c>
      <c r="D540" s="3" t="s">
        <v>38</v>
      </c>
      <c r="E540" s="3" t="s">
        <v>48</v>
      </c>
      <c r="F540" s="5">
        <v>4</v>
      </c>
      <c r="G540" s="6">
        <v>2.17</v>
      </c>
      <c r="H540" s="6">
        <v>8.68</v>
      </c>
      <c r="I540" s="6">
        <v>1.74</v>
      </c>
      <c r="J540" s="6">
        <v>6.94</v>
      </c>
      <c r="K540" s="5">
        <v>142</v>
      </c>
    </row>
    <row r="541" spans="1:11" x14ac:dyDescent="0.3">
      <c r="A541" s="3">
        <v>8941</v>
      </c>
      <c r="B541" s="3" t="s">
        <v>19</v>
      </c>
      <c r="C541" s="4">
        <v>45239</v>
      </c>
      <c r="D541" s="3" t="s">
        <v>28</v>
      </c>
      <c r="E541" s="3" t="s">
        <v>13</v>
      </c>
      <c r="F541" s="5">
        <v>1</v>
      </c>
      <c r="G541" s="6">
        <v>10.58</v>
      </c>
      <c r="H541" s="6">
        <v>10.58</v>
      </c>
      <c r="I541" s="6">
        <v>1.61</v>
      </c>
      <c r="J541" s="6">
        <v>8.9700000000000006</v>
      </c>
      <c r="K541" s="5">
        <v>363</v>
      </c>
    </row>
    <row r="542" spans="1:11" x14ac:dyDescent="0.3">
      <c r="A542" s="3">
        <v>1472</v>
      </c>
      <c r="B542" s="3"/>
      <c r="C542" s="4">
        <v>45634</v>
      </c>
      <c r="D542" s="3" t="s">
        <v>28</v>
      </c>
      <c r="E542" s="3" t="s">
        <v>40</v>
      </c>
      <c r="F542" s="5">
        <v>5</v>
      </c>
      <c r="G542" s="6">
        <v>25.44</v>
      </c>
      <c r="H542" s="6">
        <v>127.2</v>
      </c>
      <c r="I542" s="6">
        <v>3.2</v>
      </c>
      <c r="J542" s="6">
        <v>124</v>
      </c>
      <c r="K542" s="5">
        <v>154</v>
      </c>
    </row>
    <row r="543" spans="1:11" x14ac:dyDescent="0.3">
      <c r="A543" s="3">
        <v>4920</v>
      </c>
      <c r="B543" s="3" t="s">
        <v>11</v>
      </c>
      <c r="C543" s="4">
        <v>45696</v>
      </c>
      <c r="D543" s="3" t="s">
        <v>22</v>
      </c>
      <c r="E543" s="3" t="s">
        <v>46</v>
      </c>
      <c r="F543" s="5">
        <v>2</v>
      </c>
      <c r="G543" s="6">
        <v>28.74</v>
      </c>
      <c r="H543" s="6">
        <v>57.48</v>
      </c>
      <c r="I543" s="6">
        <v>1.64</v>
      </c>
      <c r="J543" s="6">
        <v>55.84</v>
      </c>
      <c r="K543" s="5">
        <v>266</v>
      </c>
    </row>
    <row r="544" spans="1:11" x14ac:dyDescent="0.3">
      <c r="A544" s="3">
        <v>3594</v>
      </c>
      <c r="B544" s="3" t="s">
        <v>14</v>
      </c>
      <c r="C544" s="4">
        <v>45386</v>
      </c>
      <c r="D544" s="3" t="s">
        <v>38</v>
      </c>
      <c r="E544" s="3" t="s">
        <v>32</v>
      </c>
      <c r="F544" s="5">
        <v>1</v>
      </c>
      <c r="G544" s="6">
        <v>11.12</v>
      </c>
      <c r="H544" s="6">
        <v>11.12</v>
      </c>
      <c r="I544" s="6">
        <v>0</v>
      </c>
      <c r="J544" s="6">
        <v>11.12</v>
      </c>
      <c r="K544" s="5">
        <v>452</v>
      </c>
    </row>
    <row r="545" spans="1:11" x14ac:dyDescent="0.3">
      <c r="A545" s="3">
        <v>1224</v>
      </c>
      <c r="B545" s="3" t="s">
        <v>36</v>
      </c>
      <c r="C545" s="4">
        <v>45573</v>
      </c>
      <c r="D545" s="3" t="s">
        <v>22</v>
      </c>
      <c r="E545" s="3" t="s">
        <v>23</v>
      </c>
      <c r="F545" s="5">
        <v>3</v>
      </c>
      <c r="G545" s="6">
        <v>7.32</v>
      </c>
      <c r="H545" s="6">
        <v>21.96</v>
      </c>
      <c r="I545" s="6">
        <v>4.29</v>
      </c>
      <c r="J545" s="6">
        <v>17.670000000000002</v>
      </c>
      <c r="K545" s="5">
        <v>385</v>
      </c>
    </row>
    <row r="546" spans="1:11" x14ac:dyDescent="0.3">
      <c r="A546" s="3">
        <v>7684</v>
      </c>
      <c r="B546" s="3" t="s">
        <v>31</v>
      </c>
      <c r="C546" s="4">
        <v>45217</v>
      </c>
      <c r="D546" s="3" t="s">
        <v>15</v>
      </c>
      <c r="E546" s="3" t="s">
        <v>23</v>
      </c>
      <c r="F546" s="5">
        <v>4</v>
      </c>
      <c r="G546" s="6">
        <v>7.96</v>
      </c>
      <c r="H546" s="6">
        <v>31.84</v>
      </c>
      <c r="I546" s="6">
        <v>3.73</v>
      </c>
      <c r="J546" s="6">
        <v>28.11</v>
      </c>
      <c r="K546" s="5">
        <v>328</v>
      </c>
    </row>
    <row r="547" spans="1:11" x14ac:dyDescent="0.3">
      <c r="A547" s="3">
        <v>4681</v>
      </c>
      <c r="B547" s="3" t="s">
        <v>36</v>
      </c>
      <c r="C547" s="4">
        <v>45798</v>
      </c>
      <c r="D547" s="3" t="s">
        <v>20</v>
      </c>
      <c r="E547" s="3" t="s">
        <v>48</v>
      </c>
      <c r="F547" s="5">
        <v>4</v>
      </c>
      <c r="G547" s="6">
        <v>8.43</v>
      </c>
      <c r="H547" s="6">
        <v>33.72</v>
      </c>
      <c r="I547" s="6">
        <v>4.6500000000000004</v>
      </c>
      <c r="J547" s="6">
        <v>29.07</v>
      </c>
      <c r="K547" s="5">
        <v>370</v>
      </c>
    </row>
    <row r="548" spans="1:11" x14ac:dyDescent="0.3">
      <c r="A548" s="3">
        <v>2858</v>
      </c>
      <c r="B548" s="3" t="s">
        <v>36</v>
      </c>
      <c r="C548" s="4">
        <v>45503</v>
      </c>
      <c r="D548" s="3" t="s">
        <v>38</v>
      </c>
      <c r="E548" s="3" t="s">
        <v>46</v>
      </c>
      <c r="F548" s="5">
        <v>4</v>
      </c>
      <c r="G548" s="6">
        <v>15.11</v>
      </c>
      <c r="H548" s="6">
        <v>60.44</v>
      </c>
      <c r="I548" s="6">
        <v>9.07</v>
      </c>
      <c r="J548" s="6">
        <v>51.37</v>
      </c>
      <c r="K548" s="5">
        <v>151</v>
      </c>
    </row>
    <row r="549" spans="1:11" x14ac:dyDescent="0.3">
      <c r="A549" s="3">
        <v>2924</v>
      </c>
      <c r="B549" s="3" t="s">
        <v>14</v>
      </c>
      <c r="C549" s="4">
        <v>45648</v>
      </c>
      <c r="D549" s="3" t="s">
        <v>15</v>
      </c>
      <c r="E549" s="3" t="s">
        <v>48</v>
      </c>
      <c r="F549" s="5">
        <v>2</v>
      </c>
      <c r="G549" s="6">
        <v>29.17</v>
      </c>
      <c r="H549" s="6">
        <v>58.34</v>
      </c>
      <c r="I549" s="6">
        <v>0</v>
      </c>
      <c r="J549" s="6">
        <v>58.34</v>
      </c>
      <c r="K549" s="5">
        <v>395</v>
      </c>
    </row>
    <row r="550" spans="1:11" x14ac:dyDescent="0.3">
      <c r="A550" s="3">
        <v>3522</v>
      </c>
      <c r="B550" s="3" t="s">
        <v>11</v>
      </c>
      <c r="C550" s="4">
        <v>45532</v>
      </c>
      <c r="D550" s="3" t="s">
        <v>17</v>
      </c>
      <c r="E550" s="3" t="s">
        <v>44</v>
      </c>
      <c r="F550" s="5">
        <v>4</v>
      </c>
      <c r="G550" s="6">
        <v>25.22</v>
      </c>
      <c r="H550" s="6">
        <v>100.88</v>
      </c>
      <c r="I550" s="6">
        <v>0</v>
      </c>
      <c r="J550" s="6">
        <v>100.88</v>
      </c>
      <c r="K550" s="5">
        <v>105</v>
      </c>
    </row>
    <row r="551" spans="1:11" x14ac:dyDescent="0.3">
      <c r="A551" s="3">
        <v>5781</v>
      </c>
      <c r="B551" s="3" t="s">
        <v>11</v>
      </c>
      <c r="C551" s="4">
        <v>45540</v>
      </c>
      <c r="D551" s="3" t="s">
        <v>27</v>
      </c>
      <c r="E551" s="3" t="s">
        <v>41</v>
      </c>
      <c r="F551" s="5">
        <v>1</v>
      </c>
      <c r="G551" s="6">
        <v>14.31</v>
      </c>
      <c r="H551" s="6">
        <v>14.31</v>
      </c>
      <c r="I551" s="6">
        <v>1.29</v>
      </c>
      <c r="J551" s="6">
        <v>13.02</v>
      </c>
      <c r="K551" s="5">
        <v>169</v>
      </c>
    </row>
    <row r="552" spans="1:11" x14ac:dyDescent="0.3">
      <c r="A552" s="3">
        <v>5479</v>
      </c>
      <c r="B552" s="3" t="s">
        <v>19</v>
      </c>
      <c r="C552" s="4">
        <v>45467</v>
      </c>
      <c r="D552" s="3" t="s">
        <v>35</v>
      </c>
      <c r="E552" s="3" t="s">
        <v>18</v>
      </c>
      <c r="F552" s="5">
        <v>1</v>
      </c>
      <c r="G552" s="6">
        <v>17.66</v>
      </c>
      <c r="H552" s="6">
        <v>17.66</v>
      </c>
      <c r="I552" s="6">
        <v>1.77</v>
      </c>
      <c r="J552" s="6">
        <v>15.89</v>
      </c>
      <c r="K552" s="5">
        <v>116</v>
      </c>
    </row>
    <row r="553" spans="1:11" x14ac:dyDescent="0.3">
      <c r="A553" s="3">
        <v>8905</v>
      </c>
      <c r="B553" s="3" t="s">
        <v>24</v>
      </c>
      <c r="C553" s="4">
        <v>45511</v>
      </c>
      <c r="D553" s="3" t="s">
        <v>45</v>
      </c>
      <c r="E553" s="3" t="s">
        <v>32</v>
      </c>
      <c r="F553" s="5">
        <v>4</v>
      </c>
      <c r="G553" s="6">
        <v>10.17</v>
      </c>
      <c r="H553" s="6">
        <v>40.68</v>
      </c>
      <c r="I553" s="6">
        <v>1.02</v>
      </c>
      <c r="J553" s="6">
        <v>39.659999999999997</v>
      </c>
      <c r="K553" s="5">
        <v>199</v>
      </c>
    </row>
    <row r="554" spans="1:11" x14ac:dyDescent="0.3">
      <c r="A554" s="3">
        <v>4993</v>
      </c>
      <c r="B554" s="3" t="s">
        <v>11</v>
      </c>
      <c r="C554" s="4">
        <v>45499</v>
      </c>
      <c r="D554" s="3" t="s">
        <v>28</v>
      </c>
      <c r="E554" s="3" t="s">
        <v>40</v>
      </c>
      <c r="F554" s="5">
        <v>1</v>
      </c>
      <c r="G554" s="6">
        <v>11.36</v>
      </c>
      <c r="H554" s="6">
        <v>11.36</v>
      </c>
      <c r="I554" s="6">
        <v>1.7</v>
      </c>
      <c r="J554" s="6">
        <v>9.66</v>
      </c>
      <c r="K554" s="5">
        <v>257</v>
      </c>
    </row>
    <row r="555" spans="1:11" x14ac:dyDescent="0.3">
      <c r="A555" s="3">
        <v>3369</v>
      </c>
      <c r="B555" s="3" t="s">
        <v>30</v>
      </c>
      <c r="C555" s="4">
        <v>45442</v>
      </c>
      <c r="D555" s="3" t="s">
        <v>28</v>
      </c>
      <c r="E555" s="3" t="s">
        <v>43</v>
      </c>
      <c r="F555" s="5">
        <v>3</v>
      </c>
      <c r="G555" s="6">
        <v>23.18</v>
      </c>
      <c r="H555" s="6">
        <v>69.540000000000006</v>
      </c>
      <c r="I555" s="6">
        <v>6.95</v>
      </c>
      <c r="J555" s="6">
        <v>62.59</v>
      </c>
      <c r="K555" s="5">
        <v>224</v>
      </c>
    </row>
    <row r="556" spans="1:11" x14ac:dyDescent="0.3">
      <c r="A556" s="3">
        <v>4122</v>
      </c>
      <c r="B556" s="3" t="s">
        <v>31</v>
      </c>
      <c r="C556" s="4">
        <v>45861</v>
      </c>
      <c r="D556" s="3" t="s">
        <v>45</v>
      </c>
      <c r="E556" s="3" t="s">
        <v>29</v>
      </c>
      <c r="F556" s="5">
        <v>5</v>
      </c>
      <c r="G556" s="6">
        <v>7.37</v>
      </c>
      <c r="H556" s="6">
        <v>36.85</v>
      </c>
      <c r="I556" s="6">
        <v>2.1800000000000002</v>
      </c>
      <c r="J556" s="6">
        <v>34.67</v>
      </c>
      <c r="K556" s="5">
        <v>382</v>
      </c>
    </row>
    <row r="557" spans="1:11" x14ac:dyDescent="0.3">
      <c r="A557" s="3">
        <v>9327</v>
      </c>
      <c r="B557" s="3" t="s">
        <v>19</v>
      </c>
      <c r="C557" s="4">
        <v>45724</v>
      </c>
      <c r="D557" s="3" t="s">
        <v>35</v>
      </c>
      <c r="E557" s="3" t="s">
        <v>23</v>
      </c>
      <c r="F557" s="5">
        <v>1</v>
      </c>
      <c r="G557" s="6">
        <v>17.04</v>
      </c>
      <c r="H557" s="6">
        <v>17.04</v>
      </c>
      <c r="I557" s="6">
        <v>1.17</v>
      </c>
      <c r="J557" s="6">
        <v>15.87</v>
      </c>
      <c r="K557" s="5">
        <v>284</v>
      </c>
    </row>
    <row r="558" spans="1:11" x14ac:dyDescent="0.3">
      <c r="A558" s="3">
        <v>3236</v>
      </c>
      <c r="B558" s="3" t="s">
        <v>24</v>
      </c>
      <c r="C558" s="4">
        <v>45816</v>
      </c>
      <c r="D558" s="3" t="s">
        <v>38</v>
      </c>
      <c r="E558" s="3" t="s">
        <v>18</v>
      </c>
      <c r="F558" s="5">
        <v>1</v>
      </c>
      <c r="G558" s="6">
        <v>9.83</v>
      </c>
      <c r="H558" s="6">
        <v>9.83</v>
      </c>
      <c r="I558" s="6">
        <v>1.97</v>
      </c>
      <c r="J558" s="6">
        <v>7.86</v>
      </c>
      <c r="K558" s="5">
        <v>383</v>
      </c>
    </row>
    <row r="559" spans="1:11" x14ac:dyDescent="0.3">
      <c r="A559" s="3">
        <v>2143</v>
      </c>
      <c r="B559" s="3" t="s">
        <v>24</v>
      </c>
      <c r="C559" s="4">
        <v>45359</v>
      </c>
      <c r="D559" s="3" t="s">
        <v>27</v>
      </c>
      <c r="E559" s="3" t="s">
        <v>46</v>
      </c>
      <c r="F559" s="5">
        <v>2</v>
      </c>
      <c r="G559" s="6">
        <v>5.66</v>
      </c>
      <c r="H559" s="6">
        <v>11.32</v>
      </c>
      <c r="I559" s="6">
        <v>2.2599999999999998</v>
      </c>
      <c r="J559" s="6">
        <v>9.06</v>
      </c>
      <c r="K559" s="5">
        <v>113</v>
      </c>
    </row>
    <row r="560" spans="1:11" x14ac:dyDescent="0.3">
      <c r="A560" s="3">
        <v>7798</v>
      </c>
      <c r="B560" s="3" t="s">
        <v>11</v>
      </c>
      <c r="C560" s="4">
        <v>45408</v>
      </c>
      <c r="D560" s="3" t="s">
        <v>34</v>
      </c>
      <c r="E560" s="3" t="s">
        <v>40</v>
      </c>
      <c r="F560" s="5">
        <v>5</v>
      </c>
      <c r="G560" s="6">
        <v>14.37</v>
      </c>
      <c r="H560" s="6">
        <v>71.849999999999994</v>
      </c>
      <c r="I560" s="6">
        <v>10.78</v>
      </c>
      <c r="J560" s="6">
        <v>61.07</v>
      </c>
      <c r="K560" s="5">
        <v>281</v>
      </c>
    </row>
    <row r="561" spans="1:11" x14ac:dyDescent="0.3">
      <c r="A561" s="3">
        <v>9318</v>
      </c>
      <c r="B561" s="3" t="s">
        <v>11</v>
      </c>
      <c r="C561" s="4">
        <v>45352</v>
      </c>
      <c r="D561" s="3" t="s">
        <v>35</v>
      </c>
      <c r="E561" s="3" t="s">
        <v>48</v>
      </c>
      <c r="F561" s="5">
        <v>2</v>
      </c>
      <c r="G561" s="6">
        <v>22.03</v>
      </c>
      <c r="H561" s="6">
        <v>44.06</v>
      </c>
      <c r="I561" s="6">
        <v>6.61</v>
      </c>
      <c r="J561" s="6">
        <v>37.450000000000003</v>
      </c>
      <c r="K561" s="5">
        <v>249</v>
      </c>
    </row>
    <row r="562" spans="1:11" x14ac:dyDescent="0.3">
      <c r="A562" s="3">
        <v>1042</v>
      </c>
      <c r="B562" s="3" t="s">
        <v>19</v>
      </c>
      <c r="C562" s="4">
        <v>45364</v>
      </c>
      <c r="D562" s="3" t="s">
        <v>27</v>
      </c>
      <c r="E562" s="3" t="s">
        <v>25</v>
      </c>
      <c r="F562" s="5">
        <v>1</v>
      </c>
      <c r="G562" s="6">
        <v>9.26</v>
      </c>
      <c r="H562" s="6">
        <v>9.26</v>
      </c>
      <c r="I562" s="6">
        <v>1.39</v>
      </c>
      <c r="J562" s="6">
        <v>7.87</v>
      </c>
      <c r="K562" s="5">
        <v>35</v>
      </c>
    </row>
    <row r="563" spans="1:11" x14ac:dyDescent="0.3">
      <c r="A563" s="3">
        <v>5891</v>
      </c>
      <c r="B563" s="3" t="s">
        <v>26</v>
      </c>
      <c r="C563" s="4">
        <v>45795</v>
      </c>
      <c r="D563" s="3" t="s">
        <v>45</v>
      </c>
      <c r="E563" s="3" t="s">
        <v>21</v>
      </c>
      <c r="F563" s="5">
        <v>5</v>
      </c>
      <c r="G563" s="6">
        <v>20.11</v>
      </c>
      <c r="H563" s="6">
        <v>100.55</v>
      </c>
      <c r="I563" s="6">
        <v>3.27</v>
      </c>
      <c r="J563" s="6">
        <v>97.28</v>
      </c>
      <c r="K563" s="5">
        <v>355</v>
      </c>
    </row>
    <row r="564" spans="1:11" x14ac:dyDescent="0.3">
      <c r="A564" s="3">
        <v>9022</v>
      </c>
      <c r="B564" s="3" t="s">
        <v>36</v>
      </c>
      <c r="C564" s="4">
        <v>45817</v>
      </c>
      <c r="D564" s="3" t="s">
        <v>20</v>
      </c>
      <c r="E564" s="3" t="s">
        <v>29</v>
      </c>
      <c r="F564" s="5">
        <v>1</v>
      </c>
      <c r="G564" s="6">
        <v>10.07</v>
      </c>
      <c r="H564" s="6">
        <v>10.07</v>
      </c>
      <c r="I564" s="6">
        <v>0</v>
      </c>
      <c r="J564" s="6">
        <v>10.07</v>
      </c>
      <c r="K564" s="5">
        <v>402</v>
      </c>
    </row>
    <row r="565" spans="1:11" x14ac:dyDescent="0.3">
      <c r="A565" s="3">
        <v>3434</v>
      </c>
      <c r="B565" s="3" t="s">
        <v>24</v>
      </c>
      <c r="C565" s="4">
        <v>45491</v>
      </c>
      <c r="D565" s="3" t="s">
        <v>35</v>
      </c>
      <c r="E565" s="3" t="s">
        <v>23</v>
      </c>
      <c r="F565" s="5">
        <v>2</v>
      </c>
      <c r="G565" s="6">
        <v>20.7</v>
      </c>
      <c r="H565" s="6">
        <v>41.4</v>
      </c>
      <c r="I565" s="6">
        <v>4.1399999999999997</v>
      </c>
      <c r="J565" s="6">
        <v>37.26</v>
      </c>
      <c r="K565" s="5">
        <v>169</v>
      </c>
    </row>
    <row r="566" spans="1:11" x14ac:dyDescent="0.3">
      <c r="A566" s="3">
        <v>9824</v>
      </c>
      <c r="B566" s="3" t="s">
        <v>26</v>
      </c>
      <c r="C566" s="4">
        <v>45521</v>
      </c>
      <c r="D566" s="3" t="s">
        <v>22</v>
      </c>
      <c r="E566" s="3" t="s">
        <v>37</v>
      </c>
      <c r="F566" s="5">
        <v>4</v>
      </c>
      <c r="G566" s="6">
        <v>16.989999999999998</v>
      </c>
      <c r="H566" s="6">
        <v>67.959999999999994</v>
      </c>
      <c r="I566" s="6">
        <v>10.19</v>
      </c>
      <c r="J566" s="6">
        <v>57.77</v>
      </c>
      <c r="K566" s="5">
        <v>89</v>
      </c>
    </row>
    <row r="567" spans="1:11" x14ac:dyDescent="0.3">
      <c r="A567" s="3">
        <v>6654</v>
      </c>
      <c r="B567" s="3" t="s">
        <v>19</v>
      </c>
      <c r="C567" s="4">
        <v>45403</v>
      </c>
      <c r="D567" s="3" t="s">
        <v>38</v>
      </c>
      <c r="E567" s="3" t="s">
        <v>44</v>
      </c>
      <c r="F567" s="5">
        <v>3</v>
      </c>
      <c r="G567" s="6">
        <v>22.26</v>
      </c>
      <c r="H567" s="6">
        <v>66.78</v>
      </c>
      <c r="I567" s="6">
        <v>0</v>
      </c>
      <c r="J567" s="6">
        <v>66.78</v>
      </c>
      <c r="K567" s="5">
        <v>320</v>
      </c>
    </row>
    <row r="568" spans="1:11" x14ac:dyDescent="0.3">
      <c r="A568" s="3">
        <v>9903</v>
      </c>
      <c r="B568" s="3" t="s">
        <v>11</v>
      </c>
      <c r="C568" s="4">
        <v>45437</v>
      </c>
      <c r="D568" s="3" t="s">
        <v>12</v>
      </c>
      <c r="E568" s="3" t="s">
        <v>46</v>
      </c>
      <c r="F568" s="5">
        <v>1</v>
      </c>
      <c r="G568" s="6">
        <v>24.56</v>
      </c>
      <c r="H568" s="6">
        <v>24.56</v>
      </c>
      <c r="I568" s="6">
        <v>1.85</v>
      </c>
      <c r="J568" s="6">
        <v>22.71</v>
      </c>
      <c r="K568" s="5">
        <v>296</v>
      </c>
    </row>
    <row r="569" spans="1:11" x14ac:dyDescent="0.3">
      <c r="A569" s="3">
        <v>8460</v>
      </c>
      <c r="B569" s="3" t="s">
        <v>31</v>
      </c>
      <c r="C569" s="4">
        <v>45869</v>
      </c>
      <c r="D569" s="3" t="s">
        <v>38</v>
      </c>
      <c r="E569" s="3" t="s">
        <v>13</v>
      </c>
      <c r="F569" s="5">
        <v>5</v>
      </c>
      <c r="G569" s="6">
        <v>26.92</v>
      </c>
      <c r="H569" s="6">
        <v>134.6</v>
      </c>
      <c r="I569" s="6">
        <v>0</v>
      </c>
      <c r="J569" s="6">
        <v>134.6</v>
      </c>
      <c r="K569" s="5">
        <v>276</v>
      </c>
    </row>
    <row r="570" spans="1:11" x14ac:dyDescent="0.3">
      <c r="A570" s="3">
        <v>6272</v>
      </c>
      <c r="B570" s="3" t="s">
        <v>19</v>
      </c>
      <c r="C570" s="4">
        <v>45820</v>
      </c>
      <c r="D570" s="3" t="s">
        <v>22</v>
      </c>
      <c r="E570" s="3" t="s">
        <v>32</v>
      </c>
      <c r="F570" s="5">
        <v>2</v>
      </c>
      <c r="G570" s="6">
        <v>26.84</v>
      </c>
      <c r="H570" s="6">
        <v>53.68</v>
      </c>
      <c r="I570" s="6">
        <v>10.74</v>
      </c>
      <c r="J570" s="6">
        <v>42.94</v>
      </c>
      <c r="K570" s="5">
        <v>301</v>
      </c>
    </row>
    <row r="571" spans="1:11" x14ac:dyDescent="0.3">
      <c r="A571" s="3">
        <v>4090</v>
      </c>
      <c r="B571" s="3" t="s">
        <v>26</v>
      </c>
      <c r="C571" s="4">
        <v>45686</v>
      </c>
      <c r="D571" s="3" t="s">
        <v>38</v>
      </c>
      <c r="E571" s="3" t="s">
        <v>46</v>
      </c>
      <c r="F571" s="5">
        <v>1</v>
      </c>
      <c r="G571" s="6">
        <v>12.5</v>
      </c>
      <c r="H571" s="6">
        <v>12.5</v>
      </c>
      <c r="I571" s="6">
        <v>0</v>
      </c>
      <c r="J571" s="6">
        <v>12.5</v>
      </c>
      <c r="K571" s="5">
        <v>257</v>
      </c>
    </row>
    <row r="572" spans="1:11" x14ac:dyDescent="0.3">
      <c r="A572" s="3">
        <v>4912</v>
      </c>
      <c r="B572" s="3" t="s">
        <v>42</v>
      </c>
      <c r="C572" s="4">
        <v>45589</v>
      </c>
      <c r="D572" s="3" t="s">
        <v>28</v>
      </c>
      <c r="E572" s="3" t="s">
        <v>29</v>
      </c>
      <c r="F572" s="5">
        <v>5</v>
      </c>
      <c r="G572" s="6">
        <v>5.0599999999999996</v>
      </c>
      <c r="H572" s="6">
        <v>25.3</v>
      </c>
      <c r="I572" s="6">
        <v>4.79</v>
      </c>
      <c r="J572" s="6">
        <v>20.51</v>
      </c>
      <c r="K572" s="5">
        <v>81</v>
      </c>
    </row>
    <row r="573" spans="1:11" x14ac:dyDescent="0.3">
      <c r="A573" s="3">
        <v>7274</v>
      </c>
      <c r="B573" s="3" t="s">
        <v>19</v>
      </c>
      <c r="C573" s="4">
        <v>45326</v>
      </c>
      <c r="D573" s="3" t="s">
        <v>45</v>
      </c>
      <c r="E573" s="3" t="s">
        <v>23</v>
      </c>
      <c r="F573" s="5">
        <v>1</v>
      </c>
      <c r="G573" s="6">
        <v>7.34</v>
      </c>
      <c r="H573" s="6">
        <v>7.34</v>
      </c>
      <c r="I573" s="6">
        <v>2.06</v>
      </c>
      <c r="J573" s="6">
        <v>5.28</v>
      </c>
      <c r="K573" s="5">
        <v>249</v>
      </c>
    </row>
    <row r="574" spans="1:11" x14ac:dyDescent="0.3">
      <c r="A574" s="3">
        <v>7730</v>
      </c>
      <c r="B574" s="3" t="s">
        <v>42</v>
      </c>
      <c r="C574" s="4">
        <v>45178</v>
      </c>
      <c r="D574" s="3" t="s">
        <v>12</v>
      </c>
      <c r="E574" s="3" t="s">
        <v>44</v>
      </c>
      <c r="F574" s="5">
        <v>5</v>
      </c>
      <c r="G574" s="6">
        <v>27.31</v>
      </c>
      <c r="H574" s="6">
        <v>136.55000000000001</v>
      </c>
      <c r="I574" s="6">
        <v>13.66</v>
      </c>
      <c r="J574" s="6">
        <v>122.89</v>
      </c>
      <c r="K574" s="5">
        <v>184</v>
      </c>
    </row>
    <row r="575" spans="1:11" x14ac:dyDescent="0.3">
      <c r="A575" s="3">
        <v>6213</v>
      </c>
      <c r="B575" s="3" t="s">
        <v>26</v>
      </c>
      <c r="C575" s="4">
        <v>45723</v>
      </c>
      <c r="D575" s="3" t="s">
        <v>12</v>
      </c>
      <c r="E575" s="3" t="s">
        <v>40</v>
      </c>
      <c r="F575" s="5">
        <v>3</v>
      </c>
      <c r="G575" s="6">
        <v>3.98</v>
      </c>
      <c r="H575" s="6">
        <v>11.94</v>
      </c>
      <c r="I575" s="6">
        <v>0</v>
      </c>
      <c r="J575" s="6">
        <v>11.94</v>
      </c>
      <c r="K575" s="5">
        <v>495</v>
      </c>
    </row>
    <row r="576" spans="1:11" x14ac:dyDescent="0.3">
      <c r="A576" s="3">
        <v>8749</v>
      </c>
      <c r="B576" s="3" t="s">
        <v>30</v>
      </c>
      <c r="C576" s="4">
        <v>45692</v>
      </c>
      <c r="D576" s="3" t="s">
        <v>28</v>
      </c>
      <c r="E576" s="3" t="s">
        <v>18</v>
      </c>
      <c r="F576" s="5">
        <v>5</v>
      </c>
      <c r="G576" s="6">
        <v>6.03</v>
      </c>
      <c r="H576" s="6">
        <v>30.15</v>
      </c>
      <c r="I576" s="6">
        <v>4.5199999999999996</v>
      </c>
      <c r="J576" s="6">
        <v>25.63</v>
      </c>
      <c r="K576" s="5">
        <v>334</v>
      </c>
    </row>
    <row r="577" spans="1:11" x14ac:dyDescent="0.3">
      <c r="A577" s="3">
        <v>7246</v>
      </c>
      <c r="B577" s="3" t="s">
        <v>11</v>
      </c>
      <c r="C577" s="4">
        <v>45444</v>
      </c>
      <c r="D577" s="3" t="s">
        <v>38</v>
      </c>
      <c r="E577" s="3" t="s">
        <v>13</v>
      </c>
      <c r="F577" s="5">
        <v>4</v>
      </c>
      <c r="G577" s="6">
        <v>29.2</v>
      </c>
      <c r="H577" s="6">
        <v>116.8</v>
      </c>
      <c r="I577" s="6">
        <v>17.52</v>
      </c>
      <c r="J577" s="6">
        <v>99.28</v>
      </c>
      <c r="K577" s="5">
        <v>114</v>
      </c>
    </row>
    <row r="578" spans="1:11" x14ac:dyDescent="0.3">
      <c r="A578" s="3">
        <v>3492</v>
      </c>
      <c r="B578" s="3" t="s">
        <v>36</v>
      </c>
      <c r="C578" s="4">
        <v>45529</v>
      </c>
      <c r="D578" s="3" t="s">
        <v>45</v>
      </c>
      <c r="E578" s="3" t="s">
        <v>47</v>
      </c>
      <c r="F578" s="5">
        <v>5</v>
      </c>
      <c r="G578" s="6">
        <v>1.18</v>
      </c>
      <c r="H578" s="6">
        <v>5.9</v>
      </c>
      <c r="I578" s="6">
        <v>0.59</v>
      </c>
      <c r="J578" s="6">
        <v>5.31</v>
      </c>
      <c r="K578" s="5">
        <v>451</v>
      </c>
    </row>
    <row r="579" spans="1:11" x14ac:dyDescent="0.3">
      <c r="A579" s="3">
        <v>1606</v>
      </c>
      <c r="B579" s="3" t="s">
        <v>19</v>
      </c>
      <c r="C579" s="4">
        <v>45243</v>
      </c>
      <c r="D579" s="3" t="s">
        <v>17</v>
      </c>
      <c r="E579" s="3" t="s">
        <v>43</v>
      </c>
      <c r="F579" s="5">
        <v>5</v>
      </c>
      <c r="G579" s="6">
        <v>19.649999999999999</v>
      </c>
      <c r="H579" s="6">
        <v>98.25</v>
      </c>
      <c r="I579" s="6">
        <v>19.649999999999999</v>
      </c>
      <c r="J579" s="6">
        <v>78.599999999999994</v>
      </c>
      <c r="K579" s="5">
        <v>108</v>
      </c>
    </row>
    <row r="580" spans="1:11" x14ac:dyDescent="0.3">
      <c r="A580" s="3">
        <v>9229</v>
      </c>
      <c r="B580" s="3" t="s">
        <v>19</v>
      </c>
      <c r="C580" s="4">
        <v>45603</v>
      </c>
      <c r="D580" s="3" t="s">
        <v>22</v>
      </c>
      <c r="E580" s="3" t="s">
        <v>48</v>
      </c>
      <c r="F580" s="5">
        <v>2</v>
      </c>
      <c r="G580" s="6">
        <v>13.01</v>
      </c>
      <c r="H580" s="6">
        <v>26.02</v>
      </c>
      <c r="I580" s="6">
        <v>2.6</v>
      </c>
      <c r="J580" s="6">
        <v>23.42</v>
      </c>
      <c r="K580" s="5">
        <v>169</v>
      </c>
    </row>
    <row r="581" spans="1:11" x14ac:dyDescent="0.3">
      <c r="A581" s="3">
        <v>6439</v>
      </c>
      <c r="B581" s="3" t="s">
        <v>26</v>
      </c>
      <c r="C581" s="4">
        <v>45820</v>
      </c>
      <c r="D581" s="3" t="s">
        <v>45</v>
      </c>
      <c r="E581" s="3" t="s">
        <v>44</v>
      </c>
      <c r="F581" s="5">
        <v>5</v>
      </c>
      <c r="G581" s="6">
        <v>5.67</v>
      </c>
      <c r="H581" s="6">
        <v>28.35</v>
      </c>
      <c r="I581" s="6">
        <v>1.97</v>
      </c>
      <c r="J581" s="6">
        <v>26.38</v>
      </c>
      <c r="K581" s="5">
        <v>426</v>
      </c>
    </row>
    <row r="582" spans="1:11" x14ac:dyDescent="0.3">
      <c r="A582" s="3">
        <v>2644</v>
      </c>
      <c r="B582" s="3" t="s">
        <v>19</v>
      </c>
      <c r="C582" s="4">
        <v>45824</v>
      </c>
      <c r="D582" s="3" t="s">
        <v>28</v>
      </c>
      <c r="E582" s="3" t="s">
        <v>29</v>
      </c>
      <c r="F582" s="5">
        <v>2</v>
      </c>
      <c r="G582" s="6">
        <v>19.25</v>
      </c>
      <c r="H582" s="6">
        <v>38.5</v>
      </c>
      <c r="I582" s="6">
        <v>1.67</v>
      </c>
      <c r="J582" s="6">
        <v>36.83</v>
      </c>
      <c r="K582" s="5">
        <v>20</v>
      </c>
    </row>
    <row r="583" spans="1:11" x14ac:dyDescent="0.3">
      <c r="A583" s="3">
        <v>8213</v>
      </c>
      <c r="B583" s="3" t="s">
        <v>19</v>
      </c>
      <c r="C583" s="4">
        <v>45222</v>
      </c>
      <c r="D583" s="3" t="s">
        <v>38</v>
      </c>
      <c r="E583" s="3" t="s">
        <v>32</v>
      </c>
      <c r="F583" s="5">
        <v>5</v>
      </c>
      <c r="G583" s="6">
        <v>29.1</v>
      </c>
      <c r="H583" s="6">
        <v>145.5</v>
      </c>
      <c r="I583" s="6">
        <v>0</v>
      </c>
      <c r="J583" s="6">
        <v>145.5</v>
      </c>
      <c r="K583" s="5">
        <v>326</v>
      </c>
    </row>
    <row r="584" spans="1:11" x14ac:dyDescent="0.3">
      <c r="A584" s="3">
        <v>9617</v>
      </c>
      <c r="B584" s="3" t="s">
        <v>30</v>
      </c>
      <c r="C584" s="4">
        <v>45852</v>
      </c>
      <c r="D584" s="3" t="s">
        <v>15</v>
      </c>
      <c r="E584" s="3" t="s">
        <v>44</v>
      </c>
      <c r="F584" s="5">
        <v>4</v>
      </c>
      <c r="G584" s="6">
        <v>18.579999999999998</v>
      </c>
      <c r="H584" s="6">
        <v>74.319999999999993</v>
      </c>
      <c r="I584" s="6">
        <v>14.86</v>
      </c>
      <c r="J584" s="6">
        <v>59.46</v>
      </c>
      <c r="K584" s="5">
        <v>241</v>
      </c>
    </row>
    <row r="585" spans="1:11" x14ac:dyDescent="0.3">
      <c r="A585" s="3">
        <v>8486</v>
      </c>
      <c r="B585" s="3" t="s">
        <v>42</v>
      </c>
      <c r="C585" s="4">
        <v>45156</v>
      </c>
      <c r="D585" s="3" t="s">
        <v>20</v>
      </c>
      <c r="E585" s="3" t="s">
        <v>41</v>
      </c>
      <c r="F585" s="5">
        <v>5</v>
      </c>
      <c r="G585" s="6">
        <v>24.78</v>
      </c>
      <c r="H585" s="6">
        <v>123.9</v>
      </c>
      <c r="I585" s="6">
        <v>24.78</v>
      </c>
      <c r="J585" s="6">
        <v>99.12</v>
      </c>
      <c r="K585" s="5">
        <v>93</v>
      </c>
    </row>
    <row r="586" spans="1:11" x14ac:dyDescent="0.3">
      <c r="A586" s="3">
        <v>3361</v>
      </c>
      <c r="B586" s="3" t="s">
        <v>36</v>
      </c>
      <c r="C586" s="4">
        <v>45463</v>
      </c>
      <c r="D586" s="3" t="s">
        <v>45</v>
      </c>
      <c r="E586" s="3" t="s">
        <v>43</v>
      </c>
      <c r="F586" s="5">
        <v>2</v>
      </c>
      <c r="G586" s="6">
        <v>11.96</v>
      </c>
      <c r="H586" s="6">
        <v>23.92</v>
      </c>
      <c r="I586" s="6">
        <v>1.81</v>
      </c>
      <c r="J586" s="6">
        <v>22.11</v>
      </c>
      <c r="K586" s="5">
        <v>67</v>
      </c>
    </row>
    <row r="587" spans="1:11" x14ac:dyDescent="0.3">
      <c r="A587" s="3">
        <v>3529</v>
      </c>
      <c r="B587" s="3" t="s">
        <v>14</v>
      </c>
      <c r="C587" s="4">
        <v>45203</v>
      </c>
      <c r="D587" s="3" t="s">
        <v>27</v>
      </c>
      <c r="E587" s="3" t="s">
        <v>16</v>
      </c>
      <c r="F587" s="5">
        <v>2</v>
      </c>
      <c r="G587" s="6">
        <v>18.55</v>
      </c>
      <c r="H587" s="6">
        <v>37.1</v>
      </c>
      <c r="I587" s="6">
        <v>3.4</v>
      </c>
      <c r="J587" s="6">
        <v>33.700000000000003</v>
      </c>
      <c r="K587" s="5">
        <v>90</v>
      </c>
    </row>
    <row r="588" spans="1:11" x14ac:dyDescent="0.3">
      <c r="A588" s="3">
        <v>8692</v>
      </c>
      <c r="B588" s="3" t="s">
        <v>14</v>
      </c>
      <c r="C588" s="4">
        <v>45752</v>
      </c>
      <c r="D588" s="3" t="s">
        <v>38</v>
      </c>
      <c r="E588" s="3" t="s">
        <v>48</v>
      </c>
      <c r="F588" s="5">
        <v>1</v>
      </c>
      <c r="G588" s="6">
        <v>14.97</v>
      </c>
      <c r="H588" s="6">
        <v>14.97</v>
      </c>
      <c r="I588" s="6">
        <v>0</v>
      </c>
      <c r="J588" s="6">
        <v>14.97</v>
      </c>
      <c r="K588" s="5">
        <v>66</v>
      </c>
    </row>
    <row r="589" spans="1:11" x14ac:dyDescent="0.3">
      <c r="A589" s="3">
        <v>5342</v>
      </c>
      <c r="B589" s="3" t="s">
        <v>24</v>
      </c>
      <c r="C589" s="4">
        <v>45407</v>
      </c>
      <c r="D589" s="3" t="s">
        <v>38</v>
      </c>
      <c r="E589" s="3" t="s">
        <v>16</v>
      </c>
      <c r="F589" s="5">
        <v>3</v>
      </c>
      <c r="G589" s="6">
        <v>26.36</v>
      </c>
      <c r="H589" s="6">
        <v>79.08</v>
      </c>
      <c r="I589" s="6">
        <v>15.82</v>
      </c>
      <c r="J589" s="6">
        <v>63.26</v>
      </c>
      <c r="K589" s="5">
        <v>357</v>
      </c>
    </row>
    <row r="590" spans="1:11" x14ac:dyDescent="0.3">
      <c r="A590" s="3">
        <v>7512</v>
      </c>
      <c r="B590" s="3" t="s">
        <v>26</v>
      </c>
      <c r="C590" s="4">
        <v>45649</v>
      </c>
      <c r="D590" s="3" t="s">
        <v>20</v>
      </c>
      <c r="E590" s="3" t="s">
        <v>23</v>
      </c>
      <c r="F590" s="5">
        <v>5</v>
      </c>
      <c r="G590" s="6">
        <v>24.32</v>
      </c>
      <c r="H590" s="6">
        <v>121.6</v>
      </c>
      <c r="I590" s="6">
        <v>12.16</v>
      </c>
      <c r="J590" s="6">
        <v>109.44</v>
      </c>
      <c r="K590" s="5">
        <v>464</v>
      </c>
    </row>
    <row r="591" spans="1:11" x14ac:dyDescent="0.3">
      <c r="A591" s="3">
        <v>2315</v>
      </c>
      <c r="B591" s="3" t="s">
        <v>19</v>
      </c>
      <c r="C591" s="4">
        <v>45806</v>
      </c>
      <c r="D591" s="3" t="s">
        <v>35</v>
      </c>
      <c r="E591" s="3" t="s">
        <v>47</v>
      </c>
      <c r="F591" s="5">
        <v>2</v>
      </c>
      <c r="G591" s="6">
        <v>27.38</v>
      </c>
      <c r="H591" s="6">
        <v>54.76</v>
      </c>
      <c r="I591" s="6">
        <v>4.51</v>
      </c>
      <c r="J591" s="6">
        <v>50.25</v>
      </c>
      <c r="K591" s="5">
        <v>42</v>
      </c>
    </row>
    <row r="592" spans="1:11" x14ac:dyDescent="0.3">
      <c r="A592" s="3">
        <v>6383</v>
      </c>
      <c r="B592" s="3" t="s">
        <v>24</v>
      </c>
      <c r="C592" s="4">
        <v>45807</v>
      </c>
      <c r="D592" s="3" t="s">
        <v>35</v>
      </c>
      <c r="E592" s="3" t="s">
        <v>44</v>
      </c>
      <c r="F592" s="5">
        <v>1</v>
      </c>
      <c r="G592" s="6">
        <v>21.56</v>
      </c>
      <c r="H592" s="6">
        <v>21.56</v>
      </c>
      <c r="I592" s="6">
        <v>3.09</v>
      </c>
      <c r="J592" s="6">
        <v>18.47</v>
      </c>
      <c r="K592" s="5">
        <v>404</v>
      </c>
    </row>
    <row r="593" spans="1:11" x14ac:dyDescent="0.3">
      <c r="A593" s="3">
        <v>9742</v>
      </c>
      <c r="B593" s="3" t="s">
        <v>14</v>
      </c>
      <c r="C593" s="4">
        <v>45440</v>
      </c>
      <c r="D593" s="3" t="s">
        <v>12</v>
      </c>
      <c r="E593" s="3" t="s">
        <v>32</v>
      </c>
      <c r="F593" s="5">
        <v>2</v>
      </c>
      <c r="G593" s="6">
        <v>20.94</v>
      </c>
      <c r="H593" s="6">
        <v>41.88</v>
      </c>
      <c r="I593" s="6">
        <v>6.28</v>
      </c>
      <c r="J593" s="6">
        <v>35.6</v>
      </c>
      <c r="K593" s="5">
        <v>161</v>
      </c>
    </row>
    <row r="594" spans="1:11" x14ac:dyDescent="0.3">
      <c r="A594" s="3">
        <v>6188</v>
      </c>
      <c r="B594" s="3" t="s">
        <v>11</v>
      </c>
      <c r="C594" s="4">
        <v>45631</v>
      </c>
      <c r="D594" s="3" t="s">
        <v>34</v>
      </c>
      <c r="E594" s="3" t="s">
        <v>16</v>
      </c>
      <c r="F594" s="5">
        <v>5</v>
      </c>
      <c r="G594" s="6">
        <v>8.35</v>
      </c>
      <c r="H594" s="6">
        <v>41.75</v>
      </c>
      <c r="I594" s="6">
        <v>2.46</v>
      </c>
      <c r="J594" s="6">
        <v>39.29</v>
      </c>
      <c r="K594" s="5">
        <v>437</v>
      </c>
    </row>
    <row r="595" spans="1:11" x14ac:dyDescent="0.3">
      <c r="A595" s="3">
        <v>8994</v>
      </c>
      <c r="B595" s="3" t="s">
        <v>30</v>
      </c>
      <c r="C595" s="4">
        <v>45822</v>
      </c>
      <c r="D595" s="3" t="s">
        <v>27</v>
      </c>
      <c r="E595" s="3" t="s">
        <v>32</v>
      </c>
      <c r="F595" s="5">
        <v>2</v>
      </c>
      <c r="G595" s="6">
        <v>12.97</v>
      </c>
      <c r="H595" s="6">
        <v>25.94</v>
      </c>
      <c r="I595" s="6">
        <v>5.19</v>
      </c>
      <c r="J595" s="6">
        <v>20.75</v>
      </c>
      <c r="K595" s="5">
        <v>401</v>
      </c>
    </row>
    <row r="596" spans="1:11" x14ac:dyDescent="0.3">
      <c r="A596" s="3">
        <v>9864</v>
      </c>
      <c r="B596" s="3" t="s">
        <v>36</v>
      </c>
      <c r="C596" s="4">
        <v>45172</v>
      </c>
      <c r="D596" s="3" t="s">
        <v>38</v>
      </c>
      <c r="E596" s="3" t="s">
        <v>18</v>
      </c>
      <c r="F596" s="5">
        <v>4</v>
      </c>
      <c r="G596" s="6">
        <v>8.35</v>
      </c>
      <c r="H596" s="6">
        <v>33.4</v>
      </c>
      <c r="I596" s="6">
        <v>0</v>
      </c>
      <c r="J596" s="6">
        <v>33.4</v>
      </c>
      <c r="K596" s="5">
        <v>157</v>
      </c>
    </row>
    <row r="597" spans="1:11" x14ac:dyDescent="0.3">
      <c r="A597" s="3">
        <v>2121</v>
      </c>
      <c r="B597" s="3" t="s">
        <v>24</v>
      </c>
      <c r="C597" s="4">
        <v>45327</v>
      </c>
      <c r="D597" s="3" t="s">
        <v>34</v>
      </c>
      <c r="E597" s="3" t="s">
        <v>48</v>
      </c>
      <c r="F597" s="5">
        <v>2</v>
      </c>
      <c r="G597" s="6">
        <v>13.94</v>
      </c>
      <c r="H597" s="6">
        <v>27.88</v>
      </c>
      <c r="I597" s="6">
        <v>1.86</v>
      </c>
      <c r="J597" s="6">
        <v>26.02</v>
      </c>
      <c r="K597" s="5">
        <v>358</v>
      </c>
    </row>
    <row r="598" spans="1:11" x14ac:dyDescent="0.3">
      <c r="A598" s="3">
        <v>5708</v>
      </c>
      <c r="B598" s="3" t="s">
        <v>24</v>
      </c>
      <c r="C598" s="4">
        <v>45321</v>
      </c>
      <c r="D598" s="3" t="s">
        <v>22</v>
      </c>
      <c r="E598" s="3" t="s">
        <v>18</v>
      </c>
      <c r="F598" s="5">
        <v>5</v>
      </c>
      <c r="G598" s="6">
        <v>21.2</v>
      </c>
      <c r="H598" s="6">
        <v>106</v>
      </c>
      <c r="I598" s="6">
        <v>21.2</v>
      </c>
      <c r="J598" s="6">
        <v>84.8</v>
      </c>
      <c r="K598" s="5">
        <v>361</v>
      </c>
    </row>
    <row r="599" spans="1:11" x14ac:dyDescent="0.3">
      <c r="A599" s="3">
        <v>2480</v>
      </c>
      <c r="B599" s="3" t="s">
        <v>24</v>
      </c>
      <c r="C599" s="4">
        <v>45482</v>
      </c>
      <c r="D599" s="3" t="s">
        <v>27</v>
      </c>
      <c r="E599" s="3" t="s">
        <v>39</v>
      </c>
      <c r="F599" s="5">
        <v>1</v>
      </c>
      <c r="G599" s="6">
        <v>24.86</v>
      </c>
      <c r="H599" s="6">
        <v>24.86</v>
      </c>
      <c r="I599" s="6">
        <v>1.26</v>
      </c>
      <c r="J599" s="6">
        <v>23.6</v>
      </c>
      <c r="K599" s="5">
        <v>241</v>
      </c>
    </row>
    <row r="600" spans="1:11" x14ac:dyDescent="0.3">
      <c r="A600" s="3">
        <v>2612</v>
      </c>
      <c r="B600" s="3" t="s">
        <v>42</v>
      </c>
      <c r="C600" s="4">
        <v>45735</v>
      </c>
      <c r="D600" s="3" t="s">
        <v>22</v>
      </c>
      <c r="E600" s="3" t="s">
        <v>43</v>
      </c>
      <c r="F600" s="5">
        <v>5</v>
      </c>
      <c r="G600" s="6">
        <v>2.08</v>
      </c>
      <c r="H600" s="6">
        <v>10.4</v>
      </c>
      <c r="I600" s="6">
        <v>3.62</v>
      </c>
      <c r="J600" s="6">
        <v>6.78</v>
      </c>
      <c r="K600" s="5">
        <v>196</v>
      </c>
    </row>
    <row r="601" spans="1:11" x14ac:dyDescent="0.3">
      <c r="A601" s="3">
        <v>2646</v>
      </c>
      <c r="B601" s="3" t="s">
        <v>30</v>
      </c>
      <c r="C601" s="4">
        <v>45489</v>
      </c>
      <c r="D601" s="3" t="s">
        <v>28</v>
      </c>
      <c r="E601" s="3" t="s">
        <v>40</v>
      </c>
      <c r="F601" s="5">
        <v>2</v>
      </c>
      <c r="G601" s="6">
        <v>19.559999999999999</v>
      </c>
      <c r="H601" s="6">
        <v>39.119999999999997</v>
      </c>
      <c r="I601" s="6">
        <v>7.82</v>
      </c>
      <c r="J601" s="6">
        <v>31.3</v>
      </c>
      <c r="K601" s="5">
        <v>224</v>
      </c>
    </row>
    <row r="602" spans="1:11" x14ac:dyDescent="0.3">
      <c r="A602" s="3">
        <v>3725</v>
      </c>
      <c r="B602" s="3" t="s">
        <v>14</v>
      </c>
      <c r="C602" s="4">
        <v>45684</v>
      </c>
      <c r="D602" s="3" t="s">
        <v>35</v>
      </c>
      <c r="E602" s="3" t="s">
        <v>44</v>
      </c>
      <c r="F602" s="5">
        <v>1</v>
      </c>
      <c r="G602" s="6">
        <v>23.72</v>
      </c>
      <c r="H602" s="6">
        <v>23.72</v>
      </c>
      <c r="I602" s="6">
        <v>1.68</v>
      </c>
      <c r="J602" s="6">
        <v>22.04</v>
      </c>
      <c r="K602" s="5">
        <v>261</v>
      </c>
    </row>
    <row r="603" spans="1:11" x14ac:dyDescent="0.3">
      <c r="A603" s="3">
        <v>5906</v>
      </c>
      <c r="B603" s="3" t="s">
        <v>31</v>
      </c>
      <c r="C603" s="4">
        <v>45846</v>
      </c>
      <c r="D603" s="3" t="s">
        <v>22</v>
      </c>
      <c r="E603" s="3" t="s">
        <v>25</v>
      </c>
      <c r="F603" s="5">
        <v>1</v>
      </c>
      <c r="G603" s="6">
        <v>29.28</v>
      </c>
      <c r="H603" s="6">
        <v>29.28</v>
      </c>
      <c r="I603" s="6">
        <v>2.93</v>
      </c>
      <c r="J603" s="6">
        <v>26.35</v>
      </c>
      <c r="K603" s="5">
        <v>44</v>
      </c>
    </row>
    <row r="604" spans="1:11" x14ac:dyDescent="0.3">
      <c r="A604" s="3">
        <v>1474</v>
      </c>
      <c r="B604" s="3" t="s">
        <v>36</v>
      </c>
      <c r="C604" s="4">
        <v>45180</v>
      </c>
      <c r="D604" s="3" t="s">
        <v>27</v>
      </c>
      <c r="E604" s="3" t="s">
        <v>32</v>
      </c>
      <c r="F604" s="5">
        <v>4</v>
      </c>
      <c r="G604" s="6">
        <v>17.989999999999998</v>
      </c>
      <c r="H604" s="6">
        <v>71.959999999999994</v>
      </c>
      <c r="I604" s="6">
        <v>0</v>
      </c>
      <c r="J604" s="6">
        <v>71.959999999999994</v>
      </c>
      <c r="K604" s="5">
        <v>265</v>
      </c>
    </row>
    <row r="605" spans="1:11" x14ac:dyDescent="0.3">
      <c r="A605" s="3">
        <v>6314</v>
      </c>
      <c r="B605" s="3" t="s">
        <v>11</v>
      </c>
      <c r="C605" s="4">
        <v>45763</v>
      </c>
      <c r="D605" s="3" t="s">
        <v>15</v>
      </c>
      <c r="E605" s="3" t="s">
        <v>18</v>
      </c>
      <c r="F605" s="5">
        <v>3</v>
      </c>
      <c r="G605" s="6">
        <v>22.05</v>
      </c>
      <c r="H605" s="6">
        <v>66.150000000000006</v>
      </c>
      <c r="I605" s="6">
        <v>9.92</v>
      </c>
      <c r="J605" s="6">
        <v>56.23</v>
      </c>
      <c r="K605" s="5">
        <v>286</v>
      </c>
    </row>
    <row r="606" spans="1:11" x14ac:dyDescent="0.3">
      <c r="A606" s="3">
        <v>1919</v>
      </c>
      <c r="B606" s="3"/>
      <c r="C606" s="4">
        <v>45372</v>
      </c>
      <c r="D606" s="3" t="s">
        <v>17</v>
      </c>
      <c r="E606" s="3" t="s">
        <v>44</v>
      </c>
      <c r="F606" s="5">
        <v>4</v>
      </c>
      <c r="G606" s="6">
        <v>27.95</v>
      </c>
      <c r="H606" s="6">
        <v>111.8</v>
      </c>
      <c r="I606" s="6">
        <v>16.77</v>
      </c>
      <c r="J606" s="6">
        <v>95.03</v>
      </c>
      <c r="K606" s="5">
        <v>294</v>
      </c>
    </row>
    <row r="607" spans="1:11" x14ac:dyDescent="0.3">
      <c r="A607" s="3">
        <v>6873</v>
      </c>
      <c r="B607" s="3" t="s">
        <v>19</v>
      </c>
      <c r="C607" s="4">
        <v>45436</v>
      </c>
      <c r="D607" s="3" t="s">
        <v>20</v>
      </c>
      <c r="E607" s="3" t="s">
        <v>46</v>
      </c>
      <c r="F607" s="5">
        <v>1</v>
      </c>
      <c r="G607" s="6">
        <v>17.190000000000001</v>
      </c>
      <c r="H607" s="6">
        <v>17.190000000000001</v>
      </c>
      <c r="I607" s="6">
        <v>2.58</v>
      </c>
      <c r="J607" s="6">
        <v>14.61</v>
      </c>
      <c r="K607" s="5">
        <v>257</v>
      </c>
    </row>
    <row r="608" spans="1:11" x14ac:dyDescent="0.3">
      <c r="A608" s="3">
        <v>8056</v>
      </c>
      <c r="B608" s="3" t="s">
        <v>11</v>
      </c>
      <c r="C608" s="4">
        <v>45258</v>
      </c>
      <c r="D608" s="3" t="s">
        <v>38</v>
      </c>
      <c r="E608" s="3" t="s">
        <v>13</v>
      </c>
      <c r="F608" s="5">
        <v>5</v>
      </c>
      <c r="G608" s="6">
        <v>24.57</v>
      </c>
      <c r="H608" s="6">
        <v>122.85</v>
      </c>
      <c r="I608" s="6">
        <v>0</v>
      </c>
      <c r="J608" s="6">
        <v>122.85</v>
      </c>
      <c r="K608" s="5">
        <v>294</v>
      </c>
    </row>
    <row r="609" spans="1:11" x14ac:dyDescent="0.3">
      <c r="A609" s="3">
        <v>5000</v>
      </c>
      <c r="B609" s="3" t="s">
        <v>26</v>
      </c>
      <c r="C609" s="4">
        <v>45557</v>
      </c>
      <c r="D609" s="3" t="s">
        <v>20</v>
      </c>
      <c r="E609" s="3" t="s">
        <v>47</v>
      </c>
      <c r="F609" s="5">
        <v>2</v>
      </c>
      <c r="G609" s="6">
        <v>22.96</v>
      </c>
      <c r="H609" s="6">
        <v>45.92</v>
      </c>
      <c r="I609" s="6">
        <v>0</v>
      </c>
      <c r="J609" s="6">
        <v>45.92</v>
      </c>
      <c r="K609" s="5">
        <v>492</v>
      </c>
    </row>
    <row r="610" spans="1:11" x14ac:dyDescent="0.3">
      <c r="A610" s="3">
        <v>7751</v>
      </c>
      <c r="B610" s="3" t="s">
        <v>26</v>
      </c>
      <c r="C610" s="4">
        <v>45584</v>
      </c>
      <c r="D610" s="3" t="s">
        <v>28</v>
      </c>
      <c r="E610" s="3" t="s">
        <v>39</v>
      </c>
      <c r="F610" s="5">
        <v>4</v>
      </c>
      <c r="G610" s="6">
        <v>4.3600000000000003</v>
      </c>
      <c r="H610" s="6">
        <v>17.440000000000001</v>
      </c>
      <c r="I610" s="6">
        <v>0</v>
      </c>
      <c r="J610" s="6">
        <v>17.440000000000001</v>
      </c>
      <c r="K610" s="5">
        <v>34</v>
      </c>
    </row>
    <row r="611" spans="1:11" x14ac:dyDescent="0.3">
      <c r="A611" s="3">
        <v>3950</v>
      </c>
      <c r="B611" s="3" t="s">
        <v>42</v>
      </c>
      <c r="C611" s="4">
        <v>45277</v>
      </c>
      <c r="D611" s="3" t="s">
        <v>27</v>
      </c>
      <c r="E611" s="3" t="s">
        <v>25</v>
      </c>
      <c r="F611" s="5">
        <v>3</v>
      </c>
      <c r="G611" s="6">
        <v>12.95</v>
      </c>
      <c r="H611" s="6">
        <v>38.85</v>
      </c>
      <c r="I611" s="6">
        <v>0</v>
      </c>
      <c r="J611" s="6">
        <v>38.85</v>
      </c>
      <c r="K611" s="5">
        <v>180</v>
      </c>
    </row>
    <row r="612" spans="1:11" x14ac:dyDescent="0.3">
      <c r="A612" s="3">
        <v>3868</v>
      </c>
      <c r="B612" s="3" t="s">
        <v>30</v>
      </c>
      <c r="C612" s="4">
        <v>45206</v>
      </c>
      <c r="D612" s="3" t="s">
        <v>17</v>
      </c>
      <c r="E612" s="3" t="s">
        <v>37</v>
      </c>
      <c r="F612" s="5">
        <v>1</v>
      </c>
      <c r="G612" s="6">
        <v>12.56</v>
      </c>
      <c r="H612" s="6">
        <v>12.56</v>
      </c>
      <c r="I612" s="6">
        <v>3.22</v>
      </c>
      <c r="J612" s="6">
        <v>9.34</v>
      </c>
      <c r="K612" s="5">
        <v>383</v>
      </c>
    </row>
    <row r="613" spans="1:11" x14ac:dyDescent="0.3">
      <c r="A613" s="3">
        <v>7267</v>
      </c>
      <c r="B613" s="3" t="s">
        <v>19</v>
      </c>
      <c r="C613" s="4">
        <v>45626</v>
      </c>
      <c r="D613" s="3" t="s">
        <v>45</v>
      </c>
      <c r="E613" s="3" t="s">
        <v>21</v>
      </c>
      <c r="F613" s="5">
        <v>3</v>
      </c>
      <c r="G613" s="6">
        <v>7.33</v>
      </c>
      <c r="H613" s="6">
        <v>21.99</v>
      </c>
      <c r="I613" s="6">
        <v>4.4000000000000004</v>
      </c>
      <c r="J613" s="6">
        <v>17.59</v>
      </c>
      <c r="K613" s="5">
        <v>293</v>
      </c>
    </row>
    <row r="614" spans="1:11" x14ac:dyDescent="0.3">
      <c r="A614" s="3">
        <v>4945</v>
      </c>
      <c r="B614" s="3" t="s">
        <v>42</v>
      </c>
      <c r="C614" s="4">
        <v>45531</v>
      </c>
      <c r="D614" s="3" t="s">
        <v>45</v>
      </c>
      <c r="E614" s="3" t="s">
        <v>44</v>
      </c>
      <c r="F614" s="5">
        <v>2</v>
      </c>
      <c r="G614" s="6">
        <v>22.32</v>
      </c>
      <c r="H614" s="6">
        <v>44.64</v>
      </c>
      <c r="I614" s="6">
        <v>8.93</v>
      </c>
      <c r="J614" s="6">
        <v>35.71</v>
      </c>
      <c r="K614" s="5">
        <v>446</v>
      </c>
    </row>
    <row r="615" spans="1:11" x14ac:dyDescent="0.3">
      <c r="A615" s="3">
        <v>3344</v>
      </c>
      <c r="B615" s="3" t="s">
        <v>42</v>
      </c>
      <c r="C615" s="4">
        <v>45325</v>
      </c>
      <c r="D615" s="3" t="s">
        <v>17</v>
      </c>
      <c r="E615" s="3" t="s">
        <v>25</v>
      </c>
      <c r="F615" s="5">
        <v>5</v>
      </c>
      <c r="G615" s="6">
        <v>11.31</v>
      </c>
      <c r="H615" s="6">
        <v>56.55</v>
      </c>
      <c r="I615" s="6">
        <v>4.68</v>
      </c>
      <c r="J615" s="6">
        <v>51.87</v>
      </c>
      <c r="K615" s="5">
        <v>398</v>
      </c>
    </row>
    <row r="616" spans="1:11" x14ac:dyDescent="0.3">
      <c r="A616" s="3">
        <v>8555</v>
      </c>
      <c r="B616" s="3" t="s">
        <v>26</v>
      </c>
      <c r="C616" s="4">
        <v>45640</v>
      </c>
      <c r="D616" s="3" t="s">
        <v>28</v>
      </c>
      <c r="E616" s="3" t="s">
        <v>39</v>
      </c>
      <c r="F616" s="5">
        <v>5</v>
      </c>
      <c r="G616" s="6">
        <v>28.77</v>
      </c>
      <c r="H616" s="6">
        <v>143.85</v>
      </c>
      <c r="I616" s="6">
        <v>21.58</v>
      </c>
      <c r="J616" s="6">
        <v>122.27</v>
      </c>
      <c r="K616" s="5">
        <v>434</v>
      </c>
    </row>
    <row r="617" spans="1:11" x14ac:dyDescent="0.3">
      <c r="A617" s="3">
        <v>5161</v>
      </c>
      <c r="B617" s="3" t="s">
        <v>36</v>
      </c>
      <c r="C617" s="4">
        <v>45501</v>
      </c>
      <c r="D617" s="3" t="s">
        <v>45</v>
      </c>
      <c r="E617" s="3" t="s">
        <v>13</v>
      </c>
      <c r="F617" s="5">
        <v>4</v>
      </c>
      <c r="G617" s="6">
        <v>6.29</v>
      </c>
      <c r="H617" s="6">
        <v>25.16</v>
      </c>
      <c r="I617" s="6">
        <v>2.52</v>
      </c>
      <c r="J617" s="6">
        <v>22.64</v>
      </c>
      <c r="K617" s="5">
        <v>391</v>
      </c>
    </row>
    <row r="618" spans="1:11" x14ac:dyDescent="0.3">
      <c r="A618" s="3">
        <v>5183</v>
      </c>
      <c r="B618" s="3" t="s">
        <v>42</v>
      </c>
      <c r="C618" s="4">
        <v>45662</v>
      </c>
      <c r="D618" s="3" t="s">
        <v>28</v>
      </c>
      <c r="E618" s="3" t="s">
        <v>41</v>
      </c>
      <c r="F618" s="5">
        <v>1</v>
      </c>
      <c r="G618" s="6">
        <v>16.239999999999998</v>
      </c>
      <c r="H618" s="6">
        <v>16.239999999999998</v>
      </c>
      <c r="I618" s="6">
        <v>1.1299999999999999</v>
      </c>
      <c r="J618" s="6">
        <v>15.11</v>
      </c>
      <c r="K618" s="5">
        <v>216</v>
      </c>
    </row>
    <row r="619" spans="1:11" x14ac:dyDescent="0.3">
      <c r="A619" s="3">
        <v>1153</v>
      </c>
      <c r="B619" s="3" t="s">
        <v>36</v>
      </c>
      <c r="C619" s="4">
        <v>45843</v>
      </c>
      <c r="D619" s="3" t="s">
        <v>20</v>
      </c>
      <c r="E619" s="3" t="s">
        <v>29</v>
      </c>
      <c r="F619" s="5">
        <v>4</v>
      </c>
      <c r="G619" s="6">
        <v>29.31</v>
      </c>
      <c r="H619" s="6">
        <v>117.24</v>
      </c>
      <c r="I619" s="6">
        <v>17.59</v>
      </c>
      <c r="J619" s="6">
        <v>99.65</v>
      </c>
      <c r="K619" s="5">
        <v>357</v>
      </c>
    </row>
    <row r="620" spans="1:11" x14ac:dyDescent="0.3">
      <c r="A620" s="3">
        <v>8622</v>
      </c>
      <c r="B620" s="3" t="s">
        <v>31</v>
      </c>
      <c r="C620" s="4">
        <v>45844</v>
      </c>
      <c r="D620" s="3" t="s">
        <v>12</v>
      </c>
      <c r="E620" s="3" t="s">
        <v>44</v>
      </c>
      <c r="F620" s="5">
        <v>4</v>
      </c>
      <c r="G620" s="6">
        <v>17.84</v>
      </c>
      <c r="H620" s="6">
        <v>71.36</v>
      </c>
      <c r="I620" s="6">
        <v>4.45</v>
      </c>
      <c r="J620" s="6">
        <v>66.91</v>
      </c>
      <c r="K620" s="5">
        <v>166</v>
      </c>
    </row>
    <row r="621" spans="1:11" x14ac:dyDescent="0.3">
      <c r="A621" s="3">
        <v>5712</v>
      </c>
      <c r="B621" s="3" t="s">
        <v>19</v>
      </c>
      <c r="C621" s="4">
        <v>45671</v>
      </c>
      <c r="D621" s="3" t="s">
        <v>38</v>
      </c>
      <c r="E621" s="3" t="s">
        <v>13</v>
      </c>
      <c r="F621" s="5">
        <v>2</v>
      </c>
      <c r="G621" s="6">
        <v>8.8000000000000007</v>
      </c>
      <c r="H621" s="6">
        <v>17.600000000000001</v>
      </c>
      <c r="I621" s="6">
        <v>2.64</v>
      </c>
      <c r="J621" s="6">
        <v>14.96</v>
      </c>
      <c r="K621" s="5">
        <v>490</v>
      </c>
    </row>
    <row r="622" spans="1:11" x14ac:dyDescent="0.3">
      <c r="A622" s="3">
        <v>9955</v>
      </c>
      <c r="B622" s="3" t="s">
        <v>19</v>
      </c>
      <c r="C622" s="4">
        <v>45267</v>
      </c>
      <c r="D622" s="3" t="s">
        <v>45</v>
      </c>
      <c r="E622" s="3" t="s">
        <v>16</v>
      </c>
      <c r="F622" s="5">
        <v>2</v>
      </c>
      <c r="G622" s="6">
        <v>13.14</v>
      </c>
      <c r="H622" s="6">
        <v>26.28</v>
      </c>
      <c r="I622" s="6">
        <v>3.94</v>
      </c>
      <c r="J622" s="6">
        <v>22.34</v>
      </c>
      <c r="K622" s="5">
        <v>385</v>
      </c>
    </row>
    <row r="623" spans="1:11" x14ac:dyDescent="0.3">
      <c r="A623" s="3">
        <v>2210</v>
      </c>
      <c r="B623" s="3" t="s">
        <v>24</v>
      </c>
      <c r="C623" s="4">
        <v>45488</v>
      </c>
      <c r="D623" s="3" t="s">
        <v>35</v>
      </c>
      <c r="E623" s="3" t="s">
        <v>33</v>
      </c>
      <c r="F623" s="5">
        <v>2</v>
      </c>
      <c r="G623" s="6">
        <v>17.559999999999999</v>
      </c>
      <c r="H623" s="6">
        <v>35.119999999999997</v>
      </c>
      <c r="I623" s="6">
        <v>3.88</v>
      </c>
      <c r="J623" s="6">
        <v>31.24</v>
      </c>
      <c r="K623" s="5">
        <v>294</v>
      </c>
    </row>
    <row r="624" spans="1:11" x14ac:dyDescent="0.3">
      <c r="A624" s="3">
        <v>6661</v>
      </c>
      <c r="B624" s="3" t="s">
        <v>42</v>
      </c>
      <c r="C624" s="4">
        <v>45601</v>
      </c>
      <c r="D624" s="3" t="s">
        <v>38</v>
      </c>
      <c r="E624" s="3" t="s">
        <v>16</v>
      </c>
      <c r="F624" s="5">
        <v>4</v>
      </c>
      <c r="G624" s="6">
        <v>6.68</v>
      </c>
      <c r="H624" s="6">
        <v>26.72</v>
      </c>
      <c r="I624" s="6">
        <v>2.67</v>
      </c>
      <c r="J624" s="6">
        <v>24.05</v>
      </c>
      <c r="K624" s="5">
        <v>409</v>
      </c>
    </row>
    <row r="625" spans="1:11" x14ac:dyDescent="0.3">
      <c r="A625" s="3">
        <v>5901</v>
      </c>
      <c r="B625" s="3" t="s">
        <v>31</v>
      </c>
      <c r="C625" s="4">
        <v>45641</v>
      </c>
      <c r="D625" s="3" t="s">
        <v>34</v>
      </c>
      <c r="E625" s="3" t="s">
        <v>16</v>
      </c>
      <c r="F625" s="5">
        <v>4</v>
      </c>
      <c r="G625" s="6">
        <v>4.8899999999999997</v>
      </c>
      <c r="H625" s="6">
        <v>19.559999999999999</v>
      </c>
      <c r="I625" s="6">
        <v>1.96</v>
      </c>
      <c r="J625" s="6">
        <v>17.600000000000001</v>
      </c>
      <c r="K625" s="5">
        <v>457</v>
      </c>
    </row>
    <row r="626" spans="1:11" x14ac:dyDescent="0.3">
      <c r="A626" s="3">
        <v>7951</v>
      </c>
      <c r="B626" s="3" t="s">
        <v>30</v>
      </c>
      <c r="C626" s="4">
        <v>45681</v>
      </c>
      <c r="D626" s="3" t="s">
        <v>35</v>
      </c>
      <c r="E626" s="3" t="s">
        <v>18</v>
      </c>
      <c r="F626" s="5">
        <v>5</v>
      </c>
      <c r="G626" s="6">
        <v>2.37</v>
      </c>
      <c r="H626" s="6">
        <v>11.85</v>
      </c>
      <c r="I626" s="6">
        <v>1.86</v>
      </c>
      <c r="J626" s="6">
        <v>9.99</v>
      </c>
      <c r="K626" s="5">
        <v>50</v>
      </c>
    </row>
    <row r="627" spans="1:11" x14ac:dyDescent="0.3">
      <c r="A627" s="3">
        <v>5097</v>
      </c>
      <c r="B627" s="3" t="s">
        <v>30</v>
      </c>
      <c r="C627" s="4">
        <v>45499</v>
      </c>
      <c r="D627" s="3" t="s">
        <v>45</v>
      </c>
      <c r="E627" s="3" t="s">
        <v>48</v>
      </c>
      <c r="F627" s="5">
        <v>4</v>
      </c>
      <c r="G627" s="6">
        <v>22.58</v>
      </c>
      <c r="H627" s="6">
        <v>90.32</v>
      </c>
      <c r="I627" s="6">
        <v>13.55</v>
      </c>
      <c r="J627" s="6">
        <v>76.77</v>
      </c>
      <c r="K627" s="5">
        <v>133</v>
      </c>
    </row>
    <row r="628" spans="1:11" x14ac:dyDescent="0.3">
      <c r="A628" s="3">
        <v>5949</v>
      </c>
      <c r="B628" s="3" t="s">
        <v>14</v>
      </c>
      <c r="C628" s="4">
        <v>45299</v>
      </c>
      <c r="D628" s="3" t="s">
        <v>38</v>
      </c>
      <c r="E628" s="3" t="s">
        <v>13</v>
      </c>
      <c r="F628" s="5">
        <v>3</v>
      </c>
      <c r="G628" s="6">
        <v>1.57</v>
      </c>
      <c r="H628" s="6">
        <v>4.71</v>
      </c>
      <c r="I628" s="6">
        <v>0</v>
      </c>
      <c r="J628" s="6">
        <v>4.71</v>
      </c>
      <c r="K628" s="5">
        <v>62</v>
      </c>
    </row>
    <row r="629" spans="1:11" x14ac:dyDescent="0.3">
      <c r="A629" s="3">
        <v>7302</v>
      </c>
      <c r="B629" s="3" t="s">
        <v>42</v>
      </c>
      <c r="C629" s="4">
        <v>45807</v>
      </c>
      <c r="D629" s="3" t="s">
        <v>28</v>
      </c>
      <c r="E629" s="3" t="s">
        <v>18</v>
      </c>
      <c r="F629" s="5">
        <v>2</v>
      </c>
      <c r="G629" s="6">
        <v>29.39</v>
      </c>
      <c r="H629" s="6">
        <v>58.78</v>
      </c>
      <c r="I629" s="6">
        <v>8.82</v>
      </c>
      <c r="J629" s="6">
        <v>49.96</v>
      </c>
      <c r="K629" s="5">
        <v>145</v>
      </c>
    </row>
    <row r="630" spans="1:11" x14ac:dyDescent="0.3">
      <c r="A630" s="3">
        <v>8916</v>
      </c>
      <c r="B630" s="3" t="s">
        <v>14</v>
      </c>
      <c r="C630" s="4">
        <v>45227</v>
      </c>
      <c r="D630" s="3" t="s">
        <v>45</v>
      </c>
      <c r="E630" s="3" t="s">
        <v>33</v>
      </c>
      <c r="F630" s="5">
        <v>1</v>
      </c>
      <c r="G630" s="6">
        <v>12.04</v>
      </c>
      <c r="H630" s="6">
        <v>12.04</v>
      </c>
      <c r="I630" s="6">
        <v>0</v>
      </c>
      <c r="J630" s="6">
        <v>12.04</v>
      </c>
      <c r="K630" s="5">
        <v>146</v>
      </c>
    </row>
    <row r="631" spans="1:11" x14ac:dyDescent="0.3">
      <c r="A631" s="3">
        <v>4886</v>
      </c>
      <c r="B631" s="3" t="s">
        <v>19</v>
      </c>
      <c r="C631" s="4">
        <v>45441</v>
      </c>
      <c r="D631" s="3" t="s">
        <v>34</v>
      </c>
      <c r="E631" s="3" t="s">
        <v>21</v>
      </c>
      <c r="F631" s="5">
        <v>4</v>
      </c>
      <c r="G631" s="6">
        <v>19.3</v>
      </c>
      <c r="H631" s="6">
        <v>77.2</v>
      </c>
      <c r="I631" s="6">
        <v>1.32</v>
      </c>
      <c r="J631" s="6">
        <v>75.88</v>
      </c>
      <c r="K631" s="5">
        <v>292</v>
      </c>
    </row>
    <row r="632" spans="1:11" x14ac:dyDescent="0.3">
      <c r="A632" s="3">
        <v>6881</v>
      </c>
      <c r="B632" s="3" t="s">
        <v>36</v>
      </c>
      <c r="C632" s="4">
        <v>45591</v>
      </c>
      <c r="D632" s="3" t="s">
        <v>17</v>
      </c>
      <c r="E632" s="3" t="s">
        <v>21</v>
      </c>
      <c r="F632" s="5">
        <v>3</v>
      </c>
      <c r="G632" s="6">
        <v>19.93</v>
      </c>
      <c r="H632" s="6">
        <v>59.79</v>
      </c>
      <c r="I632" s="6">
        <v>3.58</v>
      </c>
      <c r="J632" s="6">
        <v>56.21</v>
      </c>
      <c r="K632" s="5">
        <v>363</v>
      </c>
    </row>
    <row r="633" spans="1:11" x14ac:dyDescent="0.3">
      <c r="A633" s="3">
        <v>5847</v>
      </c>
      <c r="B633" s="3" t="s">
        <v>30</v>
      </c>
      <c r="C633" s="4">
        <v>45688</v>
      </c>
      <c r="D633" s="3" t="s">
        <v>45</v>
      </c>
      <c r="E633" s="3" t="s">
        <v>23</v>
      </c>
      <c r="F633" s="5">
        <v>5</v>
      </c>
      <c r="G633" s="6">
        <v>16.100000000000001</v>
      </c>
      <c r="H633" s="6">
        <v>80.5</v>
      </c>
      <c r="I633" s="6">
        <v>16.100000000000001</v>
      </c>
      <c r="J633" s="6">
        <v>64.400000000000006</v>
      </c>
      <c r="K633" s="5">
        <v>230</v>
      </c>
    </row>
    <row r="634" spans="1:11" x14ac:dyDescent="0.3">
      <c r="A634" s="3">
        <v>5837</v>
      </c>
      <c r="B634" s="3" t="s">
        <v>19</v>
      </c>
      <c r="C634" s="4">
        <v>45162</v>
      </c>
      <c r="D634" s="3" t="s">
        <v>12</v>
      </c>
      <c r="E634" s="3" t="s">
        <v>41</v>
      </c>
      <c r="F634" s="5">
        <v>2</v>
      </c>
      <c r="G634" s="6">
        <v>20.190000000000001</v>
      </c>
      <c r="H634" s="6">
        <v>40.380000000000003</v>
      </c>
      <c r="I634" s="6">
        <v>8.08</v>
      </c>
      <c r="J634" s="6">
        <v>32.299999999999997</v>
      </c>
      <c r="K634" s="5">
        <v>481</v>
      </c>
    </row>
    <row r="635" spans="1:11" x14ac:dyDescent="0.3">
      <c r="A635" s="3">
        <v>7484</v>
      </c>
      <c r="B635" s="3" t="s">
        <v>19</v>
      </c>
      <c r="C635" s="4">
        <v>45358</v>
      </c>
      <c r="D635" s="3" t="s">
        <v>20</v>
      </c>
      <c r="E635" s="3" t="s">
        <v>48</v>
      </c>
      <c r="F635" s="5">
        <v>1</v>
      </c>
      <c r="G635" s="6">
        <v>2.84</v>
      </c>
      <c r="H635" s="6">
        <v>2.84</v>
      </c>
      <c r="I635" s="6">
        <v>1.22</v>
      </c>
      <c r="J635" s="6">
        <v>1.62</v>
      </c>
      <c r="K635" s="5">
        <v>449</v>
      </c>
    </row>
    <row r="636" spans="1:11" x14ac:dyDescent="0.3">
      <c r="A636" s="3">
        <v>1132</v>
      </c>
      <c r="B636" s="3" t="s">
        <v>24</v>
      </c>
      <c r="C636" s="4">
        <v>45584</v>
      </c>
      <c r="D636" s="3" t="s">
        <v>38</v>
      </c>
      <c r="E636" s="3" t="s">
        <v>43</v>
      </c>
      <c r="F636" s="5">
        <v>1</v>
      </c>
      <c r="G636" s="6">
        <v>8.6</v>
      </c>
      <c r="H636" s="6">
        <v>8.6</v>
      </c>
      <c r="I636" s="6">
        <v>0</v>
      </c>
      <c r="J636" s="6">
        <v>8.6</v>
      </c>
      <c r="K636" s="5">
        <v>79</v>
      </c>
    </row>
    <row r="637" spans="1:11" x14ac:dyDescent="0.3">
      <c r="A637" s="3">
        <v>1803</v>
      </c>
      <c r="B637" s="3" t="s">
        <v>24</v>
      </c>
      <c r="C637" s="4">
        <v>45852</v>
      </c>
      <c r="D637" s="3" t="s">
        <v>35</v>
      </c>
      <c r="E637" s="3" t="s">
        <v>25</v>
      </c>
      <c r="F637" s="5">
        <v>2</v>
      </c>
      <c r="G637" s="6">
        <v>22.38</v>
      </c>
      <c r="H637" s="6">
        <v>44.76</v>
      </c>
      <c r="I637" s="6">
        <v>8.9499999999999993</v>
      </c>
      <c r="J637" s="6">
        <v>35.81</v>
      </c>
      <c r="K637" s="5">
        <v>226</v>
      </c>
    </row>
    <row r="638" spans="1:11" x14ac:dyDescent="0.3">
      <c r="A638" s="3">
        <v>9138</v>
      </c>
      <c r="B638" s="3" t="s">
        <v>14</v>
      </c>
      <c r="C638" s="4">
        <v>45791</v>
      </c>
      <c r="D638" s="3" t="s">
        <v>34</v>
      </c>
      <c r="E638" s="3" t="s">
        <v>39</v>
      </c>
      <c r="F638" s="5">
        <v>1</v>
      </c>
      <c r="G638" s="6">
        <v>20.23</v>
      </c>
      <c r="H638" s="6">
        <v>20.23</v>
      </c>
      <c r="I638" s="6">
        <v>2.02</v>
      </c>
      <c r="J638" s="6">
        <v>18.21</v>
      </c>
      <c r="K638" s="5">
        <v>440</v>
      </c>
    </row>
    <row r="639" spans="1:11" x14ac:dyDescent="0.3">
      <c r="A639" s="3">
        <v>5689</v>
      </c>
      <c r="B639" s="3" t="s">
        <v>26</v>
      </c>
      <c r="C639" s="4">
        <v>45747</v>
      </c>
      <c r="D639" s="3" t="s">
        <v>38</v>
      </c>
      <c r="E639" s="3" t="s">
        <v>13</v>
      </c>
      <c r="F639" s="5">
        <v>5</v>
      </c>
      <c r="G639" s="6">
        <v>13.89</v>
      </c>
      <c r="H639" s="6">
        <v>69.45</v>
      </c>
      <c r="I639" s="6">
        <v>3.39</v>
      </c>
      <c r="J639" s="6">
        <v>66.06</v>
      </c>
      <c r="K639" s="5">
        <v>496</v>
      </c>
    </row>
    <row r="640" spans="1:11" x14ac:dyDescent="0.3">
      <c r="A640" s="3">
        <v>4770</v>
      </c>
      <c r="B640" s="3" t="s">
        <v>24</v>
      </c>
      <c r="C640" s="4">
        <v>45616</v>
      </c>
      <c r="D640" s="3" t="s">
        <v>38</v>
      </c>
      <c r="E640" s="3" t="s">
        <v>18</v>
      </c>
      <c r="F640" s="5">
        <v>3</v>
      </c>
      <c r="G640" s="6">
        <v>27.35</v>
      </c>
      <c r="H640" s="6">
        <v>82.05</v>
      </c>
      <c r="I640" s="6">
        <v>2.77</v>
      </c>
      <c r="J640" s="6">
        <v>79.28</v>
      </c>
      <c r="K640" s="5">
        <v>246</v>
      </c>
    </row>
    <row r="641" spans="1:11" x14ac:dyDescent="0.3">
      <c r="A641" s="3">
        <v>6772</v>
      </c>
      <c r="B641" s="3" t="s">
        <v>36</v>
      </c>
      <c r="C641" s="4">
        <v>45315</v>
      </c>
      <c r="D641" s="3" t="s">
        <v>20</v>
      </c>
      <c r="E641" s="3" t="s">
        <v>13</v>
      </c>
      <c r="F641" s="5">
        <v>2</v>
      </c>
      <c r="G641" s="6">
        <v>9.7899999999999991</v>
      </c>
      <c r="H641" s="6">
        <v>19.579999999999998</v>
      </c>
      <c r="I641" s="6">
        <v>2.94</v>
      </c>
      <c r="J641" s="6">
        <v>16.64</v>
      </c>
      <c r="K641" s="5">
        <v>0</v>
      </c>
    </row>
    <row r="642" spans="1:11" x14ac:dyDescent="0.3">
      <c r="A642" s="3">
        <v>4115</v>
      </c>
      <c r="B642" s="3" t="s">
        <v>30</v>
      </c>
      <c r="C642" s="4">
        <v>45627</v>
      </c>
      <c r="D642" s="3" t="s">
        <v>45</v>
      </c>
      <c r="E642" s="3" t="s">
        <v>18</v>
      </c>
      <c r="F642" s="5">
        <v>1</v>
      </c>
      <c r="G642" s="6">
        <v>20.94</v>
      </c>
      <c r="H642" s="6">
        <v>20.94</v>
      </c>
      <c r="I642" s="6">
        <v>3.14</v>
      </c>
      <c r="J642" s="6">
        <v>17.8</v>
      </c>
      <c r="K642" s="5">
        <v>251</v>
      </c>
    </row>
    <row r="643" spans="1:11" x14ac:dyDescent="0.3">
      <c r="A643" s="3">
        <v>5106</v>
      </c>
      <c r="B643" s="3" t="s">
        <v>31</v>
      </c>
      <c r="C643" s="4">
        <v>45671</v>
      </c>
      <c r="D643" s="3" t="s">
        <v>20</v>
      </c>
      <c r="E643" s="3" t="s">
        <v>37</v>
      </c>
      <c r="F643" s="5">
        <v>5</v>
      </c>
      <c r="G643" s="6">
        <v>7.7</v>
      </c>
      <c r="H643" s="6">
        <v>38.5</v>
      </c>
      <c r="I643" s="6">
        <v>7.7</v>
      </c>
      <c r="J643" s="6">
        <v>30.8</v>
      </c>
      <c r="K643" s="5">
        <v>3</v>
      </c>
    </row>
    <row r="644" spans="1:11" x14ac:dyDescent="0.3">
      <c r="A644" s="3">
        <v>3240</v>
      </c>
      <c r="B644" s="3" t="s">
        <v>24</v>
      </c>
      <c r="C644" s="4">
        <v>45632</v>
      </c>
      <c r="D644" s="3" t="s">
        <v>38</v>
      </c>
      <c r="E644" s="3" t="s">
        <v>16</v>
      </c>
      <c r="F644" s="5">
        <v>4</v>
      </c>
      <c r="G644" s="6">
        <v>8.24</v>
      </c>
      <c r="H644" s="6">
        <v>32.96</v>
      </c>
      <c r="I644" s="6">
        <v>3.3</v>
      </c>
      <c r="J644" s="6">
        <v>29.66</v>
      </c>
      <c r="K644" s="5">
        <v>366</v>
      </c>
    </row>
    <row r="645" spans="1:11" x14ac:dyDescent="0.3">
      <c r="A645" s="3">
        <v>2591</v>
      </c>
      <c r="B645" s="3" t="s">
        <v>42</v>
      </c>
      <c r="C645" s="4">
        <v>45846</v>
      </c>
      <c r="D645" s="3" t="s">
        <v>35</v>
      </c>
      <c r="E645" s="3" t="s">
        <v>43</v>
      </c>
      <c r="F645" s="5">
        <v>4</v>
      </c>
      <c r="G645" s="6">
        <v>19.12</v>
      </c>
      <c r="H645" s="6">
        <v>76.48</v>
      </c>
      <c r="I645" s="6">
        <v>11.47</v>
      </c>
      <c r="J645" s="6">
        <v>65.010000000000005</v>
      </c>
      <c r="K645" s="5">
        <v>264</v>
      </c>
    </row>
    <row r="646" spans="1:11" x14ac:dyDescent="0.3">
      <c r="A646" s="3">
        <v>1645</v>
      </c>
      <c r="B646" s="3" t="s">
        <v>14</v>
      </c>
      <c r="C646" s="4">
        <v>45384</v>
      </c>
      <c r="D646" s="3" t="s">
        <v>35</v>
      </c>
      <c r="E646" s="3" t="s">
        <v>16</v>
      </c>
      <c r="F646" s="5">
        <v>2</v>
      </c>
      <c r="G646" s="6">
        <v>25.74</v>
      </c>
      <c r="H646" s="6">
        <v>51.48</v>
      </c>
      <c r="I646" s="6">
        <v>7.72</v>
      </c>
      <c r="J646" s="6">
        <v>43.76</v>
      </c>
      <c r="K646" s="5">
        <v>93</v>
      </c>
    </row>
    <row r="647" spans="1:11" x14ac:dyDescent="0.3">
      <c r="A647" s="3">
        <v>8222</v>
      </c>
      <c r="B647" s="3" t="s">
        <v>11</v>
      </c>
      <c r="C647" s="4">
        <v>45170</v>
      </c>
      <c r="D647" s="3" t="s">
        <v>27</v>
      </c>
      <c r="E647" s="3" t="s">
        <v>33</v>
      </c>
      <c r="F647" s="5">
        <v>5</v>
      </c>
      <c r="G647" s="6">
        <v>14.12</v>
      </c>
      <c r="H647" s="6">
        <v>70.599999999999994</v>
      </c>
      <c r="I647" s="6">
        <v>14.12</v>
      </c>
      <c r="J647" s="6">
        <v>56.48</v>
      </c>
      <c r="K647" s="5">
        <v>358</v>
      </c>
    </row>
    <row r="648" spans="1:11" x14ac:dyDescent="0.3">
      <c r="A648" s="3">
        <v>6977</v>
      </c>
      <c r="B648" s="3" t="s">
        <v>36</v>
      </c>
      <c r="C648" s="4">
        <v>45713</v>
      </c>
      <c r="D648" s="3" t="s">
        <v>12</v>
      </c>
      <c r="E648" s="3" t="s">
        <v>41</v>
      </c>
      <c r="F648" s="5">
        <v>1</v>
      </c>
      <c r="G648" s="6">
        <v>29.11</v>
      </c>
      <c r="H648" s="6">
        <v>29.11</v>
      </c>
      <c r="I648" s="6">
        <v>2.13</v>
      </c>
      <c r="J648" s="6">
        <v>26.98</v>
      </c>
      <c r="K648" s="5">
        <v>11</v>
      </c>
    </row>
    <row r="649" spans="1:11" x14ac:dyDescent="0.3">
      <c r="A649" s="3">
        <v>3153</v>
      </c>
      <c r="B649" s="3" t="s">
        <v>19</v>
      </c>
      <c r="C649" s="4">
        <v>45215</v>
      </c>
      <c r="D649" s="3" t="s">
        <v>45</v>
      </c>
      <c r="E649" s="3" t="s">
        <v>39</v>
      </c>
      <c r="F649" s="5">
        <v>2</v>
      </c>
      <c r="G649" s="6">
        <v>3.61</v>
      </c>
      <c r="H649" s="6">
        <v>7.22</v>
      </c>
      <c r="I649" s="6">
        <v>1.44</v>
      </c>
      <c r="J649" s="6">
        <v>5.78</v>
      </c>
      <c r="K649" s="5">
        <v>7</v>
      </c>
    </row>
    <row r="650" spans="1:11" x14ac:dyDescent="0.3">
      <c r="A650" s="3">
        <v>5835</v>
      </c>
      <c r="B650" s="3" t="s">
        <v>36</v>
      </c>
      <c r="C650" s="4">
        <v>45398</v>
      </c>
      <c r="D650" s="3" t="s">
        <v>20</v>
      </c>
      <c r="E650" s="3" t="s">
        <v>37</v>
      </c>
      <c r="F650" s="5">
        <v>4</v>
      </c>
      <c r="G650" s="6">
        <v>29.93</v>
      </c>
      <c r="H650" s="6">
        <v>119.72</v>
      </c>
      <c r="I650" s="6">
        <v>17.96</v>
      </c>
      <c r="J650" s="6">
        <v>101.76</v>
      </c>
      <c r="K650" s="5">
        <v>237</v>
      </c>
    </row>
    <row r="651" spans="1:11" x14ac:dyDescent="0.3">
      <c r="A651" s="3">
        <v>7807</v>
      </c>
      <c r="B651" s="3" t="s">
        <v>11</v>
      </c>
      <c r="C651" s="4">
        <v>45281</v>
      </c>
      <c r="D651" s="3" t="s">
        <v>34</v>
      </c>
      <c r="E651" s="3" t="s">
        <v>40</v>
      </c>
      <c r="F651" s="5">
        <v>3</v>
      </c>
      <c r="G651" s="6">
        <v>23.48</v>
      </c>
      <c r="H651" s="6">
        <v>70.44</v>
      </c>
      <c r="I651" s="6">
        <v>14.09</v>
      </c>
      <c r="J651" s="6">
        <v>56.35</v>
      </c>
      <c r="K651" s="5">
        <v>36</v>
      </c>
    </row>
    <row r="652" spans="1:11" x14ac:dyDescent="0.3">
      <c r="A652" s="3">
        <v>4289</v>
      </c>
      <c r="B652" s="3" t="s">
        <v>42</v>
      </c>
      <c r="C652" s="4">
        <v>45247</v>
      </c>
      <c r="D652" s="3" t="s">
        <v>35</v>
      </c>
      <c r="E652" s="3" t="s">
        <v>32</v>
      </c>
      <c r="F652" s="5">
        <v>1</v>
      </c>
      <c r="G652" s="6">
        <v>4.53</v>
      </c>
      <c r="H652" s="6">
        <v>4.53</v>
      </c>
      <c r="I652" s="6">
        <v>0.45</v>
      </c>
      <c r="J652" s="6">
        <v>4.08</v>
      </c>
      <c r="K652" s="5">
        <v>393</v>
      </c>
    </row>
    <row r="653" spans="1:11" x14ac:dyDescent="0.3">
      <c r="A653" s="3">
        <v>9837</v>
      </c>
      <c r="B653" s="3" t="s">
        <v>26</v>
      </c>
      <c r="C653" s="4">
        <v>45825</v>
      </c>
      <c r="D653" s="3" t="s">
        <v>17</v>
      </c>
      <c r="E653" s="3" t="s">
        <v>40</v>
      </c>
      <c r="F653" s="5">
        <v>2</v>
      </c>
      <c r="G653" s="6">
        <v>14.35</v>
      </c>
      <c r="H653" s="6">
        <v>28.7</v>
      </c>
      <c r="I653" s="6">
        <v>3.66</v>
      </c>
      <c r="J653" s="6">
        <v>25.04</v>
      </c>
      <c r="K653" s="5">
        <v>394</v>
      </c>
    </row>
    <row r="654" spans="1:11" x14ac:dyDescent="0.3">
      <c r="A654" s="3">
        <v>6994</v>
      </c>
      <c r="B654" s="3" t="s">
        <v>42</v>
      </c>
      <c r="C654" s="4">
        <v>45557</v>
      </c>
      <c r="D654" s="3" t="s">
        <v>45</v>
      </c>
      <c r="E654" s="3" t="s">
        <v>32</v>
      </c>
      <c r="F654" s="5">
        <v>3</v>
      </c>
      <c r="G654" s="6">
        <v>28.14</v>
      </c>
      <c r="H654" s="6">
        <v>84.42</v>
      </c>
      <c r="I654" s="6">
        <v>0</v>
      </c>
      <c r="J654" s="6">
        <v>84.42</v>
      </c>
      <c r="K654" s="5">
        <v>81</v>
      </c>
    </row>
    <row r="655" spans="1:11" x14ac:dyDescent="0.3">
      <c r="A655" s="3">
        <v>9221</v>
      </c>
      <c r="B655" s="3" t="s">
        <v>14</v>
      </c>
      <c r="C655" s="4">
        <v>45854</v>
      </c>
      <c r="D655" s="3" t="s">
        <v>38</v>
      </c>
      <c r="E655" s="3" t="s">
        <v>48</v>
      </c>
      <c r="F655" s="5">
        <v>3</v>
      </c>
      <c r="G655" s="6">
        <v>14.95</v>
      </c>
      <c r="H655" s="6">
        <v>44.85</v>
      </c>
      <c r="I655" s="6">
        <v>6.73</v>
      </c>
      <c r="J655" s="6">
        <v>38.119999999999997</v>
      </c>
      <c r="K655" s="5">
        <v>152</v>
      </c>
    </row>
    <row r="656" spans="1:11" x14ac:dyDescent="0.3">
      <c r="A656" s="3">
        <v>5465</v>
      </c>
      <c r="B656" s="3" t="s">
        <v>31</v>
      </c>
      <c r="C656" s="4">
        <v>45790</v>
      </c>
      <c r="D656" s="3" t="s">
        <v>27</v>
      </c>
      <c r="E656" s="3" t="s">
        <v>44</v>
      </c>
      <c r="F656" s="5">
        <v>1</v>
      </c>
      <c r="G656" s="6">
        <v>7.83</v>
      </c>
      <c r="H656" s="6">
        <v>7.83</v>
      </c>
      <c r="I656" s="6">
        <v>1.67</v>
      </c>
      <c r="J656" s="6">
        <v>6.16</v>
      </c>
      <c r="K656" s="5">
        <v>222</v>
      </c>
    </row>
    <row r="657" spans="1:11" x14ac:dyDescent="0.3">
      <c r="A657" s="3">
        <v>3695</v>
      </c>
      <c r="B657" s="3" t="s">
        <v>30</v>
      </c>
      <c r="C657" s="4">
        <v>45344</v>
      </c>
      <c r="D657" s="3" t="s">
        <v>28</v>
      </c>
      <c r="E657" s="3" t="s">
        <v>48</v>
      </c>
      <c r="F657" s="5">
        <v>4</v>
      </c>
      <c r="G657" s="6">
        <v>23.88</v>
      </c>
      <c r="H657" s="6">
        <v>95.52</v>
      </c>
      <c r="I657" s="6">
        <v>4.13</v>
      </c>
      <c r="J657" s="6">
        <v>91.39</v>
      </c>
      <c r="K657" s="5">
        <v>4</v>
      </c>
    </row>
    <row r="658" spans="1:11" x14ac:dyDescent="0.3">
      <c r="A658" s="3">
        <v>8894</v>
      </c>
      <c r="B658" s="3" t="s">
        <v>26</v>
      </c>
      <c r="C658" s="4">
        <v>45771</v>
      </c>
      <c r="D658" s="3" t="s">
        <v>28</v>
      </c>
      <c r="E658" s="3" t="s">
        <v>41</v>
      </c>
      <c r="F658" s="5">
        <v>3</v>
      </c>
      <c r="G658" s="6">
        <v>23.34</v>
      </c>
      <c r="H658" s="6">
        <v>70.02</v>
      </c>
      <c r="I658" s="6">
        <v>7</v>
      </c>
      <c r="J658" s="6">
        <v>63.02</v>
      </c>
      <c r="K658" s="5">
        <v>127</v>
      </c>
    </row>
    <row r="659" spans="1:11" x14ac:dyDescent="0.3">
      <c r="A659" s="3">
        <v>5835</v>
      </c>
      <c r="B659" s="3"/>
      <c r="C659" s="4">
        <v>45724</v>
      </c>
      <c r="D659" s="3" t="s">
        <v>27</v>
      </c>
      <c r="E659" s="3" t="s">
        <v>21</v>
      </c>
      <c r="F659" s="5">
        <v>1</v>
      </c>
      <c r="G659" s="6">
        <v>2.72</v>
      </c>
      <c r="H659" s="6">
        <v>2.72</v>
      </c>
      <c r="I659" s="6">
        <v>0</v>
      </c>
      <c r="J659" s="6">
        <v>2.72</v>
      </c>
      <c r="K659" s="5">
        <v>330</v>
      </c>
    </row>
    <row r="660" spans="1:11" x14ac:dyDescent="0.3">
      <c r="A660" s="3">
        <v>6549</v>
      </c>
      <c r="B660" s="3" t="s">
        <v>14</v>
      </c>
      <c r="C660" s="4">
        <v>45769</v>
      </c>
      <c r="D660" s="3" t="s">
        <v>15</v>
      </c>
      <c r="E660" s="3" t="s">
        <v>41</v>
      </c>
      <c r="F660" s="5">
        <v>4</v>
      </c>
      <c r="G660" s="6">
        <v>7.74</v>
      </c>
      <c r="H660" s="6">
        <v>30.96</v>
      </c>
      <c r="I660" s="6">
        <v>3.1</v>
      </c>
      <c r="J660" s="6">
        <v>27.86</v>
      </c>
      <c r="K660" s="5">
        <v>285</v>
      </c>
    </row>
    <row r="661" spans="1:11" x14ac:dyDescent="0.3">
      <c r="A661" s="3">
        <v>2886</v>
      </c>
      <c r="B661" s="3" t="s">
        <v>42</v>
      </c>
      <c r="C661" s="4">
        <v>45508</v>
      </c>
      <c r="D661" s="3" t="s">
        <v>12</v>
      </c>
      <c r="E661" s="3" t="s">
        <v>32</v>
      </c>
      <c r="F661" s="5">
        <v>3</v>
      </c>
      <c r="G661" s="6">
        <v>22</v>
      </c>
      <c r="H661" s="6">
        <v>66</v>
      </c>
      <c r="I661" s="6">
        <v>6.6</v>
      </c>
      <c r="J661" s="6">
        <v>59.4</v>
      </c>
      <c r="K661" s="5">
        <v>128</v>
      </c>
    </row>
    <row r="662" spans="1:11" x14ac:dyDescent="0.3">
      <c r="A662" s="3">
        <v>2233</v>
      </c>
      <c r="B662" s="3" t="s">
        <v>26</v>
      </c>
      <c r="C662" s="4">
        <v>45254</v>
      </c>
      <c r="D662" s="3" t="s">
        <v>38</v>
      </c>
      <c r="E662" s="3" t="s">
        <v>37</v>
      </c>
      <c r="F662" s="5">
        <v>5</v>
      </c>
      <c r="G662" s="6">
        <v>21.2</v>
      </c>
      <c r="H662" s="6">
        <v>106</v>
      </c>
      <c r="I662" s="6">
        <v>2.39</v>
      </c>
      <c r="J662" s="6">
        <v>103.61</v>
      </c>
      <c r="K662" s="5">
        <v>97</v>
      </c>
    </row>
    <row r="663" spans="1:11" x14ac:dyDescent="0.3">
      <c r="A663" s="3">
        <v>4696</v>
      </c>
      <c r="B663" s="3" t="s">
        <v>26</v>
      </c>
      <c r="C663" s="4">
        <v>45813</v>
      </c>
      <c r="D663" s="3" t="s">
        <v>35</v>
      </c>
      <c r="E663" s="3" t="s">
        <v>18</v>
      </c>
      <c r="F663" s="5">
        <v>2</v>
      </c>
      <c r="G663" s="6">
        <v>2.99</v>
      </c>
      <c r="H663" s="6">
        <v>5.98</v>
      </c>
      <c r="I663" s="6">
        <v>0.9</v>
      </c>
      <c r="J663" s="6">
        <v>5.08</v>
      </c>
      <c r="K663" s="5">
        <v>79</v>
      </c>
    </row>
    <row r="664" spans="1:11" x14ac:dyDescent="0.3">
      <c r="A664" s="3">
        <v>7511</v>
      </c>
      <c r="B664" s="3" t="s">
        <v>30</v>
      </c>
      <c r="C664" s="4">
        <v>45801</v>
      </c>
      <c r="D664" s="3" t="s">
        <v>38</v>
      </c>
      <c r="E664" s="3" t="s">
        <v>23</v>
      </c>
      <c r="F664" s="5">
        <v>4</v>
      </c>
      <c r="G664" s="6">
        <v>1.01</v>
      </c>
      <c r="H664" s="6">
        <v>4.04</v>
      </c>
      <c r="I664" s="6">
        <v>0</v>
      </c>
      <c r="J664" s="6">
        <v>4.04</v>
      </c>
      <c r="K664" s="5">
        <v>326</v>
      </c>
    </row>
    <row r="665" spans="1:11" x14ac:dyDescent="0.3">
      <c r="A665" s="3">
        <v>6992</v>
      </c>
      <c r="B665" s="3" t="s">
        <v>19</v>
      </c>
      <c r="C665" s="4">
        <v>45215</v>
      </c>
      <c r="D665" s="3" t="s">
        <v>12</v>
      </c>
      <c r="E665" s="3" t="s">
        <v>23</v>
      </c>
      <c r="F665" s="5">
        <v>5</v>
      </c>
      <c r="G665" s="6">
        <v>7.91</v>
      </c>
      <c r="H665" s="6">
        <v>39.549999999999997</v>
      </c>
      <c r="I665" s="6">
        <v>0</v>
      </c>
      <c r="J665" s="6">
        <v>39.549999999999997</v>
      </c>
      <c r="K665" s="5">
        <v>369</v>
      </c>
    </row>
    <row r="666" spans="1:11" x14ac:dyDescent="0.3">
      <c r="A666" s="3">
        <v>7464</v>
      </c>
      <c r="B666" s="3" t="s">
        <v>14</v>
      </c>
      <c r="C666" s="4">
        <v>45155</v>
      </c>
      <c r="D666" s="3" t="s">
        <v>20</v>
      </c>
      <c r="E666" s="3" t="s">
        <v>44</v>
      </c>
      <c r="F666" s="5">
        <v>5</v>
      </c>
      <c r="G666" s="6">
        <v>20.8</v>
      </c>
      <c r="H666" s="6">
        <v>104</v>
      </c>
      <c r="I666" s="6">
        <v>2.13</v>
      </c>
      <c r="J666" s="6">
        <v>101.87</v>
      </c>
      <c r="K666" s="5">
        <v>392</v>
      </c>
    </row>
    <row r="667" spans="1:11" x14ac:dyDescent="0.3">
      <c r="A667" s="3">
        <v>5332</v>
      </c>
      <c r="B667" s="3" t="s">
        <v>24</v>
      </c>
      <c r="C667" s="4">
        <v>45561</v>
      </c>
      <c r="D667" s="3" t="s">
        <v>27</v>
      </c>
      <c r="E667" s="3" t="s">
        <v>21</v>
      </c>
      <c r="F667" s="5">
        <v>1</v>
      </c>
      <c r="G667" s="6">
        <v>3.78</v>
      </c>
      <c r="H667" s="6">
        <v>3.78</v>
      </c>
      <c r="I667" s="6">
        <v>4.34</v>
      </c>
      <c r="J667" s="6">
        <v>-0.56000000000000005</v>
      </c>
      <c r="K667" s="5">
        <v>337</v>
      </c>
    </row>
    <row r="668" spans="1:11" x14ac:dyDescent="0.3">
      <c r="A668" s="3">
        <v>3024</v>
      </c>
      <c r="B668" s="3" t="s">
        <v>19</v>
      </c>
      <c r="C668" s="4">
        <v>45498</v>
      </c>
      <c r="D668" s="3" t="s">
        <v>34</v>
      </c>
      <c r="E668" s="3" t="s">
        <v>40</v>
      </c>
      <c r="F668" s="5">
        <v>2</v>
      </c>
      <c r="G668" s="6">
        <v>4.09</v>
      </c>
      <c r="H668" s="6">
        <v>8.18</v>
      </c>
      <c r="I668" s="6">
        <v>3.28</v>
      </c>
      <c r="J668" s="6">
        <v>4.9000000000000004</v>
      </c>
      <c r="K668" s="5">
        <v>98</v>
      </c>
    </row>
    <row r="669" spans="1:11" x14ac:dyDescent="0.3">
      <c r="A669" s="3">
        <v>7038</v>
      </c>
      <c r="B669" s="3" t="s">
        <v>24</v>
      </c>
      <c r="C669" s="4">
        <v>45667</v>
      </c>
      <c r="D669" s="3" t="s">
        <v>27</v>
      </c>
      <c r="E669" s="3" t="s">
        <v>47</v>
      </c>
      <c r="F669" s="5">
        <v>5</v>
      </c>
      <c r="G669" s="6">
        <v>19.09</v>
      </c>
      <c r="H669" s="6">
        <v>95.45</v>
      </c>
      <c r="I669" s="6">
        <v>2.4700000000000002</v>
      </c>
      <c r="J669" s="6">
        <v>92.98</v>
      </c>
      <c r="K669" s="5">
        <v>302</v>
      </c>
    </row>
    <row r="670" spans="1:11" x14ac:dyDescent="0.3">
      <c r="A670" s="3">
        <v>5295</v>
      </c>
      <c r="B670" s="3" t="s">
        <v>11</v>
      </c>
      <c r="C670" s="4">
        <v>45599</v>
      </c>
      <c r="D670" s="3" t="s">
        <v>12</v>
      </c>
      <c r="E670" s="3" t="s">
        <v>44</v>
      </c>
      <c r="F670" s="5">
        <v>4</v>
      </c>
      <c r="G670" s="6">
        <v>27.91</v>
      </c>
      <c r="H670" s="6">
        <v>111.64</v>
      </c>
      <c r="I670" s="6">
        <v>11.16</v>
      </c>
      <c r="J670" s="6">
        <v>100.48</v>
      </c>
      <c r="K670" s="5">
        <v>426</v>
      </c>
    </row>
    <row r="671" spans="1:11" x14ac:dyDescent="0.3">
      <c r="A671" s="3">
        <v>7242</v>
      </c>
      <c r="B671" s="3" t="s">
        <v>31</v>
      </c>
      <c r="C671" s="4">
        <v>45783</v>
      </c>
      <c r="D671" s="3" t="s">
        <v>22</v>
      </c>
      <c r="E671" s="3" t="s">
        <v>18</v>
      </c>
      <c r="F671" s="5">
        <v>4</v>
      </c>
      <c r="G671" s="6">
        <v>24.83</v>
      </c>
      <c r="H671" s="6">
        <v>99.32</v>
      </c>
      <c r="I671" s="6">
        <v>2.06</v>
      </c>
      <c r="J671" s="6">
        <v>97.26</v>
      </c>
      <c r="K671" s="5">
        <v>406</v>
      </c>
    </row>
    <row r="672" spans="1:11" x14ac:dyDescent="0.3">
      <c r="A672" s="3">
        <v>7086</v>
      </c>
      <c r="B672" s="3" t="s">
        <v>31</v>
      </c>
      <c r="C672" s="4">
        <v>45229</v>
      </c>
      <c r="D672" s="3" t="s">
        <v>15</v>
      </c>
      <c r="E672" s="3" t="s">
        <v>37</v>
      </c>
      <c r="F672" s="5">
        <v>1</v>
      </c>
      <c r="G672" s="6">
        <v>28.38</v>
      </c>
      <c r="H672" s="6">
        <v>28.38</v>
      </c>
      <c r="I672" s="6">
        <v>3.9</v>
      </c>
      <c r="J672" s="6">
        <v>24.48</v>
      </c>
      <c r="K672" s="5">
        <v>491</v>
      </c>
    </row>
    <row r="673" spans="1:11" x14ac:dyDescent="0.3">
      <c r="A673" s="3">
        <v>4830</v>
      </c>
      <c r="B673" s="3" t="s">
        <v>14</v>
      </c>
      <c r="C673" s="4">
        <v>45511</v>
      </c>
      <c r="D673" s="3" t="s">
        <v>20</v>
      </c>
      <c r="E673" s="3" t="s">
        <v>44</v>
      </c>
      <c r="F673" s="5">
        <v>2</v>
      </c>
      <c r="G673" s="6">
        <v>16.25</v>
      </c>
      <c r="H673" s="6">
        <v>32.5</v>
      </c>
      <c r="I673" s="6">
        <v>4</v>
      </c>
      <c r="J673" s="6">
        <v>28.5</v>
      </c>
      <c r="K673" s="5">
        <v>127</v>
      </c>
    </row>
    <row r="674" spans="1:11" x14ac:dyDescent="0.3">
      <c r="A674" s="3">
        <v>1410</v>
      </c>
      <c r="B674" s="3" t="s">
        <v>24</v>
      </c>
      <c r="C674" s="4">
        <v>45626</v>
      </c>
      <c r="D674" s="3" t="s">
        <v>15</v>
      </c>
      <c r="E674" s="3" t="s">
        <v>23</v>
      </c>
      <c r="F674" s="5">
        <v>4</v>
      </c>
      <c r="G674" s="6">
        <v>21.36</v>
      </c>
      <c r="H674" s="6">
        <v>85.44</v>
      </c>
      <c r="I674" s="6">
        <v>17.09</v>
      </c>
      <c r="J674" s="6">
        <v>68.349999999999994</v>
      </c>
      <c r="K674" s="5">
        <v>218</v>
      </c>
    </row>
    <row r="675" spans="1:11" x14ac:dyDescent="0.3">
      <c r="A675" s="3">
        <v>6374</v>
      </c>
      <c r="B675" s="3" t="s">
        <v>19</v>
      </c>
      <c r="C675" s="4">
        <v>45855</v>
      </c>
      <c r="D675" s="3" t="s">
        <v>38</v>
      </c>
      <c r="E675" s="3" t="s">
        <v>32</v>
      </c>
      <c r="F675" s="5">
        <v>5</v>
      </c>
      <c r="G675" s="6">
        <v>10.78</v>
      </c>
      <c r="H675" s="6">
        <v>53.9</v>
      </c>
      <c r="I675" s="6">
        <v>8.08</v>
      </c>
      <c r="J675" s="6">
        <v>45.82</v>
      </c>
      <c r="K675" s="5">
        <v>80</v>
      </c>
    </row>
    <row r="676" spans="1:11" x14ac:dyDescent="0.3">
      <c r="A676" s="3">
        <v>4626</v>
      </c>
      <c r="B676" s="3" t="s">
        <v>36</v>
      </c>
      <c r="C676" s="4">
        <v>45648</v>
      </c>
      <c r="D676" s="3" t="s">
        <v>38</v>
      </c>
      <c r="E676" s="3" t="s">
        <v>21</v>
      </c>
      <c r="F676" s="5">
        <v>3</v>
      </c>
      <c r="G676" s="6">
        <v>12.95</v>
      </c>
      <c r="H676" s="6">
        <v>38.85</v>
      </c>
      <c r="I676" s="6">
        <v>0</v>
      </c>
      <c r="J676" s="6">
        <v>38.85</v>
      </c>
      <c r="K676" s="5">
        <v>324</v>
      </c>
    </row>
    <row r="677" spans="1:11" x14ac:dyDescent="0.3">
      <c r="A677" s="3">
        <v>2035</v>
      </c>
      <c r="B677" s="3" t="s">
        <v>36</v>
      </c>
      <c r="C677" s="4">
        <v>45638</v>
      </c>
      <c r="D677" s="3" t="s">
        <v>28</v>
      </c>
      <c r="E677" s="3" t="s">
        <v>25</v>
      </c>
      <c r="F677" s="5">
        <v>5</v>
      </c>
      <c r="G677" s="6">
        <v>16.809999999999999</v>
      </c>
      <c r="H677" s="6">
        <v>84.05</v>
      </c>
      <c r="I677" s="6">
        <v>12.61</v>
      </c>
      <c r="J677" s="6">
        <v>71.44</v>
      </c>
      <c r="K677" s="5">
        <v>192</v>
      </c>
    </row>
    <row r="678" spans="1:11" x14ac:dyDescent="0.3">
      <c r="A678" s="3">
        <v>8606</v>
      </c>
      <c r="B678" s="3" t="s">
        <v>26</v>
      </c>
      <c r="C678" s="4">
        <v>45851</v>
      </c>
      <c r="D678" s="3" t="s">
        <v>45</v>
      </c>
      <c r="E678" s="3" t="s">
        <v>32</v>
      </c>
      <c r="F678" s="5">
        <v>1</v>
      </c>
      <c r="G678" s="6">
        <v>22.05</v>
      </c>
      <c r="H678" s="6">
        <v>22.05</v>
      </c>
      <c r="I678" s="6">
        <v>1.54</v>
      </c>
      <c r="J678" s="6">
        <v>20.51</v>
      </c>
      <c r="K678" s="5">
        <v>145</v>
      </c>
    </row>
    <row r="679" spans="1:11" x14ac:dyDescent="0.3">
      <c r="A679" s="3">
        <v>5951</v>
      </c>
      <c r="B679" s="3" t="s">
        <v>30</v>
      </c>
      <c r="C679" s="4">
        <v>45649</v>
      </c>
      <c r="D679" s="3" t="s">
        <v>12</v>
      </c>
      <c r="E679" s="3" t="s">
        <v>37</v>
      </c>
      <c r="F679" s="5">
        <v>2</v>
      </c>
      <c r="G679" s="6">
        <v>7.22</v>
      </c>
      <c r="H679" s="6">
        <v>14.44</v>
      </c>
      <c r="I679" s="6">
        <v>0</v>
      </c>
      <c r="J679" s="6">
        <v>14.44</v>
      </c>
      <c r="K679" s="5">
        <v>161</v>
      </c>
    </row>
    <row r="680" spans="1:11" x14ac:dyDescent="0.3">
      <c r="A680" s="3">
        <v>7689</v>
      </c>
      <c r="B680" s="3" t="s">
        <v>30</v>
      </c>
      <c r="C680" s="4">
        <v>45235</v>
      </c>
      <c r="D680" s="3" t="s">
        <v>38</v>
      </c>
      <c r="E680" s="3" t="s">
        <v>46</v>
      </c>
      <c r="F680" s="5">
        <v>5</v>
      </c>
      <c r="G680" s="6">
        <v>17.54</v>
      </c>
      <c r="H680" s="6">
        <v>87.7</v>
      </c>
      <c r="I680" s="6">
        <v>1.1499999999999999</v>
      </c>
      <c r="J680" s="6">
        <v>86.55</v>
      </c>
      <c r="K680" s="5">
        <v>292</v>
      </c>
    </row>
    <row r="681" spans="1:11" x14ac:dyDescent="0.3">
      <c r="A681" s="3">
        <v>3290</v>
      </c>
      <c r="B681" s="3" t="s">
        <v>36</v>
      </c>
      <c r="C681" s="4">
        <v>45180</v>
      </c>
      <c r="D681" s="3" t="s">
        <v>34</v>
      </c>
      <c r="E681" s="3" t="s">
        <v>41</v>
      </c>
      <c r="F681" s="5">
        <v>3</v>
      </c>
      <c r="G681" s="6">
        <v>11.64</v>
      </c>
      <c r="H681" s="6">
        <v>34.92</v>
      </c>
      <c r="I681" s="6">
        <v>6.98</v>
      </c>
      <c r="J681" s="6">
        <v>27.94</v>
      </c>
      <c r="K681" s="5">
        <v>298</v>
      </c>
    </row>
    <row r="682" spans="1:11" x14ac:dyDescent="0.3">
      <c r="A682" s="3">
        <v>1609</v>
      </c>
      <c r="B682" s="3" t="s">
        <v>30</v>
      </c>
      <c r="C682" s="4">
        <v>45381</v>
      </c>
      <c r="D682" s="3" t="s">
        <v>35</v>
      </c>
      <c r="E682" s="3" t="s">
        <v>43</v>
      </c>
      <c r="F682" s="5">
        <v>5</v>
      </c>
      <c r="G682" s="6">
        <v>12.58</v>
      </c>
      <c r="H682" s="6">
        <v>62.9</v>
      </c>
      <c r="I682" s="6">
        <v>0</v>
      </c>
      <c r="J682" s="6">
        <v>62.9</v>
      </c>
      <c r="K682" s="5">
        <v>469</v>
      </c>
    </row>
    <row r="683" spans="1:11" x14ac:dyDescent="0.3">
      <c r="A683" s="3">
        <v>9071</v>
      </c>
      <c r="B683" s="3" t="s">
        <v>11</v>
      </c>
      <c r="C683" s="4">
        <v>45235</v>
      </c>
      <c r="D683" s="3" t="s">
        <v>22</v>
      </c>
      <c r="E683" s="3" t="s">
        <v>47</v>
      </c>
      <c r="F683" s="5">
        <v>2</v>
      </c>
      <c r="G683" s="6">
        <v>15.15</v>
      </c>
      <c r="H683" s="6">
        <v>30.3</v>
      </c>
      <c r="I683" s="6">
        <v>3.57</v>
      </c>
      <c r="J683" s="6">
        <v>26.73</v>
      </c>
      <c r="K683" s="5">
        <v>460</v>
      </c>
    </row>
    <row r="684" spans="1:11" x14ac:dyDescent="0.3">
      <c r="A684" s="3">
        <v>2592</v>
      </c>
      <c r="B684" s="3" t="s">
        <v>31</v>
      </c>
      <c r="C684" s="4">
        <v>45327</v>
      </c>
      <c r="D684" s="3" t="s">
        <v>28</v>
      </c>
      <c r="E684" s="3" t="s">
        <v>32</v>
      </c>
      <c r="F684" s="5">
        <v>1</v>
      </c>
      <c r="G684" s="6">
        <v>23.61</v>
      </c>
      <c r="H684" s="6">
        <v>23.61</v>
      </c>
      <c r="I684" s="6">
        <v>3.54</v>
      </c>
      <c r="J684" s="6">
        <v>20.07</v>
      </c>
      <c r="K684" s="5">
        <v>471</v>
      </c>
    </row>
    <row r="685" spans="1:11" x14ac:dyDescent="0.3">
      <c r="A685" s="3">
        <v>9807</v>
      </c>
      <c r="B685" s="3" t="s">
        <v>24</v>
      </c>
      <c r="C685" s="4">
        <v>45250</v>
      </c>
      <c r="D685" s="3" t="s">
        <v>20</v>
      </c>
      <c r="E685" s="3" t="s">
        <v>48</v>
      </c>
      <c r="F685" s="5">
        <v>2</v>
      </c>
      <c r="G685" s="6">
        <v>22.67</v>
      </c>
      <c r="H685" s="6">
        <v>45.34</v>
      </c>
      <c r="I685" s="6">
        <v>0</v>
      </c>
      <c r="J685" s="6">
        <v>45.34</v>
      </c>
      <c r="K685" s="5">
        <v>434</v>
      </c>
    </row>
    <row r="686" spans="1:11" x14ac:dyDescent="0.3">
      <c r="A686" s="3">
        <v>7367</v>
      </c>
      <c r="B686" s="3" t="s">
        <v>24</v>
      </c>
      <c r="C686" s="4">
        <v>45497</v>
      </c>
      <c r="D686" s="3" t="s">
        <v>12</v>
      </c>
      <c r="E686" s="3" t="s">
        <v>37</v>
      </c>
      <c r="F686" s="5">
        <v>5</v>
      </c>
      <c r="G686" s="6">
        <v>2.1800000000000002</v>
      </c>
      <c r="H686" s="6">
        <v>10.9</v>
      </c>
      <c r="I686" s="6">
        <v>1.64</v>
      </c>
      <c r="J686" s="6">
        <v>9.26</v>
      </c>
      <c r="K686" s="5">
        <v>276</v>
      </c>
    </row>
    <row r="687" spans="1:11" x14ac:dyDescent="0.3">
      <c r="A687" s="3">
        <v>7078</v>
      </c>
      <c r="B687" s="3" t="s">
        <v>14</v>
      </c>
      <c r="C687" s="4">
        <v>45665</v>
      </c>
      <c r="D687" s="3" t="s">
        <v>17</v>
      </c>
      <c r="E687" s="3" t="s">
        <v>41</v>
      </c>
      <c r="F687" s="5">
        <v>1</v>
      </c>
      <c r="G687" s="6">
        <v>20.53</v>
      </c>
      <c r="H687" s="6">
        <v>20.53</v>
      </c>
      <c r="I687" s="6">
        <v>3.3</v>
      </c>
      <c r="J687" s="6">
        <v>17.23</v>
      </c>
      <c r="K687" s="5">
        <v>201</v>
      </c>
    </row>
    <row r="688" spans="1:11" x14ac:dyDescent="0.3">
      <c r="A688" s="3">
        <v>9850</v>
      </c>
      <c r="B688" s="3" t="s">
        <v>11</v>
      </c>
      <c r="C688" s="4">
        <v>45470</v>
      </c>
      <c r="D688" s="3" t="s">
        <v>17</v>
      </c>
      <c r="E688" s="3" t="s">
        <v>16</v>
      </c>
      <c r="F688" s="5">
        <v>3</v>
      </c>
      <c r="G688" s="6">
        <v>23.79</v>
      </c>
      <c r="H688" s="6">
        <v>71.37</v>
      </c>
      <c r="I688" s="6">
        <v>10.71</v>
      </c>
      <c r="J688" s="6">
        <v>60.66</v>
      </c>
      <c r="K688" s="5">
        <v>75</v>
      </c>
    </row>
    <row r="689" spans="1:11" x14ac:dyDescent="0.3">
      <c r="A689" s="3">
        <v>3531</v>
      </c>
      <c r="B689" s="3" t="s">
        <v>11</v>
      </c>
      <c r="C689" s="4">
        <v>45832</v>
      </c>
      <c r="D689" s="3" t="s">
        <v>45</v>
      </c>
      <c r="E689" s="3" t="s">
        <v>40</v>
      </c>
      <c r="F689" s="5">
        <v>5</v>
      </c>
      <c r="G689" s="6">
        <v>12.57</v>
      </c>
      <c r="H689" s="6">
        <v>62.85</v>
      </c>
      <c r="I689" s="6">
        <v>2.74</v>
      </c>
      <c r="J689" s="6">
        <v>60.11</v>
      </c>
      <c r="K689" s="5">
        <v>43</v>
      </c>
    </row>
    <row r="690" spans="1:11" x14ac:dyDescent="0.3">
      <c r="A690" s="3">
        <v>7797</v>
      </c>
      <c r="B690" s="3" t="s">
        <v>19</v>
      </c>
      <c r="C690" s="4">
        <v>45653</v>
      </c>
      <c r="D690" s="3" t="s">
        <v>34</v>
      </c>
      <c r="E690" s="3" t="s">
        <v>47</v>
      </c>
      <c r="F690" s="5">
        <v>5</v>
      </c>
      <c r="G690" s="6">
        <v>6.74</v>
      </c>
      <c r="H690" s="6">
        <v>33.700000000000003</v>
      </c>
      <c r="I690" s="6">
        <v>3.46</v>
      </c>
      <c r="J690" s="6">
        <v>30.24</v>
      </c>
      <c r="K690" s="5">
        <v>202</v>
      </c>
    </row>
    <row r="691" spans="1:11" x14ac:dyDescent="0.3">
      <c r="A691" s="3">
        <v>2622</v>
      </c>
      <c r="B691" s="3" t="s">
        <v>14</v>
      </c>
      <c r="C691" s="4">
        <v>45792</v>
      </c>
      <c r="D691" s="3" t="s">
        <v>17</v>
      </c>
      <c r="E691" s="3" t="s">
        <v>25</v>
      </c>
      <c r="F691" s="5">
        <v>1</v>
      </c>
      <c r="G691" s="6">
        <v>8.7100000000000009</v>
      </c>
      <c r="H691" s="6">
        <v>8.7100000000000009</v>
      </c>
      <c r="I691" s="6">
        <v>0</v>
      </c>
      <c r="J691" s="6">
        <v>8.7100000000000009</v>
      </c>
      <c r="K691" s="5">
        <v>220</v>
      </c>
    </row>
    <row r="692" spans="1:11" x14ac:dyDescent="0.3">
      <c r="A692" s="3">
        <v>9017</v>
      </c>
      <c r="B692" s="3" t="s">
        <v>11</v>
      </c>
      <c r="C692" s="4">
        <v>45623</v>
      </c>
      <c r="D692" s="3" t="s">
        <v>15</v>
      </c>
      <c r="E692" s="3" t="s">
        <v>16</v>
      </c>
      <c r="F692" s="5">
        <v>4</v>
      </c>
      <c r="G692" s="6">
        <v>11.58</v>
      </c>
      <c r="H692" s="6">
        <v>46.32</v>
      </c>
      <c r="I692" s="6">
        <v>6.95</v>
      </c>
      <c r="J692" s="6">
        <v>39.369999999999997</v>
      </c>
      <c r="K692" s="5">
        <v>97</v>
      </c>
    </row>
    <row r="693" spans="1:11" x14ac:dyDescent="0.3">
      <c r="A693" s="3">
        <v>7686</v>
      </c>
      <c r="B693" s="3" t="s">
        <v>31</v>
      </c>
      <c r="C693" s="4">
        <v>45874</v>
      </c>
      <c r="D693" s="3" t="s">
        <v>35</v>
      </c>
      <c r="E693" s="3" t="s">
        <v>29</v>
      </c>
      <c r="F693" s="5">
        <v>3</v>
      </c>
      <c r="G693" s="6">
        <v>18.86</v>
      </c>
      <c r="H693" s="6">
        <v>56.58</v>
      </c>
      <c r="I693" s="6">
        <v>1.58</v>
      </c>
      <c r="J693" s="6">
        <v>55</v>
      </c>
      <c r="K693" s="5">
        <v>411</v>
      </c>
    </row>
    <row r="694" spans="1:11" x14ac:dyDescent="0.3">
      <c r="A694" s="3">
        <v>5583</v>
      </c>
      <c r="B694" s="3" t="s">
        <v>31</v>
      </c>
      <c r="C694" s="4">
        <v>45170</v>
      </c>
      <c r="D694" s="3" t="s">
        <v>17</v>
      </c>
      <c r="E694" s="3" t="s">
        <v>44</v>
      </c>
      <c r="F694" s="5">
        <v>3</v>
      </c>
      <c r="G694" s="6">
        <v>5.51</v>
      </c>
      <c r="H694" s="6">
        <v>16.53</v>
      </c>
      <c r="I694" s="6">
        <v>3.96</v>
      </c>
      <c r="J694" s="6">
        <v>12.57</v>
      </c>
      <c r="K694" s="5">
        <v>372</v>
      </c>
    </row>
    <row r="695" spans="1:11" x14ac:dyDescent="0.3">
      <c r="A695" s="3">
        <v>7070</v>
      </c>
      <c r="B695" s="3" t="s">
        <v>42</v>
      </c>
      <c r="C695" s="4">
        <v>45313</v>
      </c>
      <c r="D695" s="3" t="s">
        <v>28</v>
      </c>
      <c r="E695" s="3" t="s">
        <v>41</v>
      </c>
      <c r="F695" s="5">
        <v>3</v>
      </c>
      <c r="G695" s="6">
        <v>1.39</v>
      </c>
      <c r="H695" s="6">
        <v>4.17</v>
      </c>
      <c r="I695" s="6">
        <v>0.63</v>
      </c>
      <c r="J695" s="6">
        <v>3.54</v>
      </c>
      <c r="K695" s="5">
        <v>355</v>
      </c>
    </row>
    <row r="696" spans="1:11" x14ac:dyDescent="0.3">
      <c r="A696" s="3">
        <v>8264</v>
      </c>
      <c r="B696" s="3" t="s">
        <v>26</v>
      </c>
      <c r="C696" s="4">
        <v>45490</v>
      </c>
      <c r="D696" s="3" t="s">
        <v>45</v>
      </c>
      <c r="E696" s="3" t="s">
        <v>39</v>
      </c>
      <c r="F696" s="5">
        <v>3</v>
      </c>
      <c r="G696" s="6">
        <v>7.05</v>
      </c>
      <c r="H696" s="6">
        <v>21.15</v>
      </c>
      <c r="I696" s="6">
        <v>4.2300000000000004</v>
      </c>
      <c r="J696" s="6">
        <v>16.920000000000002</v>
      </c>
      <c r="K696" s="5">
        <v>275</v>
      </c>
    </row>
    <row r="697" spans="1:11" x14ac:dyDescent="0.3">
      <c r="A697" s="3">
        <v>4868</v>
      </c>
      <c r="B697" s="3" t="s">
        <v>14</v>
      </c>
      <c r="C697" s="4">
        <v>45809</v>
      </c>
      <c r="D697" s="3" t="s">
        <v>38</v>
      </c>
      <c r="E697" s="3" t="s">
        <v>13</v>
      </c>
      <c r="F697" s="5">
        <v>5</v>
      </c>
      <c r="G697" s="6">
        <v>15</v>
      </c>
      <c r="H697" s="6">
        <v>75</v>
      </c>
      <c r="I697" s="6">
        <v>0</v>
      </c>
      <c r="J697" s="6">
        <v>75</v>
      </c>
      <c r="K697" s="5">
        <v>373</v>
      </c>
    </row>
    <row r="698" spans="1:11" x14ac:dyDescent="0.3">
      <c r="A698" s="3">
        <v>6942</v>
      </c>
      <c r="B698" s="3" t="s">
        <v>31</v>
      </c>
      <c r="C698" s="4">
        <v>45222</v>
      </c>
      <c r="D698" s="3" t="s">
        <v>20</v>
      </c>
      <c r="E698" s="3" t="s">
        <v>46</v>
      </c>
      <c r="F698" s="5">
        <v>1</v>
      </c>
      <c r="G698" s="6">
        <v>8.4</v>
      </c>
      <c r="H698" s="6">
        <v>8.4</v>
      </c>
      <c r="I698" s="6">
        <v>1.68</v>
      </c>
      <c r="J698" s="6">
        <v>6.72</v>
      </c>
      <c r="K698" s="5">
        <v>30</v>
      </c>
    </row>
    <row r="699" spans="1:11" x14ac:dyDescent="0.3">
      <c r="A699" s="3">
        <v>7018</v>
      </c>
      <c r="B699" s="3" t="s">
        <v>30</v>
      </c>
      <c r="C699" s="4">
        <v>45567</v>
      </c>
      <c r="D699" s="3" t="s">
        <v>12</v>
      </c>
      <c r="E699" s="3" t="s">
        <v>33</v>
      </c>
      <c r="F699" s="5">
        <v>1</v>
      </c>
      <c r="G699" s="6">
        <v>2.92</v>
      </c>
      <c r="H699" s="6">
        <v>2.92</v>
      </c>
      <c r="I699" s="6">
        <v>0</v>
      </c>
      <c r="J699" s="6">
        <v>2.92</v>
      </c>
      <c r="K699" s="5">
        <v>338</v>
      </c>
    </row>
    <row r="700" spans="1:11" x14ac:dyDescent="0.3">
      <c r="A700" s="3">
        <v>6876</v>
      </c>
      <c r="B700" s="3" t="s">
        <v>36</v>
      </c>
      <c r="C700" s="4">
        <v>45192</v>
      </c>
      <c r="D700" s="3" t="s">
        <v>15</v>
      </c>
      <c r="E700" s="3" t="s">
        <v>39</v>
      </c>
      <c r="F700" s="5">
        <v>3</v>
      </c>
      <c r="G700" s="6">
        <v>26.14</v>
      </c>
      <c r="H700" s="6">
        <v>78.42</v>
      </c>
      <c r="I700" s="6">
        <v>15.68</v>
      </c>
      <c r="J700" s="6">
        <v>62.74</v>
      </c>
      <c r="K700" s="5">
        <v>332</v>
      </c>
    </row>
    <row r="701" spans="1:11" x14ac:dyDescent="0.3">
      <c r="A701" s="3">
        <v>7523</v>
      </c>
      <c r="B701" s="3" t="s">
        <v>24</v>
      </c>
      <c r="C701" s="4">
        <v>45359</v>
      </c>
      <c r="D701" s="3" t="s">
        <v>38</v>
      </c>
      <c r="E701" s="3" t="s">
        <v>48</v>
      </c>
      <c r="F701" s="5">
        <v>3</v>
      </c>
      <c r="G701" s="6">
        <v>15.05</v>
      </c>
      <c r="H701" s="6">
        <v>45.15</v>
      </c>
      <c r="I701" s="6">
        <v>9.0299999999999994</v>
      </c>
      <c r="J701" s="6">
        <v>36.119999999999997</v>
      </c>
      <c r="K701" s="5">
        <v>305</v>
      </c>
    </row>
    <row r="702" spans="1:11" x14ac:dyDescent="0.3">
      <c r="A702" s="3">
        <v>4109</v>
      </c>
      <c r="B702" s="3" t="s">
        <v>42</v>
      </c>
      <c r="C702" s="4">
        <v>45239</v>
      </c>
      <c r="D702" s="3" t="s">
        <v>38</v>
      </c>
      <c r="E702" s="3" t="s">
        <v>33</v>
      </c>
      <c r="F702" s="5">
        <v>5</v>
      </c>
      <c r="G702" s="6">
        <v>27.85</v>
      </c>
      <c r="H702" s="6">
        <v>139.25</v>
      </c>
      <c r="I702" s="6">
        <v>27.85</v>
      </c>
      <c r="J702" s="6">
        <v>111.4</v>
      </c>
      <c r="K702" s="5">
        <v>11</v>
      </c>
    </row>
    <row r="703" spans="1:11" x14ac:dyDescent="0.3">
      <c r="A703" s="3">
        <v>8450</v>
      </c>
      <c r="B703" s="3" t="s">
        <v>14</v>
      </c>
      <c r="C703" s="4">
        <v>45216</v>
      </c>
      <c r="D703" s="3" t="s">
        <v>35</v>
      </c>
      <c r="E703" s="3" t="s">
        <v>21</v>
      </c>
      <c r="F703" s="5">
        <v>4</v>
      </c>
      <c r="G703" s="6">
        <v>12.4</v>
      </c>
      <c r="H703" s="6">
        <v>49.6</v>
      </c>
      <c r="I703" s="6">
        <v>7.44</v>
      </c>
      <c r="J703" s="6">
        <v>42.16</v>
      </c>
      <c r="K703" s="5">
        <v>80</v>
      </c>
    </row>
    <row r="704" spans="1:11" x14ac:dyDescent="0.3">
      <c r="A704" s="3">
        <v>4475</v>
      </c>
      <c r="B704" s="3" t="s">
        <v>36</v>
      </c>
      <c r="C704" s="4">
        <v>45643</v>
      </c>
      <c r="D704" s="3" t="s">
        <v>22</v>
      </c>
      <c r="E704" s="3" t="s">
        <v>37</v>
      </c>
      <c r="F704" s="5">
        <v>2</v>
      </c>
      <c r="G704" s="6">
        <v>29.87</v>
      </c>
      <c r="H704" s="6">
        <v>59.74</v>
      </c>
      <c r="I704" s="6">
        <v>3.5</v>
      </c>
      <c r="J704" s="6">
        <v>56.24</v>
      </c>
      <c r="K704" s="5">
        <v>256</v>
      </c>
    </row>
    <row r="705" spans="1:11" x14ac:dyDescent="0.3">
      <c r="A705" s="3">
        <v>1349</v>
      </c>
      <c r="B705" s="3" t="s">
        <v>24</v>
      </c>
      <c r="C705" s="4">
        <v>45184</v>
      </c>
      <c r="D705" s="3" t="s">
        <v>12</v>
      </c>
      <c r="E705" s="3" t="s">
        <v>18</v>
      </c>
      <c r="F705" s="5">
        <v>3</v>
      </c>
      <c r="G705" s="6">
        <v>7.53</v>
      </c>
      <c r="H705" s="6">
        <v>22.59</v>
      </c>
      <c r="I705" s="6">
        <v>0</v>
      </c>
      <c r="J705" s="6">
        <v>22.59</v>
      </c>
      <c r="K705" s="5">
        <v>174</v>
      </c>
    </row>
    <row r="706" spans="1:11" x14ac:dyDescent="0.3">
      <c r="A706" s="3">
        <v>6464</v>
      </c>
      <c r="B706" s="3" t="s">
        <v>19</v>
      </c>
      <c r="C706" s="4">
        <v>45334</v>
      </c>
      <c r="D706" s="3" t="s">
        <v>15</v>
      </c>
      <c r="E706" s="3" t="s">
        <v>32</v>
      </c>
      <c r="F706" s="5">
        <v>5</v>
      </c>
      <c r="G706" s="6">
        <v>28.85</v>
      </c>
      <c r="H706" s="6">
        <v>144.25</v>
      </c>
      <c r="I706" s="6">
        <v>14.43</v>
      </c>
      <c r="J706" s="6">
        <v>129.82</v>
      </c>
      <c r="K706" s="5">
        <v>313</v>
      </c>
    </row>
    <row r="707" spans="1:11" x14ac:dyDescent="0.3">
      <c r="A707" s="3">
        <v>3063</v>
      </c>
      <c r="B707" s="3" t="s">
        <v>42</v>
      </c>
      <c r="C707" s="4">
        <v>45756</v>
      </c>
      <c r="D707" s="3" t="s">
        <v>28</v>
      </c>
      <c r="E707" s="3" t="s">
        <v>41</v>
      </c>
      <c r="F707" s="5">
        <v>4</v>
      </c>
      <c r="G707" s="6">
        <v>29.14</v>
      </c>
      <c r="H707" s="6">
        <v>116.56</v>
      </c>
      <c r="I707" s="6">
        <v>11.66</v>
      </c>
      <c r="J707" s="6">
        <v>104.9</v>
      </c>
      <c r="K707" s="5">
        <v>465</v>
      </c>
    </row>
    <row r="708" spans="1:11" x14ac:dyDescent="0.3">
      <c r="A708" s="3">
        <v>4362</v>
      </c>
      <c r="B708" s="3" t="s">
        <v>14</v>
      </c>
      <c r="C708" s="4">
        <v>45198</v>
      </c>
      <c r="D708" s="3" t="s">
        <v>34</v>
      </c>
      <c r="E708" s="3" t="s">
        <v>44</v>
      </c>
      <c r="F708" s="5">
        <v>2</v>
      </c>
      <c r="G708" s="6">
        <v>17.84</v>
      </c>
      <c r="H708" s="6">
        <v>35.68</v>
      </c>
      <c r="I708" s="6">
        <v>7.14</v>
      </c>
      <c r="J708" s="6">
        <v>28.54</v>
      </c>
      <c r="K708" s="5">
        <v>350</v>
      </c>
    </row>
    <row r="709" spans="1:11" x14ac:dyDescent="0.3">
      <c r="A709" s="3">
        <v>4394</v>
      </c>
      <c r="B709" s="3" t="s">
        <v>30</v>
      </c>
      <c r="C709" s="4">
        <v>45600</v>
      </c>
      <c r="D709" s="3" t="s">
        <v>38</v>
      </c>
      <c r="E709" s="3" t="s">
        <v>41</v>
      </c>
      <c r="F709" s="5">
        <v>4</v>
      </c>
      <c r="G709" s="6">
        <v>29.86</v>
      </c>
      <c r="H709" s="6">
        <v>119.44</v>
      </c>
      <c r="I709" s="6">
        <v>0</v>
      </c>
      <c r="J709" s="6">
        <v>119.44</v>
      </c>
      <c r="K709" s="5">
        <v>499</v>
      </c>
    </row>
    <row r="710" spans="1:11" x14ac:dyDescent="0.3">
      <c r="A710" s="3">
        <v>4538</v>
      </c>
      <c r="B710" s="3" t="s">
        <v>19</v>
      </c>
      <c r="C710" s="4">
        <v>45776</v>
      </c>
      <c r="D710" s="3" t="s">
        <v>22</v>
      </c>
      <c r="E710" s="3" t="s">
        <v>43</v>
      </c>
      <c r="F710" s="5">
        <v>5</v>
      </c>
      <c r="G710" s="6">
        <v>16.45</v>
      </c>
      <c r="H710" s="6">
        <v>82.25</v>
      </c>
      <c r="I710" s="6">
        <v>16.45</v>
      </c>
      <c r="J710" s="6">
        <v>65.8</v>
      </c>
      <c r="K710" s="5">
        <v>368</v>
      </c>
    </row>
    <row r="711" spans="1:11" x14ac:dyDescent="0.3">
      <c r="A711" s="3">
        <v>4817</v>
      </c>
      <c r="B711" s="3" t="s">
        <v>36</v>
      </c>
      <c r="C711" s="4">
        <v>45400</v>
      </c>
      <c r="D711" s="3" t="s">
        <v>34</v>
      </c>
      <c r="E711" s="3" t="s">
        <v>39</v>
      </c>
      <c r="F711" s="5">
        <v>3</v>
      </c>
      <c r="G711" s="6">
        <v>26.51</v>
      </c>
      <c r="H711" s="6">
        <v>79.53</v>
      </c>
      <c r="I711" s="6">
        <v>11.93</v>
      </c>
      <c r="J711" s="6">
        <v>67.599999999999994</v>
      </c>
      <c r="K711" s="5">
        <v>211</v>
      </c>
    </row>
    <row r="712" spans="1:11" x14ac:dyDescent="0.3">
      <c r="A712" s="3">
        <v>3417</v>
      </c>
      <c r="B712" s="3" t="s">
        <v>26</v>
      </c>
      <c r="C712" s="4">
        <v>45757</v>
      </c>
      <c r="D712" s="3" t="s">
        <v>27</v>
      </c>
      <c r="E712" s="3" t="s">
        <v>13</v>
      </c>
      <c r="F712" s="5">
        <v>2</v>
      </c>
      <c r="G712" s="6">
        <v>23.58</v>
      </c>
      <c r="H712" s="6">
        <v>47.16</v>
      </c>
      <c r="I712" s="6">
        <v>9.43</v>
      </c>
      <c r="J712" s="6">
        <v>37.729999999999997</v>
      </c>
      <c r="K712" s="5">
        <v>54</v>
      </c>
    </row>
    <row r="713" spans="1:11" x14ac:dyDescent="0.3">
      <c r="A713" s="3">
        <v>1046</v>
      </c>
      <c r="B713" s="3" t="s">
        <v>31</v>
      </c>
      <c r="C713" s="4">
        <v>45360</v>
      </c>
      <c r="D713" s="3" t="s">
        <v>28</v>
      </c>
      <c r="E713" s="3" t="s">
        <v>13</v>
      </c>
      <c r="F713" s="5">
        <v>5</v>
      </c>
      <c r="G713" s="6">
        <v>17.43</v>
      </c>
      <c r="H713" s="6">
        <v>87.15</v>
      </c>
      <c r="I713" s="6">
        <v>17.43</v>
      </c>
      <c r="J713" s="6">
        <v>69.72</v>
      </c>
      <c r="K713" s="5">
        <v>118</v>
      </c>
    </row>
    <row r="714" spans="1:11" x14ac:dyDescent="0.3">
      <c r="A714" s="3">
        <v>3370</v>
      </c>
      <c r="B714" s="3" t="s">
        <v>31</v>
      </c>
      <c r="C714" s="4">
        <v>45245</v>
      </c>
      <c r="D714" s="3" t="s">
        <v>22</v>
      </c>
      <c r="E714" s="3" t="s">
        <v>43</v>
      </c>
      <c r="F714" s="5">
        <v>4</v>
      </c>
      <c r="G714" s="6">
        <v>4.88</v>
      </c>
      <c r="H714" s="6">
        <v>19.52</v>
      </c>
      <c r="I714" s="6">
        <v>0</v>
      </c>
      <c r="J714" s="6">
        <v>19.52</v>
      </c>
      <c r="K714" s="5">
        <v>433</v>
      </c>
    </row>
    <row r="715" spans="1:11" x14ac:dyDescent="0.3">
      <c r="A715" s="3">
        <v>9850</v>
      </c>
      <c r="B715" s="3" t="s">
        <v>36</v>
      </c>
      <c r="C715" s="4">
        <v>45339</v>
      </c>
      <c r="D715" s="3" t="s">
        <v>34</v>
      </c>
      <c r="E715" s="3" t="s">
        <v>32</v>
      </c>
      <c r="F715" s="5">
        <v>4</v>
      </c>
      <c r="G715" s="6">
        <v>14.73</v>
      </c>
      <c r="H715" s="6">
        <v>58.92</v>
      </c>
      <c r="I715" s="6">
        <v>11.78</v>
      </c>
      <c r="J715" s="6">
        <v>47.14</v>
      </c>
      <c r="K715" s="5">
        <v>83</v>
      </c>
    </row>
    <row r="716" spans="1:11" x14ac:dyDescent="0.3">
      <c r="A716" s="3">
        <v>3858</v>
      </c>
      <c r="B716" s="3" t="s">
        <v>31</v>
      </c>
      <c r="C716" s="4">
        <v>45230</v>
      </c>
      <c r="D716" s="3" t="s">
        <v>20</v>
      </c>
      <c r="E716" s="3" t="s">
        <v>39</v>
      </c>
      <c r="F716" s="5">
        <v>3</v>
      </c>
      <c r="G716" s="6">
        <v>28.55</v>
      </c>
      <c r="H716" s="6">
        <v>85.65</v>
      </c>
      <c r="I716" s="6">
        <v>17.13</v>
      </c>
      <c r="J716" s="6">
        <v>68.52</v>
      </c>
      <c r="K716" s="5">
        <v>113</v>
      </c>
    </row>
    <row r="717" spans="1:11" x14ac:dyDescent="0.3">
      <c r="A717" s="3">
        <v>1422</v>
      </c>
      <c r="B717" s="3" t="s">
        <v>11</v>
      </c>
      <c r="C717" s="4">
        <v>45247</v>
      </c>
      <c r="D717" s="3" t="s">
        <v>34</v>
      </c>
      <c r="E717" s="3" t="s">
        <v>33</v>
      </c>
      <c r="F717" s="5">
        <v>5</v>
      </c>
      <c r="G717" s="6">
        <v>15.2</v>
      </c>
      <c r="H717" s="6">
        <v>76</v>
      </c>
      <c r="I717" s="6">
        <v>15.2</v>
      </c>
      <c r="J717" s="6">
        <v>60.8</v>
      </c>
      <c r="K717" s="5">
        <v>166</v>
      </c>
    </row>
    <row r="718" spans="1:11" x14ac:dyDescent="0.3">
      <c r="A718" s="3">
        <v>1243</v>
      </c>
      <c r="B718" s="3" t="s">
        <v>24</v>
      </c>
      <c r="C718" s="4">
        <v>45423</v>
      </c>
      <c r="D718" s="3" t="s">
        <v>20</v>
      </c>
      <c r="E718" s="3" t="s">
        <v>40</v>
      </c>
      <c r="F718" s="5">
        <v>5</v>
      </c>
      <c r="G718" s="6">
        <v>22.31</v>
      </c>
      <c r="H718" s="6">
        <v>111.55</v>
      </c>
      <c r="I718" s="6">
        <v>11.16</v>
      </c>
      <c r="J718" s="6">
        <v>100.39</v>
      </c>
      <c r="K718" s="5">
        <v>194</v>
      </c>
    </row>
    <row r="719" spans="1:11" x14ac:dyDescent="0.3">
      <c r="A719" s="3">
        <v>4898</v>
      </c>
      <c r="B719" s="3" t="s">
        <v>14</v>
      </c>
      <c r="C719" s="4">
        <v>45602</v>
      </c>
      <c r="D719" s="3" t="s">
        <v>38</v>
      </c>
      <c r="E719" s="3" t="s">
        <v>40</v>
      </c>
      <c r="F719" s="5">
        <v>5</v>
      </c>
      <c r="G719" s="6">
        <v>4.16</v>
      </c>
      <c r="H719" s="6">
        <v>20.8</v>
      </c>
      <c r="I719" s="6">
        <v>4.16</v>
      </c>
      <c r="J719" s="6">
        <v>16.64</v>
      </c>
      <c r="K719" s="5">
        <v>233</v>
      </c>
    </row>
    <row r="720" spans="1:11" x14ac:dyDescent="0.3">
      <c r="A720" s="3">
        <v>6304</v>
      </c>
      <c r="B720" s="3" t="s">
        <v>14</v>
      </c>
      <c r="C720" s="4">
        <v>45157</v>
      </c>
      <c r="D720" s="3" t="s">
        <v>38</v>
      </c>
      <c r="E720" s="3" t="s">
        <v>32</v>
      </c>
      <c r="F720" s="5">
        <v>1</v>
      </c>
      <c r="G720" s="6">
        <v>17.16</v>
      </c>
      <c r="H720" s="6">
        <v>17.16</v>
      </c>
      <c r="I720" s="6">
        <v>3.43</v>
      </c>
      <c r="J720" s="6">
        <v>13.73</v>
      </c>
      <c r="K720" s="5">
        <v>264</v>
      </c>
    </row>
    <row r="721" spans="1:11" x14ac:dyDescent="0.3">
      <c r="A721" s="3">
        <v>3854</v>
      </c>
      <c r="B721" s="3" t="s">
        <v>30</v>
      </c>
      <c r="C721" s="4">
        <v>45351</v>
      </c>
      <c r="D721" s="3" t="s">
        <v>45</v>
      </c>
      <c r="E721" s="3" t="s">
        <v>32</v>
      </c>
      <c r="F721" s="5">
        <v>3</v>
      </c>
      <c r="G721" s="6">
        <v>23.43</v>
      </c>
      <c r="H721" s="6">
        <v>70.290000000000006</v>
      </c>
      <c r="I721" s="6">
        <v>14.06</v>
      </c>
      <c r="J721" s="6">
        <v>56.23</v>
      </c>
      <c r="K721" s="5">
        <v>146</v>
      </c>
    </row>
    <row r="722" spans="1:11" x14ac:dyDescent="0.3">
      <c r="A722" s="3">
        <v>1858</v>
      </c>
      <c r="B722" s="3" t="s">
        <v>24</v>
      </c>
      <c r="C722" s="4">
        <v>45243</v>
      </c>
      <c r="D722" s="3" t="s">
        <v>35</v>
      </c>
      <c r="E722" s="3" t="s">
        <v>40</v>
      </c>
      <c r="F722" s="5">
        <v>5</v>
      </c>
      <c r="G722" s="6">
        <v>27.2</v>
      </c>
      <c r="H722" s="6">
        <v>136</v>
      </c>
      <c r="I722" s="6">
        <v>3.89</v>
      </c>
      <c r="J722" s="6">
        <v>132.11000000000001</v>
      </c>
      <c r="K722" s="5">
        <v>237</v>
      </c>
    </row>
    <row r="723" spans="1:11" x14ac:dyDescent="0.3">
      <c r="A723" s="3">
        <v>7897</v>
      </c>
      <c r="B723" s="3" t="s">
        <v>11</v>
      </c>
      <c r="C723" s="4">
        <v>45553</v>
      </c>
      <c r="D723" s="3" t="s">
        <v>34</v>
      </c>
      <c r="E723" s="3" t="s">
        <v>18</v>
      </c>
      <c r="F723" s="5">
        <v>2</v>
      </c>
      <c r="G723" s="6">
        <v>12.39</v>
      </c>
      <c r="H723" s="6">
        <v>24.78</v>
      </c>
      <c r="I723" s="6">
        <v>1.72</v>
      </c>
      <c r="J723" s="6">
        <v>23.06</v>
      </c>
      <c r="K723" s="5">
        <v>165</v>
      </c>
    </row>
    <row r="724" spans="1:11" x14ac:dyDescent="0.3">
      <c r="A724" s="3">
        <v>2862</v>
      </c>
      <c r="B724" s="3" t="s">
        <v>42</v>
      </c>
      <c r="C724" s="4">
        <v>45724</v>
      </c>
      <c r="D724" s="3" t="s">
        <v>45</v>
      </c>
      <c r="E724" s="3" t="s">
        <v>43</v>
      </c>
      <c r="F724" s="5">
        <v>3</v>
      </c>
      <c r="G724" s="6">
        <v>10.39</v>
      </c>
      <c r="H724" s="6">
        <v>31.17</v>
      </c>
      <c r="I724" s="6">
        <v>0</v>
      </c>
      <c r="J724" s="6">
        <v>31.17</v>
      </c>
      <c r="K724" s="5">
        <v>332</v>
      </c>
    </row>
    <row r="725" spans="1:11" x14ac:dyDescent="0.3">
      <c r="A725" s="3">
        <v>2041</v>
      </c>
      <c r="B725" s="3" t="s">
        <v>11</v>
      </c>
      <c r="C725" s="4">
        <v>45514</v>
      </c>
      <c r="D725" s="3" t="s">
        <v>15</v>
      </c>
      <c r="E725" s="3" t="s">
        <v>48</v>
      </c>
      <c r="F725" s="5">
        <v>4</v>
      </c>
      <c r="G725" s="6">
        <v>19.38</v>
      </c>
      <c r="H725" s="6">
        <v>77.52</v>
      </c>
      <c r="I725" s="6">
        <v>0</v>
      </c>
      <c r="J725" s="6">
        <v>77.52</v>
      </c>
      <c r="K725" s="5">
        <v>43</v>
      </c>
    </row>
    <row r="726" spans="1:11" x14ac:dyDescent="0.3">
      <c r="A726" s="3">
        <v>8344</v>
      </c>
      <c r="B726" s="3" t="s">
        <v>14</v>
      </c>
      <c r="C726" s="4">
        <v>45749</v>
      </c>
      <c r="D726" s="3" t="s">
        <v>28</v>
      </c>
      <c r="E726" s="3" t="s">
        <v>29</v>
      </c>
      <c r="F726" s="5">
        <v>4</v>
      </c>
      <c r="G726" s="6">
        <v>16.95</v>
      </c>
      <c r="H726" s="6">
        <v>67.8</v>
      </c>
      <c r="I726" s="6">
        <v>10.17</v>
      </c>
      <c r="J726" s="6">
        <v>57.63</v>
      </c>
      <c r="K726" s="5">
        <v>22</v>
      </c>
    </row>
    <row r="727" spans="1:11" x14ac:dyDescent="0.3">
      <c r="A727" s="3">
        <v>6931</v>
      </c>
      <c r="B727" s="3" t="s">
        <v>19</v>
      </c>
      <c r="C727" s="4">
        <v>45543</v>
      </c>
      <c r="D727" s="3" t="s">
        <v>34</v>
      </c>
      <c r="E727" s="3" t="s">
        <v>41</v>
      </c>
      <c r="F727" s="5">
        <v>2</v>
      </c>
      <c r="G727" s="6">
        <v>23.3</v>
      </c>
      <c r="H727" s="6">
        <v>46.6</v>
      </c>
      <c r="I727" s="6">
        <v>6.99</v>
      </c>
      <c r="J727" s="6">
        <v>39.61</v>
      </c>
      <c r="K727" s="5">
        <v>26</v>
      </c>
    </row>
    <row r="728" spans="1:11" x14ac:dyDescent="0.3">
      <c r="A728" s="3">
        <v>2786</v>
      </c>
      <c r="B728" s="3" t="s">
        <v>30</v>
      </c>
      <c r="C728" s="4">
        <v>45496</v>
      </c>
      <c r="D728" s="3" t="s">
        <v>45</v>
      </c>
      <c r="E728" s="3" t="s">
        <v>37</v>
      </c>
      <c r="F728" s="5">
        <v>2</v>
      </c>
      <c r="G728" s="6">
        <v>4.4000000000000004</v>
      </c>
      <c r="H728" s="6">
        <v>8.8000000000000007</v>
      </c>
      <c r="I728" s="6">
        <v>3.49</v>
      </c>
      <c r="J728" s="6">
        <v>5.31</v>
      </c>
      <c r="K728" s="5">
        <v>67</v>
      </c>
    </row>
    <row r="729" spans="1:11" x14ac:dyDescent="0.3">
      <c r="A729" s="3">
        <v>9254</v>
      </c>
      <c r="B729" s="3" t="s">
        <v>30</v>
      </c>
      <c r="C729" s="4">
        <v>45317</v>
      </c>
      <c r="D729" s="3" t="s">
        <v>12</v>
      </c>
      <c r="E729" s="3" t="s">
        <v>33</v>
      </c>
      <c r="F729" s="5">
        <v>4</v>
      </c>
      <c r="G729" s="6">
        <v>25.8</v>
      </c>
      <c r="H729" s="6">
        <v>103.2</v>
      </c>
      <c r="I729" s="6">
        <v>4.53</v>
      </c>
      <c r="J729" s="6">
        <v>98.67</v>
      </c>
      <c r="K729" s="5">
        <v>278</v>
      </c>
    </row>
    <row r="730" spans="1:11" x14ac:dyDescent="0.3">
      <c r="A730" s="3">
        <v>1710</v>
      </c>
      <c r="B730" s="3" t="s">
        <v>42</v>
      </c>
      <c r="C730" s="4">
        <v>45709</v>
      </c>
      <c r="D730" s="3" t="s">
        <v>17</v>
      </c>
      <c r="E730" s="3" t="s">
        <v>47</v>
      </c>
      <c r="F730" s="5">
        <v>4</v>
      </c>
      <c r="G730" s="6">
        <v>12.88</v>
      </c>
      <c r="H730" s="6">
        <v>51.52</v>
      </c>
      <c r="I730" s="6">
        <v>10.3</v>
      </c>
      <c r="J730" s="6">
        <v>41.22</v>
      </c>
      <c r="K730" s="5">
        <v>40</v>
      </c>
    </row>
    <row r="731" spans="1:11" x14ac:dyDescent="0.3">
      <c r="A731" s="3">
        <v>9543</v>
      </c>
      <c r="B731" s="3" t="s">
        <v>14</v>
      </c>
      <c r="C731" s="4">
        <v>45379</v>
      </c>
      <c r="D731" s="3" t="s">
        <v>35</v>
      </c>
      <c r="E731" s="3" t="s">
        <v>18</v>
      </c>
      <c r="F731" s="5">
        <v>2</v>
      </c>
      <c r="G731" s="6">
        <v>2.41</v>
      </c>
      <c r="H731" s="6">
        <v>4.82</v>
      </c>
      <c r="I731" s="6">
        <v>0</v>
      </c>
      <c r="J731" s="6">
        <v>4.82</v>
      </c>
      <c r="K731" s="5">
        <v>75</v>
      </c>
    </row>
    <row r="732" spans="1:11" x14ac:dyDescent="0.3">
      <c r="A732" s="3">
        <v>8504</v>
      </c>
      <c r="B732" s="3" t="s">
        <v>36</v>
      </c>
      <c r="C732" s="4">
        <v>45644</v>
      </c>
      <c r="D732" s="3" t="s">
        <v>12</v>
      </c>
      <c r="E732" s="3" t="s">
        <v>41</v>
      </c>
      <c r="F732" s="5">
        <v>1</v>
      </c>
      <c r="G732" s="6">
        <v>20.329999999999998</v>
      </c>
      <c r="H732" s="6">
        <v>20.329999999999998</v>
      </c>
      <c r="I732" s="6">
        <v>3.05</v>
      </c>
      <c r="J732" s="6">
        <v>17.28</v>
      </c>
      <c r="K732" s="5">
        <v>429</v>
      </c>
    </row>
    <row r="733" spans="1:11" x14ac:dyDescent="0.3">
      <c r="A733" s="3">
        <v>1510</v>
      </c>
      <c r="B733" s="3" t="s">
        <v>11</v>
      </c>
      <c r="C733" s="4">
        <v>45192</v>
      </c>
      <c r="D733" s="3" t="s">
        <v>12</v>
      </c>
      <c r="E733" s="3" t="s">
        <v>48</v>
      </c>
      <c r="F733" s="5">
        <v>4</v>
      </c>
      <c r="G733" s="6">
        <v>29.81</v>
      </c>
      <c r="H733" s="6">
        <v>119.24</v>
      </c>
      <c r="I733" s="6">
        <v>3.64</v>
      </c>
      <c r="J733" s="6">
        <v>115.6</v>
      </c>
      <c r="K733" s="5">
        <v>82</v>
      </c>
    </row>
    <row r="734" spans="1:11" x14ac:dyDescent="0.3">
      <c r="A734" s="3">
        <v>8847</v>
      </c>
      <c r="B734" s="3" t="s">
        <v>14</v>
      </c>
      <c r="C734" s="4">
        <v>45803</v>
      </c>
      <c r="D734" s="3" t="s">
        <v>34</v>
      </c>
      <c r="E734" s="3" t="s">
        <v>33</v>
      </c>
      <c r="F734" s="5">
        <v>5</v>
      </c>
      <c r="G734" s="6">
        <v>11.44</v>
      </c>
      <c r="H734" s="6">
        <v>57.2</v>
      </c>
      <c r="I734" s="6">
        <v>8.58</v>
      </c>
      <c r="J734" s="6">
        <v>48.62</v>
      </c>
      <c r="K734" s="5">
        <v>18</v>
      </c>
    </row>
    <row r="735" spans="1:11" x14ac:dyDescent="0.3">
      <c r="A735" s="3">
        <v>7580</v>
      </c>
      <c r="B735" s="3" t="s">
        <v>36</v>
      </c>
      <c r="C735" s="4">
        <v>45476</v>
      </c>
      <c r="D735" s="3" t="s">
        <v>22</v>
      </c>
      <c r="E735" s="3" t="s">
        <v>32</v>
      </c>
      <c r="F735" s="5">
        <v>1</v>
      </c>
      <c r="G735" s="6">
        <v>22.98</v>
      </c>
      <c r="H735" s="6">
        <v>22.98</v>
      </c>
      <c r="I735" s="6">
        <v>3.45</v>
      </c>
      <c r="J735" s="6">
        <v>19.53</v>
      </c>
      <c r="K735" s="5">
        <v>431</v>
      </c>
    </row>
    <row r="736" spans="1:11" x14ac:dyDescent="0.3">
      <c r="A736" s="3">
        <v>2768</v>
      </c>
      <c r="B736" s="3" t="s">
        <v>26</v>
      </c>
      <c r="C736" s="4">
        <v>45525</v>
      </c>
      <c r="D736" s="3" t="s">
        <v>34</v>
      </c>
      <c r="E736" s="3" t="s">
        <v>48</v>
      </c>
      <c r="F736" s="5">
        <v>3</v>
      </c>
      <c r="G736" s="6">
        <v>10.54</v>
      </c>
      <c r="H736" s="6">
        <v>31.62</v>
      </c>
      <c r="I736" s="6">
        <v>0</v>
      </c>
      <c r="J736" s="6">
        <v>31.62</v>
      </c>
      <c r="K736" s="5">
        <v>211</v>
      </c>
    </row>
    <row r="737" spans="1:11" x14ac:dyDescent="0.3">
      <c r="A737" s="3">
        <v>8267</v>
      </c>
      <c r="B737" s="3" t="s">
        <v>42</v>
      </c>
      <c r="C737" s="4">
        <v>45202</v>
      </c>
      <c r="D737" s="3" t="s">
        <v>28</v>
      </c>
      <c r="E737" s="3" t="s">
        <v>40</v>
      </c>
      <c r="F737" s="5">
        <v>1</v>
      </c>
      <c r="G737" s="6">
        <v>17.559999999999999</v>
      </c>
      <c r="H737" s="6">
        <v>17.559999999999999</v>
      </c>
      <c r="I737" s="6">
        <v>1.76</v>
      </c>
      <c r="J737" s="6">
        <v>15.8</v>
      </c>
      <c r="K737" s="5">
        <v>322</v>
      </c>
    </row>
    <row r="738" spans="1:11" x14ac:dyDescent="0.3">
      <c r="A738" s="3">
        <v>2323</v>
      </c>
      <c r="B738" s="3" t="s">
        <v>30</v>
      </c>
      <c r="C738" s="4">
        <v>45395</v>
      </c>
      <c r="D738" s="3" t="s">
        <v>20</v>
      </c>
      <c r="E738" s="3" t="s">
        <v>21</v>
      </c>
      <c r="F738" s="5">
        <v>3</v>
      </c>
      <c r="G738" s="6">
        <v>16.23</v>
      </c>
      <c r="H738" s="6">
        <v>48.69</v>
      </c>
      <c r="I738" s="6">
        <v>9.74</v>
      </c>
      <c r="J738" s="6">
        <v>38.950000000000003</v>
      </c>
      <c r="K738" s="5">
        <v>319</v>
      </c>
    </row>
    <row r="739" spans="1:11" x14ac:dyDescent="0.3">
      <c r="A739" s="3">
        <v>3430</v>
      </c>
      <c r="B739" s="3" t="s">
        <v>26</v>
      </c>
      <c r="C739" s="4">
        <v>45196</v>
      </c>
      <c r="D739" s="3" t="s">
        <v>38</v>
      </c>
      <c r="E739" s="3" t="s">
        <v>47</v>
      </c>
      <c r="F739" s="5">
        <v>4</v>
      </c>
      <c r="G739" s="6">
        <v>24.42</v>
      </c>
      <c r="H739" s="6">
        <v>97.68</v>
      </c>
      <c r="I739" s="6">
        <v>0</v>
      </c>
      <c r="J739" s="6">
        <v>97.68</v>
      </c>
      <c r="K739" s="5">
        <v>452</v>
      </c>
    </row>
    <row r="740" spans="1:11" x14ac:dyDescent="0.3">
      <c r="A740" s="3">
        <v>3067</v>
      </c>
      <c r="B740" s="3" t="s">
        <v>30</v>
      </c>
      <c r="C740" s="4">
        <v>45358</v>
      </c>
      <c r="D740" s="3" t="s">
        <v>17</v>
      </c>
      <c r="E740" s="3" t="s">
        <v>39</v>
      </c>
      <c r="F740" s="5">
        <v>1</v>
      </c>
      <c r="G740" s="6">
        <v>1.69</v>
      </c>
      <c r="H740" s="6">
        <v>1.69</v>
      </c>
      <c r="I740" s="6">
        <v>0</v>
      </c>
      <c r="J740" s="6">
        <v>1.69</v>
      </c>
      <c r="K740" s="5">
        <v>320</v>
      </c>
    </row>
    <row r="741" spans="1:11" x14ac:dyDescent="0.3">
      <c r="A741" s="3">
        <v>9984</v>
      </c>
      <c r="B741" s="3" t="s">
        <v>42</v>
      </c>
      <c r="C741" s="4">
        <v>45698</v>
      </c>
      <c r="D741" s="3" t="s">
        <v>28</v>
      </c>
      <c r="E741" s="3" t="s">
        <v>16</v>
      </c>
      <c r="F741" s="5">
        <v>4</v>
      </c>
      <c r="G741" s="6">
        <v>2.31</v>
      </c>
      <c r="H741" s="6">
        <v>9.24</v>
      </c>
      <c r="I741" s="6">
        <v>3.56</v>
      </c>
      <c r="J741" s="6">
        <v>5.68</v>
      </c>
      <c r="K741" s="5">
        <v>179</v>
      </c>
    </row>
    <row r="742" spans="1:11" x14ac:dyDescent="0.3">
      <c r="A742" s="3">
        <v>6327</v>
      </c>
      <c r="B742" s="3"/>
      <c r="C742" s="4">
        <v>45440</v>
      </c>
      <c r="D742" s="3" t="s">
        <v>35</v>
      </c>
      <c r="E742" s="3" t="s">
        <v>43</v>
      </c>
      <c r="F742" s="5">
        <v>3</v>
      </c>
      <c r="G742" s="6">
        <v>9.6999999999999993</v>
      </c>
      <c r="H742" s="6">
        <v>29.1</v>
      </c>
      <c r="I742" s="6">
        <v>1.46</v>
      </c>
      <c r="J742" s="6">
        <v>27.64</v>
      </c>
      <c r="K742" s="5">
        <v>281</v>
      </c>
    </row>
    <row r="743" spans="1:11" x14ac:dyDescent="0.3">
      <c r="A743" s="3">
        <v>9692</v>
      </c>
      <c r="B743" s="3" t="s">
        <v>36</v>
      </c>
      <c r="C743" s="4">
        <v>45374</v>
      </c>
      <c r="D743" s="3" t="s">
        <v>22</v>
      </c>
      <c r="E743" s="3" t="s">
        <v>32</v>
      </c>
      <c r="F743" s="5">
        <v>5</v>
      </c>
      <c r="G743" s="6">
        <v>18.850000000000001</v>
      </c>
      <c r="H743" s="6">
        <v>94.25</v>
      </c>
      <c r="I743" s="6">
        <v>18.850000000000001</v>
      </c>
      <c r="J743" s="6">
        <v>75.400000000000006</v>
      </c>
      <c r="K743" s="5">
        <v>14</v>
      </c>
    </row>
    <row r="744" spans="1:11" x14ac:dyDescent="0.3">
      <c r="A744" s="3">
        <v>8433</v>
      </c>
      <c r="B744" s="3" t="s">
        <v>36</v>
      </c>
      <c r="C744" s="4">
        <v>45537</v>
      </c>
      <c r="D744" s="3" t="s">
        <v>22</v>
      </c>
      <c r="E744" s="3" t="s">
        <v>47</v>
      </c>
      <c r="F744" s="5">
        <v>4</v>
      </c>
      <c r="G744" s="6">
        <v>24.11</v>
      </c>
      <c r="H744" s="6">
        <v>96.44</v>
      </c>
      <c r="I744" s="6">
        <v>9.64</v>
      </c>
      <c r="J744" s="6">
        <v>86.8</v>
      </c>
      <c r="K744" s="5">
        <v>330</v>
      </c>
    </row>
    <row r="745" spans="1:11" x14ac:dyDescent="0.3">
      <c r="A745" s="3">
        <v>8048</v>
      </c>
      <c r="B745" s="3" t="s">
        <v>19</v>
      </c>
      <c r="C745" s="4">
        <v>45222</v>
      </c>
      <c r="D745" s="3" t="s">
        <v>27</v>
      </c>
      <c r="E745" s="3" t="s">
        <v>33</v>
      </c>
      <c r="F745" s="5">
        <v>5</v>
      </c>
      <c r="G745" s="6">
        <v>26.97</v>
      </c>
      <c r="H745" s="6">
        <v>134.85</v>
      </c>
      <c r="I745" s="6">
        <v>0</v>
      </c>
      <c r="J745" s="6">
        <v>134.85</v>
      </c>
      <c r="K745" s="5">
        <v>236</v>
      </c>
    </row>
    <row r="746" spans="1:11" x14ac:dyDescent="0.3">
      <c r="A746" s="3">
        <v>2874</v>
      </c>
      <c r="B746" s="3" t="s">
        <v>31</v>
      </c>
      <c r="C746" s="4">
        <v>45807</v>
      </c>
      <c r="D746" s="3" t="s">
        <v>38</v>
      </c>
      <c r="E746" s="3" t="s">
        <v>37</v>
      </c>
      <c r="F746" s="5">
        <v>5</v>
      </c>
      <c r="G746" s="6">
        <v>22.01</v>
      </c>
      <c r="H746" s="6">
        <v>110.05</v>
      </c>
      <c r="I746" s="6">
        <v>22.01</v>
      </c>
      <c r="J746" s="6">
        <v>88.04</v>
      </c>
      <c r="K746" s="5">
        <v>161</v>
      </c>
    </row>
    <row r="747" spans="1:11" x14ac:dyDescent="0.3">
      <c r="A747" s="3">
        <v>4522</v>
      </c>
      <c r="B747" s="3" t="s">
        <v>36</v>
      </c>
      <c r="C747" s="4">
        <v>45479</v>
      </c>
      <c r="D747" s="3" t="s">
        <v>22</v>
      </c>
      <c r="E747" s="3" t="s">
        <v>43</v>
      </c>
      <c r="F747" s="5">
        <v>2</v>
      </c>
      <c r="G747" s="6">
        <v>9.1199999999999992</v>
      </c>
      <c r="H747" s="6">
        <v>18.239999999999998</v>
      </c>
      <c r="I747" s="6">
        <v>1.82</v>
      </c>
      <c r="J747" s="6">
        <v>16.420000000000002</v>
      </c>
      <c r="K747" s="5">
        <v>15</v>
      </c>
    </row>
    <row r="748" spans="1:11" x14ac:dyDescent="0.3">
      <c r="A748" s="3">
        <v>8398</v>
      </c>
      <c r="B748" s="3" t="s">
        <v>14</v>
      </c>
      <c r="C748" s="4">
        <v>45834</v>
      </c>
      <c r="D748" s="3" t="s">
        <v>34</v>
      </c>
      <c r="E748" s="3" t="s">
        <v>32</v>
      </c>
      <c r="F748" s="5">
        <v>2</v>
      </c>
      <c r="G748" s="6">
        <v>18.25</v>
      </c>
      <c r="H748" s="6">
        <v>36.5</v>
      </c>
      <c r="I748" s="6">
        <v>0</v>
      </c>
      <c r="J748" s="6">
        <v>36.5</v>
      </c>
      <c r="K748" s="5">
        <v>442</v>
      </c>
    </row>
    <row r="749" spans="1:11" x14ac:dyDescent="0.3">
      <c r="A749" s="3">
        <v>4743</v>
      </c>
      <c r="B749" s="3" t="s">
        <v>36</v>
      </c>
      <c r="C749" s="4">
        <v>45466</v>
      </c>
      <c r="D749" s="3" t="s">
        <v>12</v>
      </c>
      <c r="E749" s="3" t="s">
        <v>13</v>
      </c>
      <c r="F749" s="5">
        <v>4</v>
      </c>
      <c r="G749" s="6">
        <v>3.51</v>
      </c>
      <c r="H749" s="6">
        <v>14.04</v>
      </c>
      <c r="I749" s="6">
        <v>2.11</v>
      </c>
      <c r="J749" s="6">
        <v>11.93</v>
      </c>
      <c r="K749" s="5">
        <v>449</v>
      </c>
    </row>
    <row r="750" spans="1:11" x14ac:dyDescent="0.3">
      <c r="A750" s="3">
        <v>6553</v>
      </c>
      <c r="B750" s="3" t="s">
        <v>26</v>
      </c>
      <c r="C750" s="4">
        <v>45787</v>
      </c>
      <c r="D750" s="3" t="s">
        <v>35</v>
      </c>
      <c r="E750" s="3" t="s">
        <v>44</v>
      </c>
      <c r="F750" s="5">
        <v>5</v>
      </c>
      <c r="G750" s="6">
        <v>9.76</v>
      </c>
      <c r="H750" s="6">
        <v>48.8</v>
      </c>
      <c r="I750" s="6">
        <v>4.1100000000000003</v>
      </c>
      <c r="J750" s="6">
        <v>44.69</v>
      </c>
      <c r="K750" s="5">
        <v>57</v>
      </c>
    </row>
    <row r="751" spans="1:11" x14ac:dyDescent="0.3">
      <c r="A751" s="3">
        <v>8430</v>
      </c>
      <c r="B751" s="3" t="s">
        <v>11</v>
      </c>
      <c r="C751" s="4">
        <v>45454</v>
      </c>
      <c r="D751" s="3" t="s">
        <v>45</v>
      </c>
      <c r="E751" s="3" t="s">
        <v>46</v>
      </c>
      <c r="F751" s="5">
        <v>1</v>
      </c>
      <c r="G751" s="6">
        <v>24.16</v>
      </c>
      <c r="H751" s="6">
        <v>24.16</v>
      </c>
      <c r="I751" s="6">
        <v>4.83</v>
      </c>
      <c r="J751" s="6">
        <v>19.329999999999998</v>
      </c>
      <c r="K751" s="5">
        <v>463</v>
      </c>
    </row>
    <row r="752" spans="1:11" x14ac:dyDescent="0.3">
      <c r="A752" s="3">
        <v>7815</v>
      </c>
      <c r="B752" s="3" t="s">
        <v>36</v>
      </c>
      <c r="C752" s="4">
        <v>45711</v>
      </c>
      <c r="D752" s="3" t="s">
        <v>45</v>
      </c>
      <c r="E752" s="3" t="s">
        <v>46</v>
      </c>
      <c r="F752" s="5">
        <v>3</v>
      </c>
      <c r="G752" s="6">
        <v>23.48</v>
      </c>
      <c r="H752" s="6">
        <v>70.44</v>
      </c>
      <c r="I752" s="6">
        <v>3.71</v>
      </c>
      <c r="J752" s="6">
        <v>66.73</v>
      </c>
      <c r="K752" s="5">
        <v>73</v>
      </c>
    </row>
    <row r="753" spans="1:11" x14ac:dyDescent="0.3">
      <c r="A753" s="3">
        <v>2557</v>
      </c>
      <c r="B753" s="3" t="s">
        <v>19</v>
      </c>
      <c r="C753" s="4">
        <v>45387</v>
      </c>
      <c r="D753" s="3" t="s">
        <v>17</v>
      </c>
      <c r="E753" s="3" t="s">
        <v>40</v>
      </c>
      <c r="F753" s="5">
        <v>4</v>
      </c>
      <c r="G753" s="6">
        <v>12.23</v>
      </c>
      <c r="H753" s="6">
        <v>48.92</v>
      </c>
      <c r="I753" s="6">
        <v>2.2400000000000002</v>
      </c>
      <c r="J753" s="6">
        <v>46.68</v>
      </c>
      <c r="K753" s="5">
        <v>442</v>
      </c>
    </row>
    <row r="754" spans="1:11" x14ac:dyDescent="0.3">
      <c r="A754" s="3">
        <v>7992</v>
      </c>
      <c r="B754" s="3" t="s">
        <v>31</v>
      </c>
      <c r="C754" s="4">
        <v>45387</v>
      </c>
      <c r="D754" s="3" t="s">
        <v>27</v>
      </c>
      <c r="E754" s="3" t="s">
        <v>43</v>
      </c>
      <c r="F754" s="5">
        <v>3</v>
      </c>
      <c r="G754" s="6">
        <v>14.53</v>
      </c>
      <c r="H754" s="6">
        <v>43.59</v>
      </c>
      <c r="I754" s="6">
        <v>4.0599999999999996</v>
      </c>
      <c r="J754" s="6">
        <v>39.53</v>
      </c>
      <c r="K754" s="5">
        <v>23</v>
      </c>
    </row>
    <row r="755" spans="1:11" x14ac:dyDescent="0.3">
      <c r="A755" s="3">
        <v>5176</v>
      </c>
      <c r="B755" s="3" t="s">
        <v>30</v>
      </c>
      <c r="C755" s="4">
        <v>45435</v>
      </c>
      <c r="D755" s="3" t="s">
        <v>12</v>
      </c>
      <c r="E755" s="3" t="s">
        <v>37</v>
      </c>
      <c r="F755" s="5">
        <v>2</v>
      </c>
      <c r="G755" s="6">
        <v>10.3</v>
      </c>
      <c r="H755" s="6">
        <v>20.6</v>
      </c>
      <c r="I755" s="6">
        <v>3.09</v>
      </c>
      <c r="J755" s="6">
        <v>17.510000000000002</v>
      </c>
      <c r="K755" s="5">
        <v>98</v>
      </c>
    </row>
    <row r="756" spans="1:11" x14ac:dyDescent="0.3">
      <c r="A756" s="3">
        <v>3500</v>
      </c>
      <c r="B756" s="3" t="s">
        <v>14</v>
      </c>
      <c r="C756" s="4">
        <v>45678</v>
      </c>
      <c r="D756" s="3" t="s">
        <v>22</v>
      </c>
      <c r="E756" s="3" t="s">
        <v>33</v>
      </c>
      <c r="F756" s="5">
        <v>1</v>
      </c>
      <c r="G756" s="6">
        <v>8.9</v>
      </c>
      <c r="H756" s="6">
        <v>8.9</v>
      </c>
      <c r="I756" s="6">
        <v>1.06</v>
      </c>
      <c r="J756" s="6">
        <v>7.84</v>
      </c>
      <c r="K756" s="5">
        <v>80</v>
      </c>
    </row>
    <row r="757" spans="1:11" x14ac:dyDescent="0.3">
      <c r="A757" s="3">
        <v>8770</v>
      </c>
      <c r="B757" s="3" t="s">
        <v>14</v>
      </c>
      <c r="C757" s="4">
        <v>45197</v>
      </c>
      <c r="D757" s="3" t="s">
        <v>38</v>
      </c>
      <c r="E757" s="3" t="s">
        <v>48</v>
      </c>
      <c r="F757" s="5">
        <v>2</v>
      </c>
      <c r="G757" s="6">
        <v>16.72</v>
      </c>
      <c r="H757" s="6">
        <v>33.44</v>
      </c>
      <c r="I757" s="6">
        <v>5.0199999999999996</v>
      </c>
      <c r="J757" s="6">
        <v>28.42</v>
      </c>
      <c r="K757" s="5">
        <v>281</v>
      </c>
    </row>
    <row r="758" spans="1:11" x14ac:dyDescent="0.3">
      <c r="A758" s="3">
        <v>2494</v>
      </c>
      <c r="B758" s="3" t="s">
        <v>19</v>
      </c>
      <c r="C758" s="4">
        <v>45791</v>
      </c>
      <c r="D758" s="3" t="s">
        <v>35</v>
      </c>
      <c r="E758" s="3" t="s">
        <v>25</v>
      </c>
      <c r="F758" s="5">
        <v>2</v>
      </c>
      <c r="G758" s="6">
        <v>3.06</v>
      </c>
      <c r="H758" s="6">
        <v>6.12</v>
      </c>
      <c r="I758" s="6">
        <v>2.77</v>
      </c>
      <c r="J758" s="6">
        <v>3.35</v>
      </c>
      <c r="K758" s="5">
        <v>313</v>
      </c>
    </row>
    <row r="759" spans="1:11" x14ac:dyDescent="0.3">
      <c r="A759" s="3">
        <v>2398</v>
      </c>
      <c r="B759" s="3" t="s">
        <v>19</v>
      </c>
      <c r="C759" s="4">
        <v>45217</v>
      </c>
      <c r="D759" s="3" t="s">
        <v>12</v>
      </c>
      <c r="E759" s="3" t="s">
        <v>47</v>
      </c>
      <c r="F759" s="5">
        <v>1</v>
      </c>
      <c r="G759" s="6">
        <v>4.0599999999999996</v>
      </c>
      <c r="H759" s="6">
        <v>4.0599999999999996</v>
      </c>
      <c r="I759" s="6">
        <v>0.41</v>
      </c>
      <c r="J759" s="6">
        <v>3.65</v>
      </c>
      <c r="K759" s="5">
        <v>27</v>
      </c>
    </row>
    <row r="760" spans="1:11" x14ac:dyDescent="0.3">
      <c r="A760" s="3">
        <v>8075</v>
      </c>
      <c r="B760" s="3" t="s">
        <v>24</v>
      </c>
      <c r="C760" s="4">
        <v>45220</v>
      </c>
      <c r="D760" s="3" t="s">
        <v>34</v>
      </c>
      <c r="E760" s="3" t="s">
        <v>33</v>
      </c>
      <c r="F760" s="5">
        <v>5</v>
      </c>
      <c r="G760" s="6">
        <v>11.3</v>
      </c>
      <c r="H760" s="6">
        <v>56.5</v>
      </c>
      <c r="I760" s="6">
        <v>0</v>
      </c>
      <c r="J760" s="6">
        <v>56.5</v>
      </c>
      <c r="K760" s="5">
        <v>170</v>
      </c>
    </row>
    <row r="761" spans="1:11" x14ac:dyDescent="0.3">
      <c r="A761" s="3">
        <v>7105</v>
      </c>
      <c r="B761" s="3" t="s">
        <v>14</v>
      </c>
      <c r="C761" s="4">
        <v>45775</v>
      </c>
      <c r="D761" s="3" t="s">
        <v>15</v>
      </c>
      <c r="E761" s="3" t="s">
        <v>33</v>
      </c>
      <c r="F761" s="5">
        <v>5</v>
      </c>
      <c r="G761" s="6">
        <v>4.8099999999999996</v>
      </c>
      <c r="H761" s="6">
        <v>24.05</v>
      </c>
      <c r="I761" s="6">
        <v>2.82</v>
      </c>
      <c r="J761" s="6">
        <v>21.23</v>
      </c>
      <c r="K761" s="5">
        <v>416</v>
      </c>
    </row>
    <row r="762" spans="1:11" x14ac:dyDescent="0.3">
      <c r="A762" s="3">
        <v>3131</v>
      </c>
      <c r="B762" s="3" t="s">
        <v>26</v>
      </c>
      <c r="C762" s="4">
        <v>45577</v>
      </c>
      <c r="D762" s="3" t="s">
        <v>45</v>
      </c>
      <c r="E762" s="3" t="s">
        <v>25</v>
      </c>
      <c r="F762" s="5">
        <v>2</v>
      </c>
      <c r="G762" s="6">
        <v>5.16</v>
      </c>
      <c r="H762" s="6">
        <v>10.32</v>
      </c>
      <c r="I762" s="6">
        <v>1.55</v>
      </c>
      <c r="J762" s="6">
        <v>8.77</v>
      </c>
      <c r="K762" s="5">
        <v>458</v>
      </c>
    </row>
    <row r="763" spans="1:11" x14ac:dyDescent="0.3">
      <c r="A763" s="3">
        <v>1982</v>
      </c>
      <c r="B763" s="3" t="s">
        <v>24</v>
      </c>
      <c r="C763" s="4">
        <v>45600</v>
      </c>
      <c r="D763" s="3" t="s">
        <v>34</v>
      </c>
      <c r="E763" s="3" t="s">
        <v>21</v>
      </c>
      <c r="F763" s="5">
        <v>3</v>
      </c>
      <c r="G763" s="6">
        <v>14.14</v>
      </c>
      <c r="H763" s="6">
        <v>42.42</v>
      </c>
      <c r="I763" s="6">
        <v>4.24</v>
      </c>
      <c r="J763" s="6">
        <v>38.18</v>
      </c>
      <c r="K763" s="5">
        <v>15</v>
      </c>
    </row>
    <row r="764" spans="1:11" x14ac:dyDescent="0.3">
      <c r="A764" s="3">
        <v>6400</v>
      </c>
      <c r="B764" s="3" t="s">
        <v>11</v>
      </c>
      <c r="C764" s="4">
        <v>45665</v>
      </c>
      <c r="D764" s="3" t="s">
        <v>22</v>
      </c>
      <c r="E764" s="3" t="s">
        <v>47</v>
      </c>
      <c r="F764" s="5">
        <v>4</v>
      </c>
      <c r="G764" s="6">
        <v>25.52</v>
      </c>
      <c r="H764" s="6">
        <v>102.08</v>
      </c>
      <c r="I764" s="6">
        <v>3.3</v>
      </c>
      <c r="J764" s="6">
        <v>98.78</v>
      </c>
      <c r="K764" s="5">
        <v>144</v>
      </c>
    </row>
    <row r="765" spans="1:11" x14ac:dyDescent="0.3">
      <c r="A765" s="3">
        <v>3002</v>
      </c>
      <c r="B765" s="3" t="s">
        <v>14</v>
      </c>
      <c r="C765" s="4">
        <v>45464</v>
      </c>
      <c r="D765" s="3" t="s">
        <v>15</v>
      </c>
      <c r="E765" s="3" t="s">
        <v>32</v>
      </c>
      <c r="F765" s="5">
        <v>1</v>
      </c>
      <c r="G765" s="6">
        <v>10.44</v>
      </c>
      <c r="H765" s="6">
        <v>10.44</v>
      </c>
      <c r="I765" s="6">
        <v>1.57</v>
      </c>
      <c r="J765" s="6">
        <v>8.8699999999999992</v>
      </c>
      <c r="K765" s="5">
        <v>332</v>
      </c>
    </row>
    <row r="766" spans="1:11" x14ac:dyDescent="0.3">
      <c r="A766" s="3">
        <v>6793</v>
      </c>
      <c r="B766" s="3" t="s">
        <v>14</v>
      </c>
      <c r="C766" s="4">
        <v>45823</v>
      </c>
      <c r="D766" s="3" t="s">
        <v>45</v>
      </c>
      <c r="E766" s="3" t="s">
        <v>32</v>
      </c>
      <c r="F766" s="5">
        <v>5</v>
      </c>
      <c r="G766" s="6">
        <v>12.98</v>
      </c>
      <c r="H766" s="6">
        <v>64.900000000000006</v>
      </c>
      <c r="I766" s="6">
        <v>1.64</v>
      </c>
      <c r="J766" s="6">
        <v>63.26</v>
      </c>
      <c r="K766" s="5">
        <v>317</v>
      </c>
    </row>
    <row r="767" spans="1:11" x14ac:dyDescent="0.3">
      <c r="A767" s="3">
        <v>7929</v>
      </c>
      <c r="B767" s="3" t="s">
        <v>26</v>
      </c>
      <c r="C767" s="4">
        <v>45819</v>
      </c>
      <c r="D767" s="3" t="s">
        <v>20</v>
      </c>
      <c r="E767" s="3" t="s">
        <v>43</v>
      </c>
      <c r="F767" s="5">
        <v>3</v>
      </c>
      <c r="G767" s="6">
        <v>7.03</v>
      </c>
      <c r="H767" s="6">
        <v>21.09</v>
      </c>
      <c r="I767" s="6">
        <v>2.11</v>
      </c>
      <c r="J767" s="6">
        <v>18.98</v>
      </c>
      <c r="K767" s="5">
        <v>355</v>
      </c>
    </row>
    <row r="768" spans="1:11" x14ac:dyDescent="0.3">
      <c r="A768" s="3">
        <v>1842</v>
      </c>
      <c r="B768" s="3" t="s">
        <v>36</v>
      </c>
      <c r="C768" s="4">
        <v>45368</v>
      </c>
      <c r="D768" s="3" t="s">
        <v>38</v>
      </c>
      <c r="E768" s="3" t="s">
        <v>25</v>
      </c>
      <c r="F768" s="5">
        <v>2</v>
      </c>
      <c r="G768" s="6">
        <v>20.21</v>
      </c>
      <c r="H768" s="6">
        <v>40.42</v>
      </c>
      <c r="I768" s="6">
        <v>3.37</v>
      </c>
      <c r="J768" s="6">
        <v>37.049999999999997</v>
      </c>
      <c r="K768" s="5">
        <v>39</v>
      </c>
    </row>
    <row r="769" spans="1:11" x14ac:dyDescent="0.3">
      <c r="A769" s="3">
        <v>6119</v>
      </c>
      <c r="B769" s="3" t="s">
        <v>26</v>
      </c>
      <c r="C769" s="4">
        <v>45418</v>
      </c>
      <c r="D769" s="3" t="s">
        <v>22</v>
      </c>
      <c r="E769" s="3" t="s">
        <v>18</v>
      </c>
      <c r="F769" s="5">
        <v>1</v>
      </c>
      <c r="G769" s="6">
        <v>24.83</v>
      </c>
      <c r="H769" s="6">
        <v>24.83</v>
      </c>
      <c r="I769" s="6">
        <v>2.48</v>
      </c>
      <c r="J769" s="6">
        <v>22.35</v>
      </c>
      <c r="K769" s="5">
        <v>90</v>
      </c>
    </row>
    <row r="770" spans="1:11" x14ac:dyDescent="0.3">
      <c r="A770" s="3">
        <v>2697</v>
      </c>
      <c r="B770" s="3" t="s">
        <v>11</v>
      </c>
      <c r="C770" s="4">
        <v>45593</v>
      </c>
      <c r="D770" s="3" t="s">
        <v>28</v>
      </c>
      <c r="E770" s="3" t="s">
        <v>48</v>
      </c>
      <c r="F770" s="5">
        <v>5</v>
      </c>
      <c r="G770" s="6">
        <v>23.36</v>
      </c>
      <c r="H770" s="6">
        <v>116.8</v>
      </c>
      <c r="I770" s="6">
        <v>11.68</v>
      </c>
      <c r="J770" s="6">
        <v>105.12</v>
      </c>
      <c r="K770" s="5">
        <v>194</v>
      </c>
    </row>
    <row r="771" spans="1:11" x14ac:dyDescent="0.3">
      <c r="A771" s="3">
        <v>9313</v>
      </c>
      <c r="B771" s="3" t="s">
        <v>31</v>
      </c>
      <c r="C771" s="4">
        <v>45310</v>
      </c>
      <c r="D771" s="3" t="s">
        <v>15</v>
      </c>
      <c r="E771" s="3" t="s">
        <v>44</v>
      </c>
      <c r="F771" s="5">
        <v>2</v>
      </c>
      <c r="G771" s="6">
        <v>26.72</v>
      </c>
      <c r="H771" s="6">
        <v>53.44</v>
      </c>
      <c r="I771" s="6">
        <v>10.69</v>
      </c>
      <c r="J771" s="6">
        <v>42.75</v>
      </c>
      <c r="K771" s="5">
        <v>462</v>
      </c>
    </row>
    <row r="772" spans="1:11" x14ac:dyDescent="0.3">
      <c r="A772" s="3">
        <v>3535</v>
      </c>
      <c r="B772" s="3" t="s">
        <v>19</v>
      </c>
      <c r="C772" s="4">
        <v>45655</v>
      </c>
      <c r="D772" s="3" t="s">
        <v>45</v>
      </c>
      <c r="E772" s="3" t="s">
        <v>18</v>
      </c>
      <c r="F772" s="5">
        <v>3</v>
      </c>
      <c r="G772" s="6">
        <v>12.3</v>
      </c>
      <c r="H772" s="6">
        <v>36.9</v>
      </c>
      <c r="I772" s="6">
        <v>7.38</v>
      </c>
      <c r="J772" s="6">
        <v>29.52</v>
      </c>
      <c r="K772" s="5">
        <v>295</v>
      </c>
    </row>
    <row r="773" spans="1:11" x14ac:dyDescent="0.3">
      <c r="A773" s="3">
        <v>8900</v>
      </c>
      <c r="B773" s="3" t="s">
        <v>42</v>
      </c>
      <c r="C773" s="4">
        <v>45319</v>
      </c>
      <c r="D773" s="3" t="s">
        <v>27</v>
      </c>
      <c r="E773" s="3" t="s">
        <v>21</v>
      </c>
      <c r="F773" s="5">
        <v>3</v>
      </c>
      <c r="G773" s="6">
        <v>17.53</v>
      </c>
      <c r="H773" s="6">
        <v>52.59</v>
      </c>
      <c r="I773" s="6">
        <v>5.26</v>
      </c>
      <c r="J773" s="6">
        <v>47.33</v>
      </c>
      <c r="K773" s="5">
        <v>467</v>
      </c>
    </row>
    <row r="774" spans="1:11" x14ac:dyDescent="0.3">
      <c r="A774" s="3">
        <v>2773</v>
      </c>
      <c r="B774" s="3" t="s">
        <v>36</v>
      </c>
      <c r="C774" s="4">
        <v>45416</v>
      </c>
      <c r="D774" s="3" t="s">
        <v>15</v>
      </c>
      <c r="E774" s="3" t="s">
        <v>39</v>
      </c>
      <c r="F774" s="5">
        <v>5</v>
      </c>
      <c r="G774" s="6">
        <v>29.6</v>
      </c>
      <c r="H774" s="6">
        <v>148</v>
      </c>
      <c r="I774" s="6">
        <v>22.2</v>
      </c>
      <c r="J774" s="6">
        <v>125.8</v>
      </c>
      <c r="K774" s="5">
        <v>206</v>
      </c>
    </row>
    <row r="775" spans="1:11" x14ac:dyDescent="0.3">
      <c r="A775" s="3">
        <v>7022</v>
      </c>
      <c r="B775" s="3" t="s">
        <v>31</v>
      </c>
      <c r="C775" s="4">
        <v>45234</v>
      </c>
      <c r="D775" s="3" t="s">
        <v>22</v>
      </c>
      <c r="E775" s="3" t="s">
        <v>18</v>
      </c>
      <c r="F775" s="5">
        <v>1</v>
      </c>
      <c r="G775" s="6">
        <v>1.01</v>
      </c>
      <c r="H775" s="6">
        <v>1.01</v>
      </c>
      <c r="I775" s="6">
        <v>4.4400000000000004</v>
      </c>
      <c r="J775" s="6">
        <v>-3.43</v>
      </c>
      <c r="K775" s="5">
        <v>286</v>
      </c>
    </row>
    <row r="776" spans="1:11" x14ac:dyDescent="0.3">
      <c r="A776" s="3">
        <v>5564</v>
      </c>
      <c r="B776" s="3" t="s">
        <v>31</v>
      </c>
      <c r="C776" s="4">
        <v>45590</v>
      </c>
      <c r="D776" s="3" t="s">
        <v>17</v>
      </c>
      <c r="E776" s="3" t="s">
        <v>16</v>
      </c>
      <c r="F776" s="5">
        <v>5</v>
      </c>
      <c r="G776" s="6">
        <v>12.42</v>
      </c>
      <c r="H776" s="6">
        <v>62.1</v>
      </c>
      <c r="I776" s="6">
        <v>6.21</v>
      </c>
      <c r="J776" s="6">
        <v>55.89</v>
      </c>
      <c r="K776" s="5">
        <v>162</v>
      </c>
    </row>
    <row r="777" spans="1:11" x14ac:dyDescent="0.3">
      <c r="A777" s="3">
        <v>4705</v>
      </c>
      <c r="B777" s="3" t="s">
        <v>24</v>
      </c>
      <c r="C777" s="4">
        <v>45771</v>
      </c>
      <c r="D777" s="3" t="s">
        <v>20</v>
      </c>
      <c r="E777" s="3" t="s">
        <v>18</v>
      </c>
      <c r="F777" s="5">
        <v>2</v>
      </c>
      <c r="G777" s="6">
        <v>20.2</v>
      </c>
      <c r="H777" s="6">
        <v>40.4</v>
      </c>
      <c r="I777" s="6">
        <v>8.08</v>
      </c>
      <c r="J777" s="6">
        <v>32.32</v>
      </c>
      <c r="K777" s="5">
        <v>243</v>
      </c>
    </row>
    <row r="778" spans="1:11" x14ac:dyDescent="0.3">
      <c r="A778" s="3">
        <v>8030</v>
      </c>
      <c r="B778" s="3" t="s">
        <v>14</v>
      </c>
      <c r="C778" s="4">
        <v>45801</v>
      </c>
      <c r="D778" s="3" t="s">
        <v>20</v>
      </c>
      <c r="E778" s="3" t="s">
        <v>23</v>
      </c>
      <c r="F778" s="5">
        <v>4</v>
      </c>
      <c r="G778" s="6">
        <v>5.46</v>
      </c>
      <c r="H778" s="6">
        <v>21.84</v>
      </c>
      <c r="I778" s="6">
        <v>4.37</v>
      </c>
      <c r="J778" s="6">
        <v>17.47</v>
      </c>
      <c r="K778" s="5">
        <v>446</v>
      </c>
    </row>
    <row r="779" spans="1:11" x14ac:dyDescent="0.3">
      <c r="A779" s="3">
        <v>1430</v>
      </c>
      <c r="B779" s="3" t="s">
        <v>31</v>
      </c>
      <c r="C779" s="4">
        <v>45618</v>
      </c>
      <c r="D779" s="3" t="s">
        <v>15</v>
      </c>
      <c r="E779" s="3" t="s">
        <v>39</v>
      </c>
      <c r="F779" s="5">
        <v>2</v>
      </c>
      <c r="G779" s="6">
        <v>21.91</v>
      </c>
      <c r="H779" s="6">
        <v>43.82</v>
      </c>
      <c r="I779" s="6">
        <v>8.76</v>
      </c>
      <c r="J779" s="6">
        <v>35.06</v>
      </c>
      <c r="K779" s="5">
        <v>249</v>
      </c>
    </row>
    <row r="780" spans="1:11" x14ac:dyDescent="0.3">
      <c r="A780" s="3">
        <v>5381</v>
      </c>
      <c r="B780" s="3" t="s">
        <v>11</v>
      </c>
      <c r="C780" s="4">
        <v>45167</v>
      </c>
      <c r="D780" s="3" t="s">
        <v>34</v>
      </c>
      <c r="E780" s="3" t="s">
        <v>16</v>
      </c>
      <c r="F780" s="5">
        <v>4</v>
      </c>
      <c r="G780" s="6">
        <v>26.9</v>
      </c>
      <c r="H780" s="6">
        <v>107.6</v>
      </c>
      <c r="I780" s="6">
        <v>1.72</v>
      </c>
      <c r="J780" s="6">
        <v>105.88</v>
      </c>
      <c r="K780" s="5">
        <v>356</v>
      </c>
    </row>
    <row r="781" spans="1:11" x14ac:dyDescent="0.3">
      <c r="A781" s="3">
        <v>3955</v>
      </c>
      <c r="B781" s="3" t="s">
        <v>14</v>
      </c>
      <c r="C781" s="4">
        <v>45357</v>
      </c>
      <c r="D781" s="3" t="s">
        <v>20</v>
      </c>
      <c r="E781" s="3" t="s">
        <v>18</v>
      </c>
      <c r="F781" s="5">
        <v>4</v>
      </c>
      <c r="G781" s="6">
        <v>12.15</v>
      </c>
      <c r="H781" s="6">
        <v>48.6</v>
      </c>
      <c r="I781" s="6">
        <v>4.8600000000000003</v>
      </c>
      <c r="J781" s="6">
        <v>43.74</v>
      </c>
      <c r="K781" s="5">
        <v>115</v>
      </c>
    </row>
    <row r="782" spans="1:11" x14ac:dyDescent="0.3">
      <c r="A782" s="3">
        <v>6062</v>
      </c>
      <c r="B782" s="3" t="s">
        <v>31</v>
      </c>
      <c r="C782" s="4">
        <v>45860</v>
      </c>
      <c r="D782" s="3" t="s">
        <v>28</v>
      </c>
      <c r="E782" s="3" t="s">
        <v>47</v>
      </c>
      <c r="F782" s="5">
        <v>2</v>
      </c>
      <c r="G782" s="6">
        <v>21.64</v>
      </c>
      <c r="H782" s="6">
        <v>43.28</v>
      </c>
      <c r="I782" s="6">
        <v>3.31</v>
      </c>
      <c r="J782" s="6">
        <v>39.97</v>
      </c>
      <c r="K782" s="5">
        <v>137</v>
      </c>
    </row>
    <row r="783" spans="1:11" x14ac:dyDescent="0.3">
      <c r="A783" s="3">
        <v>6567</v>
      </c>
      <c r="B783" s="3" t="s">
        <v>31</v>
      </c>
      <c r="C783" s="4">
        <v>45417</v>
      </c>
      <c r="D783" s="3" t="s">
        <v>12</v>
      </c>
      <c r="E783" s="3" t="s">
        <v>47</v>
      </c>
      <c r="F783" s="5">
        <v>3</v>
      </c>
      <c r="G783" s="6">
        <v>4.2699999999999996</v>
      </c>
      <c r="H783" s="6">
        <v>12.81</v>
      </c>
      <c r="I783" s="6">
        <v>2.56</v>
      </c>
      <c r="J783" s="6">
        <v>10.25</v>
      </c>
      <c r="K783" s="5">
        <v>246</v>
      </c>
    </row>
    <row r="784" spans="1:11" x14ac:dyDescent="0.3">
      <c r="A784" s="3">
        <v>1100</v>
      </c>
      <c r="B784" s="3" t="s">
        <v>14</v>
      </c>
      <c r="C784" s="4">
        <v>45285</v>
      </c>
      <c r="D784" s="3" t="s">
        <v>35</v>
      </c>
      <c r="E784" s="3" t="s">
        <v>33</v>
      </c>
      <c r="F784" s="5">
        <v>5</v>
      </c>
      <c r="G784" s="6">
        <v>3.26</v>
      </c>
      <c r="H784" s="6">
        <v>16.3</v>
      </c>
      <c r="I784" s="6">
        <v>3.26</v>
      </c>
      <c r="J784" s="6">
        <v>13.04</v>
      </c>
      <c r="K784" s="5">
        <v>455</v>
      </c>
    </row>
    <row r="785" spans="1:11" x14ac:dyDescent="0.3">
      <c r="A785" s="3">
        <v>3347</v>
      </c>
      <c r="B785" s="3" t="s">
        <v>26</v>
      </c>
      <c r="C785" s="4">
        <v>45584</v>
      </c>
      <c r="D785" s="3" t="s">
        <v>27</v>
      </c>
      <c r="E785" s="3" t="s">
        <v>43</v>
      </c>
      <c r="F785" s="5">
        <v>5</v>
      </c>
      <c r="G785" s="6">
        <v>24.13</v>
      </c>
      <c r="H785" s="6">
        <v>120.65</v>
      </c>
      <c r="I785" s="6">
        <v>18.100000000000001</v>
      </c>
      <c r="J785" s="6">
        <v>102.55</v>
      </c>
      <c r="K785" s="5">
        <v>159</v>
      </c>
    </row>
    <row r="786" spans="1:11" x14ac:dyDescent="0.3">
      <c r="A786" s="3">
        <v>7566</v>
      </c>
      <c r="B786" s="3" t="s">
        <v>14</v>
      </c>
      <c r="C786" s="4">
        <v>45199</v>
      </c>
      <c r="D786" s="3" t="s">
        <v>12</v>
      </c>
      <c r="E786" s="3" t="s">
        <v>47</v>
      </c>
      <c r="F786" s="5">
        <v>4</v>
      </c>
      <c r="G786" s="6">
        <v>15.86</v>
      </c>
      <c r="H786" s="6">
        <v>63.44</v>
      </c>
      <c r="I786" s="6">
        <v>6.34</v>
      </c>
      <c r="J786" s="6">
        <v>57.1</v>
      </c>
      <c r="K786" s="5">
        <v>240</v>
      </c>
    </row>
    <row r="787" spans="1:11" x14ac:dyDescent="0.3">
      <c r="A787" s="3">
        <v>3324</v>
      </c>
      <c r="B787" s="3" t="s">
        <v>36</v>
      </c>
      <c r="C787" s="4">
        <v>45720</v>
      </c>
      <c r="D787" s="3" t="s">
        <v>35</v>
      </c>
      <c r="E787" s="3" t="s">
        <v>37</v>
      </c>
      <c r="F787" s="5">
        <v>2</v>
      </c>
      <c r="G787" s="6">
        <v>2.0099999999999998</v>
      </c>
      <c r="H787" s="6">
        <v>4.0199999999999996</v>
      </c>
      <c r="I787" s="6">
        <v>0</v>
      </c>
      <c r="J787" s="6">
        <v>4.0199999999999996</v>
      </c>
      <c r="K787" s="5">
        <v>472</v>
      </c>
    </row>
    <row r="788" spans="1:11" x14ac:dyDescent="0.3">
      <c r="A788" s="3">
        <v>1502</v>
      </c>
      <c r="B788" s="3" t="s">
        <v>30</v>
      </c>
      <c r="C788" s="4">
        <v>45216</v>
      </c>
      <c r="D788" s="3" t="s">
        <v>12</v>
      </c>
      <c r="E788" s="3" t="s">
        <v>47</v>
      </c>
      <c r="F788" s="5">
        <v>5</v>
      </c>
      <c r="G788" s="6">
        <v>5.89</v>
      </c>
      <c r="H788" s="6">
        <v>29.45</v>
      </c>
      <c r="I788" s="6">
        <v>0</v>
      </c>
      <c r="J788" s="6">
        <v>29.45</v>
      </c>
      <c r="K788" s="5">
        <v>26</v>
      </c>
    </row>
    <row r="789" spans="1:11" x14ac:dyDescent="0.3">
      <c r="A789" s="3">
        <v>9691</v>
      </c>
      <c r="B789" s="3" t="s">
        <v>31</v>
      </c>
      <c r="C789" s="4">
        <v>45312</v>
      </c>
      <c r="D789" s="3" t="s">
        <v>35</v>
      </c>
      <c r="E789" s="3" t="s">
        <v>47</v>
      </c>
      <c r="F789" s="5">
        <v>1</v>
      </c>
      <c r="G789" s="6">
        <v>4.67</v>
      </c>
      <c r="H789" s="6">
        <v>4.67</v>
      </c>
      <c r="I789" s="6">
        <v>0.7</v>
      </c>
      <c r="J789" s="6">
        <v>3.97</v>
      </c>
      <c r="K789" s="5">
        <v>39</v>
      </c>
    </row>
    <row r="790" spans="1:11" x14ac:dyDescent="0.3">
      <c r="A790" s="3">
        <v>7163</v>
      </c>
      <c r="B790" s="3" t="s">
        <v>19</v>
      </c>
      <c r="C790" s="4">
        <v>45471</v>
      </c>
      <c r="D790" s="3" t="s">
        <v>28</v>
      </c>
      <c r="E790" s="3" t="s">
        <v>13</v>
      </c>
      <c r="F790" s="5">
        <v>3</v>
      </c>
      <c r="G790" s="6">
        <v>25.87</v>
      </c>
      <c r="H790" s="6">
        <v>77.61</v>
      </c>
      <c r="I790" s="6">
        <v>1.7</v>
      </c>
      <c r="J790" s="6">
        <v>75.91</v>
      </c>
      <c r="K790" s="5">
        <v>7</v>
      </c>
    </row>
    <row r="791" spans="1:11" x14ac:dyDescent="0.3">
      <c r="A791" s="3">
        <v>8432</v>
      </c>
      <c r="B791" s="3" t="s">
        <v>19</v>
      </c>
      <c r="C791" s="4">
        <v>45409</v>
      </c>
      <c r="D791" s="3" t="s">
        <v>27</v>
      </c>
      <c r="E791" s="3" t="s">
        <v>33</v>
      </c>
      <c r="F791" s="5">
        <v>3</v>
      </c>
      <c r="G791" s="6">
        <v>24.42</v>
      </c>
      <c r="H791" s="6">
        <v>73.260000000000005</v>
      </c>
      <c r="I791" s="6">
        <v>7.33</v>
      </c>
      <c r="J791" s="6">
        <v>65.930000000000007</v>
      </c>
      <c r="K791" s="5">
        <v>133</v>
      </c>
    </row>
    <row r="792" spans="1:11" x14ac:dyDescent="0.3">
      <c r="A792" s="3">
        <v>3578</v>
      </c>
      <c r="B792" s="3" t="s">
        <v>19</v>
      </c>
      <c r="C792" s="4">
        <v>45432</v>
      </c>
      <c r="D792" s="3" t="s">
        <v>38</v>
      </c>
      <c r="E792" s="3" t="s">
        <v>40</v>
      </c>
      <c r="F792" s="5">
        <v>3</v>
      </c>
      <c r="G792" s="6">
        <v>29.53</v>
      </c>
      <c r="H792" s="6">
        <v>88.59</v>
      </c>
      <c r="I792" s="6">
        <v>4.74</v>
      </c>
      <c r="J792" s="6">
        <v>83.85</v>
      </c>
      <c r="K792" s="5">
        <v>495</v>
      </c>
    </row>
    <row r="793" spans="1:11" x14ac:dyDescent="0.3">
      <c r="A793" s="3">
        <v>6105</v>
      </c>
      <c r="B793" s="3" t="s">
        <v>19</v>
      </c>
      <c r="C793" s="4">
        <v>45705</v>
      </c>
      <c r="D793" s="3" t="s">
        <v>45</v>
      </c>
      <c r="E793" s="3" t="s">
        <v>16</v>
      </c>
      <c r="F793" s="5">
        <v>4</v>
      </c>
      <c r="G793" s="6">
        <v>7.89</v>
      </c>
      <c r="H793" s="6">
        <v>31.56</v>
      </c>
      <c r="I793" s="6">
        <v>6.31</v>
      </c>
      <c r="J793" s="6">
        <v>25.25</v>
      </c>
      <c r="K793" s="5">
        <v>225</v>
      </c>
    </row>
    <row r="794" spans="1:11" x14ac:dyDescent="0.3">
      <c r="A794" s="3">
        <v>6314</v>
      </c>
      <c r="B794" s="3" t="s">
        <v>36</v>
      </c>
      <c r="C794" s="4">
        <v>45748</v>
      </c>
      <c r="D794" s="3" t="s">
        <v>12</v>
      </c>
      <c r="E794" s="3" t="s">
        <v>13</v>
      </c>
      <c r="F794" s="5">
        <v>1</v>
      </c>
      <c r="G794" s="6">
        <v>2.5099999999999998</v>
      </c>
      <c r="H794" s="6">
        <v>2.5099999999999998</v>
      </c>
      <c r="I794" s="6">
        <v>0.25</v>
      </c>
      <c r="J794" s="6">
        <v>2.2599999999999998</v>
      </c>
      <c r="K794" s="5">
        <v>237</v>
      </c>
    </row>
    <row r="795" spans="1:11" x14ac:dyDescent="0.3">
      <c r="A795" s="3">
        <v>2391</v>
      </c>
      <c r="B795" s="3" t="s">
        <v>30</v>
      </c>
      <c r="C795" s="4">
        <v>45831</v>
      </c>
      <c r="D795" s="3" t="s">
        <v>45</v>
      </c>
      <c r="E795" s="3" t="s">
        <v>18</v>
      </c>
      <c r="F795" s="5">
        <v>2</v>
      </c>
      <c r="G795" s="6">
        <v>12</v>
      </c>
      <c r="H795" s="6">
        <v>24</v>
      </c>
      <c r="I795" s="6">
        <v>2.4</v>
      </c>
      <c r="J795" s="6">
        <v>21.6</v>
      </c>
      <c r="K795" s="5">
        <v>361</v>
      </c>
    </row>
    <row r="796" spans="1:11" x14ac:dyDescent="0.3">
      <c r="A796" s="3">
        <v>1861</v>
      </c>
      <c r="B796" s="3" t="s">
        <v>30</v>
      </c>
      <c r="C796" s="4">
        <v>45265</v>
      </c>
      <c r="D796" s="3" t="s">
        <v>34</v>
      </c>
      <c r="E796" s="3" t="s">
        <v>46</v>
      </c>
      <c r="F796" s="5">
        <v>4</v>
      </c>
      <c r="G796" s="6">
        <v>1.33</v>
      </c>
      <c r="H796" s="6">
        <v>5.32</v>
      </c>
      <c r="I796" s="6">
        <v>0.53</v>
      </c>
      <c r="J796" s="6">
        <v>4.79</v>
      </c>
      <c r="K796" s="5">
        <v>474</v>
      </c>
    </row>
    <row r="797" spans="1:11" x14ac:dyDescent="0.3">
      <c r="A797" s="3">
        <v>3579</v>
      </c>
      <c r="B797" s="3" t="s">
        <v>36</v>
      </c>
      <c r="C797" s="4">
        <v>45730</v>
      </c>
      <c r="D797" s="3" t="s">
        <v>38</v>
      </c>
      <c r="E797" s="3" t="s">
        <v>40</v>
      </c>
      <c r="F797" s="5">
        <v>1</v>
      </c>
      <c r="G797" s="6">
        <v>27.6</v>
      </c>
      <c r="H797" s="6">
        <v>27.6</v>
      </c>
      <c r="I797" s="6">
        <v>2.76</v>
      </c>
      <c r="J797" s="6">
        <v>24.84</v>
      </c>
      <c r="K797" s="5">
        <v>326</v>
      </c>
    </row>
    <row r="798" spans="1:11" x14ac:dyDescent="0.3">
      <c r="A798" s="3">
        <v>1815</v>
      </c>
      <c r="B798" s="3" t="s">
        <v>30</v>
      </c>
      <c r="C798" s="4">
        <v>45668</v>
      </c>
      <c r="D798" s="3" t="s">
        <v>22</v>
      </c>
      <c r="E798" s="3" t="s">
        <v>13</v>
      </c>
      <c r="F798" s="5">
        <v>3</v>
      </c>
      <c r="G798" s="6">
        <v>24.26</v>
      </c>
      <c r="H798" s="6">
        <v>72.78</v>
      </c>
      <c r="I798" s="6">
        <v>7.28</v>
      </c>
      <c r="J798" s="6">
        <v>65.5</v>
      </c>
      <c r="K798" s="5">
        <v>130</v>
      </c>
    </row>
    <row r="799" spans="1:11" x14ac:dyDescent="0.3">
      <c r="A799" s="3">
        <v>2336</v>
      </c>
      <c r="B799" s="3" t="s">
        <v>42</v>
      </c>
      <c r="C799" s="4">
        <v>45356</v>
      </c>
      <c r="D799" s="3" t="s">
        <v>27</v>
      </c>
      <c r="E799" s="3" t="s">
        <v>44</v>
      </c>
      <c r="F799" s="5">
        <v>5</v>
      </c>
      <c r="G799" s="6">
        <v>10.77</v>
      </c>
      <c r="H799" s="6">
        <v>53.85</v>
      </c>
      <c r="I799" s="6">
        <v>8.08</v>
      </c>
      <c r="J799" s="6">
        <v>45.77</v>
      </c>
      <c r="K799" s="5">
        <v>353</v>
      </c>
    </row>
    <row r="800" spans="1:11" x14ac:dyDescent="0.3">
      <c r="A800" s="3">
        <v>8259</v>
      </c>
      <c r="B800" s="3" t="s">
        <v>14</v>
      </c>
      <c r="C800" s="4">
        <v>45659</v>
      </c>
      <c r="D800" s="3" t="s">
        <v>12</v>
      </c>
      <c r="E800" s="3" t="s">
        <v>39</v>
      </c>
      <c r="F800" s="5">
        <v>1</v>
      </c>
      <c r="G800" s="6">
        <v>1.34</v>
      </c>
      <c r="H800" s="6">
        <v>1.34</v>
      </c>
      <c r="I800" s="6">
        <v>0</v>
      </c>
      <c r="J800" s="6">
        <v>1.34</v>
      </c>
      <c r="K800" s="5">
        <v>50</v>
      </c>
    </row>
    <row r="801" spans="1:11" x14ac:dyDescent="0.3">
      <c r="A801" s="3">
        <v>7947</v>
      </c>
      <c r="B801" s="3" t="s">
        <v>26</v>
      </c>
      <c r="C801" s="4">
        <v>45522</v>
      </c>
      <c r="D801" s="3" t="s">
        <v>22</v>
      </c>
      <c r="E801" s="3" t="s">
        <v>25</v>
      </c>
      <c r="F801" s="5">
        <v>3</v>
      </c>
      <c r="G801" s="6">
        <v>8.2899999999999991</v>
      </c>
      <c r="H801" s="6">
        <v>24.87</v>
      </c>
      <c r="I801" s="6">
        <v>1.37</v>
      </c>
      <c r="J801" s="6">
        <v>23.5</v>
      </c>
      <c r="K801" s="5">
        <v>17</v>
      </c>
    </row>
    <row r="802" spans="1:11" x14ac:dyDescent="0.3">
      <c r="A802" s="3">
        <v>8242</v>
      </c>
      <c r="B802" s="3" t="s">
        <v>42</v>
      </c>
      <c r="C802" s="4">
        <v>45466</v>
      </c>
      <c r="D802" s="3" t="s">
        <v>28</v>
      </c>
      <c r="E802" s="3" t="s">
        <v>48</v>
      </c>
      <c r="F802" s="5">
        <v>1</v>
      </c>
      <c r="G802" s="6">
        <v>3.5</v>
      </c>
      <c r="H802" s="6">
        <v>3.5</v>
      </c>
      <c r="I802" s="6">
        <v>0.35</v>
      </c>
      <c r="J802" s="6">
        <v>3.15</v>
      </c>
      <c r="K802" s="5">
        <v>309</v>
      </c>
    </row>
    <row r="803" spans="1:11" x14ac:dyDescent="0.3">
      <c r="A803" s="3">
        <v>5475</v>
      </c>
      <c r="B803" s="3" t="s">
        <v>19</v>
      </c>
      <c r="C803" s="4">
        <v>45312</v>
      </c>
      <c r="D803" s="3" t="s">
        <v>15</v>
      </c>
      <c r="E803" s="3" t="s">
        <v>29</v>
      </c>
      <c r="F803" s="5">
        <v>3</v>
      </c>
      <c r="G803" s="6">
        <v>9.5299999999999994</v>
      </c>
      <c r="H803" s="6">
        <v>28.59</v>
      </c>
      <c r="I803" s="6">
        <v>0</v>
      </c>
      <c r="J803" s="6">
        <v>28.59</v>
      </c>
      <c r="K803" s="5">
        <v>338</v>
      </c>
    </row>
    <row r="804" spans="1:11" x14ac:dyDescent="0.3">
      <c r="A804" s="3">
        <v>9394</v>
      </c>
      <c r="B804" s="3" t="s">
        <v>26</v>
      </c>
      <c r="C804" s="4">
        <v>45233</v>
      </c>
      <c r="D804" s="3" t="s">
        <v>35</v>
      </c>
      <c r="E804" s="3" t="s">
        <v>16</v>
      </c>
      <c r="F804" s="5">
        <v>3</v>
      </c>
      <c r="G804" s="6">
        <v>8.4499999999999993</v>
      </c>
      <c r="H804" s="6">
        <v>25.35</v>
      </c>
      <c r="I804" s="6">
        <v>3.8</v>
      </c>
      <c r="J804" s="6">
        <v>21.55</v>
      </c>
      <c r="K804" s="5">
        <v>399</v>
      </c>
    </row>
    <row r="805" spans="1:11" x14ac:dyDescent="0.3">
      <c r="A805" s="3">
        <v>6655</v>
      </c>
      <c r="B805" s="3" t="s">
        <v>31</v>
      </c>
      <c r="C805" s="4">
        <v>45478</v>
      </c>
      <c r="D805" s="3" t="s">
        <v>20</v>
      </c>
      <c r="E805" s="3" t="s">
        <v>32</v>
      </c>
      <c r="F805" s="5">
        <v>3</v>
      </c>
      <c r="G805" s="6">
        <v>29.87</v>
      </c>
      <c r="H805" s="6">
        <v>89.61</v>
      </c>
      <c r="I805" s="6">
        <v>17.920000000000002</v>
      </c>
      <c r="J805" s="6">
        <v>71.69</v>
      </c>
      <c r="K805" s="5">
        <v>132</v>
      </c>
    </row>
    <row r="806" spans="1:11" x14ac:dyDescent="0.3">
      <c r="A806" s="3">
        <v>2816</v>
      </c>
      <c r="B806" s="3" t="s">
        <v>26</v>
      </c>
      <c r="C806" s="4">
        <v>45365</v>
      </c>
      <c r="D806" s="3" t="s">
        <v>15</v>
      </c>
      <c r="E806" s="3" t="s">
        <v>47</v>
      </c>
      <c r="F806" s="5">
        <v>2</v>
      </c>
      <c r="G806" s="6">
        <v>18.690000000000001</v>
      </c>
      <c r="H806" s="6">
        <v>37.380000000000003</v>
      </c>
      <c r="I806" s="6">
        <v>1.58</v>
      </c>
      <c r="J806" s="6">
        <v>35.799999999999997</v>
      </c>
      <c r="K806" s="5">
        <v>91</v>
      </c>
    </row>
    <row r="807" spans="1:11" x14ac:dyDescent="0.3">
      <c r="A807" s="3">
        <v>8972</v>
      </c>
      <c r="B807" s="3" t="s">
        <v>24</v>
      </c>
      <c r="C807" s="4">
        <v>45554</v>
      </c>
      <c r="D807" s="3" t="s">
        <v>17</v>
      </c>
      <c r="E807" s="3" t="s">
        <v>48</v>
      </c>
      <c r="F807" s="5">
        <v>4</v>
      </c>
      <c r="G807" s="6">
        <v>21.74</v>
      </c>
      <c r="H807" s="6">
        <v>86.96</v>
      </c>
      <c r="I807" s="6">
        <v>1.28</v>
      </c>
      <c r="J807" s="6">
        <v>85.68</v>
      </c>
      <c r="K807" s="5">
        <v>52</v>
      </c>
    </row>
    <row r="808" spans="1:11" x14ac:dyDescent="0.3">
      <c r="A808" s="3">
        <v>6053</v>
      </c>
      <c r="B808" s="3" t="s">
        <v>30</v>
      </c>
      <c r="C808" s="4">
        <v>45180</v>
      </c>
      <c r="D808" s="3" t="s">
        <v>45</v>
      </c>
      <c r="E808" s="3" t="s">
        <v>39</v>
      </c>
      <c r="F808" s="5">
        <v>4</v>
      </c>
      <c r="G808" s="6">
        <v>5.31</v>
      </c>
      <c r="H808" s="6">
        <v>21.24</v>
      </c>
      <c r="I808" s="6">
        <v>3.66</v>
      </c>
      <c r="J808" s="6">
        <v>17.579999999999998</v>
      </c>
      <c r="K808" s="5">
        <v>327</v>
      </c>
    </row>
    <row r="809" spans="1:11" x14ac:dyDescent="0.3">
      <c r="A809" s="3">
        <v>4612</v>
      </c>
      <c r="B809" s="3" t="s">
        <v>30</v>
      </c>
      <c r="C809" s="4">
        <v>45452</v>
      </c>
      <c r="D809" s="3" t="s">
        <v>34</v>
      </c>
      <c r="E809" s="3" t="s">
        <v>21</v>
      </c>
      <c r="F809" s="5">
        <v>4</v>
      </c>
      <c r="G809" s="6">
        <v>17.649999999999999</v>
      </c>
      <c r="H809" s="6">
        <v>70.599999999999994</v>
      </c>
      <c r="I809" s="6">
        <v>7.06</v>
      </c>
      <c r="J809" s="6">
        <v>63.54</v>
      </c>
      <c r="K809" s="5">
        <v>263</v>
      </c>
    </row>
    <row r="810" spans="1:11" x14ac:dyDescent="0.3">
      <c r="A810" s="3">
        <v>1897</v>
      </c>
      <c r="B810" s="3" t="s">
        <v>24</v>
      </c>
      <c r="C810" s="4">
        <v>45150</v>
      </c>
      <c r="D810" s="3" t="s">
        <v>20</v>
      </c>
      <c r="E810" s="3" t="s">
        <v>43</v>
      </c>
      <c r="F810" s="5">
        <v>5</v>
      </c>
      <c r="G810" s="6">
        <v>7.54</v>
      </c>
      <c r="H810" s="6">
        <v>37.700000000000003</v>
      </c>
      <c r="I810" s="6">
        <v>3.27</v>
      </c>
      <c r="J810" s="6">
        <v>34.43</v>
      </c>
      <c r="K810" s="5">
        <v>196</v>
      </c>
    </row>
    <row r="811" spans="1:11" x14ac:dyDescent="0.3">
      <c r="A811" s="3">
        <v>4349</v>
      </c>
      <c r="B811" s="3" t="s">
        <v>36</v>
      </c>
      <c r="C811" s="4">
        <v>45379</v>
      </c>
      <c r="D811" s="3" t="s">
        <v>22</v>
      </c>
      <c r="E811" s="3" t="s">
        <v>37</v>
      </c>
      <c r="F811" s="5">
        <v>4</v>
      </c>
      <c r="G811" s="6">
        <v>2.59</v>
      </c>
      <c r="H811" s="6">
        <v>10.36</v>
      </c>
      <c r="I811" s="6">
        <v>1.55</v>
      </c>
      <c r="J811" s="6">
        <v>8.81</v>
      </c>
      <c r="K811" s="5">
        <v>490</v>
      </c>
    </row>
    <row r="812" spans="1:11" x14ac:dyDescent="0.3">
      <c r="A812" s="3">
        <v>4460</v>
      </c>
      <c r="B812" s="3" t="s">
        <v>14</v>
      </c>
      <c r="C812" s="4">
        <v>45741</v>
      </c>
      <c r="D812" s="3" t="s">
        <v>22</v>
      </c>
      <c r="E812" s="3" t="s">
        <v>43</v>
      </c>
      <c r="F812" s="5">
        <v>4</v>
      </c>
      <c r="G812" s="6">
        <v>23.04</v>
      </c>
      <c r="H812" s="6">
        <v>92.16</v>
      </c>
      <c r="I812" s="6">
        <v>18.43</v>
      </c>
      <c r="J812" s="6">
        <v>73.73</v>
      </c>
      <c r="K812" s="5">
        <v>148</v>
      </c>
    </row>
    <row r="813" spans="1:11" x14ac:dyDescent="0.3">
      <c r="A813" s="3">
        <v>3248</v>
      </c>
      <c r="B813" s="3" t="s">
        <v>14</v>
      </c>
      <c r="C813" s="4">
        <v>45738</v>
      </c>
      <c r="D813" s="3" t="s">
        <v>12</v>
      </c>
      <c r="E813" s="3" t="s">
        <v>32</v>
      </c>
      <c r="F813" s="5">
        <v>2</v>
      </c>
      <c r="G813" s="6">
        <v>9.66</v>
      </c>
      <c r="H813" s="6">
        <v>19.32</v>
      </c>
      <c r="I813" s="6">
        <v>0</v>
      </c>
      <c r="J813" s="6">
        <v>19.32</v>
      </c>
      <c r="K813" s="5">
        <v>199</v>
      </c>
    </row>
    <row r="814" spans="1:11" x14ac:dyDescent="0.3">
      <c r="A814" s="3">
        <v>5186</v>
      </c>
      <c r="B814" s="3" t="s">
        <v>36</v>
      </c>
      <c r="C814" s="4">
        <v>45369</v>
      </c>
      <c r="D814" s="3" t="s">
        <v>45</v>
      </c>
      <c r="E814" s="3" t="s">
        <v>43</v>
      </c>
      <c r="F814" s="5">
        <v>4</v>
      </c>
      <c r="G814" s="6">
        <v>22.31</v>
      </c>
      <c r="H814" s="6">
        <v>89.24</v>
      </c>
      <c r="I814" s="6">
        <v>17.850000000000001</v>
      </c>
      <c r="J814" s="6">
        <v>71.39</v>
      </c>
      <c r="K814" s="5">
        <v>71</v>
      </c>
    </row>
    <row r="815" spans="1:11" x14ac:dyDescent="0.3">
      <c r="A815" s="3">
        <v>6375</v>
      </c>
      <c r="B815" s="3" t="s">
        <v>31</v>
      </c>
      <c r="C815" s="4">
        <v>45238</v>
      </c>
      <c r="D815" s="3" t="s">
        <v>28</v>
      </c>
      <c r="E815" s="3" t="s">
        <v>25</v>
      </c>
      <c r="F815" s="5">
        <v>4</v>
      </c>
      <c r="G815" s="6">
        <v>12.26</v>
      </c>
      <c r="H815" s="6">
        <v>49.04</v>
      </c>
      <c r="I815" s="6">
        <v>4.9000000000000004</v>
      </c>
      <c r="J815" s="6">
        <v>44.14</v>
      </c>
      <c r="K815" s="5">
        <v>405</v>
      </c>
    </row>
    <row r="816" spans="1:11" x14ac:dyDescent="0.3">
      <c r="A816" s="3">
        <v>1126</v>
      </c>
      <c r="B816" s="3" t="s">
        <v>14</v>
      </c>
      <c r="C816" s="4">
        <v>45531</v>
      </c>
      <c r="D816" s="3" t="s">
        <v>45</v>
      </c>
      <c r="E816" s="3" t="s">
        <v>39</v>
      </c>
      <c r="F816" s="5">
        <v>1</v>
      </c>
      <c r="G816" s="6">
        <v>10.83</v>
      </c>
      <c r="H816" s="6">
        <v>10.83</v>
      </c>
      <c r="I816" s="6">
        <v>1.08</v>
      </c>
      <c r="J816" s="6">
        <v>9.75</v>
      </c>
      <c r="K816" s="5">
        <v>172</v>
      </c>
    </row>
    <row r="817" spans="1:11" x14ac:dyDescent="0.3">
      <c r="A817" s="3">
        <v>8055</v>
      </c>
      <c r="B817" s="3" t="s">
        <v>11</v>
      </c>
      <c r="C817" s="4">
        <v>45281</v>
      </c>
      <c r="D817" s="3" t="s">
        <v>17</v>
      </c>
      <c r="E817" s="3" t="s">
        <v>46</v>
      </c>
      <c r="F817" s="5">
        <v>4</v>
      </c>
      <c r="G817" s="6">
        <v>28.25</v>
      </c>
      <c r="H817" s="6">
        <v>113</v>
      </c>
      <c r="I817" s="6">
        <v>0</v>
      </c>
      <c r="J817" s="6">
        <v>113</v>
      </c>
      <c r="K817" s="5">
        <v>445</v>
      </c>
    </row>
    <row r="818" spans="1:11" x14ac:dyDescent="0.3">
      <c r="A818" s="3">
        <v>3116</v>
      </c>
      <c r="B818" s="3" t="s">
        <v>42</v>
      </c>
      <c r="C818" s="4">
        <v>45440</v>
      </c>
      <c r="D818" s="3" t="s">
        <v>15</v>
      </c>
      <c r="E818" s="3" t="s">
        <v>40</v>
      </c>
      <c r="F818" s="5">
        <v>2</v>
      </c>
      <c r="G818" s="6">
        <v>15.17</v>
      </c>
      <c r="H818" s="6">
        <v>30.34</v>
      </c>
      <c r="I818" s="6">
        <v>1.18</v>
      </c>
      <c r="J818" s="6">
        <v>29.16</v>
      </c>
      <c r="K818" s="5">
        <v>9</v>
      </c>
    </row>
    <row r="819" spans="1:11" x14ac:dyDescent="0.3">
      <c r="A819" s="3">
        <v>9725</v>
      </c>
      <c r="B819" s="3" t="s">
        <v>19</v>
      </c>
      <c r="C819" s="4">
        <v>45691</v>
      </c>
      <c r="D819" s="3" t="s">
        <v>12</v>
      </c>
      <c r="E819" s="3" t="s">
        <v>29</v>
      </c>
      <c r="F819" s="5">
        <v>1</v>
      </c>
      <c r="G819" s="6">
        <v>27.23</v>
      </c>
      <c r="H819" s="6">
        <v>27.23</v>
      </c>
      <c r="I819" s="6">
        <v>2.72</v>
      </c>
      <c r="J819" s="6">
        <v>24.51</v>
      </c>
      <c r="K819" s="5">
        <v>420</v>
      </c>
    </row>
    <row r="820" spans="1:11" x14ac:dyDescent="0.3">
      <c r="A820" s="3">
        <v>4770</v>
      </c>
      <c r="B820" s="3" t="s">
        <v>19</v>
      </c>
      <c r="C820" s="4">
        <v>45533</v>
      </c>
      <c r="D820" s="3" t="s">
        <v>28</v>
      </c>
      <c r="E820" s="3" t="s">
        <v>43</v>
      </c>
      <c r="F820" s="5">
        <v>1</v>
      </c>
      <c r="G820" s="6">
        <v>4.3</v>
      </c>
      <c r="H820" s="6">
        <v>4.3</v>
      </c>
      <c r="I820" s="6">
        <v>4.22</v>
      </c>
      <c r="J820" s="6">
        <v>0.08</v>
      </c>
      <c r="K820" s="5">
        <v>304</v>
      </c>
    </row>
    <row r="821" spans="1:11" x14ac:dyDescent="0.3">
      <c r="A821" s="3">
        <v>6802</v>
      </c>
      <c r="B821" s="3" t="s">
        <v>24</v>
      </c>
      <c r="C821" s="4">
        <v>45200</v>
      </c>
      <c r="D821" s="3" t="s">
        <v>22</v>
      </c>
      <c r="E821" s="3" t="s">
        <v>32</v>
      </c>
      <c r="F821" s="5">
        <v>3</v>
      </c>
      <c r="G821" s="6">
        <v>4.49</v>
      </c>
      <c r="H821" s="6">
        <v>13.47</v>
      </c>
      <c r="I821" s="6">
        <v>2.02</v>
      </c>
      <c r="J821" s="6">
        <v>11.45</v>
      </c>
      <c r="K821" s="5">
        <v>350</v>
      </c>
    </row>
    <row r="822" spans="1:11" x14ac:dyDescent="0.3">
      <c r="A822" s="3">
        <v>7505</v>
      </c>
      <c r="B822" s="3" t="s">
        <v>42</v>
      </c>
      <c r="C822" s="4">
        <v>45814</v>
      </c>
      <c r="D822" s="3" t="s">
        <v>12</v>
      </c>
      <c r="E822" s="3" t="s">
        <v>29</v>
      </c>
      <c r="F822" s="5">
        <v>3</v>
      </c>
      <c r="G822" s="6">
        <v>2.82</v>
      </c>
      <c r="H822" s="6">
        <v>8.4600000000000009</v>
      </c>
      <c r="I822" s="6">
        <v>0.85</v>
      </c>
      <c r="J822" s="6">
        <v>7.61</v>
      </c>
      <c r="K822" s="5">
        <v>140</v>
      </c>
    </row>
    <row r="823" spans="1:11" x14ac:dyDescent="0.3">
      <c r="A823" s="3">
        <v>1693</v>
      </c>
      <c r="B823" s="3" t="s">
        <v>19</v>
      </c>
      <c r="C823" s="4">
        <v>45483</v>
      </c>
      <c r="D823" s="3" t="s">
        <v>22</v>
      </c>
      <c r="E823" s="3" t="s">
        <v>18</v>
      </c>
      <c r="F823" s="5">
        <v>2</v>
      </c>
      <c r="G823" s="6">
        <v>13.71</v>
      </c>
      <c r="H823" s="6">
        <v>27.42</v>
      </c>
      <c r="I823" s="6">
        <v>5.48</v>
      </c>
      <c r="J823" s="6">
        <v>21.94</v>
      </c>
      <c r="K823" s="5">
        <v>473</v>
      </c>
    </row>
    <row r="824" spans="1:11" x14ac:dyDescent="0.3">
      <c r="A824" s="3">
        <v>1307</v>
      </c>
      <c r="B824" s="3" t="s">
        <v>11</v>
      </c>
      <c r="C824" s="4">
        <v>45502</v>
      </c>
      <c r="D824" s="3" t="s">
        <v>27</v>
      </c>
      <c r="E824" s="3" t="s">
        <v>32</v>
      </c>
      <c r="F824" s="5">
        <v>2</v>
      </c>
      <c r="G824" s="6">
        <v>1.44</v>
      </c>
      <c r="H824" s="6">
        <v>2.88</v>
      </c>
      <c r="I824" s="6">
        <v>1.03</v>
      </c>
      <c r="J824" s="6">
        <v>1.85</v>
      </c>
      <c r="K824" s="5">
        <v>249</v>
      </c>
    </row>
    <row r="825" spans="1:11" x14ac:dyDescent="0.3">
      <c r="A825" s="3">
        <v>2275</v>
      </c>
      <c r="B825" s="3" t="s">
        <v>11</v>
      </c>
      <c r="C825" s="4">
        <v>45814</v>
      </c>
      <c r="D825" s="3" t="s">
        <v>27</v>
      </c>
      <c r="E825" s="3" t="s">
        <v>37</v>
      </c>
      <c r="F825" s="5">
        <v>4</v>
      </c>
      <c r="G825" s="6">
        <v>21.1</v>
      </c>
      <c r="H825" s="6">
        <v>84.4</v>
      </c>
      <c r="I825" s="6">
        <v>0</v>
      </c>
      <c r="J825" s="6">
        <v>84.4</v>
      </c>
      <c r="K825" s="5">
        <v>405</v>
      </c>
    </row>
    <row r="826" spans="1:11" x14ac:dyDescent="0.3">
      <c r="A826" s="3">
        <v>6129</v>
      </c>
      <c r="B826" s="3" t="s">
        <v>19</v>
      </c>
      <c r="C826" s="4">
        <v>45592</v>
      </c>
      <c r="D826" s="3" t="s">
        <v>17</v>
      </c>
      <c r="E826" s="3" t="s">
        <v>41</v>
      </c>
      <c r="F826" s="5">
        <v>3</v>
      </c>
      <c r="G826" s="6">
        <v>16.16</v>
      </c>
      <c r="H826" s="6">
        <v>48.48</v>
      </c>
      <c r="I826" s="6">
        <v>9.6999999999999993</v>
      </c>
      <c r="J826" s="6">
        <v>38.78</v>
      </c>
      <c r="K826" s="5">
        <v>210</v>
      </c>
    </row>
    <row r="827" spans="1:11" x14ac:dyDescent="0.3">
      <c r="A827" s="3">
        <v>8033</v>
      </c>
      <c r="B827" s="3" t="s">
        <v>31</v>
      </c>
      <c r="C827" s="4">
        <v>45590</v>
      </c>
      <c r="D827" s="3" t="s">
        <v>28</v>
      </c>
      <c r="E827" s="3" t="s">
        <v>29</v>
      </c>
      <c r="F827" s="5">
        <v>4</v>
      </c>
      <c r="G827" s="6">
        <v>18.739999999999998</v>
      </c>
      <c r="H827" s="6">
        <v>74.959999999999994</v>
      </c>
      <c r="I827" s="6">
        <v>11.24</v>
      </c>
      <c r="J827" s="6">
        <v>63.72</v>
      </c>
      <c r="K827" s="5">
        <v>45</v>
      </c>
    </row>
    <row r="828" spans="1:11" x14ac:dyDescent="0.3">
      <c r="A828" s="3">
        <v>7626</v>
      </c>
      <c r="B828" s="3" t="s">
        <v>24</v>
      </c>
      <c r="C828" s="4">
        <v>45696</v>
      </c>
      <c r="D828" s="3" t="s">
        <v>12</v>
      </c>
      <c r="E828" s="3" t="s">
        <v>18</v>
      </c>
      <c r="F828" s="5">
        <v>2</v>
      </c>
      <c r="G828" s="6">
        <v>6.56</v>
      </c>
      <c r="H828" s="6">
        <v>13.12</v>
      </c>
      <c r="I828" s="6">
        <v>2.4500000000000002</v>
      </c>
      <c r="J828" s="6">
        <v>10.67</v>
      </c>
      <c r="K828" s="5">
        <v>271</v>
      </c>
    </row>
    <row r="829" spans="1:11" x14ac:dyDescent="0.3">
      <c r="A829" s="3">
        <v>7843</v>
      </c>
      <c r="B829" s="3" t="s">
        <v>14</v>
      </c>
      <c r="C829" s="4">
        <v>45369</v>
      </c>
      <c r="D829" s="3" t="s">
        <v>38</v>
      </c>
      <c r="E829" s="3" t="s">
        <v>25</v>
      </c>
      <c r="F829" s="5">
        <v>4</v>
      </c>
      <c r="G829" s="6">
        <v>23.33</v>
      </c>
      <c r="H829" s="6">
        <v>93.32</v>
      </c>
      <c r="I829" s="6">
        <v>14</v>
      </c>
      <c r="J829" s="6">
        <v>79.319999999999993</v>
      </c>
      <c r="K829" s="5">
        <v>337</v>
      </c>
    </row>
    <row r="830" spans="1:11" x14ac:dyDescent="0.3">
      <c r="A830" s="3">
        <v>2887</v>
      </c>
      <c r="B830" s="3" t="s">
        <v>31</v>
      </c>
      <c r="C830" s="4">
        <v>45459</v>
      </c>
      <c r="D830" s="3" t="s">
        <v>17</v>
      </c>
      <c r="E830" s="3" t="s">
        <v>48</v>
      </c>
      <c r="F830" s="5">
        <v>2</v>
      </c>
      <c r="G830" s="6">
        <v>20.86</v>
      </c>
      <c r="H830" s="6">
        <v>41.72</v>
      </c>
      <c r="I830" s="6">
        <v>4.17</v>
      </c>
      <c r="J830" s="6">
        <v>37.549999999999997</v>
      </c>
      <c r="K830" s="5">
        <v>495</v>
      </c>
    </row>
    <row r="831" spans="1:11" x14ac:dyDescent="0.3">
      <c r="A831" s="3">
        <v>1341</v>
      </c>
      <c r="B831" s="3" t="s">
        <v>19</v>
      </c>
      <c r="C831" s="4">
        <v>45397</v>
      </c>
      <c r="D831" s="3" t="s">
        <v>34</v>
      </c>
      <c r="E831" s="3" t="s">
        <v>40</v>
      </c>
      <c r="F831" s="5">
        <v>1</v>
      </c>
      <c r="G831" s="6">
        <v>19.690000000000001</v>
      </c>
      <c r="H831" s="6">
        <v>19.690000000000001</v>
      </c>
      <c r="I831" s="6">
        <v>1.97</v>
      </c>
      <c r="J831" s="6">
        <v>17.72</v>
      </c>
      <c r="K831" s="5">
        <v>145</v>
      </c>
    </row>
    <row r="832" spans="1:11" x14ac:dyDescent="0.3">
      <c r="A832" s="3">
        <v>3815</v>
      </c>
      <c r="B832" s="3" t="s">
        <v>30</v>
      </c>
      <c r="C832" s="4">
        <v>45767</v>
      </c>
      <c r="D832" s="3" t="s">
        <v>22</v>
      </c>
      <c r="E832" s="3" t="s">
        <v>33</v>
      </c>
      <c r="F832" s="5">
        <v>1</v>
      </c>
      <c r="G832" s="6">
        <v>4.0199999999999996</v>
      </c>
      <c r="H832" s="6">
        <v>4.0199999999999996</v>
      </c>
      <c r="I832" s="6">
        <v>0.8</v>
      </c>
      <c r="J832" s="6">
        <v>3.22</v>
      </c>
      <c r="K832" s="5">
        <v>26</v>
      </c>
    </row>
    <row r="833" spans="1:11" x14ac:dyDescent="0.3">
      <c r="A833" s="3">
        <v>8538</v>
      </c>
      <c r="B833" s="3" t="s">
        <v>31</v>
      </c>
      <c r="C833" s="4">
        <v>45791</v>
      </c>
      <c r="D833" s="3" t="s">
        <v>45</v>
      </c>
      <c r="E833" s="3" t="s">
        <v>46</v>
      </c>
      <c r="F833" s="5">
        <v>1</v>
      </c>
      <c r="G833" s="6">
        <v>3.04</v>
      </c>
      <c r="H833" s="6">
        <v>3.04</v>
      </c>
      <c r="I833" s="6">
        <v>3.32</v>
      </c>
      <c r="J833" s="6">
        <v>-0.28000000000000003</v>
      </c>
      <c r="K833" s="5">
        <v>120</v>
      </c>
    </row>
    <row r="834" spans="1:11" x14ac:dyDescent="0.3">
      <c r="A834" s="3">
        <v>6928</v>
      </c>
      <c r="B834" s="3" t="s">
        <v>24</v>
      </c>
      <c r="C834" s="4">
        <v>45213</v>
      </c>
      <c r="D834" s="3" t="s">
        <v>17</v>
      </c>
      <c r="E834" s="3" t="s">
        <v>21</v>
      </c>
      <c r="F834" s="5">
        <v>2</v>
      </c>
      <c r="G834" s="6">
        <v>23.58</v>
      </c>
      <c r="H834" s="6">
        <v>47.16</v>
      </c>
      <c r="I834" s="6">
        <v>1.95</v>
      </c>
      <c r="J834" s="6">
        <v>45.21</v>
      </c>
      <c r="K834" s="5">
        <v>166</v>
      </c>
    </row>
    <row r="835" spans="1:11" x14ac:dyDescent="0.3">
      <c r="A835" s="3">
        <v>8155</v>
      </c>
      <c r="B835" s="3" t="s">
        <v>24</v>
      </c>
      <c r="C835" s="4">
        <v>45800</v>
      </c>
      <c r="D835" s="3" t="s">
        <v>17</v>
      </c>
      <c r="E835" s="3" t="s">
        <v>32</v>
      </c>
      <c r="F835" s="5">
        <v>2</v>
      </c>
      <c r="G835" s="6">
        <v>3.12</v>
      </c>
      <c r="H835" s="6">
        <v>6.24</v>
      </c>
      <c r="I835" s="6">
        <v>4.5599999999999996</v>
      </c>
      <c r="J835" s="6">
        <v>1.68</v>
      </c>
      <c r="K835" s="5">
        <v>299</v>
      </c>
    </row>
    <row r="836" spans="1:11" x14ac:dyDescent="0.3">
      <c r="A836" s="3">
        <v>2734</v>
      </c>
      <c r="B836" s="3" t="s">
        <v>19</v>
      </c>
      <c r="C836" s="4">
        <v>45333</v>
      </c>
      <c r="D836" s="3" t="s">
        <v>17</v>
      </c>
      <c r="E836" s="3" t="s">
        <v>33</v>
      </c>
      <c r="F836" s="5">
        <v>2</v>
      </c>
      <c r="G836" s="6">
        <v>12.22</v>
      </c>
      <c r="H836" s="6">
        <v>24.44</v>
      </c>
      <c r="I836" s="6">
        <v>0</v>
      </c>
      <c r="J836" s="6">
        <v>24.44</v>
      </c>
      <c r="K836" s="5">
        <v>69</v>
      </c>
    </row>
    <row r="837" spans="1:11" x14ac:dyDescent="0.3">
      <c r="A837" s="3">
        <v>8138</v>
      </c>
      <c r="B837" s="3" t="s">
        <v>42</v>
      </c>
      <c r="C837" s="4">
        <v>45602</v>
      </c>
      <c r="D837" s="3" t="s">
        <v>27</v>
      </c>
      <c r="E837" s="3" t="s">
        <v>23</v>
      </c>
      <c r="F837" s="5">
        <v>3</v>
      </c>
      <c r="G837" s="6">
        <v>6.85</v>
      </c>
      <c r="H837" s="6">
        <v>20.55</v>
      </c>
      <c r="I837" s="6">
        <v>0</v>
      </c>
      <c r="J837" s="6">
        <v>20.55</v>
      </c>
      <c r="K837" s="5">
        <v>65</v>
      </c>
    </row>
    <row r="838" spans="1:11" x14ac:dyDescent="0.3">
      <c r="A838" s="3">
        <v>7560</v>
      </c>
      <c r="B838" s="3" t="s">
        <v>31</v>
      </c>
      <c r="C838" s="4">
        <v>45551</v>
      </c>
      <c r="D838" s="3" t="s">
        <v>35</v>
      </c>
      <c r="E838" s="3" t="s">
        <v>41</v>
      </c>
      <c r="F838" s="5">
        <v>1</v>
      </c>
      <c r="G838" s="6">
        <v>25.69</v>
      </c>
      <c r="H838" s="6">
        <v>25.69</v>
      </c>
      <c r="I838" s="6">
        <v>5.14</v>
      </c>
      <c r="J838" s="6">
        <v>20.55</v>
      </c>
      <c r="K838" s="5">
        <v>234</v>
      </c>
    </row>
    <row r="839" spans="1:11" x14ac:dyDescent="0.3">
      <c r="A839" s="3">
        <v>2288</v>
      </c>
      <c r="B839" s="3" t="s">
        <v>36</v>
      </c>
      <c r="C839" s="4">
        <v>45452</v>
      </c>
      <c r="D839" s="3" t="s">
        <v>17</v>
      </c>
      <c r="E839" s="3" t="s">
        <v>37</v>
      </c>
      <c r="F839" s="5">
        <v>5</v>
      </c>
      <c r="G839" s="6">
        <v>5.54</v>
      </c>
      <c r="H839" s="6">
        <v>27.7</v>
      </c>
      <c r="I839" s="6">
        <v>4.88</v>
      </c>
      <c r="J839" s="6">
        <v>22.82</v>
      </c>
      <c r="K839" s="5">
        <v>406</v>
      </c>
    </row>
    <row r="840" spans="1:11" x14ac:dyDescent="0.3">
      <c r="A840" s="3">
        <v>6083</v>
      </c>
      <c r="B840" s="3" t="s">
        <v>42</v>
      </c>
      <c r="C840" s="4">
        <v>45724</v>
      </c>
      <c r="D840" s="3" t="s">
        <v>15</v>
      </c>
      <c r="E840" s="3" t="s">
        <v>16</v>
      </c>
      <c r="F840" s="5">
        <v>5</v>
      </c>
      <c r="G840" s="6">
        <v>15.18</v>
      </c>
      <c r="H840" s="6">
        <v>75.900000000000006</v>
      </c>
      <c r="I840" s="6">
        <v>7.59</v>
      </c>
      <c r="J840" s="6">
        <v>68.31</v>
      </c>
      <c r="K840" s="5">
        <v>110</v>
      </c>
    </row>
    <row r="841" spans="1:11" x14ac:dyDescent="0.3">
      <c r="A841" s="3">
        <v>6562</v>
      </c>
      <c r="B841" s="3" t="s">
        <v>30</v>
      </c>
      <c r="C841" s="4">
        <v>45317</v>
      </c>
      <c r="D841" s="3" t="s">
        <v>12</v>
      </c>
      <c r="E841" s="3" t="s">
        <v>16</v>
      </c>
      <c r="F841" s="5">
        <v>2</v>
      </c>
      <c r="G841" s="6">
        <v>8.18</v>
      </c>
      <c r="H841" s="6">
        <v>16.36</v>
      </c>
      <c r="I841" s="6">
        <v>4.79</v>
      </c>
      <c r="J841" s="6">
        <v>11.57</v>
      </c>
      <c r="K841" s="5">
        <v>222</v>
      </c>
    </row>
    <row r="842" spans="1:11" x14ac:dyDescent="0.3">
      <c r="A842" s="3">
        <v>6456</v>
      </c>
      <c r="B842" s="3" t="s">
        <v>31</v>
      </c>
      <c r="C842" s="4">
        <v>45750</v>
      </c>
      <c r="D842" s="3" t="s">
        <v>20</v>
      </c>
      <c r="E842" s="3" t="s">
        <v>40</v>
      </c>
      <c r="F842" s="5">
        <v>1</v>
      </c>
      <c r="G842" s="6">
        <v>29.74</v>
      </c>
      <c r="H842" s="6">
        <v>29.74</v>
      </c>
      <c r="I842" s="6">
        <v>2.97</v>
      </c>
      <c r="J842" s="6">
        <v>26.77</v>
      </c>
      <c r="K842" s="5">
        <v>375</v>
      </c>
    </row>
    <row r="843" spans="1:11" x14ac:dyDescent="0.3">
      <c r="A843" s="3">
        <v>3754</v>
      </c>
      <c r="B843" s="3" t="s">
        <v>14</v>
      </c>
      <c r="C843" s="4">
        <v>45204</v>
      </c>
      <c r="D843" s="3" t="s">
        <v>20</v>
      </c>
      <c r="E843" s="3" t="s">
        <v>47</v>
      </c>
      <c r="F843" s="5">
        <v>1</v>
      </c>
      <c r="G843" s="6">
        <v>14.11</v>
      </c>
      <c r="H843" s="6">
        <v>14.11</v>
      </c>
      <c r="I843" s="6">
        <v>4.01</v>
      </c>
      <c r="J843" s="6">
        <v>10.1</v>
      </c>
      <c r="K843" s="5">
        <v>123</v>
      </c>
    </row>
    <row r="844" spans="1:11" x14ac:dyDescent="0.3">
      <c r="A844" s="3">
        <v>9363</v>
      </c>
      <c r="B844" s="3" t="s">
        <v>24</v>
      </c>
      <c r="C844" s="4">
        <v>45636</v>
      </c>
      <c r="D844" s="3" t="s">
        <v>17</v>
      </c>
      <c r="E844" s="3" t="s">
        <v>41</v>
      </c>
      <c r="F844" s="5">
        <v>3</v>
      </c>
      <c r="G844" s="6">
        <v>9.57</v>
      </c>
      <c r="H844" s="6">
        <v>28.71</v>
      </c>
      <c r="I844" s="6">
        <v>2.92</v>
      </c>
      <c r="J844" s="6">
        <v>25.79</v>
      </c>
      <c r="K844" s="5">
        <v>331</v>
      </c>
    </row>
    <row r="845" spans="1:11" x14ac:dyDescent="0.3">
      <c r="A845" s="3">
        <v>2868</v>
      </c>
      <c r="B845" s="3" t="s">
        <v>30</v>
      </c>
      <c r="C845" s="4">
        <v>45557</v>
      </c>
      <c r="D845" s="3" t="s">
        <v>34</v>
      </c>
      <c r="E845" s="3" t="s">
        <v>33</v>
      </c>
      <c r="F845" s="5">
        <v>5</v>
      </c>
      <c r="G845" s="6">
        <v>22.66</v>
      </c>
      <c r="H845" s="6">
        <v>113.3</v>
      </c>
      <c r="I845" s="6">
        <v>11.33</v>
      </c>
      <c r="J845" s="6">
        <v>101.97</v>
      </c>
      <c r="K845" s="5">
        <v>12</v>
      </c>
    </row>
    <row r="846" spans="1:11" x14ac:dyDescent="0.3">
      <c r="A846" s="3">
        <v>9355</v>
      </c>
      <c r="B846" s="3" t="s">
        <v>19</v>
      </c>
      <c r="C846" s="4">
        <v>45295</v>
      </c>
      <c r="D846" s="3" t="s">
        <v>20</v>
      </c>
      <c r="E846" s="3" t="s">
        <v>29</v>
      </c>
      <c r="F846" s="5">
        <v>3</v>
      </c>
      <c r="G846" s="6">
        <v>19.170000000000002</v>
      </c>
      <c r="H846" s="6">
        <v>57.51</v>
      </c>
      <c r="I846" s="6">
        <v>0</v>
      </c>
      <c r="J846" s="6">
        <v>57.51</v>
      </c>
      <c r="K846" s="5">
        <v>360</v>
      </c>
    </row>
    <row r="847" spans="1:11" x14ac:dyDescent="0.3">
      <c r="A847" s="3">
        <v>6724</v>
      </c>
      <c r="B847" s="3" t="s">
        <v>11</v>
      </c>
      <c r="C847" s="4">
        <v>45417</v>
      </c>
      <c r="D847" s="3" t="s">
        <v>20</v>
      </c>
      <c r="E847" s="3" t="s">
        <v>21</v>
      </c>
      <c r="F847" s="5">
        <v>5</v>
      </c>
      <c r="G847" s="6">
        <v>1.94</v>
      </c>
      <c r="H847" s="6">
        <v>9.6999999999999993</v>
      </c>
      <c r="I847" s="6">
        <v>0</v>
      </c>
      <c r="J847" s="6">
        <v>9.6999999999999993</v>
      </c>
      <c r="K847" s="5">
        <v>218</v>
      </c>
    </row>
    <row r="848" spans="1:11" x14ac:dyDescent="0.3">
      <c r="A848" s="3">
        <v>3419</v>
      </c>
      <c r="B848" s="3" t="s">
        <v>14</v>
      </c>
      <c r="C848" s="4">
        <v>45328</v>
      </c>
      <c r="D848" s="3" t="s">
        <v>28</v>
      </c>
      <c r="E848" s="3" t="s">
        <v>44</v>
      </c>
      <c r="F848" s="5">
        <v>1</v>
      </c>
      <c r="G848" s="6">
        <v>18.98</v>
      </c>
      <c r="H848" s="6">
        <v>18.98</v>
      </c>
      <c r="I848" s="6">
        <v>4.78</v>
      </c>
      <c r="J848" s="6">
        <v>14.2</v>
      </c>
      <c r="K848" s="5">
        <v>171</v>
      </c>
    </row>
    <row r="849" spans="1:11" x14ac:dyDescent="0.3">
      <c r="A849" s="3">
        <v>2684</v>
      </c>
      <c r="B849" s="3" t="s">
        <v>36</v>
      </c>
      <c r="C849" s="4">
        <v>45258</v>
      </c>
      <c r="D849" s="3" t="s">
        <v>12</v>
      </c>
      <c r="E849" s="3" t="s">
        <v>48</v>
      </c>
      <c r="F849" s="5">
        <v>4</v>
      </c>
      <c r="G849" s="6">
        <v>11.59</v>
      </c>
      <c r="H849" s="6">
        <v>46.36</v>
      </c>
      <c r="I849" s="6">
        <v>6.95</v>
      </c>
      <c r="J849" s="6">
        <v>39.409999999999997</v>
      </c>
      <c r="K849" s="5">
        <v>316</v>
      </c>
    </row>
    <row r="850" spans="1:11" x14ac:dyDescent="0.3">
      <c r="A850" s="3">
        <v>5193</v>
      </c>
      <c r="B850" s="3" t="s">
        <v>36</v>
      </c>
      <c r="C850" s="4">
        <v>45298</v>
      </c>
      <c r="D850" s="3" t="s">
        <v>34</v>
      </c>
      <c r="E850" s="3" t="s">
        <v>18</v>
      </c>
      <c r="F850" s="5">
        <v>1</v>
      </c>
      <c r="G850" s="6">
        <v>17.25</v>
      </c>
      <c r="H850" s="6">
        <v>17.25</v>
      </c>
      <c r="I850" s="6">
        <v>3.45</v>
      </c>
      <c r="J850" s="6">
        <v>13.8</v>
      </c>
      <c r="K850" s="5">
        <v>396</v>
      </c>
    </row>
    <row r="851" spans="1:11" x14ac:dyDescent="0.3">
      <c r="A851" s="3">
        <v>3842</v>
      </c>
      <c r="B851" s="3" t="s">
        <v>36</v>
      </c>
      <c r="C851" s="4">
        <v>45612</v>
      </c>
      <c r="D851" s="3" t="s">
        <v>17</v>
      </c>
      <c r="E851" s="3" t="s">
        <v>18</v>
      </c>
      <c r="F851" s="5">
        <v>1</v>
      </c>
      <c r="G851" s="6">
        <v>19.809999999999999</v>
      </c>
      <c r="H851" s="6">
        <v>19.809999999999999</v>
      </c>
      <c r="I851" s="6">
        <v>0</v>
      </c>
      <c r="J851" s="6">
        <v>19.809999999999999</v>
      </c>
      <c r="K851" s="5">
        <v>377</v>
      </c>
    </row>
    <row r="852" spans="1:11" x14ac:dyDescent="0.3">
      <c r="A852" s="3">
        <v>3504</v>
      </c>
      <c r="B852" s="3" t="s">
        <v>42</v>
      </c>
      <c r="C852" s="4">
        <v>45735</v>
      </c>
      <c r="D852" s="3" t="s">
        <v>22</v>
      </c>
      <c r="E852" s="3" t="s">
        <v>23</v>
      </c>
      <c r="F852" s="5">
        <v>3</v>
      </c>
      <c r="G852" s="6">
        <v>15.59</v>
      </c>
      <c r="H852" s="6">
        <v>46.77</v>
      </c>
      <c r="I852" s="6">
        <v>1.25</v>
      </c>
      <c r="J852" s="6">
        <v>45.52</v>
      </c>
      <c r="K852" s="5">
        <v>216</v>
      </c>
    </row>
    <row r="853" spans="1:11" x14ac:dyDescent="0.3">
      <c r="A853" s="3">
        <v>2234</v>
      </c>
      <c r="B853" s="3" t="s">
        <v>36</v>
      </c>
      <c r="C853" s="4">
        <v>45282</v>
      </c>
      <c r="D853" s="3" t="s">
        <v>45</v>
      </c>
      <c r="E853" s="3" t="s">
        <v>47</v>
      </c>
      <c r="F853" s="5">
        <v>5</v>
      </c>
      <c r="G853" s="6">
        <v>16.260000000000002</v>
      </c>
      <c r="H853" s="6">
        <v>81.3</v>
      </c>
      <c r="I853" s="6">
        <v>0</v>
      </c>
      <c r="J853" s="6">
        <v>81.3</v>
      </c>
      <c r="K853" s="5">
        <v>62</v>
      </c>
    </row>
    <row r="854" spans="1:11" x14ac:dyDescent="0.3">
      <c r="A854" s="3">
        <v>9095</v>
      </c>
      <c r="B854" s="3" t="s">
        <v>14</v>
      </c>
      <c r="C854" s="4">
        <v>45505</v>
      </c>
      <c r="D854" s="3" t="s">
        <v>27</v>
      </c>
      <c r="E854" s="3" t="s">
        <v>18</v>
      </c>
      <c r="F854" s="5">
        <v>3</v>
      </c>
      <c r="G854" s="6">
        <v>14.1</v>
      </c>
      <c r="H854" s="6">
        <v>42.3</v>
      </c>
      <c r="I854" s="6">
        <v>8.4600000000000009</v>
      </c>
      <c r="J854" s="6">
        <v>33.840000000000003</v>
      </c>
      <c r="K854" s="5">
        <v>188</v>
      </c>
    </row>
    <row r="855" spans="1:11" x14ac:dyDescent="0.3">
      <c r="A855" s="3">
        <v>8354</v>
      </c>
      <c r="B855" s="3" t="s">
        <v>26</v>
      </c>
      <c r="C855" s="4">
        <v>45674</v>
      </c>
      <c r="D855" s="3" t="s">
        <v>15</v>
      </c>
      <c r="E855" s="3" t="s">
        <v>43</v>
      </c>
      <c r="F855" s="5">
        <v>4</v>
      </c>
      <c r="G855" s="6">
        <v>27.03</v>
      </c>
      <c r="H855" s="6">
        <v>108.12</v>
      </c>
      <c r="I855" s="6">
        <v>1.66</v>
      </c>
      <c r="J855" s="6">
        <v>106.46</v>
      </c>
      <c r="K855" s="5">
        <v>147</v>
      </c>
    </row>
    <row r="856" spans="1:11" x14ac:dyDescent="0.3">
      <c r="A856" s="3">
        <v>6295</v>
      </c>
      <c r="B856" s="3" t="s">
        <v>11</v>
      </c>
      <c r="C856" s="4">
        <v>45816</v>
      </c>
      <c r="D856" s="3" t="s">
        <v>34</v>
      </c>
      <c r="E856" s="3" t="s">
        <v>47</v>
      </c>
      <c r="F856" s="5">
        <v>2</v>
      </c>
      <c r="G856" s="6">
        <v>26.36</v>
      </c>
      <c r="H856" s="6">
        <v>52.72</v>
      </c>
      <c r="I856" s="6">
        <v>7.91</v>
      </c>
      <c r="J856" s="6">
        <v>44.81</v>
      </c>
      <c r="K856" s="5">
        <v>266</v>
      </c>
    </row>
    <row r="857" spans="1:11" x14ac:dyDescent="0.3">
      <c r="A857" s="3">
        <v>6179</v>
      </c>
      <c r="B857" s="3" t="s">
        <v>24</v>
      </c>
      <c r="C857" s="4">
        <v>45262</v>
      </c>
      <c r="D857" s="3" t="s">
        <v>27</v>
      </c>
      <c r="E857" s="3" t="s">
        <v>18</v>
      </c>
      <c r="F857" s="5">
        <v>2</v>
      </c>
      <c r="G857" s="6">
        <v>14.73</v>
      </c>
      <c r="H857" s="6">
        <v>29.46</v>
      </c>
      <c r="I857" s="6">
        <v>0</v>
      </c>
      <c r="J857" s="6">
        <v>29.46</v>
      </c>
      <c r="K857" s="5">
        <v>215</v>
      </c>
    </row>
    <row r="858" spans="1:11" x14ac:dyDescent="0.3">
      <c r="A858" s="3">
        <v>8205</v>
      </c>
      <c r="B858" s="3" t="s">
        <v>31</v>
      </c>
      <c r="C858" s="4">
        <v>45198</v>
      </c>
      <c r="D858" s="3" t="s">
        <v>35</v>
      </c>
      <c r="E858" s="3" t="s">
        <v>44</v>
      </c>
      <c r="F858" s="5">
        <v>1</v>
      </c>
      <c r="G858" s="6">
        <v>1.63</v>
      </c>
      <c r="H858" s="6">
        <v>1.63</v>
      </c>
      <c r="I858" s="6">
        <v>3.58</v>
      </c>
      <c r="J858" s="6">
        <v>-1.95</v>
      </c>
      <c r="K858" s="5">
        <v>410</v>
      </c>
    </row>
    <row r="859" spans="1:11" x14ac:dyDescent="0.3">
      <c r="A859" s="3">
        <v>8682</v>
      </c>
      <c r="B859" s="3" t="s">
        <v>24</v>
      </c>
      <c r="C859" s="4">
        <v>45488</v>
      </c>
      <c r="D859" s="3" t="s">
        <v>28</v>
      </c>
      <c r="E859" s="3" t="s">
        <v>21</v>
      </c>
      <c r="F859" s="5">
        <v>3</v>
      </c>
      <c r="G859" s="6">
        <v>15.09</v>
      </c>
      <c r="H859" s="6">
        <v>45.27</v>
      </c>
      <c r="I859" s="6">
        <v>4.53</v>
      </c>
      <c r="J859" s="6">
        <v>40.74</v>
      </c>
      <c r="K859" s="5">
        <v>340</v>
      </c>
    </row>
    <row r="860" spans="1:11" x14ac:dyDescent="0.3">
      <c r="A860" s="3">
        <v>5961</v>
      </c>
      <c r="B860" s="3" t="s">
        <v>30</v>
      </c>
      <c r="C860" s="4">
        <v>45763</v>
      </c>
      <c r="D860" s="3" t="s">
        <v>28</v>
      </c>
      <c r="E860" s="3" t="s">
        <v>41</v>
      </c>
      <c r="F860" s="5">
        <v>3</v>
      </c>
      <c r="G860" s="6">
        <v>5.97</v>
      </c>
      <c r="H860" s="6">
        <v>17.91</v>
      </c>
      <c r="I860" s="6">
        <v>1.79</v>
      </c>
      <c r="J860" s="6">
        <v>16.12</v>
      </c>
      <c r="K860" s="5">
        <v>133</v>
      </c>
    </row>
    <row r="861" spans="1:11" x14ac:dyDescent="0.3">
      <c r="A861" s="3">
        <v>5500</v>
      </c>
      <c r="B861" s="3" t="s">
        <v>36</v>
      </c>
      <c r="C861" s="4">
        <v>45604</v>
      </c>
      <c r="D861" s="3" t="s">
        <v>35</v>
      </c>
      <c r="E861" s="3" t="s">
        <v>40</v>
      </c>
      <c r="F861" s="5">
        <v>2</v>
      </c>
      <c r="G861" s="6">
        <v>11.23</v>
      </c>
      <c r="H861" s="6">
        <v>22.46</v>
      </c>
      <c r="I861" s="6">
        <v>4.7</v>
      </c>
      <c r="J861" s="6">
        <v>17.760000000000002</v>
      </c>
      <c r="K861" s="5">
        <v>233</v>
      </c>
    </row>
    <row r="862" spans="1:11" x14ac:dyDescent="0.3">
      <c r="A862" s="3">
        <v>1920</v>
      </c>
      <c r="B862" s="3" t="s">
        <v>14</v>
      </c>
      <c r="C862" s="4">
        <v>45418</v>
      </c>
      <c r="D862" s="3" t="s">
        <v>35</v>
      </c>
      <c r="E862" s="3" t="s">
        <v>29</v>
      </c>
      <c r="F862" s="5">
        <v>2</v>
      </c>
      <c r="G862" s="6">
        <v>25.33</v>
      </c>
      <c r="H862" s="6">
        <v>50.66</v>
      </c>
      <c r="I862" s="6">
        <v>10.130000000000001</v>
      </c>
      <c r="J862" s="6">
        <v>40.53</v>
      </c>
      <c r="K862" s="5">
        <v>354</v>
      </c>
    </row>
    <row r="863" spans="1:11" x14ac:dyDescent="0.3">
      <c r="A863" s="3">
        <v>9312</v>
      </c>
      <c r="B863" s="3" t="s">
        <v>42</v>
      </c>
      <c r="C863" s="4">
        <v>45202</v>
      </c>
      <c r="D863" s="3" t="s">
        <v>15</v>
      </c>
      <c r="E863" s="3" t="s">
        <v>40</v>
      </c>
      <c r="F863" s="5">
        <v>3</v>
      </c>
      <c r="G863" s="6">
        <v>17.649999999999999</v>
      </c>
      <c r="H863" s="6">
        <v>52.95</v>
      </c>
      <c r="I863" s="6">
        <v>7.94</v>
      </c>
      <c r="J863" s="6">
        <v>45.01</v>
      </c>
      <c r="K863" s="5">
        <v>225</v>
      </c>
    </row>
    <row r="864" spans="1:11" x14ac:dyDescent="0.3">
      <c r="A864" s="3">
        <v>6085</v>
      </c>
      <c r="B864" s="3" t="s">
        <v>19</v>
      </c>
      <c r="C864" s="4">
        <v>45503</v>
      </c>
      <c r="D864" s="3" t="s">
        <v>17</v>
      </c>
      <c r="E864" s="3" t="s">
        <v>18</v>
      </c>
      <c r="F864" s="5">
        <v>1</v>
      </c>
      <c r="G864" s="6">
        <v>20.29</v>
      </c>
      <c r="H864" s="6">
        <v>20.29</v>
      </c>
      <c r="I864" s="6">
        <v>4.0599999999999996</v>
      </c>
      <c r="J864" s="6">
        <v>16.23</v>
      </c>
      <c r="K864" s="5">
        <v>500</v>
      </c>
    </row>
    <row r="865" spans="1:11" x14ac:dyDescent="0.3">
      <c r="A865" s="3">
        <v>8404</v>
      </c>
      <c r="B865" s="3" t="s">
        <v>36</v>
      </c>
      <c r="C865" s="4">
        <v>45174</v>
      </c>
      <c r="D865" s="3" t="s">
        <v>45</v>
      </c>
      <c r="E865" s="3" t="s">
        <v>18</v>
      </c>
      <c r="F865" s="5">
        <v>2</v>
      </c>
      <c r="G865" s="6">
        <v>16.47</v>
      </c>
      <c r="H865" s="6">
        <v>32.94</v>
      </c>
      <c r="I865" s="6">
        <v>3.29</v>
      </c>
      <c r="J865" s="6">
        <v>29.65</v>
      </c>
      <c r="K865" s="5">
        <v>62</v>
      </c>
    </row>
    <row r="866" spans="1:11" x14ac:dyDescent="0.3">
      <c r="A866" s="3">
        <v>1932</v>
      </c>
      <c r="B866" s="3" t="s">
        <v>26</v>
      </c>
      <c r="C866" s="4">
        <v>45431</v>
      </c>
      <c r="D866" s="3" t="s">
        <v>34</v>
      </c>
      <c r="E866" s="3" t="s">
        <v>33</v>
      </c>
      <c r="F866" s="5">
        <v>3</v>
      </c>
      <c r="G866" s="6">
        <v>5.52</v>
      </c>
      <c r="H866" s="6">
        <v>16.559999999999999</v>
      </c>
      <c r="I866" s="6">
        <v>0</v>
      </c>
      <c r="J866" s="6">
        <v>16.559999999999999</v>
      </c>
      <c r="K866" s="5">
        <v>496</v>
      </c>
    </row>
    <row r="867" spans="1:11" x14ac:dyDescent="0.3">
      <c r="A867" s="3">
        <v>5703</v>
      </c>
      <c r="B867" s="3" t="s">
        <v>30</v>
      </c>
      <c r="C867" s="4">
        <v>45204</v>
      </c>
      <c r="D867" s="3" t="s">
        <v>45</v>
      </c>
      <c r="E867" s="3" t="s">
        <v>37</v>
      </c>
      <c r="F867" s="5">
        <v>5</v>
      </c>
      <c r="G867" s="6">
        <v>20.329999999999998</v>
      </c>
      <c r="H867" s="6">
        <v>101.65</v>
      </c>
      <c r="I867" s="6">
        <v>15.25</v>
      </c>
      <c r="J867" s="6">
        <v>86.4</v>
      </c>
      <c r="K867" s="5">
        <v>409</v>
      </c>
    </row>
    <row r="868" spans="1:11" x14ac:dyDescent="0.3">
      <c r="A868" s="3">
        <v>2479</v>
      </c>
      <c r="B868" s="3" t="s">
        <v>11</v>
      </c>
      <c r="C868" s="4">
        <v>45622</v>
      </c>
      <c r="D868" s="3" t="s">
        <v>45</v>
      </c>
      <c r="E868" s="3" t="s">
        <v>40</v>
      </c>
      <c r="F868" s="5">
        <v>2</v>
      </c>
      <c r="G868" s="6">
        <v>20.65</v>
      </c>
      <c r="H868" s="6">
        <v>41.3</v>
      </c>
      <c r="I868" s="6">
        <v>2.61</v>
      </c>
      <c r="J868" s="6">
        <v>38.69</v>
      </c>
      <c r="K868" s="5">
        <v>59</v>
      </c>
    </row>
    <row r="869" spans="1:11" x14ac:dyDescent="0.3">
      <c r="A869" s="3">
        <v>9307</v>
      </c>
      <c r="B869" s="3" t="s">
        <v>42</v>
      </c>
      <c r="C869" s="4">
        <v>45443</v>
      </c>
      <c r="D869" s="3" t="s">
        <v>45</v>
      </c>
      <c r="E869" s="3" t="s">
        <v>23</v>
      </c>
      <c r="F869" s="5">
        <v>1</v>
      </c>
      <c r="G869" s="6">
        <v>10.45</v>
      </c>
      <c r="H869" s="6">
        <v>10.45</v>
      </c>
      <c r="I869" s="6">
        <v>3.11</v>
      </c>
      <c r="J869" s="6">
        <v>7.34</v>
      </c>
      <c r="K869" s="5">
        <v>311</v>
      </c>
    </row>
    <row r="870" spans="1:11" x14ac:dyDescent="0.3">
      <c r="A870" s="3">
        <v>8581</v>
      </c>
      <c r="B870" s="3"/>
      <c r="C870" s="4">
        <v>45595</v>
      </c>
      <c r="D870" s="3" t="s">
        <v>17</v>
      </c>
      <c r="E870" s="3" t="s">
        <v>39</v>
      </c>
      <c r="F870" s="5">
        <v>1</v>
      </c>
      <c r="G870" s="6">
        <v>16.600000000000001</v>
      </c>
      <c r="H870" s="6">
        <v>16.600000000000001</v>
      </c>
      <c r="I870" s="6">
        <v>2.58</v>
      </c>
      <c r="J870" s="6">
        <v>14.02</v>
      </c>
      <c r="K870" s="5">
        <v>228</v>
      </c>
    </row>
    <row r="871" spans="1:11" x14ac:dyDescent="0.3">
      <c r="A871" s="3">
        <v>1672</v>
      </c>
      <c r="B871" s="3" t="s">
        <v>26</v>
      </c>
      <c r="C871" s="4">
        <v>45494</v>
      </c>
      <c r="D871" s="3" t="s">
        <v>22</v>
      </c>
      <c r="E871" s="3" t="s">
        <v>46</v>
      </c>
      <c r="F871" s="5">
        <v>1</v>
      </c>
      <c r="G871" s="6">
        <v>27.33</v>
      </c>
      <c r="H871" s="6">
        <v>27.33</v>
      </c>
      <c r="I871" s="6">
        <v>5.47</v>
      </c>
      <c r="J871" s="6">
        <v>21.86</v>
      </c>
      <c r="K871" s="5">
        <v>184</v>
      </c>
    </row>
    <row r="872" spans="1:11" x14ac:dyDescent="0.3">
      <c r="A872" s="3">
        <v>4084</v>
      </c>
      <c r="B872" s="3" t="s">
        <v>24</v>
      </c>
      <c r="C872" s="4">
        <v>45394</v>
      </c>
      <c r="D872" s="3" t="s">
        <v>22</v>
      </c>
      <c r="E872" s="3" t="s">
        <v>32</v>
      </c>
      <c r="F872" s="5">
        <v>3</v>
      </c>
      <c r="G872" s="6">
        <v>1.34</v>
      </c>
      <c r="H872" s="6">
        <v>4.0199999999999996</v>
      </c>
      <c r="I872" s="6">
        <v>0.6</v>
      </c>
      <c r="J872" s="6">
        <v>3.42</v>
      </c>
      <c r="K872" s="5">
        <v>176</v>
      </c>
    </row>
    <row r="873" spans="1:11" x14ac:dyDescent="0.3">
      <c r="A873" s="3">
        <v>8792</v>
      </c>
      <c r="B873" s="3" t="s">
        <v>26</v>
      </c>
      <c r="C873" s="4">
        <v>45534</v>
      </c>
      <c r="D873" s="3" t="s">
        <v>38</v>
      </c>
      <c r="E873" s="3" t="s">
        <v>43</v>
      </c>
      <c r="F873" s="5">
        <v>2</v>
      </c>
      <c r="G873" s="6">
        <v>22.1</v>
      </c>
      <c r="H873" s="6">
        <v>44.2</v>
      </c>
      <c r="I873" s="6">
        <v>4.42</v>
      </c>
      <c r="J873" s="6">
        <v>39.78</v>
      </c>
      <c r="K873" s="5">
        <v>227</v>
      </c>
    </row>
    <row r="874" spans="1:11" x14ac:dyDescent="0.3">
      <c r="A874" s="3">
        <v>3471</v>
      </c>
      <c r="B874" s="3" t="s">
        <v>30</v>
      </c>
      <c r="C874" s="4">
        <v>45193</v>
      </c>
      <c r="D874" s="3" t="s">
        <v>34</v>
      </c>
      <c r="E874" s="3" t="s">
        <v>16</v>
      </c>
      <c r="F874" s="5">
        <v>4</v>
      </c>
      <c r="G874" s="6">
        <v>5.04</v>
      </c>
      <c r="H874" s="6">
        <v>20.16</v>
      </c>
      <c r="I874" s="6">
        <v>4.03</v>
      </c>
      <c r="J874" s="6">
        <v>16.13</v>
      </c>
      <c r="K874" s="5">
        <v>300</v>
      </c>
    </row>
    <row r="875" spans="1:11" x14ac:dyDescent="0.3">
      <c r="A875" s="3">
        <v>8381</v>
      </c>
      <c r="B875" s="3" t="s">
        <v>42</v>
      </c>
      <c r="C875" s="4">
        <v>45225</v>
      </c>
      <c r="D875" s="3" t="s">
        <v>35</v>
      </c>
      <c r="E875" s="3" t="s">
        <v>47</v>
      </c>
      <c r="F875" s="5">
        <v>5</v>
      </c>
      <c r="G875" s="6">
        <v>29.6</v>
      </c>
      <c r="H875" s="6">
        <v>148</v>
      </c>
      <c r="I875" s="6">
        <v>1.03</v>
      </c>
      <c r="J875" s="6">
        <v>146.97</v>
      </c>
      <c r="K875" s="5">
        <v>33</v>
      </c>
    </row>
    <row r="876" spans="1:11" x14ac:dyDescent="0.3">
      <c r="A876" s="3">
        <v>6626</v>
      </c>
      <c r="B876" s="3" t="s">
        <v>30</v>
      </c>
      <c r="C876" s="4">
        <v>45699</v>
      </c>
      <c r="D876" s="3" t="s">
        <v>20</v>
      </c>
      <c r="E876" s="3" t="s">
        <v>29</v>
      </c>
      <c r="F876" s="5">
        <v>5</v>
      </c>
      <c r="G876" s="6">
        <v>14.39</v>
      </c>
      <c r="H876" s="6">
        <v>71.95</v>
      </c>
      <c r="I876" s="6">
        <v>14.39</v>
      </c>
      <c r="J876" s="6">
        <v>57.56</v>
      </c>
      <c r="K876" s="5">
        <v>290</v>
      </c>
    </row>
    <row r="877" spans="1:11" x14ac:dyDescent="0.3">
      <c r="A877" s="3">
        <v>2381</v>
      </c>
      <c r="B877" s="3" t="s">
        <v>19</v>
      </c>
      <c r="C877" s="4">
        <v>45536</v>
      </c>
      <c r="D877" s="3" t="s">
        <v>20</v>
      </c>
      <c r="E877" s="3" t="s">
        <v>37</v>
      </c>
      <c r="F877" s="5">
        <v>5</v>
      </c>
      <c r="G877" s="6">
        <v>15.22</v>
      </c>
      <c r="H877" s="6">
        <v>76.099999999999994</v>
      </c>
      <c r="I877" s="6">
        <v>2.2200000000000002</v>
      </c>
      <c r="J877" s="6">
        <v>73.88</v>
      </c>
      <c r="K877" s="5">
        <v>421</v>
      </c>
    </row>
    <row r="878" spans="1:11" x14ac:dyDescent="0.3">
      <c r="A878" s="3">
        <v>3827</v>
      </c>
      <c r="B878" s="3" t="s">
        <v>14</v>
      </c>
      <c r="C878" s="4">
        <v>45175</v>
      </c>
      <c r="D878" s="3" t="s">
        <v>45</v>
      </c>
      <c r="E878" s="3" t="s">
        <v>25</v>
      </c>
      <c r="F878" s="5">
        <v>1</v>
      </c>
      <c r="G878" s="6">
        <v>23.94</v>
      </c>
      <c r="H878" s="6">
        <v>23.94</v>
      </c>
      <c r="I878" s="6">
        <v>3.59</v>
      </c>
      <c r="J878" s="6">
        <v>20.350000000000001</v>
      </c>
      <c r="K878" s="5">
        <v>78</v>
      </c>
    </row>
    <row r="879" spans="1:11" x14ac:dyDescent="0.3">
      <c r="A879" s="3">
        <v>5059</v>
      </c>
      <c r="B879" s="3" t="s">
        <v>26</v>
      </c>
      <c r="C879" s="4">
        <v>45694</v>
      </c>
      <c r="D879" s="3" t="s">
        <v>15</v>
      </c>
      <c r="E879" s="3" t="s">
        <v>37</v>
      </c>
      <c r="F879" s="5">
        <v>4</v>
      </c>
      <c r="G879" s="6">
        <v>6.19</v>
      </c>
      <c r="H879" s="6">
        <v>24.76</v>
      </c>
      <c r="I879" s="6">
        <v>1.48</v>
      </c>
      <c r="J879" s="6">
        <v>23.28</v>
      </c>
      <c r="K879" s="5">
        <v>464</v>
      </c>
    </row>
    <row r="880" spans="1:11" x14ac:dyDescent="0.3">
      <c r="A880" s="3">
        <v>8172</v>
      </c>
      <c r="B880" s="3" t="s">
        <v>30</v>
      </c>
      <c r="C880" s="4">
        <v>45486</v>
      </c>
      <c r="D880" s="3" t="s">
        <v>45</v>
      </c>
      <c r="E880" s="3" t="s">
        <v>43</v>
      </c>
      <c r="F880" s="5">
        <v>5</v>
      </c>
      <c r="G880" s="6">
        <v>22.61</v>
      </c>
      <c r="H880" s="6">
        <v>113.05</v>
      </c>
      <c r="I880" s="6">
        <v>2.74</v>
      </c>
      <c r="J880" s="6">
        <v>110.31</v>
      </c>
      <c r="K880" s="5">
        <v>297</v>
      </c>
    </row>
    <row r="881" spans="1:11" x14ac:dyDescent="0.3">
      <c r="A881" s="3">
        <v>9586</v>
      </c>
      <c r="B881" s="3" t="s">
        <v>30</v>
      </c>
      <c r="C881" s="4">
        <v>45551</v>
      </c>
      <c r="D881" s="3" t="s">
        <v>27</v>
      </c>
      <c r="E881" s="3" t="s">
        <v>47</v>
      </c>
      <c r="F881" s="5">
        <v>1</v>
      </c>
      <c r="G881" s="6">
        <v>11.81</v>
      </c>
      <c r="H881" s="6">
        <v>11.81</v>
      </c>
      <c r="I881" s="6">
        <v>1.77</v>
      </c>
      <c r="J881" s="6">
        <v>10.039999999999999</v>
      </c>
      <c r="K881" s="5">
        <v>375</v>
      </c>
    </row>
    <row r="882" spans="1:11" x14ac:dyDescent="0.3">
      <c r="A882" s="3">
        <v>3600</v>
      </c>
      <c r="B882" s="3" t="s">
        <v>19</v>
      </c>
      <c r="C882" s="4">
        <v>45427</v>
      </c>
      <c r="D882" s="3" t="s">
        <v>28</v>
      </c>
      <c r="E882" s="3" t="s">
        <v>40</v>
      </c>
      <c r="F882" s="5">
        <v>2</v>
      </c>
      <c r="G882" s="6">
        <v>10.26</v>
      </c>
      <c r="H882" s="6">
        <v>20.52</v>
      </c>
      <c r="I882" s="6">
        <v>3.08</v>
      </c>
      <c r="J882" s="6">
        <v>17.440000000000001</v>
      </c>
      <c r="K882" s="5">
        <v>449</v>
      </c>
    </row>
    <row r="883" spans="1:11" x14ac:dyDescent="0.3">
      <c r="A883" s="3">
        <v>7108</v>
      </c>
      <c r="B883" s="3" t="s">
        <v>19</v>
      </c>
      <c r="C883" s="4">
        <v>45857</v>
      </c>
      <c r="D883" s="3" t="s">
        <v>12</v>
      </c>
      <c r="E883" s="3" t="s">
        <v>13</v>
      </c>
      <c r="F883" s="5">
        <v>3</v>
      </c>
      <c r="G883" s="6">
        <v>13.16</v>
      </c>
      <c r="H883" s="6">
        <v>39.479999999999997</v>
      </c>
      <c r="I883" s="6">
        <v>2.16</v>
      </c>
      <c r="J883" s="6">
        <v>37.32</v>
      </c>
      <c r="K883" s="5">
        <v>466</v>
      </c>
    </row>
    <row r="884" spans="1:11" x14ac:dyDescent="0.3">
      <c r="A884" s="3">
        <v>5634</v>
      </c>
      <c r="B884" s="3" t="s">
        <v>14</v>
      </c>
      <c r="C884" s="4">
        <v>45445</v>
      </c>
      <c r="D884" s="3" t="s">
        <v>27</v>
      </c>
      <c r="E884" s="3" t="s">
        <v>43</v>
      </c>
      <c r="F884" s="5">
        <v>5</v>
      </c>
      <c r="G884" s="6">
        <v>6.61</v>
      </c>
      <c r="H884" s="6">
        <v>33.049999999999997</v>
      </c>
      <c r="I884" s="6">
        <v>3.4</v>
      </c>
      <c r="J884" s="6">
        <v>29.65</v>
      </c>
      <c r="K884" s="5">
        <v>321</v>
      </c>
    </row>
    <row r="885" spans="1:11" x14ac:dyDescent="0.3">
      <c r="A885" s="3">
        <v>7697</v>
      </c>
      <c r="B885" s="3" t="s">
        <v>19</v>
      </c>
      <c r="C885" s="4">
        <v>45746</v>
      </c>
      <c r="D885" s="3" t="s">
        <v>38</v>
      </c>
      <c r="E885" s="3" t="s">
        <v>21</v>
      </c>
      <c r="F885" s="5">
        <v>3</v>
      </c>
      <c r="G885" s="6">
        <v>24.97</v>
      </c>
      <c r="H885" s="6">
        <v>74.91</v>
      </c>
      <c r="I885" s="6">
        <v>11.24</v>
      </c>
      <c r="J885" s="6">
        <v>63.67</v>
      </c>
      <c r="K885" s="5">
        <v>350</v>
      </c>
    </row>
    <row r="886" spans="1:11" x14ac:dyDescent="0.3">
      <c r="A886" s="3">
        <v>6543</v>
      </c>
      <c r="B886" s="3" t="s">
        <v>36</v>
      </c>
      <c r="C886" s="4">
        <v>45672</v>
      </c>
      <c r="D886" s="3" t="s">
        <v>15</v>
      </c>
      <c r="E886" s="3" t="s">
        <v>18</v>
      </c>
      <c r="F886" s="5">
        <v>5</v>
      </c>
      <c r="G886" s="6">
        <v>11.19</v>
      </c>
      <c r="H886" s="6">
        <v>55.95</v>
      </c>
      <c r="I886" s="6">
        <v>11.19</v>
      </c>
      <c r="J886" s="6">
        <v>44.76</v>
      </c>
      <c r="K886" s="5">
        <v>73</v>
      </c>
    </row>
    <row r="887" spans="1:11" x14ac:dyDescent="0.3">
      <c r="A887" s="3">
        <v>1857</v>
      </c>
      <c r="B887" s="3" t="s">
        <v>14</v>
      </c>
      <c r="C887" s="4">
        <v>45758</v>
      </c>
      <c r="D887" s="3" t="s">
        <v>35</v>
      </c>
      <c r="E887" s="3" t="s">
        <v>23</v>
      </c>
      <c r="F887" s="5">
        <v>4</v>
      </c>
      <c r="G887" s="6">
        <v>12.94</v>
      </c>
      <c r="H887" s="6">
        <v>51.76</v>
      </c>
      <c r="I887" s="6">
        <v>1.87</v>
      </c>
      <c r="J887" s="6">
        <v>49.89</v>
      </c>
      <c r="K887" s="5">
        <v>471</v>
      </c>
    </row>
    <row r="888" spans="1:11" x14ac:dyDescent="0.3">
      <c r="A888" s="3">
        <v>6482</v>
      </c>
      <c r="B888" s="3" t="s">
        <v>14</v>
      </c>
      <c r="C888" s="4">
        <v>45196</v>
      </c>
      <c r="D888" s="3" t="s">
        <v>17</v>
      </c>
      <c r="E888" s="3" t="s">
        <v>44</v>
      </c>
      <c r="F888" s="5">
        <v>5</v>
      </c>
      <c r="G888" s="6">
        <v>18.78</v>
      </c>
      <c r="H888" s="6">
        <v>93.9</v>
      </c>
      <c r="I888" s="6">
        <v>9.39</v>
      </c>
      <c r="J888" s="6">
        <v>84.51</v>
      </c>
      <c r="K888" s="5">
        <v>425</v>
      </c>
    </row>
    <row r="889" spans="1:11" x14ac:dyDescent="0.3">
      <c r="A889" s="3">
        <v>6401</v>
      </c>
      <c r="B889" s="3" t="s">
        <v>26</v>
      </c>
      <c r="C889" s="4">
        <v>45218</v>
      </c>
      <c r="D889" s="3" t="s">
        <v>15</v>
      </c>
      <c r="E889" s="3" t="s">
        <v>48</v>
      </c>
      <c r="F889" s="5">
        <v>2</v>
      </c>
      <c r="G889" s="6">
        <v>27.77</v>
      </c>
      <c r="H889" s="6">
        <v>55.54</v>
      </c>
      <c r="I889" s="6">
        <v>8.33</v>
      </c>
      <c r="J889" s="6">
        <v>47.21</v>
      </c>
      <c r="K889" s="5">
        <v>245</v>
      </c>
    </row>
    <row r="890" spans="1:11" x14ac:dyDescent="0.3">
      <c r="A890" s="3">
        <v>7333</v>
      </c>
      <c r="B890" s="3" t="s">
        <v>36</v>
      </c>
      <c r="C890" s="4">
        <v>45365</v>
      </c>
      <c r="D890" s="3" t="s">
        <v>34</v>
      </c>
      <c r="E890" s="3" t="s">
        <v>33</v>
      </c>
      <c r="F890" s="5">
        <v>5</v>
      </c>
      <c r="G890" s="6">
        <v>16.16</v>
      </c>
      <c r="H890" s="6">
        <v>80.8</v>
      </c>
      <c r="I890" s="6">
        <v>16.16</v>
      </c>
      <c r="J890" s="6">
        <v>64.64</v>
      </c>
      <c r="K890" s="5">
        <v>496</v>
      </c>
    </row>
    <row r="891" spans="1:11" x14ac:dyDescent="0.3">
      <c r="A891" s="3">
        <v>5128</v>
      </c>
      <c r="B891" s="3" t="s">
        <v>30</v>
      </c>
      <c r="C891" s="4">
        <v>45707</v>
      </c>
      <c r="D891" s="3" t="s">
        <v>12</v>
      </c>
      <c r="E891" s="3" t="s">
        <v>48</v>
      </c>
      <c r="F891" s="5">
        <v>2</v>
      </c>
      <c r="G891" s="6">
        <v>4.72</v>
      </c>
      <c r="H891" s="6">
        <v>9.44</v>
      </c>
      <c r="I891" s="6">
        <v>0</v>
      </c>
      <c r="J891" s="6">
        <v>9.44</v>
      </c>
      <c r="K891" s="5">
        <v>355</v>
      </c>
    </row>
    <row r="892" spans="1:11" x14ac:dyDescent="0.3">
      <c r="A892" s="3">
        <v>3463</v>
      </c>
      <c r="B892" s="3" t="s">
        <v>42</v>
      </c>
      <c r="C892" s="4">
        <v>45403</v>
      </c>
      <c r="D892" s="3" t="s">
        <v>35</v>
      </c>
      <c r="E892" s="3" t="s">
        <v>41</v>
      </c>
      <c r="F892" s="5">
        <v>2</v>
      </c>
      <c r="G892" s="6">
        <v>4.7699999999999996</v>
      </c>
      <c r="H892" s="6">
        <v>9.5399999999999991</v>
      </c>
      <c r="I892" s="6">
        <v>0</v>
      </c>
      <c r="J892" s="6">
        <v>9.5399999999999991</v>
      </c>
      <c r="K892" s="5">
        <v>40</v>
      </c>
    </row>
    <row r="893" spans="1:11" x14ac:dyDescent="0.3">
      <c r="A893" s="3">
        <v>2335</v>
      </c>
      <c r="B893" s="3" t="s">
        <v>11</v>
      </c>
      <c r="C893" s="4">
        <v>45597</v>
      </c>
      <c r="D893" s="3" t="s">
        <v>15</v>
      </c>
      <c r="E893" s="3" t="s">
        <v>39</v>
      </c>
      <c r="F893" s="5">
        <v>4</v>
      </c>
      <c r="G893" s="6">
        <v>22.95</v>
      </c>
      <c r="H893" s="6">
        <v>91.8</v>
      </c>
      <c r="I893" s="6">
        <v>1.1299999999999999</v>
      </c>
      <c r="J893" s="6">
        <v>90.67</v>
      </c>
      <c r="K893" s="5">
        <v>21</v>
      </c>
    </row>
    <row r="894" spans="1:11" x14ac:dyDescent="0.3">
      <c r="A894" s="3">
        <v>3317</v>
      </c>
      <c r="B894" s="3" t="s">
        <v>14</v>
      </c>
      <c r="C894" s="4">
        <v>45857</v>
      </c>
      <c r="D894" s="3" t="s">
        <v>28</v>
      </c>
      <c r="E894" s="3" t="s">
        <v>40</v>
      </c>
      <c r="F894" s="5">
        <v>4</v>
      </c>
      <c r="G894" s="6">
        <v>4.4400000000000004</v>
      </c>
      <c r="H894" s="6">
        <v>17.760000000000002</v>
      </c>
      <c r="I894" s="6">
        <v>2.21</v>
      </c>
      <c r="J894" s="6">
        <v>15.55</v>
      </c>
      <c r="K894" s="5">
        <v>129</v>
      </c>
    </row>
    <row r="895" spans="1:11" x14ac:dyDescent="0.3">
      <c r="A895" s="3">
        <v>6731</v>
      </c>
      <c r="B895" s="3" t="s">
        <v>31</v>
      </c>
      <c r="C895" s="4">
        <v>45385</v>
      </c>
      <c r="D895" s="3" t="s">
        <v>15</v>
      </c>
      <c r="E895" s="3" t="s">
        <v>48</v>
      </c>
      <c r="F895" s="5">
        <v>5</v>
      </c>
      <c r="G895" s="6">
        <v>6.95</v>
      </c>
      <c r="H895" s="6">
        <v>34.75</v>
      </c>
      <c r="I895" s="6">
        <v>6.95</v>
      </c>
      <c r="J895" s="6">
        <v>27.8</v>
      </c>
      <c r="K895" s="5">
        <v>461</v>
      </c>
    </row>
    <row r="896" spans="1:11" x14ac:dyDescent="0.3">
      <c r="A896" s="3">
        <v>7421</v>
      </c>
      <c r="B896" s="3" t="s">
        <v>36</v>
      </c>
      <c r="C896" s="4">
        <v>45245</v>
      </c>
      <c r="D896" s="3" t="s">
        <v>12</v>
      </c>
      <c r="E896" s="3" t="s">
        <v>43</v>
      </c>
      <c r="F896" s="5">
        <v>2</v>
      </c>
      <c r="G896" s="6">
        <v>25.52</v>
      </c>
      <c r="H896" s="6">
        <v>51.04</v>
      </c>
      <c r="I896" s="6">
        <v>2.39</v>
      </c>
      <c r="J896" s="6">
        <v>48.65</v>
      </c>
      <c r="K896" s="5">
        <v>482</v>
      </c>
    </row>
    <row r="897" spans="1:11" x14ac:dyDescent="0.3">
      <c r="A897" s="3">
        <v>2388</v>
      </c>
      <c r="B897" s="3" t="s">
        <v>19</v>
      </c>
      <c r="C897" s="4">
        <v>45385</v>
      </c>
      <c r="D897" s="3" t="s">
        <v>38</v>
      </c>
      <c r="E897" s="3" t="s">
        <v>25</v>
      </c>
      <c r="F897" s="5">
        <v>5</v>
      </c>
      <c r="G897" s="6">
        <v>17.53</v>
      </c>
      <c r="H897" s="6">
        <v>87.65</v>
      </c>
      <c r="I897" s="6">
        <v>1.87</v>
      </c>
      <c r="J897" s="6">
        <v>85.78</v>
      </c>
      <c r="K897" s="5">
        <v>50</v>
      </c>
    </row>
    <row r="898" spans="1:11" x14ac:dyDescent="0.3">
      <c r="A898" s="3">
        <v>7171</v>
      </c>
      <c r="B898" s="3" t="s">
        <v>42</v>
      </c>
      <c r="C898" s="4">
        <v>45644</v>
      </c>
      <c r="D898" s="3" t="s">
        <v>35</v>
      </c>
      <c r="E898" s="3" t="s">
        <v>29</v>
      </c>
      <c r="F898" s="5">
        <v>5</v>
      </c>
      <c r="G898" s="6">
        <v>1.1200000000000001</v>
      </c>
      <c r="H898" s="6">
        <v>5.6</v>
      </c>
      <c r="I898" s="6">
        <v>1.1200000000000001</v>
      </c>
      <c r="J898" s="6">
        <v>4.4800000000000004</v>
      </c>
      <c r="K898" s="5">
        <v>371</v>
      </c>
    </row>
    <row r="899" spans="1:11" x14ac:dyDescent="0.3">
      <c r="A899" s="3">
        <v>6381</v>
      </c>
      <c r="B899" s="3" t="s">
        <v>14</v>
      </c>
      <c r="C899" s="4">
        <v>45776</v>
      </c>
      <c r="D899" s="3" t="s">
        <v>45</v>
      </c>
      <c r="E899" s="3" t="s">
        <v>23</v>
      </c>
      <c r="F899" s="5">
        <v>5</v>
      </c>
      <c r="G899" s="6">
        <v>6.36</v>
      </c>
      <c r="H899" s="6">
        <v>31.8</v>
      </c>
      <c r="I899" s="6">
        <v>6.36</v>
      </c>
      <c r="J899" s="6">
        <v>25.44</v>
      </c>
      <c r="K899" s="5">
        <v>344</v>
      </c>
    </row>
    <row r="900" spans="1:11" x14ac:dyDescent="0.3">
      <c r="A900" s="3">
        <v>3093</v>
      </c>
      <c r="B900" s="3" t="s">
        <v>36</v>
      </c>
      <c r="C900" s="4">
        <v>45665</v>
      </c>
      <c r="D900" s="3" t="s">
        <v>20</v>
      </c>
      <c r="E900" s="3" t="s">
        <v>16</v>
      </c>
      <c r="F900" s="5">
        <v>2</v>
      </c>
      <c r="G900" s="6">
        <v>15.9</v>
      </c>
      <c r="H900" s="6">
        <v>31.8</v>
      </c>
      <c r="I900" s="6">
        <v>4.7699999999999996</v>
      </c>
      <c r="J900" s="6">
        <v>27.03</v>
      </c>
      <c r="K900" s="5">
        <v>208</v>
      </c>
    </row>
    <row r="901" spans="1:11" x14ac:dyDescent="0.3">
      <c r="A901" s="3">
        <v>9624</v>
      </c>
      <c r="B901" s="3" t="s">
        <v>11</v>
      </c>
      <c r="C901" s="4">
        <v>45217</v>
      </c>
      <c r="D901" s="3" t="s">
        <v>45</v>
      </c>
      <c r="E901" s="3" t="s">
        <v>48</v>
      </c>
      <c r="F901" s="5">
        <v>5</v>
      </c>
      <c r="G901" s="6">
        <v>4.93</v>
      </c>
      <c r="H901" s="6">
        <v>24.65</v>
      </c>
      <c r="I901" s="6">
        <v>0</v>
      </c>
      <c r="J901" s="6">
        <v>24.65</v>
      </c>
      <c r="K901" s="5">
        <v>390</v>
      </c>
    </row>
    <row r="902" spans="1:11" x14ac:dyDescent="0.3">
      <c r="A902" s="3">
        <v>7937</v>
      </c>
      <c r="B902" s="3" t="s">
        <v>30</v>
      </c>
      <c r="C902" s="4">
        <v>45539</v>
      </c>
      <c r="D902" s="3" t="s">
        <v>38</v>
      </c>
      <c r="E902" s="3" t="s">
        <v>40</v>
      </c>
      <c r="F902" s="5">
        <v>1</v>
      </c>
      <c r="G902" s="6">
        <v>10.51</v>
      </c>
      <c r="H902" s="6">
        <v>10.51</v>
      </c>
      <c r="I902" s="6">
        <v>1.58</v>
      </c>
      <c r="J902" s="6">
        <v>8.93</v>
      </c>
      <c r="K902" s="5">
        <v>59</v>
      </c>
    </row>
    <row r="903" spans="1:11" x14ac:dyDescent="0.3">
      <c r="A903" s="3">
        <v>6928</v>
      </c>
      <c r="B903" s="3" t="s">
        <v>26</v>
      </c>
      <c r="C903" s="4">
        <v>45159</v>
      </c>
      <c r="D903" s="3" t="s">
        <v>28</v>
      </c>
      <c r="E903" s="3" t="s">
        <v>37</v>
      </c>
      <c r="F903" s="5">
        <v>4</v>
      </c>
      <c r="G903" s="6">
        <v>7.54</v>
      </c>
      <c r="H903" s="6">
        <v>30.16</v>
      </c>
      <c r="I903" s="6">
        <v>3.02</v>
      </c>
      <c r="J903" s="6">
        <v>27.14</v>
      </c>
      <c r="K903" s="5">
        <v>208</v>
      </c>
    </row>
    <row r="904" spans="1:11" x14ac:dyDescent="0.3">
      <c r="A904" s="3">
        <v>6940</v>
      </c>
      <c r="B904" s="3" t="s">
        <v>42</v>
      </c>
      <c r="C904" s="4">
        <v>45384</v>
      </c>
      <c r="D904" s="3" t="s">
        <v>15</v>
      </c>
      <c r="E904" s="3" t="s">
        <v>47</v>
      </c>
      <c r="F904" s="5">
        <v>3</v>
      </c>
      <c r="G904" s="6">
        <v>6.19</v>
      </c>
      <c r="H904" s="6">
        <v>18.57</v>
      </c>
      <c r="I904" s="6">
        <v>0</v>
      </c>
      <c r="J904" s="6">
        <v>18.57</v>
      </c>
      <c r="K904" s="5">
        <v>345</v>
      </c>
    </row>
    <row r="905" spans="1:11" x14ac:dyDescent="0.3">
      <c r="A905" s="3">
        <v>3953</v>
      </c>
      <c r="B905" s="3" t="s">
        <v>11</v>
      </c>
      <c r="C905" s="4">
        <v>45311</v>
      </c>
      <c r="D905" s="3" t="s">
        <v>20</v>
      </c>
      <c r="E905" s="3" t="s">
        <v>33</v>
      </c>
      <c r="F905" s="5">
        <v>5</v>
      </c>
      <c r="G905" s="6">
        <v>20.09</v>
      </c>
      <c r="H905" s="6">
        <v>100.45</v>
      </c>
      <c r="I905" s="6">
        <v>20.09</v>
      </c>
      <c r="J905" s="6">
        <v>80.36</v>
      </c>
      <c r="K905" s="5">
        <v>43</v>
      </c>
    </row>
    <row r="906" spans="1:11" x14ac:dyDescent="0.3">
      <c r="A906" s="3">
        <v>6598</v>
      </c>
      <c r="B906" s="3" t="s">
        <v>24</v>
      </c>
      <c r="C906" s="4">
        <v>45740</v>
      </c>
      <c r="D906" s="3" t="s">
        <v>20</v>
      </c>
      <c r="E906" s="3" t="s">
        <v>48</v>
      </c>
      <c r="F906" s="5">
        <v>2</v>
      </c>
      <c r="G906" s="6">
        <v>2.87</v>
      </c>
      <c r="H906" s="6">
        <v>5.74</v>
      </c>
      <c r="I906" s="6">
        <v>0.86</v>
      </c>
      <c r="J906" s="6">
        <v>4.88</v>
      </c>
      <c r="K906" s="5">
        <v>499</v>
      </c>
    </row>
    <row r="907" spans="1:11" x14ac:dyDescent="0.3">
      <c r="A907" s="3">
        <v>8967</v>
      </c>
      <c r="B907" s="3" t="s">
        <v>42</v>
      </c>
      <c r="C907" s="4">
        <v>45294</v>
      </c>
      <c r="D907" s="3" t="s">
        <v>28</v>
      </c>
      <c r="E907" s="3" t="s">
        <v>32</v>
      </c>
      <c r="F907" s="5">
        <v>1</v>
      </c>
      <c r="G907" s="6">
        <v>7.74</v>
      </c>
      <c r="H907" s="6">
        <v>7.74</v>
      </c>
      <c r="I907" s="6">
        <v>1.1599999999999999</v>
      </c>
      <c r="J907" s="6">
        <v>6.58</v>
      </c>
      <c r="K907" s="5">
        <v>217</v>
      </c>
    </row>
    <row r="908" spans="1:11" x14ac:dyDescent="0.3">
      <c r="A908" s="3">
        <v>4711</v>
      </c>
      <c r="B908" s="3" t="s">
        <v>30</v>
      </c>
      <c r="C908" s="4">
        <v>45251</v>
      </c>
      <c r="D908" s="3" t="s">
        <v>27</v>
      </c>
      <c r="E908" s="3" t="s">
        <v>32</v>
      </c>
      <c r="F908" s="5">
        <v>3</v>
      </c>
      <c r="G908" s="6">
        <v>14.79</v>
      </c>
      <c r="H908" s="6">
        <v>44.37</v>
      </c>
      <c r="I908" s="6">
        <v>4.4400000000000004</v>
      </c>
      <c r="J908" s="6">
        <v>39.93</v>
      </c>
      <c r="K908" s="5">
        <v>308</v>
      </c>
    </row>
    <row r="909" spans="1:11" x14ac:dyDescent="0.3">
      <c r="A909" s="3">
        <v>3538</v>
      </c>
      <c r="B909" s="3" t="s">
        <v>14</v>
      </c>
      <c r="C909" s="4">
        <v>45204</v>
      </c>
      <c r="D909" s="3" t="s">
        <v>35</v>
      </c>
      <c r="E909" s="3" t="s">
        <v>41</v>
      </c>
      <c r="F909" s="5">
        <v>4</v>
      </c>
      <c r="G909" s="6">
        <v>4.12</v>
      </c>
      <c r="H909" s="6">
        <v>16.48</v>
      </c>
      <c r="I909" s="6">
        <v>1.65</v>
      </c>
      <c r="J909" s="6">
        <v>14.83</v>
      </c>
      <c r="K909" s="5">
        <v>128</v>
      </c>
    </row>
    <row r="910" spans="1:11" x14ac:dyDescent="0.3">
      <c r="A910" s="3">
        <v>5846</v>
      </c>
      <c r="B910" s="3" t="s">
        <v>42</v>
      </c>
      <c r="C910" s="4">
        <v>45800</v>
      </c>
      <c r="D910" s="3" t="s">
        <v>27</v>
      </c>
      <c r="E910" s="3" t="s">
        <v>41</v>
      </c>
      <c r="F910" s="5">
        <v>1</v>
      </c>
      <c r="G910" s="6">
        <v>3.88</v>
      </c>
      <c r="H910" s="6">
        <v>3.88</v>
      </c>
      <c r="I910" s="6">
        <v>0.39</v>
      </c>
      <c r="J910" s="6">
        <v>3.49</v>
      </c>
      <c r="K910" s="5">
        <v>27</v>
      </c>
    </row>
    <row r="911" spans="1:11" x14ac:dyDescent="0.3">
      <c r="A911" s="3">
        <v>2657</v>
      </c>
      <c r="B911" s="3" t="s">
        <v>31</v>
      </c>
      <c r="C911" s="4">
        <v>45539</v>
      </c>
      <c r="D911" s="3" t="s">
        <v>34</v>
      </c>
      <c r="E911" s="3" t="s">
        <v>32</v>
      </c>
      <c r="F911" s="5">
        <v>5</v>
      </c>
      <c r="G911" s="6">
        <v>20.69</v>
      </c>
      <c r="H911" s="6">
        <v>103.45</v>
      </c>
      <c r="I911" s="6">
        <v>3.49</v>
      </c>
      <c r="J911" s="6">
        <v>99.96</v>
      </c>
      <c r="K911" s="5">
        <v>78</v>
      </c>
    </row>
    <row r="912" spans="1:11" x14ac:dyDescent="0.3">
      <c r="A912" s="3">
        <v>9843</v>
      </c>
      <c r="B912" s="3" t="s">
        <v>11</v>
      </c>
      <c r="C912" s="4">
        <v>45793</v>
      </c>
      <c r="D912" s="3" t="s">
        <v>27</v>
      </c>
      <c r="E912" s="3" t="s">
        <v>46</v>
      </c>
      <c r="F912" s="5">
        <v>4</v>
      </c>
      <c r="G912" s="6">
        <v>23.98</v>
      </c>
      <c r="H912" s="6">
        <v>95.92</v>
      </c>
      <c r="I912" s="6">
        <v>0</v>
      </c>
      <c r="J912" s="6">
        <v>95.92</v>
      </c>
      <c r="K912" s="5">
        <v>103</v>
      </c>
    </row>
    <row r="913" spans="1:11" x14ac:dyDescent="0.3">
      <c r="A913" s="3">
        <v>9626</v>
      </c>
      <c r="B913" s="3" t="s">
        <v>26</v>
      </c>
      <c r="C913" s="4">
        <v>45174</v>
      </c>
      <c r="D913" s="3" t="s">
        <v>45</v>
      </c>
      <c r="E913" s="3" t="s">
        <v>46</v>
      </c>
      <c r="F913" s="5">
        <v>3</v>
      </c>
      <c r="G913" s="6">
        <v>16.72</v>
      </c>
      <c r="H913" s="6">
        <v>50.16</v>
      </c>
      <c r="I913" s="6">
        <v>4.96</v>
      </c>
      <c r="J913" s="6">
        <v>45.2</v>
      </c>
      <c r="K913" s="5">
        <v>414</v>
      </c>
    </row>
    <row r="914" spans="1:11" x14ac:dyDescent="0.3">
      <c r="A914" s="3">
        <v>6517</v>
      </c>
      <c r="B914" s="3" t="s">
        <v>11</v>
      </c>
      <c r="C914" s="4">
        <v>45825</v>
      </c>
      <c r="D914" s="3" t="s">
        <v>20</v>
      </c>
      <c r="E914" s="3" t="s">
        <v>33</v>
      </c>
      <c r="F914" s="5">
        <v>3</v>
      </c>
      <c r="G914" s="6">
        <v>25.72</v>
      </c>
      <c r="H914" s="6">
        <v>77.16</v>
      </c>
      <c r="I914" s="6">
        <v>1.1299999999999999</v>
      </c>
      <c r="J914" s="6">
        <v>76.03</v>
      </c>
      <c r="K914" s="5">
        <v>226</v>
      </c>
    </row>
    <row r="915" spans="1:11" x14ac:dyDescent="0.3">
      <c r="A915" s="3">
        <v>3147</v>
      </c>
      <c r="B915" s="3" t="s">
        <v>14</v>
      </c>
      <c r="C915" s="4">
        <v>45608</v>
      </c>
      <c r="D915" s="3" t="s">
        <v>27</v>
      </c>
      <c r="E915" s="3" t="s">
        <v>37</v>
      </c>
      <c r="F915" s="5">
        <v>2</v>
      </c>
      <c r="G915" s="6">
        <v>15.24</v>
      </c>
      <c r="H915" s="6">
        <v>30.48</v>
      </c>
      <c r="I915" s="6">
        <v>0</v>
      </c>
      <c r="J915" s="6">
        <v>30.48</v>
      </c>
      <c r="K915" s="5">
        <v>68</v>
      </c>
    </row>
    <row r="916" spans="1:11" x14ac:dyDescent="0.3">
      <c r="A916" s="3">
        <v>7172</v>
      </c>
      <c r="B916" s="3" t="s">
        <v>24</v>
      </c>
      <c r="C916" s="4">
        <v>45264</v>
      </c>
      <c r="D916" s="3" t="s">
        <v>45</v>
      </c>
      <c r="E916" s="3" t="s">
        <v>48</v>
      </c>
      <c r="F916" s="5">
        <v>5</v>
      </c>
      <c r="G916" s="6">
        <v>20.57</v>
      </c>
      <c r="H916" s="6">
        <v>102.85</v>
      </c>
      <c r="I916" s="6">
        <v>10.29</v>
      </c>
      <c r="J916" s="6">
        <v>92.56</v>
      </c>
      <c r="K916" s="5">
        <v>337</v>
      </c>
    </row>
    <row r="917" spans="1:11" x14ac:dyDescent="0.3">
      <c r="A917" s="3">
        <v>3658</v>
      </c>
      <c r="B917" s="3" t="s">
        <v>14</v>
      </c>
      <c r="C917" s="4">
        <v>45285</v>
      </c>
      <c r="D917" s="3" t="s">
        <v>34</v>
      </c>
      <c r="E917" s="3" t="s">
        <v>46</v>
      </c>
      <c r="F917" s="5">
        <v>1</v>
      </c>
      <c r="G917" s="6">
        <v>12.34</v>
      </c>
      <c r="H917" s="6">
        <v>12.34</v>
      </c>
      <c r="I917" s="6">
        <v>3.71</v>
      </c>
      <c r="J917" s="6">
        <v>8.6300000000000008</v>
      </c>
      <c r="K917" s="5">
        <v>253</v>
      </c>
    </row>
    <row r="918" spans="1:11" x14ac:dyDescent="0.3">
      <c r="A918" s="3">
        <v>3712</v>
      </c>
      <c r="B918" s="3" t="s">
        <v>30</v>
      </c>
      <c r="C918" s="4">
        <v>45705</v>
      </c>
      <c r="D918" s="3" t="s">
        <v>22</v>
      </c>
      <c r="E918" s="3" t="s">
        <v>40</v>
      </c>
      <c r="F918" s="5">
        <v>1</v>
      </c>
      <c r="G918" s="6">
        <v>18.11</v>
      </c>
      <c r="H918" s="6">
        <v>18.11</v>
      </c>
      <c r="I918" s="6">
        <v>2.72</v>
      </c>
      <c r="J918" s="6">
        <v>15.39</v>
      </c>
      <c r="K918" s="5">
        <v>65</v>
      </c>
    </row>
    <row r="919" spans="1:11" x14ac:dyDescent="0.3">
      <c r="A919" s="3">
        <v>8170</v>
      </c>
      <c r="B919" s="3" t="s">
        <v>31</v>
      </c>
      <c r="C919" s="4">
        <v>45178</v>
      </c>
      <c r="D919" s="3" t="s">
        <v>27</v>
      </c>
      <c r="E919" s="3" t="s">
        <v>21</v>
      </c>
      <c r="F919" s="5">
        <v>4</v>
      </c>
      <c r="G919" s="6">
        <v>3.81</v>
      </c>
      <c r="H919" s="6">
        <v>15.24</v>
      </c>
      <c r="I919" s="6">
        <v>1.52</v>
      </c>
      <c r="J919" s="6">
        <v>13.72</v>
      </c>
      <c r="K919" s="5">
        <v>176</v>
      </c>
    </row>
    <row r="920" spans="1:11" x14ac:dyDescent="0.3">
      <c r="A920" s="3">
        <v>7731</v>
      </c>
      <c r="B920" s="3" t="s">
        <v>36</v>
      </c>
      <c r="C920" s="4">
        <v>45427</v>
      </c>
      <c r="D920" s="3" t="s">
        <v>12</v>
      </c>
      <c r="E920" s="3" t="s">
        <v>25</v>
      </c>
      <c r="F920" s="5">
        <v>2</v>
      </c>
      <c r="G920" s="6">
        <v>7.79</v>
      </c>
      <c r="H920" s="6">
        <v>15.58</v>
      </c>
      <c r="I920" s="6">
        <v>0</v>
      </c>
      <c r="J920" s="6">
        <v>15.58</v>
      </c>
      <c r="K920" s="5">
        <v>159</v>
      </c>
    </row>
    <row r="921" spans="1:11" x14ac:dyDescent="0.3">
      <c r="A921" s="3">
        <v>4891</v>
      </c>
      <c r="B921" s="3" t="s">
        <v>11</v>
      </c>
      <c r="C921" s="4">
        <v>45490</v>
      </c>
      <c r="D921" s="3" t="s">
        <v>35</v>
      </c>
      <c r="E921" s="3" t="s">
        <v>48</v>
      </c>
      <c r="F921" s="5">
        <v>3</v>
      </c>
      <c r="G921" s="6">
        <v>5.91</v>
      </c>
      <c r="H921" s="6">
        <v>17.73</v>
      </c>
      <c r="I921" s="6">
        <v>2.84</v>
      </c>
      <c r="J921" s="6">
        <v>14.89</v>
      </c>
      <c r="K921" s="5">
        <v>275</v>
      </c>
    </row>
    <row r="922" spans="1:11" x14ac:dyDescent="0.3">
      <c r="A922" s="3">
        <v>5668</v>
      </c>
      <c r="B922" s="3" t="s">
        <v>24</v>
      </c>
      <c r="C922" s="4">
        <v>45729</v>
      </c>
      <c r="D922" s="3" t="s">
        <v>28</v>
      </c>
      <c r="E922" s="3" t="s">
        <v>46</v>
      </c>
      <c r="F922" s="5">
        <v>4</v>
      </c>
      <c r="G922" s="6">
        <v>8.7200000000000006</v>
      </c>
      <c r="H922" s="6">
        <v>34.880000000000003</v>
      </c>
      <c r="I922" s="6">
        <v>1.0900000000000001</v>
      </c>
      <c r="J922" s="6">
        <v>33.79</v>
      </c>
      <c r="K922" s="5">
        <v>356</v>
      </c>
    </row>
    <row r="923" spans="1:11" x14ac:dyDescent="0.3">
      <c r="A923" s="3">
        <v>8355</v>
      </c>
      <c r="B923" s="3" t="s">
        <v>36</v>
      </c>
      <c r="C923" s="4">
        <v>45326</v>
      </c>
      <c r="D923" s="3" t="s">
        <v>20</v>
      </c>
      <c r="E923" s="3" t="s">
        <v>32</v>
      </c>
      <c r="F923" s="5">
        <v>3</v>
      </c>
      <c r="G923" s="6">
        <v>17.59</v>
      </c>
      <c r="H923" s="6">
        <v>52.77</v>
      </c>
      <c r="I923" s="6">
        <v>3.76</v>
      </c>
      <c r="J923" s="6">
        <v>49.01</v>
      </c>
      <c r="K923" s="5">
        <v>413</v>
      </c>
    </row>
    <row r="924" spans="1:11" x14ac:dyDescent="0.3">
      <c r="A924" s="3">
        <v>9749</v>
      </c>
      <c r="B924" s="3" t="s">
        <v>42</v>
      </c>
      <c r="C924" s="4">
        <v>45330</v>
      </c>
      <c r="D924" s="3" t="s">
        <v>22</v>
      </c>
      <c r="E924" s="3" t="s">
        <v>47</v>
      </c>
      <c r="F924" s="5">
        <v>5</v>
      </c>
      <c r="G924" s="6">
        <v>24.52</v>
      </c>
      <c r="H924" s="6">
        <v>122.6</v>
      </c>
      <c r="I924" s="6">
        <v>24.52</v>
      </c>
      <c r="J924" s="6">
        <v>98.08</v>
      </c>
      <c r="K924" s="5">
        <v>341</v>
      </c>
    </row>
    <row r="925" spans="1:11" x14ac:dyDescent="0.3">
      <c r="A925" s="3">
        <v>6070</v>
      </c>
      <c r="B925" s="3" t="s">
        <v>30</v>
      </c>
      <c r="C925" s="4">
        <v>45773</v>
      </c>
      <c r="D925" s="3" t="s">
        <v>22</v>
      </c>
      <c r="E925" s="3" t="s">
        <v>16</v>
      </c>
      <c r="F925" s="5">
        <v>2</v>
      </c>
      <c r="G925" s="6">
        <v>15.4</v>
      </c>
      <c r="H925" s="6">
        <v>30.8</v>
      </c>
      <c r="I925" s="6">
        <v>1.86</v>
      </c>
      <c r="J925" s="6">
        <v>28.94</v>
      </c>
      <c r="K925" s="5">
        <v>433</v>
      </c>
    </row>
    <row r="926" spans="1:11" x14ac:dyDescent="0.3">
      <c r="A926" s="3">
        <v>8684</v>
      </c>
      <c r="B926" s="3" t="s">
        <v>30</v>
      </c>
      <c r="C926" s="4">
        <v>45847</v>
      </c>
      <c r="D926" s="3" t="s">
        <v>12</v>
      </c>
      <c r="E926" s="3" t="s">
        <v>37</v>
      </c>
      <c r="F926" s="5">
        <v>5</v>
      </c>
      <c r="G926" s="6">
        <v>12.65</v>
      </c>
      <c r="H926" s="6">
        <v>63.25</v>
      </c>
      <c r="I926" s="6">
        <v>0</v>
      </c>
      <c r="J926" s="6">
        <v>63.25</v>
      </c>
      <c r="K926" s="5">
        <v>115</v>
      </c>
    </row>
    <row r="927" spans="1:11" x14ac:dyDescent="0.3">
      <c r="A927" s="3">
        <v>4178</v>
      </c>
      <c r="B927" s="3" t="s">
        <v>11</v>
      </c>
      <c r="C927" s="4">
        <v>45430</v>
      </c>
      <c r="D927" s="3" t="s">
        <v>28</v>
      </c>
      <c r="E927" s="3" t="s">
        <v>21</v>
      </c>
      <c r="F927" s="5">
        <v>3</v>
      </c>
      <c r="G927" s="6">
        <v>2.94</v>
      </c>
      <c r="H927" s="6">
        <v>8.82</v>
      </c>
      <c r="I927" s="6">
        <v>0.88</v>
      </c>
      <c r="J927" s="6">
        <v>7.94</v>
      </c>
      <c r="K927" s="5">
        <v>410</v>
      </c>
    </row>
    <row r="928" spans="1:11" x14ac:dyDescent="0.3">
      <c r="A928" s="3">
        <v>8218</v>
      </c>
      <c r="B928" s="3" t="s">
        <v>42</v>
      </c>
      <c r="C928" s="4">
        <v>45503</v>
      </c>
      <c r="D928" s="3" t="s">
        <v>22</v>
      </c>
      <c r="E928" s="3" t="s">
        <v>43</v>
      </c>
      <c r="F928" s="5">
        <v>3</v>
      </c>
      <c r="G928" s="6">
        <v>15.62</v>
      </c>
      <c r="H928" s="6">
        <v>46.86</v>
      </c>
      <c r="I928" s="6">
        <v>0</v>
      </c>
      <c r="J928" s="6">
        <v>46.86</v>
      </c>
      <c r="K928" s="5">
        <v>153</v>
      </c>
    </row>
    <row r="929" spans="1:11" x14ac:dyDescent="0.3">
      <c r="A929" s="3">
        <v>5616</v>
      </c>
      <c r="B929" s="3" t="s">
        <v>14</v>
      </c>
      <c r="C929" s="4">
        <v>45749</v>
      </c>
      <c r="D929" s="3" t="s">
        <v>22</v>
      </c>
      <c r="E929" s="3" t="s">
        <v>44</v>
      </c>
      <c r="F929" s="5">
        <v>4</v>
      </c>
      <c r="G929" s="6">
        <v>12.66</v>
      </c>
      <c r="H929" s="6">
        <v>50.64</v>
      </c>
      <c r="I929" s="6">
        <v>0</v>
      </c>
      <c r="J929" s="6">
        <v>50.64</v>
      </c>
      <c r="K929" s="5">
        <v>319</v>
      </c>
    </row>
    <row r="930" spans="1:11" x14ac:dyDescent="0.3">
      <c r="A930" s="3">
        <v>7256</v>
      </c>
      <c r="B930" s="3" t="s">
        <v>14</v>
      </c>
      <c r="C930" s="4">
        <v>45535</v>
      </c>
      <c r="D930" s="3" t="s">
        <v>34</v>
      </c>
      <c r="E930" s="3" t="s">
        <v>39</v>
      </c>
      <c r="F930" s="5">
        <v>5</v>
      </c>
      <c r="G930" s="6">
        <v>26.01</v>
      </c>
      <c r="H930" s="6">
        <v>130.05000000000001</v>
      </c>
      <c r="I930" s="6">
        <v>26.01</v>
      </c>
      <c r="J930" s="6">
        <v>104.04</v>
      </c>
      <c r="K930" s="5">
        <v>295</v>
      </c>
    </row>
    <row r="931" spans="1:11" x14ac:dyDescent="0.3">
      <c r="A931" s="3">
        <v>9641</v>
      </c>
      <c r="B931" s="3" t="s">
        <v>26</v>
      </c>
      <c r="C931" s="4">
        <v>45470</v>
      </c>
      <c r="D931" s="3" t="s">
        <v>35</v>
      </c>
      <c r="E931" s="3" t="s">
        <v>18</v>
      </c>
      <c r="F931" s="5">
        <v>5</v>
      </c>
      <c r="G931" s="6">
        <v>25.72</v>
      </c>
      <c r="H931" s="6">
        <v>128.6</v>
      </c>
      <c r="I931" s="6">
        <v>3.91</v>
      </c>
      <c r="J931" s="6">
        <v>124.69</v>
      </c>
      <c r="K931" s="5">
        <v>464</v>
      </c>
    </row>
    <row r="932" spans="1:11" x14ac:dyDescent="0.3">
      <c r="A932" s="3">
        <v>3655</v>
      </c>
      <c r="B932" s="3" t="s">
        <v>31</v>
      </c>
      <c r="C932" s="4">
        <v>45779</v>
      </c>
      <c r="D932" s="3" t="s">
        <v>38</v>
      </c>
      <c r="E932" s="3" t="s">
        <v>44</v>
      </c>
      <c r="F932" s="5">
        <v>3</v>
      </c>
      <c r="G932" s="6">
        <v>14.4</v>
      </c>
      <c r="H932" s="6">
        <v>43.2</v>
      </c>
      <c r="I932" s="6">
        <v>0</v>
      </c>
      <c r="J932" s="6">
        <v>43.2</v>
      </c>
      <c r="K932" s="5">
        <v>123</v>
      </c>
    </row>
    <row r="933" spans="1:11" x14ac:dyDescent="0.3">
      <c r="A933" s="3">
        <v>4271</v>
      </c>
      <c r="B933" s="3" t="s">
        <v>30</v>
      </c>
      <c r="C933" s="4">
        <v>45767</v>
      </c>
      <c r="D933" s="3" t="s">
        <v>20</v>
      </c>
      <c r="E933" s="3" t="s">
        <v>16</v>
      </c>
      <c r="F933" s="5">
        <v>3</v>
      </c>
      <c r="G933" s="6">
        <v>25.94</v>
      </c>
      <c r="H933" s="6">
        <v>77.819999999999993</v>
      </c>
      <c r="I933" s="6">
        <v>0</v>
      </c>
      <c r="J933" s="6">
        <v>77.819999999999993</v>
      </c>
      <c r="K933" s="5">
        <v>466</v>
      </c>
    </row>
    <row r="934" spans="1:11" x14ac:dyDescent="0.3">
      <c r="A934" s="3">
        <v>3267</v>
      </c>
      <c r="B934" s="3" t="s">
        <v>42</v>
      </c>
      <c r="C934" s="4">
        <v>45823</v>
      </c>
      <c r="D934" s="3" t="s">
        <v>20</v>
      </c>
      <c r="E934" s="3" t="s">
        <v>13</v>
      </c>
      <c r="F934" s="5">
        <v>3</v>
      </c>
      <c r="G934" s="6">
        <v>19.73</v>
      </c>
      <c r="H934" s="6">
        <v>59.19</v>
      </c>
      <c r="I934" s="6">
        <v>5.92</v>
      </c>
      <c r="J934" s="6">
        <v>53.27</v>
      </c>
      <c r="K934" s="5">
        <v>131</v>
      </c>
    </row>
    <row r="935" spans="1:11" x14ac:dyDescent="0.3">
      <c r="A935" s="3">
        <v>5096</v>
      </c>
      <c r="B935" s="3" t="s">
        <v>42</v>
      </c>
      <c r="C935" s="4">
        <v>45185</v>
      </c>
      <c r="D935" s="3" t="s">
        <v>15</v>
      </c>
      <c r="E935" s="3" t="s">
        <v>41</v>
      </c>
      <c r="F935" s="5">
        <v>2</v>
      </c>
      <c r="G935" s="6">
        <v>1.79</v>
      </c>
      <c r="H935" s="6">
        <v>3.58</v>
      </c>
      <c r="I935" s="6">
        <v>0.36</v>
      </c>
      <c r="J935" s="6">
        <v>3.22</v>
      </c>
      <c r="K935" s="5">
        <v>408</v>
      </c>
    </row>
    <row r="936" spans="1:11" x14ac:dyDescent="0.3">
      <c r="A936" s="3">
        <v>8873</v>
      </c>
      <c r="B936" s="3" t="s">
        <v>26</v>
      </c>
      <c r="C936" s="4">
        <v>45823</v>
      </c>
      <c r="D936" s="3" t="s">
        <v>38</v>
      </c>
      <c r="E936" s="3" t="s">
        <v>16</v>
      </c>
      <c r="F936" s="5">
        <v>4</v>
      </c>
      <c r="G936" s="6">
        <v>19.75</v>
      </c>
      <c r="H936" s="6">
        <v>79</v>
      </c>
      <c r="I936" s="6">
        <v>15.8</v>
      </c>
      <c r="J936" s="6">
        <v>63.2</v>
      </c>
      <c r="K936" s="5">
        <v>18</v>
      </c>
    </row>
    <row r="937" spans="1:11" x14ac:dyDescent="0.3">
      <c r="A937" s="3">
        <v>7081</v>
      </c>
      <c r="B937" s="3" t="s">
        <v>30</v>
      </c>
      <c r="C937" s="4">
        <v>45575</v>
      </c>
      <c r="D937" s="3" t="s">
        <v>34</v>
      </c>
      <c r="E937" s="3" t="s">
        <v>39</v>
      </c>
      <c r="F937" s="5">
        <v>3</v>
      </c>
      <c r="G937" s="6">
        <v>23.89</v>
      </c>
      <c r="H937" s="6">
        <v>71.67</v>
      </c>
      <c r="I937" s="6">
        <v>0</v>
      </c>
      <c r="J937" s="6">
        <v>71.67</v>
      </c>
      <c r="K937" s="5">
        <v>142</v>
      </c>
    </row>
    <row r="938" spans="1:11" x14ac:dyDescent="0.3">
      <c r="A938" s="3">
        <v>2680</v>
      </c>
      <c r="B938" s="3" t="s">
        <v>31</v>
      </c>
      <c r="C938" s="4">
        <v>45697</v>
      </c>
      <c r="D938" s="3" t="s">
        <v>45</v>
      </c>
      <c r="E938" s="3" t="s">
        <v>39</v>
      </c>
      <c r="F938" s="5">
        <v>1</v>
      </c>
      <c r="G938" s="6">
        <v>25.92</v>
      </c>
      <c r="H938" s="6">
        <v>25.92</v>
      </c>
      <c r="I938" s="6">
        <v>2.19</v>
      </c>
      <c r="J938" s="6">
        <v>23.73</v>
      </c>
      <c r="K938" s="5">
        <v>42</v>
      </c>
    </row>
    <row r="939" spans="1:11" x14ac:dyDescent="0.3">
      <c r="A939" s="3">
        <v>9452</v>
      </c>
      <c r="B939" s="3" t="s">
        <v>11</v>
      </c>
      <c r="C939" s="4">
        <v>45806</v>
      </c>
      <c r="D939" s="3" t="s">
        <v>20</v>
      </c>
      <c r="E939" s="3" t="s">
        <v>23</v>
      </c>
      <c r="F939" s="5">
        <v>1</v>
      </c>
      <c r="G939" s="6">
        <v>12.5</v>
      </c>
      <c r="H939" s="6">
        <v>12.5</v>
      </c>
      <c r="I939" s="6">
        <v>2.5</v>
      </c>
      <c r="J939" s="6">
        <v>10</v>
      </c>
      <c r="K939" s="5">
        <v>429</v>
      </c>
    </row>
    <row r="940" spans="1:11" x14ac:dyDescent="0.3">
      <c r="A940" s="3">
        <v>3042</v>
      </c>
      <c r="B940" s="3" t="s">
        <v>11</v>
      </c>
      <c r="C940" s="4">
        <v>45366</v>
      </c>
      <c r="D940" s="3" t="s">
        <v>28</v>
      </c>
      <c r="E940" s="3" t="s">
        <v>46</v>
      </c>
      <c r="F940" s="5">
        <v>1</v>
      </c>
      <c r="G940" s="6">
        <v>16.13</v>
      </c>
      <c r="H940" s="6">
        <v>16.13</v>
      </c>
      <c r="I940" s="6">
        <v>1.61</v>
      </c>
      <c r="J940" s="6">
        <v>14.52</v>
      </c>
      <c r="K940" s="5">
        <v>424</v>
      </c>
    </row>
    <row r="941" spans="1:11" x14ac:dyDescent="0.3">
      <c r="A941" s="3">
        <v>2374</v>
      </c>
      <c r="B941" s="3" t="s">
        <v>11</v>
      </c>
      <c r="C941" s="4">
        <v>45737</v>
      </c>
      <c r="D941" s="3" t="s">
        <v>17</v>
      </c>
      <c r="E941" s="3" t="s">
        <v>48</v>
      </c>
      <c r="F941" s="5">
        <v>3</v>
      </c>
      <c r="G941" s="6">
        <v>10.54</v>
      </c>
      <c r="H941" s="6">
        <v>31.62</v>
      </c>
      <c r="I941" s="6">
        <v>0</v>
      </c>
      <c r="J941" s="6">
        <v>31.62</v>
      </c>
      <c r="K941" s="5">
        <v>299</v>
      </c>
    </row>
    <row r="942" spans="1:11" x14ac:dyDescent="0.3">
      <c r="A942" s="3">
        <v>3626</v>
      </c>
      <c r="B942" s="3" t="s">
        <v>42</v>
      </c>
      <c r="C942" s="4">
        <v>45356</v>
      </c>
      <c r="D942" s="3" t="s">
        <v>20</v>
      </c>
      <c r="E942" s="3" t="s">
        <v>44</v>
      </c>
      <c r="F942" s="5">
        <v>2</v>
      </c>
      <c r="G942" s="6">
        <v>4.09</v>
      </c>
      <c r="H942" s="6">
        <v>8.18</v>
      </c>
      <c r="I942" s="6">
        <v>0.82</v>
      </c>
      <c r="J942" s="6">
        <v>7.36</v>
      </c>
      <c r="K942" s="5">
        <v>109</v>
      </c>
    </row>
    <row r="943" spans="1:11" x14ac:dyDescent="0.3">
      <c r="A943" s="3">
        <v>8361</v>
      </c>
      <c r="B943" s="3" t="s">
        <v>24</v>
      </c>
      <c r="C943" s="4">
        <v>45848</v>
      </c>
      <c r="D943" s="3" t="s">
        <v>35</v>
      </c>
      <c r="E943" s="3" t="s">
        <v>40</v>
      </c>
      <c r="F943" s="5">
        <v>4</v>
      </c>
      <c r="G943" s="6">
        <v>16.46</v>
      </c>
      <c r="H943" s="6">
        <v>65.84</v>
      </c>
      <c r="I943" s="6">
        <v>9.8800000000000008</v>
      </c>
      <c r="J943" s="6">
        <v>55.96</v>
      </c>
      <c r="K943" s="5">
        <v>358</v>
      </c>
    </row>
    <row r="944" spans="1:11" x14ac:dyDescent="0.3">
      <c r="A944" s="3">
        <v>9410</v>
      </c>
      <c r="B944" s="3" t="s">
        <v>14</v>
      </c>
      <c r="C944" s="4">
        <v>45259</v>
      </c>
      <c r="D944" s="3" t="s">
        <v>20</v>
      </c>
      <c r="E944" s="3" t="s">
        <v>47</v>
      </c>
      <c r="F944" s="5">
        <v>2</v>
      </c>
      <c r="G944" s="6">
        <v>28.93</v>
      </c>
      <c r="H944" s="6">
        <v>57.86</v>
      </c>
      <c r="I944" s="6">
        <v>8.68</v>
      </c>
      <c r="J944" s="6">
        <v>49.18</v>
      </c>
      <c r="K944" s="5">
        <v>450</v>
      </c>
    </row>
    <row r="945" spans="1:11" x14ac:dyDescent="0.3">
      <c r="A945" s="3">
        <v>8167</v>
      </c>
      <c r="B945" s="3" t="s">
        <v>26</v>
      </c>
      <c r="C945" s="4">
        <v>45216</v>
      </c>
      <c r="D945" s="3" t="s">
        <v>22</v>
      </c>
      <c r="E945" s="3" t="s">
        <v>37</v>
      </c>
      <c r="F945" s="5">
        <v>1</v>
      </c>
      <c r="G945" s="6">
        <v>19.71</v>
      </c>
      <c r="H945" s="6">
        <v>19.71</v>
      </c>
      <c r="I945" s="6">
        <v>0</v>
      </c>
      <c r="J945" s="6">
        <v>19.71</v>
      </c>
      <c r="K945" s="5">
        <v>463</v>
      </c>
    </row>
    <row r="946" spans="1:11" x14ac:dyDescent="0.3">
      <c r="A946" s="3">
        <v>4637</v>
      </c>
      <c r="B946" s="3" t="s">
        <v>31</v>
      </c>
      <c r="C946" s="4">
        <v>45779</v>
      </c>
      <c r="D946" s="3" t="s">
        <v>27</v>
      </c>
      <c r="E946" s="3" t="s">
        <v>25</v>
      </c>
      <c r="F946" s="5">
        <v>3</v>
      </c>
      <c r="G946" s="6">
        <v>17.02</v>
      </c>
      <c r="H946" s="6">
        <v>51.06</v>
      </c>
      <c r="I946" s="6">
        <v>0</v>
      </c>
      <c r="J946" s="6">
        <v>51.06</v>
      </c>
      <c r="K946" s="5">
        <v>158</v>
      </c>
    </row>
    <row r="947" spans="1:11" x14ac:dyDescent="0.3">
      <c r="A947" s="3">
        <v>8391</v>
      </c>
      <c r="B947" s="3" t="s">
        <v>11</v>
      </c>
      <c r="C947" s="4">
        <v>45832</v>
      </c>
      <c r="D947" s="3" t="s">
        <v>38</v>
      </c>
      <c r="E947" s="3" t="s">
        <v>25</v>
      </c>
      <c r="F947" s="5">
        <v>4</v>
      </c>
      <c r="G947" s="6">
        <v>12.26</v>
      </c>
      <c r="H947" s="6">
        <v>49.04</v>
      </c>
      <c r="I947" s="6">
        <v>7.36</v>
      </c>
      <c r="J947" s="6">
        <v>41.68</v>
      </c>
      <c r="K947" s="5">
        <v>465</v>
      </c>
    </row>
    <row r="948" spans="1:11" x14ac:dyDescent="0.3">
      <c r="A948" s="3">
        <v>6727</v>
      </c>
      <c r="B948" s="3" t="s">
        <v>30</v>
      </c>
      <c r="C948" s="4">
        <v>45867</v>
      </c>
      <c r="D948" s="3" t="s">
        <v>15</v>
      </c>
      <c r="E948" s="3" t="s">
        <v>25</v>
      </c>
      <c r="F948" s="5">
        <v>3</v>
      </c>
      <c r="G948" s="6">
        <v>7.09</v>
      </c>
      <c r="H948" s="6">
        <v>21.27</v>
      </c>
      <c r="I948" s="6">
        <v>2.13</v>
      </c>
      <c r="J948" s="6">
        <v>19.14</v>
      </c>
      <c r="K948" s="5">
        <v>455</v>
      </c>
    </row>
    <row r="949" spans="1:11" x14ac:dyDescent="0.3">
      <c r="A949" s="3">
        <v>1436</v>
      </c>
      <c r="B949" s="3" t="s">
        <v>36</v>
      </c>
      <c r="C949" s="4">
        <v>45467</v>
      </c>
      <c r="D949" s="3" t="s">
        <v>27</v>
      </c>
      <c r="E949" s="3" t="s">
        <v>16</v>
      </c>
      <c r="F949" s="5">
        <v>1</v>
      </c>
      <c r="G949" s="6">
        <v>8.94</v>
      </c>
      <c r="H949" s="6">
        <v>8.94</v>
      </c>
      <c r="I949" s="6">
        <v>0.89</v>
      </c>
      <c r="J949" s="6">
        <v>8.0500000000000007</v>
      </c>
      <c r="K949" s="5">
        <v>41</v>
      </c>
    </row>
    <row r="950" spans="1:11" x14ac:dyDescent="0.3">
      <c r="A950" s="3">
        <v>1872</v>
      </c>
      <c r="B950" s="3" t="s">
        <v>24</v>
      </c>
      <c r="C950" s="4">
        <v>45452</v>
      </c>
      <c r="D950" s="3" t="s">
        <v>22</v>
      </c>
      <c r="E950" s="3" t="s">
        <v>16</v>
      </c>
      <c r="F950" s="5">
        <v>1</v>
      </c>
      <c r="G950" s="6">
        <v>24.9</v>
      </c>
      <c r="H950" s="6">
        <v>24.9</v>
      </c>
      <c r="I950" s="6">
        <v>1.27</v>
      </c>
      <c r="J950" s="6">
        <v>23.63</v>
      </c>
      <c r="K950" s="5">
        <v>357</v>
      </c>
    </row>
    <row r="951" spans="1:11" x14ac:dyDescent="0.3">
      <c r="A951" s="3">
        <v>9224</v>
      </c>
      <c r="B951" s="3" t="s">
        <v>24</v>
      </c>
      <c r="C951" s="4">
        <v>45435</v>
      </c>
      <c r="D951" s="3" t="s">
        <v>28</v>
      </c>
      <c r="E951" s="3" t="s">
        <v>18</v>
      </c>
      <c r="F951" s="5">
        <v>3</v>
      </c>
      <c r="G951" s="6">
        <v>14.13</v>
      </c>
      <c r="H951" s="6">
        <v>42.39</v>
      </c>
      <c r="I951" s="6">
        <v>0</v>
      </c>
      <c r="J951" s="6">
        <v>42.39</v>
      </c>
      <c r="K951" s="5">
        <v>14</v>
      </c>
    </row>
    <row r="952" spans="1:11" x14ac:dyDescent="0.3">
      <c r="A952" s="3">
        <v>4862</v>
      </c>
      <c r="B952" s="3" t="s">
        <v>19</v>
      </c>
      <c r="C952" s="4">
        <v>45444</v>
      </c>
      <c r="D952" s="3" t="s">
        <v>27</v>
      </c>
      <c r="E952" s="3" t="s">
        <v>33</v>
      </c>
      <c r="F952" s="5">
        <v>2</v>
      </c>
      <c r="G952" s="6">
        <v>1.08</v>
      </c>
      <c r="H952" s="6">
        <v>2.16</v>
      </c>
      <c r="I952" s="6">
        <v>0.32</v>
      </c>
      <c r="J952" s="6">
        <v>1.84</v>
      </c>
      <c r="K952" s="5">
        <v>102</v>
      </c>
    </row>
    <row r="953" spans="1:11" x14ac:dyDescent="0.3">
      <c r="A953" s="3">
        <v>2337</v>
      </c>
      <c r="B953" s="3" t="s">
        <v>11</v>
      </c>
      <c r="C953" s="4">
        <v>45436</v>
      </c>
      <c r="D953" s="3" t="s">
        <v>15</v>
      </c>
      <c r="E953" s="3" t="s">
        <v>29</v>
      </c>
      <c r="F953" s="5">
        <v>2</v>
      </c>
      <c r="G953" s="6">
        <v>15.96</v>
      </c>
      <c r="H953" s="6">
        <v>31.92</v>
      </c>
      <c r="I953" s="6">
        <v>3.74</v>
      </c>
      <c r="J953" s="6">
        <v>28.18</v>
      </c>
      <c r="K953" s="5">
        <v>496</v>
      </c>
    </row>
    <row r="954" spans="1:11" x14ac:dyDescent="0.3">
      <c r="A954" s="3">
        <v>4678</v>
      </c>
      <c r="B954" s="3" t="s">
        <v>36</v>
      </c>
      <c r="C954" s="4">
        <v>45166</v>
      </c>
      <c r="D954" s="3" t="s">
        <v>45</v>
      </c>
      <c r="E954" s="3" t="s">
        <v>47</v>
      </c>
      <c r="F954" s="5">
        <v>2</v>
      </c>
      <c r="G954" s="6">
        <v>8.5500000000000007</v>
      </c>
      <c r="H954" s="6">
        <v>17.100000000000001</v>
      </c>
      <c r="I954" s="6">
        <v>2.56</v>
      </c>
      <c r="J954" s="6">
        <v>14.54</v>
      </c>
      <c r="K954" s="5">
        <v>351</v>
      </c>
    </row>
    <row r="955" spans="1:11" x14ac:dyDescent="0.3">
      <c r="A955" s="3">
        <v>6221</v>
      </c>
      <c r="B955" s="3" t="s">
        <v>42</v>
      </c>
      <c r="C955" s="4">
        <v>45867</v>
      </c>
      <c r="D955" s="3" t="s">
        <v>15</v>
      </c>
      <c r="E955" s="3" t="s">
        <v>16</v>
      </c>
      <c r="F955" s="5">
        <v>3</v>
      </c>
      <c r="G955" s="6">
        <v>6.26</v>
      </c>
      <c r="H955" s="6">
        <v>18.78</v>
      </c>
      <c r="I955" s="6">
        <v>1.9</v>
      </c>
      <c r="J955" s="6">
        <v>16.88</v>
      </c>
      <c r="K955" s="5">
        <v>448</v>
      </c>
    </row>
    <row r="956" spans="1:11" x14ac:dyDescent="0.3">
      <c r="A956" s="3">
        <v>2623</v>
      </c>
      <c r="B956" s="3" t="s">
        <v>31</v>
      </c>
      <c r="C956" s="4">
        <v>45796</v>
      </c>
      <c r="D956" s="3" t="s">
        <v>38</v>
      </c>
      <c r="E956" s="3" t="s">
        <v>25</v>
      </c>
      <c r="F956" s="5">
        <v>1</v>
      </c>
      <c r="G956" s="6">
        <v>29.24</v>
      </c>
      <c r="H956" s="6">
        <v>29.24</v>
      </c>
      <c r="I956" s="6">
        <v>0</v>
      </c>
      <c r="J956" s="6">
        <v>29.24</v>
      </c>
      <c r="K956" s="5">
        <v>101</v>
      </c>
    </row>
    <row r="957" spans="1:11" x14ac:dyDescent="0.3">
      <c r="A957" s="3">
        <v>6493</v>
      </c>
      <c r="B957" s="3" t="s">
        <v>19</v>
      </c>
      <c r="C957" s="4">
        <v>45759</v>
      </c>
      <c r="D957" s="3" t="s">
        <v>12</v>
      </c>
      <c r="E957" s="3" t="s">
        <v>32</v>
      </c>
      <c r="F957" s="5">
        <v>5</v>
      </c>
      <c r="G957" s="6">
        <v>13.43</v>
      </c>
      <c r="H957" s="6">
        <v>67.150000000000006</v>
      </c>
      <c r="I957" s="6">
        <v>4.83</v>
      </c>
      <c r="J957" s="6">
        <v>62.32</v>
      </c>
      <c r="K957" s="5">
        <v>133</v>
      </c>
    </row>
    <row r="958" spans="1:11" x14ac:dyDescent="0.3">
      <c r="A958" s="3">
        <v>3392</v>
      </c>
      <c r="B958" s="3" t="s">
        <v>19</v>
      </c>
      <c r="C958" s="4">
        <v>45251</v>
      </c>
      <c r="D958" s="3" t="s">
        <v>28</v>
      </c>
      <c r="E958" s="3" t="s">
        <v>48</v>
      </c>
      <c r="F958" s="5">
        <v>1</v>
      </c>
      <c r="G958" s="6">
        <v>21.83</v>
      </c>
      <c r="H958" s="6">
        <v>21.83</v>
      </c>
      <c r="I958" s="6">
        <v>0</v>
      </c>
      <c r="J958" s="6">
        <v>21.83</v>
      </c>
      <c r="K958" s="5">
        <v>222</v>
      </c>
    </row>
    <row r="959" spans="1:11" x14ac:dyDescent="0.3">
      <c r="A959" s="3">
        <v>1627</v>
      </c>
      <c r="B959" s="3" t="s">
        <v>26</v>
      </c>
      <c r="C959" s="4">
        <v>45367</v>
      </c>
      <c r="D959" s="3" t="s">
        <v>15</v>
      </c>
      <c r="E959" s="3" t="s">
        <v>25</v>
      </c>
      <c r="F959" s="5">
        <v>2</v>
      </c>
      <c r="G959" s="6">
        <v>6.52</v>
      </c>
      <c r="H959" s="6">
        <v>13.04</v>
      </c>
      <c r="I959" s="6">
        <v>1.96</v>
      </c>
      <c r="J959" s="6">
        <v>11.08</v>
      </c>
      <c r="K959" s="5">
        <v>441</v>
      </c>
    </row>
    <row r="960" spans="1:11" x14ac:dyDescent="0.3">
      <c r="A960" s="3">
        <v>8740</v>
      </c>
      <c r="B960" s="3" t="s">
        <v>26</v>
      </c>
      <c r="C960" s="4">
        <v>45685</v>
      </c>
      <c r="D960" s="3" t="s">
        <v>20</v>
      </c>
      <c r="E960" s="3" t="s">
        <v>41</v>
      </c>
      <c r="F960" s="5">
        <v>4</v>
      </c>
      <c r="G960" s="6">
        <v>25.82</v>
      </c>
      <c r="H960" s="6">
        <v>103.28</v>
      </c>
      <c r="I960" s="6">
        <v>15.49</v>
      </c>
      <c r="J960" s="6">
        <v>87.79</v>
      </c>
      <c r="K960" s="5">
        <v>307</v>
      </c>
    </row>
    <row r="961" spans="1:11" x14ac:dyDescent="0.3">
      <c r="A961" s="3">
        <v>3273</v>
      </c>
      <c r="B961" s="3" t="s">
        <v>42</v>
      </c>
      <c r="C961" s="4">
        <v>45734</v>
      </c>
      <c r="D961" s="3" t="s">
        <v>20</v>
      </c>
      <c r="E961" s="3" t="s">
        <v>29</v>
      </c>
      <c r="F961" s="5">
        <v>4</v>
      </c>
      <c r="G961" s="6">
        <v>23.97</v>
      </c>
      <c r="H961" s="6">
        <v>95.88</v>
      </c>
      <c r="I961" s="6">
        <v>14.38</v>
      </c>
      <c r="J961" s="6">
        <v>81.5</v>
      </c>
      <c r="K961" s="5">
        <v>14</v>
      </c>
    </row>
    <row r="962" spans="1:11" x14ac:dyDescent="0.3">
      <c r="A962" s="3">
        <v>8685</v>
      </c>
      <c r="B962" s="3" t="s">
        <v>42</v>
      </c>
      <c r="C962" s="4">
        <v>45493</v>
      </c>
      <c r="D962" s="3" t="s">
        <v>28</v>
      </c>
      <c r="E962" s="3" t="s">
        <v>33</v>
      </c>
      <c r="F962" s="5">
        <v>2</v>
      </c>
      <c r="G962" s="6">
        <v>11.71</v>
      </c>
      <c r="H962" s="6">
        <v>23.42</v>
      </c>
      <c r="I962" s="6">
        <v>1.04</v>
      </c>
      <c r="J962" s="6">
        <v>22.38</v>
      </c>
      <c r="K962" s="5">
        <v>350</v>
      </c>
    </row>
    <row r="963" spans="1:11" x14ac:dyDescent="0.3">
      <c r="A963" s="3">
        <v>1086</v>
      </c>
      <c r="B963" s="3" t="s">
        <v>19</v>
      </c>
      <c r="C963" s="4">
        <v>45848</v>
      </c>
      <c r="D963" s="3" t="s">
        <v>22</v>
      </c>
      <c r="E963" s="3" t="s">
        <v>32</v>
      </c>
      <c r="F963" s="5">
        <v>2</v>
      </c>
      <c r="G963" s="6">
        <v>21.68</v>
      </c>
      <c r="H963" s="6">
        <v>43.36</v>
      </c>
      <c r="I963" s="6">
        <v>0</v>
      </c>
      <c r="J963" s="6">
        <v>43.36</v>
      </c>
      <c r="K963" s="5">
        <v>362</v>
      </c>
    </row>
    <row r="964" spans="1:11" x14ac:dyDescent="0.3">
      <c r="A964" s="3">
        <v>2298</v>
      </c>
      <c r="B964" s="3" t="s">
        <v>30</v>
      </c>
      <c r="C964" s="4">
        <v>45159</v>
      </c>
      <c r="D964" s="3" t="s">
        <v>15</v>
      </c>
      <c r="E964" s="3" t="s">
        <v>48</v>
      </c>
      <c r="F964" s="5">
        <v>5</v>
      </c>
      <c r="G964" s="6">
        <v>2.69</v>
      </c>
      <c r="H964" s="6">
        <v>13.45</v>
      </c>
      <c r="I964" s="6">
        <v>1.34</v>
      </c>
      <c r="J964" s="6">
        <v>12.11</v>
      </c>
      <c r="K964" s="5">
        <v>170</v>
      </c>
    </row>
    <row r="965" spans="1:11" x14ac:dyDescent="0.3">
      <c r="A965" s="3">
        <v>5193</v>
      </c>
      <c r="B965" s="3" t="s">
        <v>36</v>
      </c>
      <c r="C965" s="4">
        <v>45312</v>
      </c>
      <c r="D965" s="3" t="s">
        <v>28</v>
      </c>
      <c r="E965" s="3" t="s">
        <v>40</v>
      </c>
      <c r="F965" s="5">
        <v>1</v>
      </c>
      <c r="G965" s="6">
        <v>8.35</v>
      </c>
      <c r="H965" s="6">
        <v>8.35</v>
      </c>
      <c r="I965" s="6">
        <v>1.25</v>
      </c>
      <c r="J965" s="6">
        <v>7.1</v>
      </c>
      <c r="K965" s="5">
        <v>317</v>
      </c>
    </row>
    <row r="966" spans="1:11" x14ac:dyDescent="0.3">
      <c r="A966" s="3">
        <v>3449</v>
      </c>
      <c r="B966" s="3" t="s">
        <v>24</v>
      </c>
      <c r="C966" s="4">
        <v>45571</v>
      </c>
      <c r="D966" s="3" t="s">
        <v>27</v>
      </c>
      <c r="E966" s="3" t="s">
        <v>23</v>
      </c>
      <c r="F966" s="5">
        <v>2</v>
      </c>
      <c r="G966" s="6">
        <v>29.06</v>
      </c>
      <c r="H966" s="6">
        <v>58.12</v>
      </c>
      <c r="I966" s="6">
        <v>1.72</v>
      </c>
      <c r="J966" s="6">
        <v>56.4</v>
      </c>
      <c r="K966" s="5">
        <v>286</v>
      </c>
    </row>
    <row r="967" spans="1:11" x14ac:dyDescent="0.3">
      <c r="A967" s="3">
        <v>9647</v>
      </c>
      <c r="B967" s="3" t="s">
        <v>19</v>
      </c>
      <c r="C967" s="4">
        <v>45473</v>
      </c>
      <c r="D967" s="3" t="s">
        <v>38</v>
      </c>
      <c r="E967" s="3" t="s">
        <v>47</v>
      </c>
      <c r="F967" s="5">
        <v>3</v>
      </c>
      <c r="G967" s="6">
        <v>26.45</v>
      </c>
      <c r="H967" s="6">
        <v>79.349999999999994</v>
      </c>
      <c r="I967" s="6">
        <v>11.9</v>
      </c>
      <c r="J967" s="6">
        <v>67.45</v>
      </c>
      <c r="K967" s="5">
        <v>67</v>
      </c>
    </row>
    <row r="968" spans="1:11" x14ac:dyDescent="0.3">
      <c r="A968" s="3">
        <v>2821</v>
      </c>
      <c r="B968" s="3" t="s">
        <v>14</v>
      </c>
      <c r="C968" s="4">
        <v>45747</v>
      </c>
      <c r="D968" s="3" t="s">
        <v>20</v>
      </c>
      <c r="E968" s="3" t="s">
        <v>41</v>
      </c>
      <c r="F968" s="5">
        <v>3</v>
      </c>
      <c r="G968" s="6">
        <v>4.38</v>
      </c>
      <c r="H968" s="6">
        <v>13.14</v>
      </c>
      <c r="I968" s="6">
        <v>1.31</v>
      </c>
      <c r="J968" s="6">
        <v>11.83</v>
      </c>
      <c r="K968" s="5">
        <v>22</v>
      </c>
    </row>
    <row r="969" spans="1:11" x14ac:dyDescent="0.3">
      <c r="A969" s="3">
        <v>5720</v>
      </c>
      <c r="B969" s="3" t="s">
        <v>30</v>
      </c>
      <c r="C969" s="4">
        <v>45329</v>
      </c>
      <c r="D969" s="3" t="s">
        <v>22</v>
      </c>
      <c r="E969" s="3" t="s">
        <v>16</v>
      </c>
      <c r="F969" s="5">
        <v>3</v>
      </c>
      <c r="G969" s="6">
        <v>27.17</v>
      </c>
      <c r="H969" s="6">
        <v>81.510000000000005</v>
      </c>
      <c r="I969" s="6">
        <v>2.25</v>
      </c>
      <c r="J969" s="6">
        <v>79.260000000000005</v>
      </c>
      <c r="K969" s="5">
        <v>134</v>
      </c>
    </row>
    <row r="970" spans="1:11" x14ac:dyDescent="0.3">
      <c r="A970" s="3">
        <v>5934</v>
      </c>
      <c r="B970" s="3" t="s">
        <v>19</v>
      </c>
      <c r="C970" s="4">
        <v>45239</v>
      </c>
      <c r="D970" s="3" t="s">
        <v>22</v>
      </c>
      <c r="E970" s="3" t="s">
        <v>47</v>
      </c>
      <c r="F970" s="5">
        <v>2</v>
      </c>
      <c r="G970" s="6">
        <v>17.100000000000001</v>
      </c>
      <c r="H970" s="6">
        <v>34.200000000000003</v>
      </c>
      <c r="I970" s="6">
        <v>1.76</v>
      </c>
      <c r="J970" s="6">
        <v>32.44</v>
      </c>
      <c r="K970" s="5">
        <v>472</v>
      </c>
    </row>
    <row r="971" spans="1:11" x14ac:dyDescent="0.3">
      <c r="A971" s="3">
        <v>1782</v>
      </c>
      <c r="B971" s="3" t="s">
        <v>31</v>
      </c>
      <c r="C971" s="4">
        <v>45330</v>
      </c>
      <c r="D971" s="3" t="s">
        <v>17</v>
      </c>
      <c r="E971" s="3" t="s">
        <v>29</v>
      </c>
      <c r="F971" s="5">
        <v>1</v>
      </c>
      <c r="G971" s="6">
        <v>14.63</v>
      </c>
      <c r="H971" s="6">
        <v>14.63</v>
      </c>
      <c r="I971" s="6">
        <v>1.46</v>
      </c>
      <c r="J971" s="6">
        <v>13.17</v>
      </c>
      <c r="K971" s="5">
        <v>83</v>
      </c>
    </row>
    <row r="972" spans="1:11" x14ac:dyDescent="0.3">
      <c r="A972" s="3">
        <v>7878</v>
      </c>
      <c r="B972" s="3" t="s">
        <v>11</v>
      </c>
      <c r="C972" s="4">
        <v>45641</v>
      </c>
      <c r="D972" s="3" t="s">
        <v>45</v>
      </c>
      <c r="E972" s="3" t="s">
        <v>40</v>
      </c>
      <c r="F972" s="5">
        <v>4</v>
      </c>
      <c r="G972" s="6">
        <v>11.33</v>
      </c>
      <c r="H972" s="6">
        <v>45.32</v>
      </c>
      <c r="I972" s="6">
        <v>4.53</v>
      </c>
      <c r="J972" s="6">
        <v>40.79</v>
      </c>
      <c r="K972" s="5">
        <v>363</v>
      </c>
    </row>
    <row r="973" spans="1:11" x14ac:dyDescent="0.3">
      <c r="A973" s="3">
        <v>8489</v>
      </c>
      <c r="B973" s="3" t="s">
        <v>26</v>
      </c>
      <c r="C973" s="4">
        <v>45193</v>
      </c>
      <c r="D973" s="3" t="s">
        <v>15</v>
      </c>
      <c r="E973" s="3" t="s">
        <v>41</v>
      </c>
      <c r="F973" s="5">
        <v>1</v>
      </c>
      <c r="G973" s="6">
        <v>11.13</v>
      </c>
      <c r="H973" s="6">
        <v>11.13</v>
      </c>
      <c r="I973" s="6">
        <v>2.23</v>
      </c>
      <c r="J973" s="6">
        <v>8.9</v>
      </c>
      <c r="K973" s="5">
        <v>104</v>
      </c>
    </row>
    <row r="974" spans="1:11" x14ac:dyDescent="0.3">
      <c r="A974" s="3">
        <v>2816</v>
      </c>
      <c r="B974" s="3" t="s">
        <v>19</v>
      </c>
      <c r="C974" s="4">
        <v>45794</v>
      </c>
      <c r="D974" s="3" t="s">
        <v>38</v>
      </c>
      <c r="E974" s="3" t="s">
        <v>13</v>
      </c>
      <c r="F974" s="5">
        <v>5</v>
      </c>
      <c r="G974" s="6">
        <v>26.83</v>
      </c>
      <c r="H974" s="6">
        <v>134.15</v>
      </c>
      <c r="I974" s="6">
        <v>4.99</v>
      </c>
      <c r="J974" s="6">
        <v>129.16</v>
      </c>
      <c r="K974" s="5">
        <v>299</v>
      </c>
    </row>
    <row r="975" spans="1:11" x14ac:dyDescent="0.3">
      <c r="A975" s="3">
        <v>9189</v>
      </c>
      <c r="B975" s="3" t="s">
        <v>31</v>
      </c>
      <c r="C975" s="4">
        <v>45608</v>
      </c>
      <c r="D975" s="3" t="s">
        <v>38</v>
      </c>
      <c r="E975" s="3" t="s">
        <v>29</v>
      </c>
      <c r="F975" s="5">
        <v>4</v>
      </c>
      <c r="G975" s="6">
        <v>27.68</v>
      </c>
      <c r="H975" s="6">
        <v>110.72</v>
      </c>
      <c r="I975" s="6">
        <v>0</v>
      </c>
      <c r="J975" s="6">
        <v>110.72</v>
      </c>
      <c r="K975" s="5">
        <v>126</v>
      </c>
    </row>
    <row r="976" spans="1:11" x14ac:dyDescent="0.3">
      <c r="A976" s="3">
        <v>9782</v>
      </c>
      <c r="B976" s="3" t="s">
        <v>11</v>
      </c>
      <c r="C976" s="4">
        <v>45157</v>
      </c>
      <c r="D976" s="3" t="s">
        <v>22</v>
      </c>
      <c r="E976" s="3" t="s">
        <v>39</v>
      </c>
      <c r="F976" s="5">
        <v>3</v>
      </c>
      <c r="G976" s="6">
        <v>20.75</v>
      </c>
      <c r="H976" s="6">
        <v>62.25</v>
      </c>
      <c r="I976" s="6">
        <v>6.23</v>
      </c>
      <c r="J976" s="6">
        <v>56.02</v>
      </c>
      <c r="K976" s="5">
        <v>348</v>
      </c>
    </row>
    <row r="977" spans="1:11" x14ac:dyDescent="0.3">
      <c r="A977" s="3">
        <v>9443</v>
      </c>
      <c r="B977" s="3" t="s">
        <v>36</v>
      </c>
      <c r="C977" s="4">
        <v>45591</v>
      </c>
      <c r="D977" s="3" t="s">
        <v>28</v>
      </c>
      <c r="E977" s="3" t="s">
        <v>48</v>
      </c>
      <c r="F977" s="5">
        <v>3</v>
      </c>
      <c r="G977" s="6">
        <v>5.45</v>
      </c>
      <c r="H977" s="6">
        <v>16.350000000000001</v>
      </c>
      <c r="I977" s="6">
        <v>0</v>
      </c>
      <c r="J977" s="6">
        <v>16.350000000000001</v>
      </c>
      <c r="K977" s="5">
        <v>41</v>
      </c>
    </row>
    <row r="978" spans="1:11" x14ac:dyDescent="0.3">
      <c r="A978" s="3">
        <v>4963</v>
      </c>
      <c r="B978" s="3" t="s">
        <v>26</v>
      </c>
      <c r="C978" s="4">
        <v>45703</v>
      </c>
      <c r="D978" s="3" t="s">
        <v>45</v>
      </c>
      <c r="E978" s="3" t="s">
        <v>13</v>
      </c>
      <c r="F978" s="5">
        <v>5</v>
      </c>
      <c r="G978" s="6">
        <v>20.07</v>
      </c>
      <c r="H978" s="6">
        <v>100.35</v>
      </c>
      <c r="I978" s="6">
        <v>0</v>
      </c>
      <c r="J978" s="6">
        <v>100.35</v>
      </c>
      <c r="K978" s="5">
        <v>168</v>
      </c>
    </row>
    <row r="979" spans="1:11" x14ac:dyDescent="0.3">
      <c r="A979" s="3">
        <v>3352</v>
      </c>
      <c r="B979" s="3" t="s">
        <v>26</v>
      </c>
      <c r="C979" s="4">
        <v>45371</v>
      </c>
      <c r="D979" s="3" t="s">
        <v>22</v>
      </c>
      <c r="E979" s="3" t="s">
        <v>41</v>
      </c>
      <c r="F979" s="5">
        <v>2</v>
      </c>
      <c r="G979" s="6">
        <v>26.03</v>
      </c>
      <c r="H979" s="6">
        <v>52.06</v>
      </c>
      <c r="I979" s="6">
        <v>7.81</v>
      </c>
      <c r="J979" s="6">
        <v>44.25</v>
      </c>
      <c r="K979" s="5">
        <v>410</v>
      </c>
    </row>
    <row r="980" spans="1:11" x14ac:dyDescent="0.3">
      <c r="A980" s="3">
        <v>8032</v>
      </c>
      <c r="B980" s="3" t="s">
        <v>31</v>
      </c>
      <c r="C980" s="4">
        <v>45146</v>
      </c>
      <c r="D980" s="3" t="s">
        <v>15</v>
      </c>
      <c r="E980" s="3" t="s">
        <v>18</v>
      </c>
      <c r="F980" s="5">
        <v>5</v>
      </c>
      <c r="G980" s="6">
        <v>12.05</v>
      </c>
      <c r="H980" s="6">
        <v>60.25</v>
      </c>
      <c r="I980" s="6">
        <v>12.05</v>
      </c>
      <c r="J980" s="6">
        <v>48.2</v>
      </c>
      <c r="K980" s="5">
        <v>204</v>
      </c>
    </row>
    <row r="981" spans="1:11" x14ac:dyDescent="0.3">
      <c r="A981" s="3">
        <v>6780</v>
      </c>
      <c r="B981" s="3" t="s">
        <v>42</v>
      </c>
      <c r="C981" s="4">
        <v>45331</v>
      </c>
      <c r="D981" s="3" t="s">
        <v>20</v>
      </c>
      <c r="E981" s="3" t="s">
        <v>43</v>
      </c>
      <c r="F981" s="5">
        <v>1</v>
      </c>
      <c r="G981" s="6">
        <v>25.71</v>
      </c>
      <c r="H981" s="6">
        <v>25.71</v>
      </c>
      <c r="I981" s="6">
        <v>2.57</v>
      </c>
      <c r="J981" s="6">
        <v>23.14</v>
      </c>
      <c r="K981" s="5">
        <v>83</v>
      </c>
    </row>
    <row r="982" spans="1:11" x14ac:dyDescent="0.3">
      <c r="A982" s="3">
        <v>7825</v>
      </c>
      <c r="B982" s="3" t="s">
        <v>30</v>
      </c>
      <c r="C982" s="4">
        <v>45290</v>
      </c>
      <c r="D982" s="3" t="s">
        <v>27</v>
      </c>
      <c r="E982" s="3" t="s">
        <v>41</v>
      </c>
      <c r="F982" s="5">
        <v>1</v>
      </c>
      <c r="G982" s="6">
        <v>9.65</v>
      </c>
      <c r="H982" s="6">
        <v>9.65</v>
      </c>
      <c r="I982" s="6">
        <v>0</v>
      </c>
      <c r="J982" s="6">
        <v>9.65</v>
      </c>
      <c r="K982" s="5">
        <v>410</v>
      </c>
    </row>
    <row r="983" spans="1:11" x14ac:dyDescent="0.3">
      <c r="A983" s="3">
        <v>2402</v>
      </c>
      <c r="B983" s="3" t="s">
        <v>30</v>
      </c>
      <c r="C983" s="4">
        <v>45551</v>
      </c>
      <c r="D983" s="3" t="s">
        <v>27</v>
      </c>
      <c r="E983" s="3" t="s">
        <v>41</v>
      </c>
      <c r="F983" s="5">
        <v>3</v>
      </c>
      <c r="G983" s="6">
        <v>20.29</v>
      </c>
      <c r="H983" s="6">
        <v>60.87</v>
      </c>
      <c r="I983" s="6">
        <v>1.8</v>
      </c>
      <c r="J983" s="6">
        <v>59.07</v>
      </c>
      <c r="K983" s="5">
        <v>426</v>
      </c>
    </row>
    <row r="984" spans="1:11" x14ac:dyDescent="0.3">
      <c r="A984" s="3">
        <v>6908</v>
      </c>
      <c r="B984" s="3" t="s">
        <v>26</v>
      </c>
      <c r="C984" s="4">
        <v>45197</v>
      </c>
      <c r="D984" s="3" t="s">
        <v>20</v>
      </c>
      <c r="E984" s="3" t="s">
        <v>47</v>
      </c>
      <c r="F984" s="5">
        <v>3</v>
      </c>
      <c r="G984" s="6">
        <v>17.32</v>
      </c>
      <c r="H984" s="6">
        <v>51.96</v>
      </c>
      <c r="I984" s="6">
        <v>5.2</v>
      </c>
      <c r="J984" s="6">
        <v>46.76</v>
      </c>
      <c r="K984" s="5">
        <v>216</v>
      </c>
    </row>
    <row r="985" spans="1:11" x14ac:dyDescent="0.3">
      <c r="A985" s="3">
        <v>9618</v>
      </c>
      <c r="B985" s="3" t="s">
        <v>36</v>
      </c>
      <c r="C985" s="4">
        <v>45567</v>
      </c>
      <c r="D985" s="3" t="s">
        <v>28</v>
      </c>
      <c r="E985" s="3" t="s">
        <v>29</v>
      </c>
      <c r="F985" s="5">
        <v>4</v>
      </c>
      <c r="G985" s="6">
        <v>19.28</v>
      </c>
      <c r="H985" s="6">
        <v>77.12</v>
      </c>
      <c r="I985" s="6">
        <v>2.37</v>
      </c>
      <c r="J985" s="6">
        <v>74.75</v>
      </c>
      <c r="K985" s="5">
        <v>47</v>
      </c>
    </row>
    <row r="986" spans="1:11" x14ac:dyDescent="0.3">
      <c r="A986" s="3">
        <v>9312</v>
      </c>
      <c r="B986" s="3" t="s">
        <v>26</v>
      </c>
      <c r="C986" s="4">
        <v>45755</v>
      </c>
      <c r="D986" s="3" t="s">
        <v>27</v>
      </c>
      <c r="E986" s="3" t="s">
        <v>25</v>
      </c>
      <c r="F986" s="5">
        <v>2</v>
      </c>
      <c r="G986" s="6">
        <v>27.98</v>
      </c>
      <c r="H986" s="6">
        <v>55.96</v>
      </c>
      <c r="I986" s="6">
        <v>8.39</v>
      </c>
      <c r="J986" s="6">
        <v>47.57</v>
      </c>
      <c r="K986" s="5">
        <v>269</v>
      </c>
    </row>
    <row r="987" spans="1:11" x14ac:dyDescent="0.3">
      <c r="A987" s="3">
        <v>9316</v>
      </c>
      <c r="B987" s="3" t="s">
        <v>26</v>
      </c>
      <c r="C987" s="4">
        <v>45575</v>
      </c>
      <c r="D987" s="3" t="s">
        <v>20</v>
      </c>
      <c r="E987" s="3" t="s">
        <v>43</v>
      </c>
      <c r="F987" s="5">
        <v>4</v>
      </c>
      <c r="G987" s="6">
        <v>9.6999999999999993</v>
      </c>
      <c r="H987" s="6">
        <v>38.799999999999997</v>
      </c>
      <c r="I987" s="6">
        <v>7.76</v>
      </c>
      <c r="J987" s="6">
        <v>31.04</v>
      </c>
      <c r="K987" s="5">
        <v>65</v>
      </c>
    </row>
    <row r="988" spans="1:11" x14ac:dyDescent="0.3">
      <c r="A988" s="3">
        <v>1333</v>
      </c>
      <c r="B988" s="3" t="s">
        <v>14</v>
      </c>
      <c r="C988" s="4">
        <v>45448</v>
      </c>
      <c r="D988" s="3" t="s">
        <v>20</v>
      </c>
      <c r="E988" s="3" t="s">
        <v>37</v>
      </c>
      <c r="F988" s="5">
        <v>5</v>
      </c>
      <c r="G988" s="6">
        <v>2.37</v>
      </c>
      <c r="H988" s="6">
        <v>11.85</v>
      </c>
      <c r="I988" s="6">
        <v>1.43</v>
      </c>
      <c r="J988" s="6">
        <v>10.42</v>
      </c>
      <c r="K988" s="5">
        <v>39</v>
      </c>
    </row>
    <row r="989" spans="1:11" x14ac:dyDescent="0.3">
      <c r="A989" s="3">
        <v>8702</v>
      </c>
      <c r="B989" s="3" t="s">
        <v>24</v>
      </c>
      <c r="C989" s="4">
        <v>45178</v>
      </c>
      <c r="D989" s="3" t="s">
        <v>20</v>
      </c>
      <c r="E989" s="3" t="s">
        <v>48</v>
      </c>
      <c r="F989" s="5">
        <v>4</v>
      </c>
      <c r="G989" s="6">
        <v>20.149999999999999</v>
      </c>
      <c r="H989" s="6">
        <v>80.599999999999994</v>
      </c>
      <c r="I989" s="6">
        <v>12.09</v>
      </c>
      <c r="J989" s="6">
        <v>68.510000000000005</v>
      </c>
      <c r="K989" s="5">
        <v>291</v>
      </c>
    </row>
    <row r="990" spans="1:11" x14ac:dyDescent="0.3">
      <c r="A990" s="3">
        <v>7338</v>
      </c>
      <c r="B990" s="3" t="s">
        <v>30</v>
      </c>
      <c r="C990" s="4">
        <v>45434</v>
      </c>
      <c r="D990" s="3" t="s">
        <v>28</v>
      </c>
      <c r="E990" s="3" t="s">
        <v>43</v>
      </c>
      <c r="F990" s="5">
        <v>5</v>
      </c>
      <c r="G990" s="6">
        <v>1.46</v>
      </c>
      <c r="H990" s="6">
        <v>7.3</v>
      </c>
      <c r="I990" s="6">
        <v>1.46</v>
      </c>
      <c r="J990" s="6">
        <v>5.84</v>
      </c>
      <c r="K990" s="5">
        <v>379</v>
      </c>
    </row>
    <row r="991" spans="1:11" x14ac:dyDescent="0.3">
      <c r="A991" s="3">
        <v>5155</v>
      </c>
      <c r="B991" s="3" t="s">
        <v>19</v>
      </c>
      <c r="C991" s="4">
        <v>45725</v>
      </c>
      <c r="D991" s="3" t="s">
        <v>20</v>
      </c>
      <c r="E991" s="3" t="s">
        <v>40</v>
      </c>
      <c r="F991" s="5">
        <v>1</v>
      </c>
      <c r="G991" s="6">
        <v>13.06</v>
      </c>
      <c r="H991" s="6">
        <v>13.06</v>
      </c>
      <c r="I991" s="6">
        <v>1.96</v>
      </c>
      <c r="J991" s="6">
        <v>11.1</v>
      </c>
      <c r="K991" s="5">
        <v>360</v>
      </c>
    </row>
    <row r="992" spans="1:11" x14ac:dyDescent="0.3">
      <c r="A992" s="3">
        <v>1266</v>
      </c>
      <c r="B992" s="3" t="s">
        <v>26</v>
      </c>
      <c r="C992" s="4">
        <v>45422</v>
      </c>
      <c r="D992" s="3" t="s">
        <v>27</v>
      </c>
      <c r="E992" s="3" t="s">
        <v>33</v>
      </c>
      <c r="F992" s="5">
        <v>5</v>
      </c>
      <c r="G992" s="6">
        <v>24.42</v>
      </c>
      <c r="H992" s="6">
        <v>122.1</v>
      </c>
      <c r="I992" s="6">
        <v>24.42</v>
      </c>
      <c r="J992" s="6">
        <v>97.68</v>
      </c>
      <c r="K992" s="5">
        <v>174</v>
      </c>
    </row>
    <row r="993" spans="1:11" x14ac:dyDescent="0.3">
      <c r="A993" s="3">
        <v>2106</v>
      </c>
      <c r="B993" s="3" t="s">
        <v>19</v>
      </c>
      <c r="C993" s="4">
        <v>45412</v>
      </c>
      <c r="D993" s="3" t="s">
        <v>15</v>
      </c>
      <c r="E993" s="3" t="s">
        <v>13</v>
      </c>
      <c r="F993" s="5">
        <v>1</v>
      </c>
      <c r="G993" s="6">
        <v>13.57</v>
      </c>
      <c r="H993" s="6">
        <v>13.57</v>
      </c>
      <c r="I993" s="6">
        <v>1.36</v>
      </c>
      <c r="J993" s="6">
        <v>12.21</v>
      </c>
      <c r="K993" s="5">
        <v>9</v>
      </c>
    </row>
    <row r="994" spans="1:11" x14ac:dyDescent="0.3">
      <c r="A994" s="3">
        <v>4950</v>
      </c>
      <c r="B994" s="3" t="s">
        <v>11</v>
      </c>
      <c r="C994" s="4">
        <v>45714</v>
      </c>
      <c r="D994" s="3" t="s">
        <v>12</v>
      </c>
      <c r="E994" s="3" t="s">
        <v>29</v>
      </c>
      <c r="F994" s="5">
        <v>4</v>
      </c>
      <c r="G994" s="6">
        <v>14.33</v>
      </c>
      <c r="H994" s="6">
        <v>57.32</v>
      </c>
      <c r="I994" s="6">
        <v>8.6</v>
      </c>
      <c r="J994" s="6">
        <v>48.72</v>
      </c>
      <c r="K994" s="5">
        <v>207</v>
      </c>
    </row>
    <row r="995" spans="1:11" x14ac:dyDescent="0.3">
      <c r="A995" s="3">
        <v>2698</v>
      </c>
      <c r="B995" s="3" t="s">
        <v>36</v>
      </c>
      <c r="C995" s="4">
        <v>45744</v>
      </c>
      <c r="D995" s="3" t="s">
        <v>27</v>
      </c>
      <c r="E995" s="3" t="s">
        <v>32</v>
      </c>
      <c r="F995" s="5">
        <v>3</v>
      </c>
      <c r="G995" s="6">
        <v>3.53</v>
      </c>
      <c r="H995" s="6">
        <v>10.59</v>
      </c>
      <c r="I995" s="6">
        <v>2.12</v>
      </c>
      <c r="J995" s="6">
        <v>8.4700000000000006</v>
      </c>
      <c r="K995" s="5">
        <v>69</v>
      </c>
    </row>
    <row r="996" spans="1:11" x14ac:dyDescent="0.3">
      <c r="A996" s="3">
        <v>6447</v>
      </c>
      <c r="B996" s="3" t="s">
        <v>11</v>
      </c>
      <c r="C996" s="4">
        <v>45248</v>
      </c>
      <c r="D996" s="3" t="s">
        <v>12</v>
      </c>
      <c r="E996" s="3" t="s">
        <v>44</v>
      </c>
      <c r="F996" s="5">
        <v>1</v>
      </c>
      <c r="G996" s="6">
        <v>7.06</v>
      </c>
      <c r="H996" s="6">
        <v>7.06</v>
      </c>
      <c r="I996" s="6">
        <v>0</v>
      </c>
      <c r="J996" s="6">
        <v>7.06</v>
      </c>
      <c r="K996" s="5">
        <v>332</v>
      </c>
    </row>
    <row r="997" spans="1:11" x14ac:dyDescent="0.3">
      <c r="A997" s="3">
        <v>1726</v>
      </c>
      <c r="B997" s="3" t="s">
        <v>42</v>
      </c>
      <c r="C997" s="4">
        <v>45418</v>
      </c>
      <c r="D997" s="3" t="s">
        <v>20</v>
      </c>
      <c r="E997" s="3" t="s">
        <v>18</v>
      </c>
      <c r="F997" s="5">
        <v>2</v>
      </c>
      <c r="G997" s="6">
        <v>3.49</v>
      </c>
      <c r="H997" s="6">
        <v>6.98</v>
      </c>
      <c r="I997" s="6">
        <v>1.4</v>
      </c>
      <c r="J997" s="6">
        <v>5.58</v>
      </c>
      <c r="K997" s="5">
        <v>394</v>
      </c>
    </row>
    <row r="998" spans="1:11" x14ac:dyDescent="0.3">
      <c r="A998" s="3">
        <v>9945</v>
      </c>
      <c r="B998" s="3" t="s">
        <v>26</v>
      </c>
      <c r="C998" s="4">
        <v>45407</v>
      </c>
      <c r="D998" s="3" t="s">
        <v>20</v>
      </c>
      <c r="E998" s="3" t="s">
        <v>39</v>
      </c>
      <c r="F998" s="5">
        <v>1</v>
      </c>
      <c r="G998" s="6">
        <v>5.81</v>
      </c>
      <c r="H998" s="6">
        <v>5.81</v>
      </c>
      <c r="I998" s="6">
        <v>0.57999999999999996</v>
      </c>
      <c r="J998" s="6">
        <v>5.23</v>
      </c>
      <c r="K998" s="5">
        <v>78</v>
      </c>
    </row>
    <row r="999" spans="1:11" x14ac:dyDescent="0.3">
      <c r="A999" s="3">
        <v>3868</v>
      </c>
      <c r="B999" s="3" t="s">
        <v>26</v>
      </c>
      <c r="C999" s="4">
        <v>45789</v>
      </c>
      <c r="D999" s="3" t="s">
        <v>12</v>
      </c>
      <c r="E999" s="3" t="s">
        <v>33</v>
      </c>
      <c r="F999" s="5">
        <v>5</v>
      </c>
      <c r="G999" s="6">
        <v>8.0299999999999994</v>
      </c>
      <c r="H999" s="6">
        <v>40.15</v>
      </c>
      <c r="I999" s="6">
        <v>2.34</v>
      </c>
      <c r="J999" s="6">
        <v>37.81</v>
      </c>
      <c r="K999" s="5">
        <v>150</v>
      </c>
    </row>
    <row r="1000" spans="1:11" x14ac:dyDescent="0.3">
      <c r="A1000" s="3">
        <v>8612</v>
      </c>
      <c r="B1000" s="3" t="s">
        <v>11</v>
      </c>
      <c r="C1000" s="4">
        <v>45685</v>
      </c>
      <c r="D1000" s="3" t="s">
        <v>27</v>
      </c>
      <c r="E1000" s="3" t="s">
        <v>16</v>
      </c>
      <c r="F1000" s="5">
        <v>4</v>
      </c>
      <c r="G1000" s="6">
        <v>25.6</v>
      </c>
      <c r="H1000" s="6">
        <v>102.4</v>
      </c>
      <c r="I1000" s="6">
        <v>2.95</v>
      </c>
      <c r="J1000" s="6">
        <v>99.45</v>
      </c>
      <c r="K1000" s="5">
        <v>377</v>
      </c>
    </row>
    <row r="1001" spans="1:11" x14ac:dyDescent="0.3">
      <c r="A1001" s="3">
        <v>8840</v>
      </c>
      <c r="B1001" s="3" t="s">
        <v>26</v>
      </c>
      <c r="C1001" s="4">
        <v>45635</v>
      </c>
      <c r="D1001" s="3" t="s">
        <v>38</v>
      </c>
      <c r="E1001" s="3" t="s">
        <v>47</v>
      </c>
      <c r="F1001" s="5">
        <v>2</v>
      </c>
      <c r="G1001" s="6">
        <v>21.7</v>
      </c>
      <c r="H1001" s="6">
        <v>43.4</v>
      </c>
      <c r="I1001" s="6">
        <v>4.34</v>
      </c>
      <c r="J1001" s="6">
        <v>39.06</v>
      </c>
      <c r="K1001" s="5">
        <v>270</v>
      </c>
    </row>
    <row r="1002" spans="1:11" x14ac:dyDescent="0.3">
      <c r="A1002" s="3">
        <v>3986</v>
      </c>
      <c r="B1002" s="3" t="s">
        <v>36</v>
      </c>
      <c r="C1002" s="4">
        <v>45775</v>
      </c>
      <c r="D1002" s="3" t="s">
        <v>38</v>
      </c>
      <c r="E1002" s="3" t="s">
        <v>43</v>
      </c>
      <c r="F1002" s="5">
        <v>3</v>
      </c>
      <c r="G1002" s="6">
        <v>26.88</v>
      </c>
      <c r="H1002" s="6">
        <v>80.64</v>
      </c>
      <c r="I1002" s="6">
        <v>2.98</v>
      </c>
      <c r="J1002" s="6">
        <v>77.66</v>
      </c>
      <c r="K1002" s="5">
        <v>213</v>
      </c>
    </row>
    <row r="1003" spans="1:11" x14ac:dyDescent="0.3">
      <c r="A1003" s="3">
        <v>3209</v>
      </c>
      <c r="B1003" s="3" t="s">
        <v>36</v>
      </c>
      <c r="C1003" s="4">
        <v>45194</v>
      </c>
      <c r="D1003" s="3" t="s">
        <v>45</v>
      </c>
      <c r="E1003" s="3" t="s">
        <v>16</v>
      </c>
      <c r="F1003" s="5">
        <v>1</v>
      </c>
      <c r="G1003" s="6">
        <v>5.67</v>
      </c>
      <c r="H1003" s="6">
        <v>5.67</v>
      </c>
      <c r="I1003" s="6">
        <v>0.56999999999999995</v>
      </c>
      <c r="J1003" s="6">
        <v>5.0999999999999996</v>
      </c>
      <c r="K1003" s="5">
        <v>371</v>
      </c>
    </row>
    <row r="1004" spans="1:11" x14ac:dyDescent="0.3">
      <c r="A1004" s="3">
        <v>8498</v>
      </c>
      <c r="B1004" s="3" t="s">
        <v>36</v>
      </c>
      <c r="C1004" s="4">
        <v>45173</v>
      </c>
      <c r="D1004" s="3" t="s">
        <v>45</v>
      </c>
      <c r="E1004" s="3" t="s">
        <v>25</v>
      </c>
      <c r="F1004" s="5">
        <v>5</v>
      </c>
      <c r="G1004" s="6">
        <v>7.36</v>
      </c>
      <c r="H1004" s="6">
        <v>36.799999999999997</v>
      </c>
      <c r="I1004" s="6">
        <v>4.41</v>
      </c>
      <c r="J1004" s="6">
        <v>32.39</v>
      </c>
      <c r="K1004" s="5">
        <v>465</v>
      </c>
    </row>
    <row r="1005" spans="1:11" x14ac:dyDescent="0.3">
      <c r="A1005" s="3">
        <v>5807</v>
      </c>
      <c r="B1005" s="3" t="s">
        <v>26</v>
      </c>
      <c r="C1005" s="4">
        <v>45301</v>
      </c>
      <c r="D1005" s="3" t="s">
        <v>34</v>
      </c>
      <c r="E1005" s="3" t="s">
        <v>37</v>
      </c>
      <c r="F1005" s="5">
        <v>4</v>
      </c>
      <c r="G1005" s="6">
        <v>28.82</v>
      </c>
      <c r="H1005" s="6">
        <v>115.28</v>
      </c>
      <c r="I1005" s="6">
        <v>11.53</v>
      </c>
      <c r="J1005" s="6">
        <v>103.75</v>
      </c>
      <c r="K1005" s="5">
        <v>426</v>
      </c>
    </row>
    <row r="1006" spans="1:11" x14ac:dyDescent="0.3">
      <c r="A1006" s="3">
        <v>1717</v>
      </c>
      <c r="B1006" s="3" t="s">
        <v>19</v>
      </c>
      <c r="C1006" s="4">
        <v>45759</v>
      </c>
      <c r="D1006" s="3" t="s">
        <v>28</v>
      </c>
      <c r="E1006" s="3" t="s">
        <v>44</v>
      </c>
      <c r="F1006" s="5">
        <v>3</v>
      </c>
      <c r="G1006" s="6">
        <v>21.02</v>
      </c>
      <c r="H1006" s="6">
        <v>63.06</v>
      </c>
      <c r="I1006" s="6">
        <v>12.61</v>
      </c>
      <c r="J1006" s="6">
        <v>50.45</v>
      </c>
      <c r="K1006" s="5">
        <v>44</v>
      </c>
    </row>
    <row r="1007" spans="1:11" x14ac:dyDescent="0.3">
      <c r="A1007" s="3">
        <v>4268</v>
      </c>
      <c r="B1007" s="3" t="s">
        <v>19</v>
      </c>
      <c r="C1007" s="4">
        <v>45833</v>
      </c>
      <c r="D1007" s="3" t="s">
        <v>17</v>
      </c>
      <c r="E1007" s="3" t="s">
        <v>29</v>
      </c>
      <c r="F1007" s="5">
        <v>5</v>
      </c>
      <c r="G1007" s="6">
        <v>15.26</v>
      </c>
      <c r="H1007" s="6">
        <v>76.3</v>
      </c>
      <c r="I1007" s="6">
        <v>7.63</v>
      </c>
      <c r="J1007" s="6">
        <v>68.67</v>
      </c>
      <c r="K1007" s="5">
        <v>406</v>
      </c>
    </row>
    <row r="1008" spans="1:11" x14ac:dyDescent="0.3">
      <c r="A1008" s="3">
        <v>1686</v>
      </c>
      <c r="B1008" s="3" t="s">
        <v>30</v>
      </c>
      <c r="C1008" s="4">
        <v>45390</v>
      </c>
      <c r="D1008" s="3" t="s">
        <v>17</v>
      </c>
      <c r="E1008" s="3" t="s">
        <v>44</v>
      </c>
      <c r="F1008" s="5">
        <v>5</v>
      </c>
      <c r="G1008" s="6">
        <v>2.35</v>
      </c>
      <c r="H1008" s="6">
        <v>11.75</v>
      </c>
      <c r="I1008" s="6">
        <v>1.76</v>
      </c>
      <c r="J1008" s="6">
        <v>9.99</v>
      </c>
      <c r="K1008" s="5">
        <v>9</v>
      </c>
    </row>
    <row r="1009" spans="1:11" x14ac:dyDescent="0.3">
      <c r="A1009" s="3">
        <v>6080</v>
      </c>
      <c r="B1009" s="3" t="s">
        <v>36</v>
      </c>
      <c r="C1009" s="4">
        <v>45545</v>
      </c>
      <c r="D1009" s="3" t="s">
        <v>27</v>
      </c>
      <c r="E1009" s="3" t="s">
        <v>29</v>
      </c>
      <c r="F1009" s="5">
        <v>2</v>
      </c>
      <c r="G1009" s="6">
        <v>25</v>
      </c>
      <c r="H1009" s="6">
        <v>50</v>
      </c>
      <c r="I1009" s="6">
        <v>2.35</v>
      </c>
      <c r="J1009" s="6">
        <v>47.65</v>
      </c>
      <c r="K1009" s="5">
        <v>457</v>
      </c>
    </row>
    <row r="1010" spans="1:11" x14ac:dyDescent="0.3">
      <c r="A1010" s="3">
        <v>7524</v>
      </c>
      <c r="B1010" s="3" t="s">
        <v>11</v>
      </c>
      <c r="C1010" s="4">
        <v>45778</v>
      </c>
      <c r="D1010" s="3" t="s">
        <v>28</v>
      </c>
      <c r="E1010" s="3" t="s">
        <v>25</v>
      </c>
      <c r="F1010" s="5">
        <v>1</v>
      </c>
      <c r="G1010" s="6">
        <v>17.29</v>
      </c>
      <c r="H1010" s="6">
        <v>17.29</v>
      </c>
      <c r="I1010" s="6">
        <v>2.59</v>
      </c>
      <c r="J1010" s="6">
        <v>14.7</v>
      </c>
      <c r="K1010" s="5">
        <v>249</v>
      </c>
    </row>
    <row r="1011" spans="1:11" x14ac:dyDescent="0.3">
      <c r="A1011" s="3">
        <v>9897</v>
      </c>
      <c r="B1011" s="3" t="s">
        <v>36</v>
      </c>
      <c r="C1011" s="4">
        <v>45512</v>
      </c>
      <c r="D1011" s="3" t="s">
        <v>12</v>
      </c>
      <c r="E1011" s="3" t="s">
        <v>18</v>
      </c>
      <c r="F1011" s="5">
        <v>3</v>
      </c>
      <c r="G1011" s="6">
        <v>26.98</v>
      </c>
      <c r="H1011" s="6">
        <v>80.94</v>
      </c>
      <c r="I1011" s="6">
        <v>0</v>
      </c>
      <c r="J1011" s="6">
        <v>80.94</v>
      </c>
      <c r="K1011" s="5">
        <v>436</v>
      </c>
    </row>
    <row r="1012" spans="1:11" x14ac:dyDescent="0.3">
      <c r="A1012" s="3">
        <v>5150</v>
      </c>
      <c r="B1012" s="3" t="s">
        <v>31</v>
      </c>
      <c r="C1012" s="4">
        <v>45173</v>
      </c>
      <c r="D1012" s="3" t="s">
        <v>45</v>
      </c>
      <c r="E1012" s="3" t="s">
        <v>33</v>
      </c>
      <c r="F1012" s="5">
        <v>1</v>
      </c>
      <c r="G1012" s="6">
        <v>29.26</v>
      </c>
      <c r="H1012" s="6">
        <v>29.26</v>
      </c>
      <c r="I1012" s="6">
        <v>1.17</v>
      </c>
      <c r="J1012" s="6">
        <v>28.09</v>
      </c>
      <c r="K1012" s="5">
        <v>400</v>
      </c>
    </row>
    <row r="1013" spans="1:11" x14ac:dyDescent="0.3">
      <c r="A1013" s="3">
        <v>4131</v>
      </c>
      <c r="B1013" s="3" t="s">
        <v>11</v>
      </c>
      <c r="C1013" s="4">
        <v>45367</v>
      </c>
      <c r="D1013" s="3" t="s">
        <v>34</v>
      </c>
      <c r="E1013" s="3" t="s">
        <v>48</v>
      </c>
      <c r="F1013" s="5">
        <v>2</v>
      </c>
      <c r="G1013" s="6">
        <v>27.41</v>
      </c>
      <c r="H1013" s="6">
        <v>54.82</v>
      </c>
      <c r="I1013" s="6">
        <v>0</v>
      </c>
      <c r="J1013" s="6">
        <v>54.82</v>
      </c>
      <c r="K1013" s="5">
        <v>80</v>
      </c>
    </row>
    <row r="1014" spans="1:11" x14ac:dyDescent="0.3">
      <c r="A1014" s="3">
        <v>6848</v>
      </c>
      <c r="B1014" s="3" t="s">
        <v>26</v>
      </c>
      <c r="C1014" s="4">
        <v>45814</v>
      </c>
      <c r="D1014" s="3" t="s">
        <v>38</v>
      </c>
      <c r="E1014" s="3" t="s">
        <v>47</v>
      </c>
      <c r="F1014" s="5">
        <v>1</v>
      </c>
      <c r="G1014" s="6">
        <v>5.46</v>
      </c>
      <c r="H1014" s="6">
        <v>5.46</v>
      </c>
      <c r="I1014" s="6">
        <v>1.0900000000000001</v>
      </c>
      <c r="J1014" s="6">
        <v>4.37</v>
      </c>
      <c r="K1014" s="5">
        <v>186</v>
      </c>
    </row>
    <row r="1015" spans="1:11" x14ac:dyDescent="0.3">
      <c r="A1015" s="3">
        <v>1783</v>
      </c>
      <c r="B1015" s="3" t="s">
        <v>11</v>
      </c>
      <c r="C1015" s="4">
        <v>45817</v>
      </c>
      <c r="D1015" s="3" t="s">
        <v>17</v>
      </c>
      <c r="E1015" s="3" t="s">
        <v>33</v>
      </c>
      <c r="F1015" s="5">
        <v>4</v>
      </c>
      <c r="G1015" s="6">
        <v>23.3</v>
      </c>
      <c r="H1015" s="6">
        <v>93.2</v>
      </c>
      <c r="I1015" s="6">
        <v>9.32</v>
      </c>
      <c r="J1015" s="6">
        <v>83.88</v>
      </c>
      <c r="K1015" s="5">
        <v>3</v>
      </c>
    </row>
    <row r="1016" spans="1:11" x14ac:dyDescent="0.3">
      <c r="A1016" s="3">
        <v>6438</v>
      </c>
      <c r="B1016" s="3" t="s">
        <v>36</v>
      </c>
      <c r="C1016" s="4">
        <v>45357</v>
      </c>
      <c r="D1016" s="3" t="s">
        <v>35</v>
      </c>
      <c r="E1016" s="3" t="s">
        <v>46</v>
      </c>
      <c r="F1016" s="5">
        <v>2</v>
      </c>
      <c r="G1016" s="6">
        <v>3.46</v>
      </c>
      <c r="H1016" s="6">
        <v>6.92</v>
      </c>
      <c r="I1016" s="6">
        <v>1.04</v>
      </c>
      <c r="J1016" s="6">
        <v>5.88</v>
      </c>
      <c r="K1016" s="5">
        <v>190</v>
      </c>
    </row>
    <row r="1017" spans="1:11" x14ac:dyDescent="0.3">
      <c r="A1017" s="3">
        <v>3039</v>
      </c>
      <c r="B1017" s="3" t="s">
        <v>42</v>
      </c>
      <c r="C1017" s="4">
        <v>45765</v>
      </c>
      <c r="D1017" s="3" t="s">
        <v>34</v>
      </c>
      <c r="E1017" s="3" t="s">
        <v>46</v>
      </c>
      <c r="F1017" s="5">
        <v>4</v>
      </c>
      <c r="G1017" s="6">
        <v>23.82</v>
      </c>
      <c r="H1017" s="6">
        <v>95.28</v>
      </c>
      <c r="I1017" s="6">
        <v>9.5299999999999994</v>
      </c>
      <c r="J1017" s="6">
        <v>85.75</v>
      </c>
      <c r="K1017" s="5">
        <v>70</v>
      </c>
    </row>
    <row r="1018" spans="1:11" x14ac:dyDescent="0.3">
      <c r="A1018" s="3">
        <v>7029</v>
      </c>
      <c r="B1018" s="3" t="s">
        <v>24</v>
      </c>
      <c r="C1018" s="4">
        <v>45484</v>
      </c>
      <c r="D1018" s="3" t="s">
        <v>45</v>
      </c>
      <c r="E1018" s="3" t="s">
        <v>46</v>
      </c>
      <c r="F1018" s="5">
        <v>3</v>
      </c>
      <c r="G1018" s="6">
        <v>28.36</v>
      </c>
      <c r="H1018" s="6">
        <v>85.08</v>
      </c>
      <c r="I1018" s="6">
        <v>3.87</v>
      </c>
      <c r="J1018" s="6">
        <v>81.209999999999994</v>
      </c>
      <c r="K1018" s="5">
        <v>226</v>
      </c>
    </row>
    <row r="1019" spans="1:11" x14ac:dyDescent="0.3">
      <c r="A1019" s="3">
        <v>7553</v>
      </c>
      <c r="B1019" s="3" t="s">
        <v>14</v>
      </c>
      <c r="C1019" s="4">
        <v>45722</v>
      </c>
      <c r="D1019" s="3" t="s">
        <v>15</v>
      </c>
      <c r="E1019" s="3" t="s">
        <v>43</v>
      </c>
      <c r="F1019" s="5">
        <v>3</v>
      </c>
      <c r="G1019" s="6">
        <v>10.119999999999999</v>
      </c>
      <c r="H1019" s="6">
        <v>30.36</v>
      </c>
      <c r="I1019" s="6">
        <v>3.04</v>
      </c>
      <c r="J1019" s="6">
        <v>27.32</v>
      </c>
      <c r="K1019" s="5">
        <v>395</v>
      </c>
    </row>
    <row r="1020" spans="1:11" x14ac:dyDescent="0.3">
      <c r="A1020" s="3">
        <v>8204</v>
      </c>
      <c r="B1020" s="3" t="s">
        <v>31</v>
      </c>
      <c r="C1020" s="4">
        <v>45839</v>
      </c>
      <c r="D1020" s="3" t="s">
        <v>20</v>
      </c>
      <c r="E1020" s="3" t="s">
        <v>40</v>
      </c>
      <c r="F1020" s="5">
        <v>2</v>
      </c>
      <c r="G1020" s="6">
        <v>27.16</v>
      </c>
      <c r="H1020" s="6">
        <v>54.32</v>
      </c>
      <c r="I1020" s="6">
        <v>5.43</v>
      </c>
      <c r="J1020" s="6">
        <v>48.89</v>
      </c>
      <c r="K1020" s="5">
        <v>29</v>
      </c>
    </row>
    <row r="1021" spans="1:11" x14ac:dyDescent="0.3">
      <c r="A1021" s="3">
        <v>7334</v>
      </c>
      <c r="B1021" s="3" t="s">
        <v>24</v>
      </c>
      <c r="C1021" s="4">
        <v>45408</v>
      </c>
      <c r="D1021" s="3" t="s">
        <v>27</v>
      </c>
      <c r="E1021" s="3" t="s">
        <v>18</v>
      </c>
      <c r="F1021" s="5">
        <v>3</v>
      </c>
      <c r="G1021" s="6">
        <v>21.91</v>
      </c>
      <c r="H1021" s="6">
        <v>65.73</v>
      </c>
      <c r="I1021" s="6">
        <v>4.3099999999999996</v>
      </c>
      <c r="J1021" s="6">
        <v>61.42</v>
      </c>
      <c r="K1021" s="5">
        <v>160</v>
      </c>
    </row>
    <row r="1022" spans="1:11" x14ac:dyDescent="0.3">
      <c r="A1022" s="3">
        <v>4060</v>
      </c>
      <c r="B1022" s="3" t="s">
        <v>14</v>
      </c>
      <c r="C1022" s="4">
        <v>45530</v>
      </c>
      <c r="D1022" s="3" t="s">
        <v>28</v>
      </c>
      <c r="E1022" s="3" t="s">
        <v>41</v>
      </c>
      <c r="F1022" s="5">
        <v>4</v>
      </c>
      <c r="G1022" s="6">
        <v>13.93</v>
      </c>
      <c r="H1022" s="6">
        <v>55.72</v>
      </c>
      <c r="I1022" s="6">
        <v>0</v>
      </c>
      <c r="J1022" s="6">
        <v>55.72</v>
      </c>
      <c r="K1022" s="5">
        <v>105</v>
      </c>
    </row>
    <row r="1023" spans="1:11" x14ac:dyDescent="0.3">
      <c r="A1023" s="3">
        <v>9151</v>
      </c>
      <c r="B1023" s="3" t="s">
        <v>36</v>
      </c>
      <c r="C1023" s="4">
        <v>45430</v>
      </c>
      <c r="D1023" s="3" t="s">
        <v>27</v>
      </c>
      <c r="E1023" s="3" t="s">
        <v>32</v>
      </c>
      <c r="F1023" s="5">
        <v>2</v>
      </c>
      <c r="G1023" s="6">
        <v>26.54</v>
      </c>
      <c r="H1023" s="6">
        <v>53.08</v>
      </c>
      <c r="I1023" s="6">
        <v>2.34</v>
      </c>
      <c r="J1023" s="6">
        <v>50.74</v>
      </c>
      <c r="K1023" s="5">
        <v>43</v>
      </c>
    </row>
    <row r="1024" spans="1:11" x14ac:dyDescent="0.3">
      <c r="A1024" s="3">
        <v>9507</v>
      </c>
      <c r="B1024" s="3" t="s">
        <v>19</v>
      </c>
      <c r="C1024" s="4">
        <v>45352</v>
      </c>
      <c r="D1024" s="3" t="s">
        <v>38</v>
      </c>
      <c r="E1024" s="3" t="s">
        <v>18</v>
      </c>
      <c r="F1024" s="5">
        <v>3</v>
      </c>
      <c r="G1024" s="6">
        <v>7.19</v>
      </c>
      <c r="H1024" s="6">
        <v>21.57</v>
      </c>
      <c r="I1024" s="6">
        <v>2.36</v>
      </c>
      <c r="J1024" s="6">
        <v>19.21</v>
      </c>
      <c r="K1024" s="5">
        <v>261</v>
      </c>
    </row>
    <row r="1025" spans="1:11" x14ac:dyDescent="0.3">
      <c r="A1025" s="3">
        <v>2353</v>
      </c>
      <c r="B1025" s="3" t="s">
        <v>19</v>
      </c>
      <c r="C1025" s="4">
        <v>45709</v>
      </c>
      <c r="D1025" s="3" t="s">
        <v>12</v>
      </c>
      <c r="E1025" s="3" t="s">
        <v>39</v>
      </c>
      <c r="F1025" s="5">
        <v>5</v>
      </c>
      <c r="G1025" s="6">
        <v>18.170000000000002</v>
      </c>
      <c r="H1025" s="6">
        <v>90.85</v>
      </c>
      <c r="I1025" s="6">
        <v>0</v>
      </c>
      <c r="J1025" s="6">
        <v>90.85</v>
      </c>
      <c r="K1025" s="5">
        <v>123</v>
      </c>
    </row>
    <row r="1026" spans="1:11" x14ac:dyDescent="0.3">
      <c r="A1026" s="3">
        <v>7955</v>
      </c>
      <c r="B1026" s="3" t="s">
        <v>24</v>
      </c>
      <c r="C1026" s="4">
        <v>45206</v>
      </c>
      <c r="D1026" s="3" t="s">
        <v>38</v>
      </c>
      <c r="E1026" s="3" t="s">
        <v>48</v>
      </c>
      <c r="F1026" s="5">
        <v>1</v>
      </c>
      <c r="G1026" s="6">
        <v>25.4</v>
      </c>
      <c r="H1026" s="6">
        <v>25.4</v>
      </c>
      <c r="I1026" s="6">
        <v>1.19</v>
      </c>
      <c r="J1026" s="6">
        <v>24.21</v>
      </c>
      <c r="K1026" s="5">
        <v>132</v>
      </c>
    </row>
    <row r="1027" spans="1:11" x14ac:dyDescent="0.3">
      <c r="A1027" s="3">
        <v>8055</v>
      </c>
      <c r="B1027" s="3" t="s">
        <v>11</v>
      </c>
      <c r="C1027" s="4">
        <v>45612</v>
      </c>
      <c r="D1027" s="3" t="s">
        <v>45</v>
      </c>
      <c r="E1027" s="3" t="s">
        <v>37</v>
      </c>
      <c r="F1027" s="5">
        <v>5</v>
      </c>
      <c r="G1027" s="6">
        <v>22.36</v>
      </c>
      <c r="H1027" s="6">
        <v>111.8</v>
      </c>
      <c r="I1027" s="6">
        <v>22.36</v>
      </c>
      <c r="J1027" s="6">
        <v>89.44</v>
      </c>
      <c r="K1027" s="5">
        <v>232</v>
      </c>
    </row>
    <row r="1028" spans="1:11" x14ac:dyDescent="0.3">
      <c r="A1028" s="3">
        <v>3956</v>
      </c>
      <c r="B1028" s="3" t="s">
        <v>14</v>
      </c>
      <c r="C1028" s="4">
        <v>45568</v>
      </c>
      <c r="D1028" s="3" t="s">
        <v>28</v>
      </c>
      <c r="E1028" s="3" t="s">
        <v>25</v>
      </c>
      <c r="F1028" s="5">
        <v>3</v>
      </c>
      <c r="G1028" s="6">
        <v>9.67</v>
      </c>
      <c r="H1028" s="6">
        <v>29.01</v>
      </c>
      <c r="I1028" s="6">
        <v>0</v>
      </c>
      <c r="J1028" s="6">
        <v>29.01</v>
      </c>
      <c r="K1028" s="5">
        <v>341</v>
      </c>
    </row>
    <row r="1029" spans="1:11" x14ac:dyDescent="0.3">
      <c r="A1029" s="3">
        <v>5813</v>
      </c>
      <c r="B1029" s="3" t="s">
        <v>24</v>
      </c>
      <c r="C1029" s="4">
        <v>45394</v>
      </c>
      <c r="D1029" s="3" t="s">
        <v>38</v>
      </c>
      <c r="E1029" s="3" t="s">
        <v>25</v>
      </c>
      <c r="F1029" s="5">
        <v>1</v>
      </c>
      <c r="G1029" s="6">
        <v>10.5</v>
      </c>
      <c r="H1029" s="6">
        <v>10.5</v>
      </c>
      <c r="I1029" s="6">
        <v>1.57</v>
      </c>
      <c r="J1029" s="6">
        <v>8.93</v>
      </c>
      <c r="K1029" s="5">
        <v>298</v>
      </c>
    </row>
    <row r="1030" spans="1:11" x14ac:dyDescent="0.3">
      <c r="A1030" s="3">
        <v>2680</v>
      </c>
      <c r="B1030" s="3" t="s">
        <v>26</v>
      </c>
      <c r="C1030" s="4">
        <v>45207</v>
      </c>
      <c r="D1030" s="3" t="s">
        <v>15</v>
      </c>
      <c r="E1030" s="3" t="s">
        <v>41</v>
      </c>
      <c r="F1030" s="5">
        <v>4</v>
      </c>
      <c r="G1030" s="6">
        <v>25.01</v>
      </c>
      <c r="H1030" s="6">
        <v>100.04</v>
      </c>
      <c r="I1030" s="6">
        <v>2.7</v>
      </c>
      <c r="J1030" s="6">
        <v>97.34</v>
      </c>
      <c r="K1030" s="5">
        <v>41</v>
      </c>
    </row>
    <row r="1031" spans="1:11" x14ac:dyDescent="0.3">
      <c r="A1031" s="3">
        <v>6372</v>
      </c>
      <c r="B1031" s="3" t="s">
        <v>19</v>
      </c>
      <c r="C1031" s="4">
        <v>45658</v>
      </c>
      <c r="D1031" s="3" t="s">
        <v>45</v>
      </c>
      <c r="E1031" s="3" t="s">
        <v>44</v>
      </c>
      <c r="F1031" s="5">
        <v>4</v>
      </c>
      <c r="G1031" s="6">
        <v>3.25</v>
      </c>
      <c r="H1031" s="6">
        <v>13</v>
      </c>
      <c r="I1031" s="6">
        <v>3.24</v>
      </c>
      <c r="J1031" s="6">
        <v>9.76</v>
      </c>
      <c r="K1031" s="5">
        <v>346</v>
      </c>
    </row>
    <row r="1032" spans="1:11" x14ac:dyDescent="0.3">
      <c r="A1032" s="3">
        <v>5843</v>
      </c>
      <c r="B1032" s="3" t="s">
        <v>24</v>
      </c>
      <c r="C1032" s="4">
        <v>45383</v>
      </c>
      <c r="D1032" s="3" t="s">
        <v>35</v>
      </c>
      <c r="E1032" s="3" t="s">
        <v>47</v>
      </c>
      <c r="F1032" s="5">
        <v>4</v>
      </c>
      <c r="G1032" s="6">
        <v>29.89</v>
      </c>
      <c r="H1032" s="6">
        <v>119.56</v>
      </c>
      <c r="I1032" s="6">
        <v>0</v>
      </c>
      <c r="J1032" s="6">
        <v>119.56</v>
      </c>
      <c r="K1032" s="5">
        <v>352</v>
      </c>
    </row>
    <row r="1033" spans="1:11" x14ac:dyDescent="0.3">
      <c r="A1033" s="3">
        <v>8305</v>
      </c>
      <c r="B1033" s="3" t="s">
        <v>24</v>
      </c>
      <c r="C1033" s="4">
        <v>45613</v>
      </c>
      <c r="D1033" s="3" t="s">
        <v>34</v>
      </c>
      <c r="E1033" s="3" t="s">
        <v>41</v>
      </c>
      <c r="F1033" s="5">
        <v>5</v>
      </c>
      <c r="G1033" s="6">
        <v>4.68</v>
      </c>
      <c r="H1033" s="6">
        <v>23.4</v>
      </c>
      <c r="I1033" s="6">
        <v>4.68</v>
      </c>
      <c r="J1033" s="6">
        <v>18.72</v>
      </c>
      <c r="K1033" s="5">
        <v>364</v>
      </c>
    </row>
    <row r="1034" spans="1:11" x14ac:dyDescent="0.3">
      <c r="A1034" s="3">
        <v>7981</v>
      </c>
      <c r="B1034" s="3" t="s">
        <v>14</v>
      </c>
      <c r="C1034" s="4">
        <v>45274</v>
      </c>
      <c r="D1034" s="3" t="s">
        <v>38</v>
      </c>
      <c r="E1034" s="3" t="s">
        <v>48</v>
      </c>
      <c r="F1034" s="5">
        <v>2</v>
      </c>
      <c r="G1034" s="6">
        <v>14.2</v>
      </c>
      <c r="H1034" s="6">
        <v>28.4</v>
      </c>
      <c r="I1034" s="6">
        <v>2.48</v>
      </c>
      <c r="J1034" s="6">
        <v>25.92</v>
      </c>
      <c r="K1034" s="5">
        <v>16</v>
      </c>
    </row>
    <row r="1035" spans="1:11" x14ac:dyDescent="0.3">
      <c r="A1035" s="3">
        <v>8272</v>
      </c>
      <c r="B1035" s="3" t="s">
        <v>11</v>
      </c>
      <c r="C1035" s="4">
        <v>45418</v>
      </c>
      <c r="D1035" s="3" t="s">
        <v>28</v>
      </c>
      <c r="E1035" s="3" t="s">
        <v>16</v>
      </c>
      <c r="F1035" s="5">
        <v>1</v>
      </c>
      <c r="G1035" s="6">
        <v>4.5</v>
      </c>
      <c r="H1035" s="6">
        <v>4.5</v>
      </c>
      <c r="I1035" s="6">
        <v>3.09</v>
      </c>
      <c r="J1035" s="6">
        <v>1.41</v>
      </c>
      <c r="K1035" s="5">
        <v>292</v>
      </c>
    </row>
    <row r="1036" spans="1:11" x14ac:dyDescent="0.3">
      <c r="A1036" s="3">
        <v>8325</v>
      </c>
      <c r="B1036" s="3" t="s">
        <v>11</v>
      </c>
      <c r="C1036" s="4">
        <v>45177</v>
      </c>
      <c r="D1036" s="3" t="s">
        <v>22</v>
      </c>
      <c r="E1036" s="3" t="s">
        <v>37</v>
      </c>
      <c r="F1036" s="5">
        <v>3</v>
      </c>
      <c r="G1036" s="6">
        <v>9.7799999999999994</v>
      </c>
      <c r="H1036" s="6">
        <v>29.34</v>
      </c>
      <c r="I1036" s="6">
        <v>5.87</v>
      </c>
      <c r="J1036" s="6">
        <v>23.47</v>
      </c>
      <c r="K1036" s="5">
        <v>248</v>
      </c>
    </row>
    <row r="1037" spans="1:11" x14ac:dyDescent="0.3">
      <c r="A1037" s="3">
        <v>6776</v>
      </c>
      <c r="B1037" s="3" t="s">
        <v>19</v>
      </c>
      <c r="C1037" s="4">
        <v>45622</v>
      </c>
      <c r="D1037" s="3" t="s">
        <v>28</v>
      </c>
      <c r="E1037" s="3" t="s">
        <v>16</v>
      </c>
      <c r="F1037" s="5">
        <v>1</v>
      </c>
      <c r="G1037" s="6">
        <v>28.16</v>
      </c>
      <c r="H1037" s="6">
        <v>28.16</v>
      </c>
      <c r="I1037" s="6">
        <v>5.63</v>
      </c>
      <c r="J1037" s="6">
        <v>22.53</v>
      </c>
      <c r="K1037" s="5">
        <v>156</v>
      </c>
    </row>
    <row r="1038" spans="1:11" x14ac:dyDescent="0.3">
      <c r="A1038" s="3">
        <v>8126</v>
      </c>
      <c r="B1038" s="3" t="s">
        <v>19</v>
      </c>
      <c r="C1038" s="4">
        <v>45358</v>
      </c>
      <c r="D1038" s="3" t="s">
        <v>45</v>
      </c>
      <c r="E1038" s="3" t="s">
        <v>39</v>
      </c>
      <c r="F1038" s="5">
        <v>1</v>
      </c>
      <c r="G1038" s="6">
        <v>16.87</v>
      </c>
      <c r="H1038" s="6">
        <v>16.87</v>
      </c>
      <c r="I1038" s="6">
        <v>1.69</v>
      </c>
      <c r="J1038" s="6">
        <v>15.18</v>
      </c>
      <c r="K1038" s="5">
        <v>34</v>
      </c>
    </row>
    <row r="1039" spans="1:11" x14ac:dyDescent="0.3">
      <c r="A1039" s="3">
        <v>1939</v>
      </c>
      <c r="B1039" s="3" t="s">
        <v>26</v>
      </c>
      <c r="C1039" s="4">
        <v>45203</v>
      </c>
      <c r="D1039" s="3" t="s">
        <v>28</v>
      </c>
      <c r="E1039" s="3" t="s">
        <v>37</v>
      </c>
      <c r="F1039" s="5">
        <v>5</v>
      </c>
      <c r="G1039" s="6">
        <v>14.11</v>
      </c>
      <c r="H1039" s="6">
        <v>70.55</v>
      </c>
      <c r="I1039" s="6">
        <v>7.05</v>
      </c>
      <c r="J1039" s="6">
        <v>63.5</v>
      </c>
      <c r="K1039" s="5">
        <v>172</v>
      </c>
    </row>
    <row r="1040" spans="1:11" x14ac:dyDescent="0.3">
      <c r="A1040" s="3">
        <v>7655</v>
      </c>
      <c r="B1040" s="3" t="s">
        <v>19</v>
      </c>
      <c r="C1040" s="4">
        <v>45427</v>
      </c>
      <c r="D1040" s="3" t="s">
        <v>34</v>
      </c>
      <c r="E1040" s="3" t="s">
        <v>46</v>
      </c>
      <c r="F1040" s="5">
        <v>4</v>
      </c>
      <c r="G1040" s="6">
        <v>23.08</v>
      </c>
      <c r="H1040" s="6">
        <v>92.32</v>
      </c>
      <c r="I1040" s="6">
        <v>18.46</v>
      </c>
      <c r="J1040" s="6">
        <v>73.86</v>
      </c>
      <c r="K1040" s="5">
        <v>341</v>
      </c>
    </row>
    <row r="1041" spans="1:11" x14ac:dyDescent="0.3">
      <c r="A1041" s="3">
        <v>9406</v>
      </c>
      <c r="B1041" s="3" t="s">
        <v>36</v>
      </c>
      <c r="C1041" s="4">
        <v>45767</v>
      </c>
      <c r="D1041" s="3" t="s">
        <v>15</v>
      </c>
      <c r="E1041" s="3" t="s">
        <v>16</v>
      </c>
      <c r="F1041" s="5">
        <v>4</v>
      </c>
      <c r="G1041" s="6">
        <v>7.74</v>
      </c>
      <c r="H1041" s="6">
        <v>30.96</v>
      </c>
      <c r="I1041" s="6">
        <v>1.18</v>
      </c>
      <c r="J1041" s="6">
        <v>29.78</v>
      </c>
      <c r="K1041" s="5">
        <v>202</v>
      </c>
    </row>
    <row r="1042" spans="1:11" x14ac:dyDescent="0.3">
      <c r="A1042" s="3">
        <v>3621</v>
      </c>
      <c r="B1042" s="3" t="s">
        <v>26</v>
      </c>
      <c r="C1042" s="4">
        <v>45169</v>
      </c>
      <c r="D1042" s="3" t="s">
        <v>35</v>
      </c>
      <c r="E1042" s="3" t="s">
        <v>43</v>
      </c>
      <c r="F1042" s="5">
        <v>2</v>
      </c>
      <c r="G1042" s="6">
        <v>21.5</v>
      </c>
      <c r="H1042" s="6">
        <v>43</v>
      </c>
      <c r="I1042" s="6">
        <v>3.58</v>
      </c>
      <c r="J1042" s="6">
        <v>39.42</v>
      </c>
      <c r="K1042" s="5">
        <v>292</v>
      </c>
    </row>
    <row r="1043" spans="1:11" x14ac:dyDescent="0.3">
      <c r="A1043" s="3">
        <v>3339</v>
      </c>
      <c r="B1043" s="3" t="s">
        <v>14</v>
      </c>
      <c r="C1043" s="4">
        <v>45804</v>
      </c>
      <c r="D1043" s="3" t="s">
        <v>15</v>
      </c>
      <c r="E1043" s="3" t="s">
        <v>44</v>
      </c>
      <c r="F1043" s="5">
        <v>5</v>
      </c>
      <c r="G1043" s="6">
        <v>16.7</v>
      </c>
      <c r="H1043" s="6">
        <v>83.5</v>
      </c>
      <c r="I1043" s="6">
        <v>3.09</v>
      </c>
      <c r="J1043" s="6">
        <v>80.41</v>
      </c>
      <c r="K1043" s="5">
        <v>387</v>
      </c>
    </row>
    <row r="1044" spans="1:11" x14ac:dyDescent="0.3">
      <c r="A1044" s="3">
        <v>8179</v>
      </c>
      <c r="B1044" s="3" t="s">
        <v>26</v>
      </c>
      <c r="C1044" s="4">
        <v>45172</v>
      </c>
      <c r="D1044" s="3" t="s">
        <v>38</v>
      </c>
      <c r="E1044" s="3" t="s">
        <v>39</v>
      </c>
      <c r="F1044" s="5">
        <v>1</v>
      </c>
      <c r="G1044" s="6">
        <v>20.079999999999998</v>
      </c>
      <c r="H1044" s="6">
        <v>20.079999999999998</v>
      </c>
      <c r="I1044" s="6">
        <v>2.1</v>
      </c>
      <c r="J1044" s="6">
        <v>17.98</v>
      </c>
      <c r="K1044" s="5">
        <v>272</v>
      </c>
    </row>
    <row r="1045" spans="1:11" x14ac:dyDescent="0.3">
      <c r="A1045" s="3">
        <v>3068</v>
      </c>
      <c r="B1045" s="3" t="s">
        <v>42</v>
      </c>
      <c r="C1045" s="4">
        <v>45197</v>
      </c>
      <c r="D1045" s="3" t="s">
        <v>17</v>
      </c>
      <c r="E1045" s="3" t="s">
        <v>33</v>
      </c>
      <c r="F1045" s="5">
        <v>1</v>
      </c>
      <c r="G1045" s="6">
        <v>24.39</v>
      </c>
      <c r="H1045" s="6">
        <v>24.39</v>
      </c>
      <c r="I1045" s="6">
        <v>2.44</v>
      </c>
      <c r="J1045" s="6">
        <v>21.95</v>
      </c>
      <c r="K1045" s="5">
        <v>310</v>
      </c>
    </row>
    <row r="1046" spans="1:11" x14ac:dyDescent="0.3">
      <c r="A1046" s="3">
        <v>4866</v>
      </c>
      <c r="B1046" s="3" t="s">
        <v>31</v>
      </c>
      <c r="C1046" s="4">
        <v>45749</v>
      </c>
      <c r="D1046" s="3" t="s">
        <v>45</v>
      </c>
      <c r="E1046" s="3" t="s">
        <v>39</v>
      </c>
      <c r="F1046" s="5">
        <v>3</v>
      </c>
      <c r="G1046" s="6">
        <v>13.66</v>
      </c>
      <c r="H1046" s="6">
        <v>40.98</v>
      </c>
      <c r="I1046" s="6">
        <v>2.27</v>
      </c>
      <c r="J1046" s="6">
        <v>38.71</v>
      </c>
      <c r="K1046" s="5">
        <v>212</v>
      </c>
    </row>
    <row r="1047" spans="1:11" x14ac:dyDescent="0.3">
      <c r="A1047" s="3">
        <v>7001</v>
      </c>
      <c r="B1047" s="3" t="s">
        <v>30</v>
      </c>
      <c r="C1047" s="4">
        <v>45426</v>
      </c>
      <c r="D1047" s="3" t="s">
        <v>15</v>
      </c>
      <c r="E1047" s="3" t="s">
        <v>48</v>
      </c>
      <c r="F1047" s="5">
        <v>1</v>
      </c>
      <c r="G1047" s="6">
        <v>16.7</v>
      </c>
      <c r="H1047" s="6">
        <v>16.7</v>
      </c>
      <c r="I1047" s="6">
        <v>3.34</v>
      </c>
      <c r="J1047" s="6">
        <v>13.36</v>
      </c>
      <c r="K1047" s="5">
        <v>146</v>
      </c>
    </row>
    <row r="1048" spans="1:11" x14ac:dyDescent="0.3">
      <c r="A1048" s="3">
        <v>7272</v>
      </c>
      <c r="B1048" s="3" t="s">
        <v>30</v>
      </c>
      <c r="C1048" s="4">
        <v>45585</v>
      </c>
      <c r="D1048" s="3" t="s">
        <v>15</v>
      </c>
      <c r="E1048" s="3" t="s">
        <v>41</v>
      </c>
      <c r="F1048" s="5">
        <v>3</v>
      </c>
      <c r="G1048" s="6">
        <v>28.6</v>
      </c>
      <c r="H1048" s="6">
        <v>85.8</v>
      </c>
      <c r="I1048" s="6">
        <v>3.46</v>
      </c>
      <c r="J1048" s="6">
        <v>82.34</v>
      </c>
      <c r="K1048" s="5">
        <v>347</v>
      </c>
    </row>
    <row r="1049" spans="1:11" x14ac:dyDescent="0.3">
      <c r="A1049" s="3">
        <v>1530</v>
      </c>
      <c r="B1049" s="3" t="s">
        <v>36</v>
      </c>
      <c r="C1049" s="4">
        <v>45614</v>
      </c>
      <c r="D1049" s="3" t="s">
        <v>34</v>
      </c>
      <c r="E1049" s="3" t="s">
        <v>39</v>
      </c>
      <c r="F1049" s="5">
        <v>1</v>
      </c>
      <c r="G1049" s="6">
        <v>9.6300000000000008</v>
      </c>
      <c r="H1049" s="6">
        <v>9.6300000000000008</v>
      </c>
      <c r="I1049" s="6">
        <v>1.93</v>
      </c>
      <c r="J1049" s="6">
        <v>7.7</v>
      </c>
      <c r="K1049" s="5">
        <v>50</v>
      </c>
    </row>
    <row r="1050" spans="1:11" x14ac:dyDescent="0.3">
      <c r="A1050" s="3">
        <v>3513</v>
      </c>
      <c r="B1050" s="3" t="s">
        <v>24</v>
      </c>
      <c r="C1050" s="4">
        <v>45672</v>
      </c>
      <c r="D1050" s="3" t="s">
        <v>22</v>
      </c>
      <c r="E1050" s="3" t="s">
        <v>13</v>
      </c>
      <c r="F1050" s="5">
        <v>4</v>
      </c>
      <c r="G1050" s="6">
        <v>28.3</v>
      </c>
      <c r="H1050" s="6">
        <v>113.2</v>
      </c>
      <c r="I1050" s="6">
        <v>1.81</v>
      </c>
      <c r="J1050" s="6">
        <v>111.39</v>
      </c>
      <c r="K1050" s="5">
        <v>460</v>
      </c>
    </row>
    <row r="1051" spans="1:11" x14ac:dyDescent="0.3">
      <c r="A1051" s="3">
        <v>8371</v>
      </c>
      <c r="B1051" s="3" t="s">
        <v>42</v>
      </c>
      <c r="C1051" s="4">
        <v>45433</v>
      </c>
      <c r="D1051" s="3" t="s">
        <v>45</v>
      </c>
      <c r="E1051" s="3" t="s">
        <v>46</v>
      </c>
      <c r="F1051" s="5">
        <v>5</v>
      </c>
      <c r="G1051" s="6">
        <v>12.16</v>
      </c>
      <c r="H1051" s="6">
        <v>60.8</v>
      </c>
      <c r="I1051" s="6">
        <v>2.27</v>
      </c>
      <c r="J1051" s="6">
        <v>58.53</v>
      </c>
      <c r="K1051" s="5">
        <v>58</v>
      </c>
    </row>
    <row r="1052" spans="1:11" x14ac:dyDescent="0.3">
      <c r="A1052" s="3">
        <v>7095</v>
      </c>
      <c r="B1052" s="3" t="s">
        <v>14</v>
      </c>
      <c r="C1052" s="4">
        <v>45489</v>
      </c>
      <c r="D1052" s="3" t="s">
        <v>20</v>
      </c>
      <c r="E1052" s="3" t="s">
        <v>43</v>
      </c>
      <c r="F1052" s="5">
        <v>4</v>
      </c>
      <c r="G1052" s="6">
        <v>1.83</v>
      </c>
      <c r="H1052" s="6">
        <v>7.32</v>
      </c>
      <c r="I1052" s="6">
        <v>2.08</v>
      </c>
      <c r="J1052" s="6">
        <v>5.24</v>
      </c>
      <c r="K1052" s="5">
        <v>324</v>
      </c>
    </row>
    <row r="1053" spans="1:11" x14ac:dyDescent="0.3">
      <c r="A1053" s="3">
        <v>2259</v>
      </c>
      <c r="B1053" s="3" t="s">
        <v>11</v>
      </c>
      <c r="C1053" s="4">
        <v>45590</v>
      </c>
      <c r="D1053" s="3" t="s">
        <v>17</v>
      </c>
      <c r="E1053" s="3" t="s">
        <v>18</v>
      </c>
      <c r="F1053" s="5">
        <v>2</v>
      </c>
      <c r="G1053" s="6">
        <v>9.82</v>
      </c>
      <c r="H1053" s="6">
        <v>19.64</v>
      </c>
      <c r="I1053" s="6">
        <v>4.3899999999999997</v>
      </c>
      <c r="J1053" s="6">
        <v>15.25</v>
      </c>
      <c r="K1053" s="5">
        <v>208</v>
      </c>
    </row>
    <row r="1054" spans="1:11" x14ac:dyDescent="0.3">
      <c r="A1054" s="3">
        <v>3255</v>
      </c>
      <c r="B1054" s="3" t="s">
        <v>14</v>
      </c>
      <c r="C1054" s="4">
        <v>45556</v>
      </c>
      <c r="D1054" s="3" t="s">
        <v>17</v>
      </c>
      <c r="E1054" s="3" t="s">
        <v>41</v>
      </c>
      <c r="F1054" s="5">
        <v>3</v>
      </c>
      <c r="G1054" s="6">
        <v>16.66</v>
      </c>
      <c r="H1054" s="6">
        <v>49.98</v>
      </c>
      <c r="I1054" s="6">
        <v>4.8099999999999996</v>
      </c>
      <c r="J1054" s="6">
        <v>45.17</v>
      </c>
      <c r="K1054" s="5">
        <v>86</v>
      </c>
    </row>
    <row r="1055" spans="1:11" x14ac:dyDescent="0.3">
      <c r="A1055" s="3">
        <v>7012</v>
      </c>
      <c r="B1055" s="3" t="s">
        <v>14</v>
      </c>
      <c r="C1055" s="4">
        <v>45454</v>
      </c>
      <c r="D1055" s="3" t="s">
        <v>45</v>
      </c>
      <c r="E1055" s="3" t="s">
        <v>40</v>
      </c>
      <c r="F1055" s="5">
        <v>1</v>
      </c>
      <c r="G1055" s="6">
        <v>24.56</v>
      </c>
      <c r="H1055" s="6">
        <v>24.56</v>
      </c>
      <c r="I1055" s="6">
        <v>0</v>
      </c>
      <c r="J1055" s="6">
        <v>24.56</v>
      </c>
      <c r="K1055" s="5">
        <v>492</v>
      </c>
    </row>
    <row r="1056" spans="1:11" x14ac:dyDescent="0.3">
      <c r="A1056" s="3">
        <v>6150</v>
      </c>
      <c r="B1056" s="3" t="s">
        <v>19</v>
      </c>
      <c r="C1056" s="4">
        <v>45649</v>
      </c>
      <c r="D1056" s="3" t="s">
        <v>12</v>
      </c>
      <c r="E1056" s="3" t="s">
        <v>40</v>
      </c>
      <c r="F1056" s="5">
        <v>4</v>
      </c>
      <c r="G1056" s="6">
        <v>8.92</v>
      </c>
      <c r="H1056" s="6">
        <v>35.68</v>
      </c>
      <c r="I1056" s="6">
        <v>5.35</v>
      </c>
      <c r="J1056" s="6">
        <v>30.33</v>
      </c>
      <c r="K1056" s="5">
        <v>128</v>
      </c>
    </row>
    <row r="1057" spans="1:11" x14ac:dyDescent="0.3">
      <c r="A1057" s="3">
        <v>5566</v>
      </c>
      <c r="B1057" s="3" t="s">
        <v>42</v>
      </c>
      <c r="C1057" s="4">
        <v>45338</v>
      </c>
      <c r="D1057" s="3" t="s">
        <v>28</v>
      </c>
      <c r="E1057" s="3" t="s">
        <v>46</v>
      </c>
      <c r="F1057" s="5">
        <v>3</v>
      </c>
      <c r="G1057" s="6">
        <v>2.31</v>
      </c>
      <c r="H1057" s="6">
        <v>6.93</v>
      </c>
      <c r="I1057" s="6">
        <v>1.04</v>
      </c>
      <c r="J1057" s="6">
        <v>5.89</v>
      </c>
      <c r="K1057" s="5">
        <v>378</v>
      </c>
    </row>
    <row r="1058" spans="1:11" x14ac:dyDescent="0.3">
      <c r="A1058" s="3">
        <v>2858</v>
      </c>
      <c r="B1058" s="3" t="s">
        <v>11</v>
      </c>
      <c r="C1058" s="4">
        <v>45165</v>
      </c>
      <c r="D1058" s="3" t="s">
        <v>20</v>
      </c>
      <c r="E1058" s="3" t="s">
        <v>48</v>
      </c>
      <c r="F1058" s="5">
        <v>2</v>
      </c>
      <c r="G1058" s="6">
        <v>22.02</v>
      </c>
      <c r="H1058" s="6">
        <v>44.04</v>
      </c>
      <c r="I1058" s="6">
        <v>8.81</v>
      </c>
      <c r="J1058" s="6">
        <v>35.229999999999997</v>
      </c>
      <c r="K1058" s="5">
        <v>143</v>
      </c>
    </row>
    <row r="1059" spans="1:11" x14ac:dyDescent="0.3">
      <c r="A1059" s="3">
        <v>4048</v>
      </c>
      <c r="B1059" s="3" t="s">
        <v>14</v>
      </c>
      <c r="C1059" s="4">
        <v>45532</v>
      </c>
      <c r="D1059" s="3" t="s">
        <v>22</v>
      </c>
      <c r="E1059" s="3" t="s">
        <v>21</v>
      </c>
      <c r="F1059" s="5">
        <v>3</v>
      </c>
      <c r="G1059" s="6">
        <v>29.4</v>
      </c>
      <c r="H1059" s="6">
        <v>88.2</v>
      </c>
      <c r="I1059" s="6">
        <v>13.23</v>
      </c>
      <c r="J1059" s="6">
        <v>74.97</v>
      </c>
      <c r="K1059" s="5">
        <v>362</v>
      </c>
    </row>
    <row r="1060" spans="1:11" x14ac:dyDescent="0.3">
      <c r="A1060" s="3">
        <v>9482</v>
      </c>
      <c r="B1060" s="3" t="s">
        <v>42</v>
      </c>
      <c r="C1060" s="4">
        <v>45445</v>
      </c>
      <c r="D1060" s="3" t="s">
        <v>27</v>
      </c>
      <c r="E1060" s="3" t="s">
        <v>21</v>
      </c>
      <c r="F1060" s="5">
        <v>3</v>
      </c>
      <c r="G1060" s="6">
        <v>7.1</v>
      </c>
      <c r="H1060" s="6">
        <v>21.3</v>
      </c>
      <c r="I1060" s="6">
        <v>4.66</v>
      </c>
      <c r="J1060" s="6">
        <v>16.64</v>
      </c>
      <c r="K1060" s="5">
        <v>491</v>
      </c>
    </row>
    <row r="1061" spans="1:11" x14ac:dyDescent="0.3">
      <c r="A1061" s="3">
        <v>2929</v>
      </c>
      <c r="B1061" s="3" t="s">
        <v>19</v>
      </c>
      <c r="C1061" s="4">
        <v>45348</v>
      </c>
      <c r="D1061" s="3" t="s">
        <v>27</v>
      </c>
      <c r="E1061" s="3" t="s">
        <v>39</v>
      </c>
      <c r="F1061" s="5">
        <v>5</v>
      </c>
      <c r="G1061" s="6">
        <v>14.81</v>
      </c>
      <c r="H1061" s="6">
        <v>74.05</v>
      </c>
      <c r="I1061" s="6">
        <v>0</v>
      </c>
      <c r="J1061" s="6">
        <v>74.05</v>
      </c>
      <c r="K1061" s="5">
        <v>461</v>
      </c>
    </row>
    <row r="1062" spans="1:11" x14ac:dyDescent="0.3">
      <c r="A1062" s="3">
        <v>5264</v>
      </c>
      <c r="B1062" s="3" t="s">
        <v>19</v>
      </c>
      <c r="C1062" s="4">
        <v>45691</v>
      </c>
      <c r="D1062" s="3" t="s">
        <v>20</v>
      </c>
      <c r="E1062" s="3" t="s">
        <v>18</v>
      </c>
      <c r="F1062" s="5">
        <v>4</v>
      </c>
      <c r="G1062" s="6">
        <v>23.1</v>
      </c>
      <c r="H1062" s="6">
        <v>92.4</v>
      </c>
      <c r="I1062" s="6">
        <v>0</v>
      </c>
      <c r="J1062" s="6">
        <v>92.4</v>
      </c>
      <c r="K1062" s="5">
        <v>275</v>
      </c>
    </row>
    <row r="1063" spans="1:11" x14ac:dyDescent="0.3">
      <c r="A1063" s="3">
        <v>8311</v>
      </c>
      <c r="B1063" s="3" t="s">
        <v>11</v>
      </c>
      <c r="C1063" s="4">
        <v>45311</v>
      </c>
      <c r="D1063" s="3" t="s">
        <v>38</v>
      </c>
      <c r="E1063" s="3" t="s">
        <v>39</v>
      </c>
      <c r="F1063" s="5">
        <v>4</v>
      </c>
      <c r="G1063" s="6">
        <v>20.49</v>
      </c>
      <c r="H1063" s="6">
        <v>81.96</v>
      </c>
      <c r="I1063" s="6">
        <v>2.4300000000000002</v>
      </c>
      <c r="J1063" s="6">
        <v>79.53</v>
      </c>
      <c r="K1063" s="5">
        <v>180</v>
      </c>
    </row>
    <row r="1064" spans="1:11" x14ac:dyDescent="0.3">
      <c r="A1064" s="3">
        <v>5678</v>
      </c>
      <c r="B1064" s="3" t="s">
        <v>19</v>
      </c>
      <c r="C1064" s="4">
        <v>45684</v>
      </c>
      <c r="D1064" s="3" t="s">
        <v>12</v>
      </c>
      <c r="E1064" s="3" t="s">
        <v>48</v>
      </c>
      <c r="F1064" s="5">
        <v>4</v>
      </c>
      <c r="G1064" s="6">
        <v>11.73</v>
      </c>
      <c r="H1064" s="6">
        <v>46.92</v>
      </c>
      <c r="I1064" s="6">
        <v>1.89</v>
      </c>
      <c r="J1064" s="6">
        <v>45.03</v>
      </c>
      <c r="K1064" s="5">
        <v>98</v>
      </c>
    </row>
    <row r="1065" spans="1:11" x14ac:dyDescent="0.3">
      <c r="A1065" s="3">
        <v>9047</v>
      </c>
      <c r="B1065" s="3" t="s">
        <v>31</v>
      </c>
      <c r="C1065" s="4">
        <v>45300</v>
      </c>
      <c r="D1065" s="3" t="s">
        <v>35</v>
      </c>
      <c r="E1065" s="3" t="s">
        <v>23</v>
      </c>
      <c r="F1065" s="5">
        <v>2</v>
      </c>
      <c r="G1065" s="6">
        <v>3.6</v>
      </c>
      <c r="H1065" s="6">
        <v>7.2</v>
      </c>
      <c r="I1065" s="6">
        <v>0</v>
      </c>
      <c r="J1065" s="6">
        <v>7.2</v>
      </c>
      <c r="K1065" s="5">
        <v>314</v>
      </c>
    </row>
    <row r="1066" spans="1:11" x14ac:dyDescent="0.3">
      <c r="A1066" s="3">
        <v>3009</v>
      </c>
      <c r="B1066" s="3" t="s">
        <v>42</v>
      </c>
      <c r="C1066" s="4">
        <v>45250</v>
      </c>
      <c r="D1066" s="3" t="s">
        <v>17</v>
      </c>
      <c r="E1066" s="3" t="s">
        <v>47</v>
      </c>
      <c r="F1066" s="5">
        <v>3</v>
      </c>
      <c r="G1066" s="6">
        <v>2.06</v>
      </c>
      <c r="H1066" s="6">
        <v>6.18</v>
      </c>
      <c r="I1066" s="6">
        <v>1.78</v>
      </c>
      <c r="J1066" s="6">
        <v>4.4000000000000004</v>
      </c>
      <c r="K1066" s="5">
        <v>252</v>
      </c>
    </row>
    <row r="1067" spans="1:11" x14ac:dyDescent="0.3">
      <c r="A1067" s="3">
        <v>2213</v>
      </c>
      <c r="B1067" s="3" t="s">
        <v>24</v>
      </c>
      <c r="C1067" s="4">
        <v>45496</v>
      </c>
      <c r="D1067" s="3" t="s">
        <v>15</v>
      </c>
      <c r="E1067" s="3" t="s">
        <v>13</v>
      </c>
      <c r="F1067" s="5">
        <v>5</v>
      </c>
      <c r="G1067" s="6">
        <v>15.5</v>
      </c>
      <c r="H1067" s="6">
        <v>77.5</v>
      </c>
      <c r="I1067" s="6">
        <v>0</v>
      </c>
      <c r="J1067" s="6">
        <v>77.5</v>
      </c>
      <c r="K1067" s="5">
        <v>87</v>
      </c>
    </row>
    <row r="1068" spans="1:11" x14ac:dyDescent="0.3">
      <c r="A1068" s="3">
        <v>3828</v>
      </c>
      <c r="B1068" s="3" t="s">
        <v>19</v>
      </c>
      <c r="C1068" s="4">
        <v>45843</v>
      </c>
      <c r="D1068" s="3" t="s">
        <v>15</v>
      </c>
      <c r="E1068" s="3" t="s">
        <v>41</v>
      </c>
      <c r="F1068" s="5">
        <v>1</v>
      </c>
      <c r="G1068" s="6">
        <v>4.6900000000000004</v>
      </c>
      <c r="H1068" s="6">
        <v>4.6900000000000004</v>
      </c>
      <c r="I1068" s="6">
        <v>3.92</v>
      </c>
      <c r="J1068" s="6">
        <v>0.77</v>
      </c>
      <c r="K1068" s="5">
        <v>477</v>
      </c>
    </row>
    <row r="1069" spans="1:11" x14ac:dyDescent="0.3">
      <c r="A1069" s="3">
        <v>8292</v>
      </c>
      <c r="B1069" s="3" t="s">
        <v>30</v>
      </c>
      <c r="C1069" s="4">
        <v>45213</v>
      </c>
      <c r="D1069" s="3" t="s">
        <v>17</v>
      </c>
      <c r="E1069" s="3" t="s">
        <v>39</v>
      </c>
      <c r="F1069" s="5">
        <v>5</v>
      </c>
      <c r="G1069" s="6">
        <v>18.809999999999999</v>
      </c>
      <c r="H1069" s="6">
        <v>94.05</v>
      </c>
      <c r="I1069" s="6">
        <v>4.75</v>
      </c>
      <c r="J1069" s="6">
        <v>89.3</v>
      </c>
      <c r="K1069" s="5">
        <v>348</v>
      </c>
    </row>
    <row r="1070" spans="1:11" x14ac:dyDescent="0.3">
      <c r="A1070" s="3">
        <v>6236</v>
      </c>
      <c r="B1070" s="3" t="s">
        <v>31</v>
      </c>
      <c r="C1070" s="4">
        <v>45663</v>
      </c>
      <c r="D1070" s="3" t="s">
        <v>22</v>
      </c>
      <c r="E1070" s="3" t="s">
        <v>16</v>
      </c>
      <c r="F1070" s="5">
        <v>4</v>
      </c>
      <c r="G1070" s="6">
        <v>8.94</v>
      </c>
      <c r="H1070" s="6">
        <v>35.76</v>
      </c>
      <c r="I1070" s="6">
        <v>3.58</v>
      </c>
      <c r="J1070" s="6">
        <v>32.18</v>
      </c>
      <c r="K1070" s="5">
        <v>348</v>
      </c>
    </row>
    <row r="1071" spans="1:11" x14ac:dyDescent="0.3">
      <c r="A1071" s="3">
        <v>6692</v>
      </c>
      <c r="B1071" s="3" t="s">
        <v>36</v>
      </c>
      <c r="C1071" s="4">
        <v>45696</v>
      </c>
      <c r="D1071" s="3" t="s">
        <v>38</v>
      </c>
      <c r="E1071" s="3" t="s">
        <v>40</v>
      </c>
      <c r="F1071" s="5">
        <v>2</v>
      </c>
      <c r="G1071" s="6">
        <v>2.35</v>
      </c>
      <c r="H1071" s="6">
        <v>4.7</v>
      </c>
      <c r="I1071" s="6">
        <v>2.8</v>
      </c>
      <c r="J1071" s="6">
        <v>1.9</v>
      </c>
      <c r="K1071" s="5">
        <v>470</v>
      </c>
    </row>
    <row r="1072" spans="1:11" x14ac:dyDescent="0.3">
      <c r="A1072" s="3">
        <v>2063</v>
      </c>
      <c r="B1072" s="3" t="s">
        <v>31</v>
      </c>
      <c r="C1072" s="4">
        <v>45572</v>
      </c>
      <c r="D1072" s="3" t="s">
        <v>20</v>
      </c>
      <c r="E1072" s="3" t="s">
        <v>44</v>
      </c>
      <c r="F1072" s="5">
        <v>3</v>
      </c>
      <c r="G1072" s="6">
        <v>3.36</v>
      </c>
      <c r="H1072" s="6">
        <v>10.08</v>
      </c>
      <c r="I1072" s="6">
        <v>0</v>
      </c>
      <c r="J1072" s="6">
        <v>10.08</v>
      </c>
      <c r="K1072" s="5">
        <v>292</v>
      </c>
    </row>
    <row r="1073" spans="1:11" x14ac:dyDescent="0.3">
      <c r="A1073" s="3">
        <v>9882</v>
      </c>
      <c r="B1073" s="3" t="s">
        <v>42</v>
      </c>
      <c r="C1073" s="4">
        <v>45370</v>
      </c>
      <c r="D1073" s="3" t="s">
        <v>20</v>
      </c>
      <c r="E1073" s="3" t="s">
        <v>43</v>
      </c>
      <c r="F1073" s="5">
        <v>2</v>
      </c>
      <c r="G1073" s="6">
        <v>6.7</v>
      </c>
      <c r="H1073" s="6">
        <v>13.4</v>
      </c>
      <c r="I1073" s="6">
        <v>3.5</v>
      </c>
      <c r="J1073" s="6">
        <v>9.9</v>
      </c>
      <c r="K1073" s="5">
        <v>168</v>
      </c>
    </row>
    <row r="1074" spans="1:11" x14ac:dyDescent="0.3">
      <c r="A1074" s="3">
        <v>5914</v>
      </c>
      <c r="B1074" s="3" t="s">
        <v>11</v>
      </c>
      <c r="C1074" s="4">
        <v>45806</v>
      </c>
      <c r="D1074" s="3" t="s">
        <v>12</v>
      </c>
      <c r="E1074" s="3" t="s">
        <v>47</v>
      </c>
      <c r="F1074" s="5">
        <v>4</v>
      </c>
      <c r="G1074" s="6">
        <v>24.42</v>
      </c>
      <c r="H1074" s="6">
        <v>97.68</v>
      </c>
      <c r="I1074" s="6">
        <v>14.65</v>
      </c>
      <c r="J1074" s="6">
        <v>83.03</v>
      </c>
      <c r="K1074" s="5">
        <v>303</v>
      </c>
    </row>
    <row r="1075" spans="1:11" x14ac:dyDescent="0.3">
      <c r="A1075" s="3">
        <v>3580</v>
      </c>
      <c r="B1075" s="3" t="s">
        <v>42</v>
      </c>
      <c r="C1075" s="4">
        <v>45697</v>
      </c>
      <c r="D1075" s="3" t="s">
        <v>15</v>
      </c>
      <c r="E1075" s="3" t="s">
        <v>47</v>
      </c>
      <c r="F1075" s="5">
        <v>2</v>
      </c>
      <c r="G1075" s="6">
        <v>28.8</v>
      </c>
      <c r="H1075" s="6">
        <v>57.6</v>
      </c>
      <c r="I1075" s="6">
        <v>8.64</v>
      </c>
      <c r="J1075" s="6">
        <v>48.96</v>
      </c>
      <c r="K1075" s="5">
        <v>426</v>
      </c>
    </row>
    <row r="1076" spans="1:11" x14ac:dyDescent="0.3">
      <c r="A1076" s="3">
        <v>3852</v>
      </c>
      <c r="B1076" s="3" t="s">
        <v>14</v>
      </c>
      <c r="C1076" s="4">
        <v>45761</v>
      </c>
      <c r="D1076" s="3" t="s">
        <v>17</v>
      </c>
      <c r="E1076" s="3" t="s">
        <v>43</v>
      </c>
      <c r="F1076" s="5">
        <v>5</v>
      </c>
      <c r="G1076" s="6">
        <v>18.96</v>
      </c>
      <c r="H1076" s="6">
        <v>94.8</v>
      </c>
      <c r="I1076" s="6">
        <v>0</v>
      </c>
      <c r="J1076" s="6">
        <v>94.8</v>
      </c>
      <c r="K1076" s="5">
        <v>391</v>
      </c>
    </row>
    <row r="1077" spans="1:11" x14ac:dyDescent="0.3">
      <c r="A1077" s="3">
        <v>6922</v>
      </c>
      <c r="B1077" s="3" t="s">
        <v>26</v>
      </c>
      <c r="C1077" s="4">
        <v>45540</v>
      </c>
      <c r="D1077" s="3" t="s">
        <v>28</v>
      </c>
      <c r="E1077" s="3" t="s">
        <v>48</v>
      </c>
      <c r="F1077" s="5">
        <v>1</v>
      </c>
      <c r="G1077" s="6">
        <v>29.25</v>
      </c>
      <c r="H1077" s="6">
        <v>29.25</v>
      </c>
      <c r="I1077" s="6">
        <v>2.93</v>
      </c>
      <c r="J1077" s="6">
        <v>26.32</v>
      </c>
      <c r="K1077" s="5">
        <v>469</v>
      </c>
    </row>
    <row r="1078" spans="1:11" x14ac:dyDescent="0.3">
      <c r="A1078" s="3">
        <v>4673</v>
      </c>
      <c r="B1078" s="3" t="s">
        <v>36</v>
      </c>
      <c r="C1078" s="4">
        <v>45239</v>
      </c>
      <c r="D1078" s="3" t="s">
        <v>15</v>
      </c>
      <c r="E1078" s="3" t="s">
        <v>41</v>
      </c>
      <c r="F1078" s="5">
        <v>1</v>
      </c>
      <c r="G1078" s="6">
        <v>27.64</v>
      </c>
      <c r="H1078" s="6">
        <v>27.64</v>
      </c>
      <c r="I1078" s="6">
        <v>4.1500000000000004</v>
      </c>
      <c r="J1078" s="6">
        <v>23.49</v>
      </c>
      <c r="K1078" s="5">
        <v>226</v>
      </c>
    </row>
    <row r="1079" spans="1:11" x14ac:dyDescent="0.3">
      <c r="A1079" s="3">
        <v>4292</v>
      </c>
      <c r="B1079" s="3" t="s">
        <v>24</v>
      </c>
      <c r="C1079" s="4">
        <v>45760</v>
      </c>
      <c r="D1079" s="3" t="s">
        <v>15</v>
      </c>
      <c r="E1079" s="3" t="s">
        <v>48</v>
      </c>
      <c r="F1079" s="5">
        <v>1</v>
      </c>
      <c r="G1079" s="6">
        <v>17.21</v>
      </c>
      <c r="H1079" s="6">
        <v>17.21</v>
      </c>
      <c r="I1079" s="6">
        <v>1.72</v>
      </c>
      <c r="J1079" s="6">
        <v>15.49</v>
      </c>
      <c r="K1079" s="5">
        <v>150</v>
      </c>
    </row>
    <row r="1080" spans="1:11" x14ac:dyDescent="0.3">
      <c r="A1080" s="3">
        <v>3275</v>
      </c>
      <c r="B1080" s="3" t="s">
        <v>11</v>
      </c>
      <c r="C1080" s="4">
        <v>45328</v>
      </c>
      <c r="D1080" s="3" t="s">
        <v>28</v>
      </c>
      <c r="E1080" s="3" t="s">
        <v>16</v>
      </c>
      <c r="F1080" s="5">
        <v>2</v>
      </c>
      <c r="G1080" s="6">
        <v>26.06</v>
      </c>
      <c r="H1080" s="6">
        <v>52.12</v>
      </c>
      <c r="I1080" s="6">
        <v>5.21</v>
      </c>
      <c r="J1080" s="6">
        <v>46.91</v>
      </c>
      <c r="K1080" s="5">
        <v>403</v>
      </c>
    </row>
    <row r="1081" spans="1:11" x14ac:dyDescent="0.3">
      <c r="A1081" s="3">
        <v>9094</v>
      </c>
      <c r="B1081" s="3" t="s">
        <v>24</v>
      </c>
      <c r="C1081" s="4">
        <v>45165</v>
      </c>
      <c r="D1081" s="3" t="s">
        <v>45</v>
      </c>
      <c r="E1081" s="3" t="s">
        <v>16</v>
      </c>
      <c r="F1081" s="5">
        <v>5</v>
      </c>
      <c r="G1081" s="6">
        <v>18.95</v>
      </c>
      <c r="H1081" s="6">
        <v>94.75</v>
      </c>
      <c r="I1081" s="6">
        <v>9.4700000000000006</v>
      </c>
      <c r="J1081" s="6">
        <v>85.28</v>
      </c>
      <c r="K1081" s="5">
        <v>173</v>
      </c>
    </row>
    <row r="1082" spans="1:11" x14ac:dyDescent="0.3">
      <c r="A1082" s="3">
        <v>6912</v>
      </c>
      <c r="B1082" s="3" t="s">
        <v>14</v>
      </c>
      <c r="C1082" s="4">
        <v>45575</v>
      </c>
      <c r="D1082" s="3" t="s">
        <v>22</v>
      </c>
      <c r="E1082" s="3" t="s">
        <v>44</v>
      </c>
      <c r="F1082" s="5">
        <v>1</v>
      </c>
      <c r="G1082" s="6">
        <v>3.97</v>
      </c>
      <c r="H1082" s="6">
        <v>3.97</v>
      </c>
      <c r="I1082" s="6">
        <v>4.16</v>
      </c>
      <c r="J1082" s="6">
        <v>-0.19</v>
      </c>
      <c r="K1082" s="5">
        <v>304</v>
      </c>
    </row>
    <row r="1083" spans="1:11" x14ac:dyDescent="0.3">
      <c r="A1083" s="3">
        <v>7044</v>
      </c>
      <c r="B1083" s="3" t="s">
        <v>42</v>
      </c>
      <c r="C1083" s="4">
        <v>45508</v>
      </c>
      <c r="D1083" s="3" t="s">
        <v>28</v>
      </c>
      <c r="E1083" s="3" t="s">
        <v>41</v>
      </c>
      <c r="F1083" s="5">
        <v>5</v>
      </c>
      <c r="G1083" s="6">
        <v>8.42</v>
      </c>
      <c r="H1083" s="6">
        <v>42.1</v>
      </c>
      <c r="I1083" s="6">
        <v>0</v>
      </c>
      <c r="J1083" s="6">
        <v>42.1</v>
      </c>
      <c r="K1083" s="5">
        <v>215</v>
      </c>
    </row>
    <row r="1084" spans="1:11" x14ac:dyDescent="0.3">
      <c r="A1084" s="3">
        <v>3126</v>
      </c>
      <c r="B1084" s="3" t="s">
        <v>26</v>
      </c>
      <c r="C1084" s="4">
        <v>45620</v>
      </c>
      <c r="D1084" s="3" t="s">
        <v>34</v>
      </c>
      <c r="E1084" s="3" t="s">
        <v>25</v>
      </c>
      <c r="F1084" s="5">
        <v>2</v>
      </c>
      <c r="G1084" s="6">
        <v>24.1</v>
      </c>
      <c r="H1084" s="6">
        <v>48.2</v>
      </c>
      <c r="I1084" s="6">
        <v>7.23</v>
      </c>
      <c r="J1084" s="6">
        <v>40.97</v>
      </c>
      <c r="K1084" s="5">
        <v>30</v>
      </c>
    </row>
    <row r="1085" spans="1:11" x14ac:dyDescent="0.3">
      <c r="A1085" s="3">
        <v>2412</v>
      </c>
      <c r="B1085" s="3" t="s">
        <v>24</v>
      </c>
      <c r="C1085" s="4">
        <v>45196</v>
      </c>
      <c r="D1085" s="3" t="s">
        <v>38</v>
      </c>
      <c r="E1085" s="3" t="s">
        <v>23</v>
      </c>
      <c r="F1085" s="5">
        <v>3</v>
      </c>
      <c r="G1085" s="6">
        <v>17.920000000000002</v>
      </c>
      <c r="H1085" s="6">
        <v>53.76</v>
      </c>
      <c r="I1085" s="6">
        <v>10.75</v>
      </c>
      <c r="J1085" s="6">
        <v>43.01</v>
      </c>
      <c r="K1085" s="5">
        <v>277</v>
      </c>
    </row>
    <row r="1086" spans="1:11" x14ac:dyDescent="0.3">
      <c r="A1086" s="3">
        <v>6067</v>
      </c>
      <c r="B1086" s="3" t="s">
        <v>26</v>
      </c>
      <c r="C1086" s="4">
        <v>45454</v>
      </c>
      <c r="D1086" s="3" t="s">
        <v>35</v>
      </c>
      <c r="E1086" s="3" t="s">
        <v>21</v>
      </c>
      <c r="F1086" s="5">
        <v>3</v>
      </c>
      <c r="G1086" s="6">
        <v>11.69</v>
      </c>
      <c r="H1086" s="6">
        <v>35.07</v>
      </c>
      <c r="I1086" s="6">
        <v>1.95</v>
      </c>
      <c r="J1086" s="6">
        <v>33.119999999999997</v>
      </c>
      <c r="K1086" s="5">
        <v>4</v>
      </c>
    </row>
    <row r="1087" spans="1:11" x14ac:dyDescent="0.3">
      <c r="A1087" s="3">
        <v>8842</v>
      </c>
      <c r="B1087" s="3" t="s">
        <v>14</v>
      </c>
      <c r="C1087" s="4">
        <v>45553</v>
      </c>
      <c r="D1087" s="3" t="s">
        <v>12</v>
      </c>
      <c r="E1087" s="3" t="s">
        <v>16</v>
      </c>
      <c r="F1087" s="5">
        <v>3</v>
      </c>
      <c r="G1087" s="6">
        <v>6.66</v>
      </c>
      <c r="H1087" s="6">
        <v>19.98</v>
      </c>
      <c r="I1087" s="6">
        <v>2.37</v>
      </c>
      <c r="J1087" s="6">
        <v>17.61</v>
      </c>
      <c r="K1087" s="5">
        <v>102</v>
      </c>
    </row>
    <row r="1088" spans="1:11" x14ac:dyDescent="0.3">
      <c r="A1088" s="3">
        <v>7730</v>
      </c>
      <c r="B1088" s="3" t="s">
        <v>26</v>
      </c>
      <c r="C1088" s="4">
        <v>45742</v>
      </c>
      <c r="D1088" s="3" t="s">
        <v>45</v>
      </c>
      <c r="E1088" s="3" t="s">
        <v>21</v>
      </c>
      <c r="F1088" s="5">
        <v>5</v>
      </c>
      <c r="G1088" s="6">
        <v>17.41</v>
      </c>
      <c r="H1088" s="6">
        <v>87.05</v>
      </c>
      <c r="I1088" s="6">
        <v>8.7100000000000009</v>
      </c>
      <c r="J1088" s="6">
        <v>78.34</v>
      </c>
      <c r="K1088" s="5">
        <v>171</v>
      </c>
    </row>
    <row r="1089" spans="1:11" x14ac:dyDescent="0.3">
      <c r="A1089" s="3">
        <v>7708</v>
      </c>
      <c r="B1089" s="3" t="s">
        <v>36</v>
      </c>
      <c r="C1089" s="4">
        <v>45784</v>
      </c>
      <c r="D1089" s="3" t="s">
        <v>34</v>
      </c>
      <c r="E1089" s="3" t="s">
        <v>48</v>
      </c>
      <c r="F1089" s="5">
        <v>4</v>
      </c>
      <c r="G1089" s="6">
        <v>26.4</v>
      </c>
      <c r="H1089" s="6">
        <v>105.6</v>
      </c>
      <c r="I1089" s="6">
        <v>10.56</v>
      </c>
      <c r="J1089" s="6">
        <v>95.04</v>
      </c>
      <c r="K1089" s="5">
        <v>466</v>
      </c>
    </row>
    <row r="1090" spans="1:11" x14ac:dyDescent="0.3">
      <c r="A1090" s="3">
        <v>2208</v>
      </c>
      <c r="B1090" s="3" t="s">
        <v>42</v>
      </c>
      <c r="C1090" s="4">
        <v>45242</v>
      </c>
      <c r="D1090" s="3" t="s">
        <v>12</v>
      </c>
      <c r="E1090" s="3" t="s">
        <v>25</v>
      </c>
      <c r="F1090" s="5">
        <v>2</v>
      </c>
      <c r="G1090" s="6">
        <v>14.52</v>
      </c>
      <c r="H1090" s="6">
        <v>29.04</v>
      </c>
      <c r="I1090" s="6">
        <v>2.9</v>
      </c>
      <c r="J1090" s="6">
        <v>26.14</v>
      </c>
      <c r="K1090" s="5">
        <v>109</v>
      </c>
    </row>
    <row r="1091" spans="1:11" x14ac:dyDescent="0.3">
      <c r="A1091" s="3">
        <v>6194</v>
      </c>
      <c r="B1091" s="3" t="s">
        <v>36</v>
      </c>
      <c r="C1091" s="4">
        <v>45643</v>
      </c>
      <c r="D1091" s="3" t="s">
        <v>20</v>
      </c>
      <c r="E1091" s="3" t="s">
        <v>44</v>
      </c>
      <c r="F1091" s="5">
        <v>4</v>
      </c>
      <c r="G1091" s="6">
        <v>6.33</v>
      </c>
      <c r="H1091" s="6">
        <v>25.32</v>
      </c>
      <c r="I1091" s="6">
        <v>1.29</v>
      </c>
      <c r="J1091" s="6">
        <v>24.03</v>
      </c>
      <c r="K1091" s="5">
        <v>3</v>
      </c>
    </row>
    <row r="1092" spans="1:11" x14ac:dyDescent="0.3">
      <c r="A1092" s="3">
        <v>2215</v>
      </c>
      <c r="B1092" s="3" t="s">
        <v>31</v>
      </c>
      <c r="C1092" s="4">
        <v>45494</v>
      </c>
      <c r="D1092" s="3" t="s">
        <v>38</v>
      </c>
      <c r="E1092" s="3" t="s">
        <v>48</v>
      </c>
      <c r="F1092" s="5">
        <v>2</v>
      </c>
      <c r="G1092" s="6">
        <v>9.42</v>
      </c>
      <c r="H1092" s="6">
        <v>18.84</v>
      </c>
      <c r="I1092" s="6">
        <v>4.9000000000000004</v>
      </c>
      <c r="J1092" s="6">
        <v>13.94</v>
      </c>
      <c r="K1092" s="5">
        <v>99</v>
      </c>
    </row>
    <row r="1093" spans="1:11" x14ac:dyDescent="0.3">
      <c r="A1093" s="3">
        <v>8632</v>
      </c>
      <c r="B1093" s="3" t="s">
        <v>42</v>
      </c>
      <c r="C1093" s="4">
        <v>45673</v>
      </c>
      <c r="D1093" s="3" t="s">
        <v>17</v>
      </c>
      <c r="E1093" s="3" t="s">
        <v>37</v>
      </c>
      <c r="F1093" s="5">
        <v>2</v>
      </c>
      <c r="G1093" s="6">
        <v>7.34</v>
      </c>
      <c r="H1093" s="6">
        <v>14.68</v>
      </c>
      <c r="I1093" s="6">
        <v>2.2000000000000002</v>
      </c>
      <c r="J1093" s="6">
        <v>12.48</v>
      </c>
      <c r="K1093" s="5">
        <v>134</v>
      </c>
    </row>
    <row r="1094" spans="1:11" x14ac:dyDescent="0.3">
      <c r="A1094" s="3">
        <v>9476</v>
      </c>
      <c r="B1094" s="3" t="s">
        <v>14</v>
      </c>
      <c r="C1094" s="4">
        <v>45412</v>
      </c>
      <c r="D1094" s="3" t="s">
        <v>17</v>
      </c>
      <c r="E1094" s="3" t="s">
        <v>29</v>
      </c>
      <c r="F1094" s="5">
        <v>2</v>
      </c>
      <c r="G1094" s="6">
        <v>1.61</v>
      </c>
      <c r="H1094" s="6">
        <v>3.22</v>
      </c>
      <c r="I1094" s="6">
        <v>1.08</v>
      </c>
      <c r="J1094" s="6">
        <v>2.14</v>
      </c>
      <c r="K1094" s="5">
        <v>431</v>
      </c>
    </row>
    <row r="1095" spans="1:11" x14ac:dyDescent="0.3">
      <c r="A1095" s="3">
        <v>3102</v>
      </c>
      <c r="B1095" s="3" t="s">
        <v>19</v>
      </c>
      <c r="C1095" s="4">
        <v>45826</v>
      </c>
      <c r="D1095" s="3" t="s">
        <v>20</v>
      </c>
      <c r="E1095" s="3" t="s">
        <v>48</v>
      </c>
      <c r="F1095" s="5">
        <v>3</v>
      </c>
      <c r="G1095" s="6">
        <v>28.14</v>
      </c>
      <c r="H1095" s="6">
        <v>84.42</v>
      </c>
      <c r="I1095" s="6">
        <v>16.88</v>
      </c>
      <c r="J1095" s="6">
        <v>67.540000000000006</v>
      </c>
      <c r="K1095" s="5">
        <v>156</v>
      </c>
    </row>
    <row r="1096" spans="1:11" x14ac:dyDescent="0.3">
      <c r="A1096" s="3">
        <v>3981</v>
      </c>
      <c r="B1096" s="3" t="s">
        <v>36</v>
      </c>
      <c r="C1096" s="4">
        <v>45741</v>
      </c>
      <c r="D1096" s="3" t="s">
        <v>22</v>
      </c>
      <c r="E1096" s="3" t="s">
        <v>29</v>
      </c>
      <c r="F1096" s="5">
        <v>5</v>
      </c>
      <c r="G1096" s="6">
        <v>29.33</v>
      </c>
      <c r="H1096" s="6">
        <v>146.65</v>
      </c>
      <c r="I1096" s="6">
        <v>0</v>
      </c>
      <c r="J1096" s="6">
        <v>146.65</v>
      </c>
      <c r="K1096" s="5">
        <v>319</v>
      </c>
    </row>
    <row r="1097" spans="1:11" x14ac:dyDescent="0.3">
      <c r="A1097" s="3">
        <v>3114</v>
      </c>
      <c r="B1097" s="3" t="s">
        <v>11</v>
      </c>
      <c r="C1097" s="4">
        <v>45481</v>
      </c>
      <c r="D1097" s="3" t="s">
        <v>15</v>
      </c>
      <c r="E1097" s="3" t="s">
        <v>41</v>
      </c>
      <c r="F1097" s="5">
        <v>2</v>
      </c>
      <c r="G1097" s="6">
        <v>24.04</v>
      </c>
      <c r="H1097" s="6">
        <v>48.08</v>
      </c>
      <c r="I1097" s="6">
        <v>0</v>
      </c>
      <c r="J1097" s="6">
        <v>48.08</v>
      </c>
      <c r="K1097" s="5">
        <v>98</v>
      </c>
    </row>
    <row r="1098" spans="1:11" x14ac:dyDescent="0.3">
      <c r="A1098" s="3">
        <v>9238</v>
      </c>
      <c r="B1098" s="3" t="s">
        <v>36</v>
      </c>
      <c r="C1098" s="4">
        <v>45852</v>
      </c>
      <c r="D1098" s="3" t="s">
        <v>22</v>
      </c>
      <c r="E1098" s="3" t="s">
        <v>16</v>
      </c>
      <c r="F1098" s="5">
        <v>2</v>
      </c>
      <c r="G1098" s="6">
        <v>27.7</v>
      </c>
      <c r="H1098" s="6">
        <v>55.4</v>
      </c>
      <c r="I1098" s="6">
        <v>2.1800000000000002</v>
      </c>
      <c r="J1098" s="6">
        <v>53.22</v>
      </c>
      <c r="K1098" s="5">
        <v>390</v>
      </c>
    </row>
    <row r="1099" spans="1:11" x14ac:dyDescent="0.3">
      <c r="A1099" s="3">
        <v>1907</v>
      </c>
      <c r="B1099" s="3" t="s">
        <v>19</v>
      </c>
      <c r="C1099" s="4">
        <v>45790</v>
      </c>
      <c r="D1099" s="3" t="s">
        <v>22</v>
      </c>
      <c r="E1099" s="3" t="s">
        <v>25</v>
      </c>
      <c r="F1099" s="5">
        <v>1</v>
      </c>
      <c r="G1099" s="6">
        <v>19.239999999999998</v>
      </c>
      <c r="H1099" s="6">
        <v>19.239999999999998</v>
      </c>
      <c r="I1099" s="6">
        <v>4.87</v>
      </c>
      <c r="J1099" s="6">
        <v>14.37</v>
      </c>
      <c r="K1099" s="5">
        <v>143</v>
      </c>
    </row>
    <row r="1100" spans="1:11" x14ac:dyDescent="0.3">
      <c r="A1100" s="3">
        <v>3034</v>
      </c>
      <c r="B1100" s="3" t="s">
        <v>26</v>
      </c>
      <c r="C1100" s="4">
        <v>45547</v>
      </c>
      <c r="D1100" s="3" t="s">
        <v>17</v>
      </c>
      <c r="E1100" s="3" t="s">
        <v>43</v>
      </c>
      <c r="F1100" s="5">
        <v>4</v>
      </c>
      <c r="G1100" s="6">
        <v>23.93</v>
      </c>
      <c r="H1100" s="6">
        <v>95.72</v>
      </c>
      <c r="I1100" s="6">
        <v>19.14</v>
      </c>
      <c r="J1100" s="6">
        <v>76.58</v>
      </c>
      <c r="K1100" s="5">
        <v>314</v>
      </c>
    </row>
    <row r="1101" spans="1:11" x14ac:dyDescent="0.3">
      <c r="A1101" s="3">
        <v>3507</v>
      </c>
      <c r="B1101" s="3" t="s">
        <v>14</v>
      </c>
      <c r="C1101" s="4">
        <v>45381</v>
      </c>
      <c r="D1101" s="3" t="s">
        <v>20</v>
      </c>
      <c r="E1101" s="3" t="s">
        <v>46</v>
      </c>
      <c r="F1101" s="5">
        <v>3</v>
      </c>
      <c r="G1101" s="6">
        <v>15.45</v>
      </c>
      <c r="H1101" s="6">
        <v>46.35</v>
      </c>
      <c r="I1101" s="6">
        <v>6.95</v>
      </c>
      <c r="J1101" s="6">
        <v>39.4</v>
      </c>
      <c r="K1101" s="5">
        <v>237</v>
      </c>
    </row>
    <row r="1102" spans="1:11" x14ac:dyDescent="0.3">
      <c r="A1102" s="3">
        <v>3697</v>
      </c>
      <c r="B1102" s="3" t="s">
        <v>36</v>
      </c>
      <c r="C1102" s="4">
        <v>45270</v>
      </c>
      <c r="D1102" s="3" t="s">
        <v>38</v>
      </c>
      <c r="E1102" s="3" t="s">
        <v>47</v>
      </c>
      <c r="F1102" s="5">
        <v>4</v>
      </c>
      <c r="G1102" s="6">
        <v>14.73</v>
      </c>
      <c r="H1102" s="6">
        <v>58.92</v>
      </c>
      <c r="I1102" s="6">
        <v>0</v>
      </c>
      <c r="J1102" s="6">
        <v>58.92</v>
      </c>
      <c r="K1102" s="5">
        <v>297</v>
      </c>
    </row>
    <row r="1103" spans="1:11" x14ac:dyDescent="0.3">
      <c r="A1103" s="3">
        <v>6286</v>
      </c>
      <c r="B1103" s="3" t="s">
        <v>31</v>
      </c>
      <c r="C1103" s="4">
        <v>45871</v>
      </c>
      <c r="D1103" s="3" t="s">
        <v>17</v>
      </c>
      <c r="E1103" s="3" t="s">
        <v>25</v>
      </c>
      <c r="F1103" s="5">
        <v>2</v>
      </c>
      <c r="G1103" s="6">
        <v>14.1</v>
      </c>
      <c r="H1103" s="6">
        <v>28.2</v>
      </c>
      <c r="I1103" s="6">
        <v>5.64</v>
      </c>
      <c r="J1103" s="6">
        <v>22.56</v>
      </c>
      <c r="K1103" s="5">
        <v>120</v>
      </c>
    </row>
    <row r="1104" spans="1:11" x14ac:dyDescent="0.3">
      <c r="A1104" s="3">
        <v>4694</v>
      </c>
      <c r="B1104" s="3" t="s">
        <v>30</v>
      </c>
      <c r="C1104" s="4">
        <v>45413</v>
      </c>
      <c r="D1104" s="3" t="s">
        <v>20</v>
      </c>
      <c r="E1104" s="3" t="s">
        <v>32</v>
      </c>
      <c r="F1104" s="5">
        <v>5</v>
      </c>
      <c r="G1104" s="6">
        <v>5.55</v>
      </c>
      <c r="H1104" s="6">
        <v>27.75</v>
      </c>
      <c r="I1104" s="6">
        <v>4.16</v>
      </c>
      <c r="J1104" s="6">
        <v>23.59</v>
      </c>
      <c r="K1104" s="5">
        <v>431</v>
      </c>
    </row>
    <row r="1105" spans="1:11" x14ac:dyDescent="0.3">
      <c r="A1105" s="3">
        <v>9501</v>
      </c>
      <c r="B1105" s="3" t="s">
        <v>14</v>
      </c>
      <c r="C1105" s="4">
        <v>45840</v>
      </c>
      <c r="D1105" s="3" t="s">
        <v>15</v>
      </c>
      <c r="E1105" s="3" t="s">
        <v>41</v>
      </c>
      <c r="F1105" s="5">
        <v>1</v>
      </c>
      <c r="G1105" s="6">
        <v>9.5500000000000007</v>
      </c>
      <c r="H1105" s="6">
        <v>9.5500000000000007</v>
      </c>
      <c r="I1105" s="6">
        <v>1.91</v>
      </c>
      <c r="J1105" s="6">
        <v>7.64</v>
      </c>
      <c r="K1105" s="5">
        <v>265</v>
      </c>
    </row>
    <row r="1106" spans="1:11" x14ac:dyDescent="0.3">
      <c r="A1106" s="3">
        <v>5653</v>
      </c>
      <c r="B1106" s="3" t="s">
        <v>31</v>
      </c>
      <c r="C1106" s="4">
        <v>45802</v>
      </c>
      <c r="D1106" s="3" t="s">
        <v>45</v>
      </c>
      <c r="E1106" s="3" t="s">
        <v>46</v>
      </c>
      <c r="F1106" s="5">
        <v>5</v>
      </c>
      <c r="G1106" s="6">
        <v>10.74</v>
      </c>
      <c r="H1106" s="6">
        <v>53.7</v>
      </c>
      <c r="I1106" s="6">
        <v>5.37</v>
      </c>
      <c r="J1106" s="6">
        <v>48.33</v>
      </c>
      <c r="K1106" s="5">
        <v>230</v>
      </c>
    </row>
    <row r="1107" spans="1:11" x14ac:dyDescent="0.3">
      <c r="A1107" s="3">
        <v>2292</v>
      </c>
      <c r="B1107" s="3" t="s">
        <v>24</v>
      </c>
      <c r="C1107" s="4">
        <v>45339</v>
      </c>
      <c r="D1107" s="3" t="s">
        <v>22</v>
      </c>
      <c r="E1107" s="3" t="s">
        <v>47</v>
      </c>
      <c r="F1107" s="5">
        <v>3</v>
      </c>
      <c r="G1107" s="6">
        <v>8.91</v>
      </c>
      <c r="H1107" s="6">
        <v>26.73</v>
      </c>
      <c r="I1107" s="6">
        <v>2.67</v>
      </c>
      <c r="J1107" s="6">
        <v>24.06</v>
      </c>
      <c r="K1107" s="5">
        <v>12</v>
      </c>
    </row>
    <row r="1108" spans="1:11" x14ac:dyDescent="0.3">
      <c r="A1108" s="3">
        <v>4216</v>
      </c>
      <c r="B1108" s="3" t="s">
        <v>42</v>
      </c>
      <c r="C1108" s="4">
        <v>45638</v>
      </c>
      <c r="D1108" s="3" t="s">
        <v>35</v>
      </c>
      <c r="E1108" s="3" t="s">
        <v>43</v>
      </c>
      <c r="F1108" s="5">
        <v>3</v>
      </c>
      <c r="G1108" s="6">
        <v>27.13</v>
      </c>
      <c r="H1108" s="6">
        <v>81.39</v>
      </c>
      <c r="I1108" s="6">
        <v>12.21</v>
      </c>
      <c r="J1108" s="6">
        <v>69.180000000000007</v>
      </c>
      <c r="K1108" s="5">
        <v>150</v>
      </c>
    </row>
    <row r="1109" spans="1:11" x14ac:dyDescent="0.3">
      <c r="A1109" s="3">
        <v>5496</v>
      </c>
      <c r="B1109" s="3" t="s">
        <v>42</v>
      </c>
      <c r="C1109" s="4">
        <v>45242</v>
      </c>
      <c r="D1109" s="3" t="s">
        <v>15</v>
      </c>
      <c r="E1109" s="3" t="s">
        <v>48</v>
      </c>
      <c r="F1109" s="5">
        <v>1</v>
      </c>
      <c r="G1109" s="6">
        <v>11.44</v>
      </c>
      <c r="H1109" s="6">
        <v>11.44</v>
      </c>
      <c r="I1109" s="6">
        <v>1.72</v>
      </c>
      <c r="J1109" s="6">
        <v>9.7200000000000006</v>
      </c>
      <c r="K1109" s="5">
        <v>279</v>
      </c>
    </row>
    <row r="1110" spans="1:11" x14ac:dyDescent="0.3">
      <c r="A1110" s="3">
        <v>5961</v>
      </c>
      <c r="B1110" s="3" t="s">
        <v>42</v>
      </c>
      <c r="C1110" s="4">
        <v>45622</v>
      </c>
      <c r="D1110" s="3" t="s">
        <v>27</v>
      </c>
      <c r="E1110" s="3" t="s">
        <v>21</v>
      </c>
      <c r="F1110" s="5">
        <v>3</v>
      </c>
      <c r="G1110" s="6">
        <v>9.77</v>
      </c>
      <c r="H1110" s="6">
        <v>29.31</v>
      </c>
      <c r="I1110" s="6">
        <v>5.86</v>
      </c>
      <c r="J1110" s="6">
        <v>23.45</v>
      </c>
      <c r="K1110" s="5">
        <v>417</v>
      </c>
    </row>
    <row r="1111" spans="1:11" x14ac:dyDescent="0.3">
      <c r="A1111" s="3">
        <v>9740</v>
      </c>
      <c r="B1111" s="3" t="s">
        <v>19</v>
      </c>
      <c r="C1111" s="4">
        <v>45217</v>
      </c>
      <c r="D1111" s="3" t="s">
        <v>38</v>
      </c>
      <c r="E1111" s="3" t="s">
        <v>13</v>
      </c>
      <c r="F1111" s="5">
        <v>1</v>
      </c>
      <c r="G1111" s="6">
        <v>23.32</v>
      </c>
      <c r="H1111" s="6">
        <v>23.32</v>
      </c>
      <c r="I1111" s="6">
        <v>2.33</v>
      </c>
      <c r="J1111" s="6">
        <v>20.99</v>
      </c>
      <c r="K1111" s="5">
        <v>144</v>
      </c>
    </row>
    <row r="1112" spans="1:11" x14ac:dyDescent="0.3">
      <c r="A1112" s="3">
        <v>9234</v>
      </c>
      <c r="B1112" s="3" t="s">
        <v>24</v>
      </c>
      <c r="C1112" s="4">
        <v>45642</v>
      </c>
      <c r="D1112" s="3" t="s">
        <v>28</v>
      </c>
      <c r="E1112" s="3" t="s">
        <v>39</v>
      </c>
      <c r="F1112" s="5">
        <v>4</v>
      </c>
      <c r="G1112" s="6">
        <v>19.96</v>
      </c>
      <c r="H1112" s="6">
        <v>79.84</v>
      </c>
      <c r="I1112" s="6">
        <v>7.98</v>
      </c>
      <c r="J1112" s="6">
        <v>71.86</v>
      </c>
      <c r="K1112" s="5">
        <v>389</v>
      </c>
    </row>
    <row r="1113" spans="1:11" x14ac:dyDescent="0.3">
      <c r="A1113" s="3">
        <v>3762</v>
      </c>
      <c r="B1113" s="3"/>
      <c r="C1113" s="4">
        <v>45604</v>
      </c>
      <c r="D1113" s="3" t="s">
        <v>17</v>
      </c>
      <c r="E1113" s="3" t="s">
        <v>44</v>
      </c>
      <c r="F1113" s="5">
        <v>4</v>
      </c>
      <c r="G1113" s="6">
        <v>7.77</v>
      </c>
      <c r="H1113" s="6">
        <v>31.08</v>
      </c>
      <c r="I1113" s="6">
        <v>0</v>
      </c>
      <c r="J1113" s="6">
        <v>31.08</v>
      </c>
      <c r="K1113" s="5">
        <v>300</v>
      </c>
    </row>
    <row r="1114" spans="1:11" x14ac:dyDescent="0.3">
      <c r="A1114" s="3">
        <v>3526</v>
      </c>
      <c r="B1114" s="3" t="s">
        <v>26</v>
      </c>
      <c r="C1114" s="4">
        <v>45277</v>
      </c>
      <c r="D1114" s="3" t="s">
        <v>22</v>
      </c>
      <c r="E1114" s="3" t="s">
        <v>43</v>
      </c>
      <c r="F1114" s="5">
        <v>3</v>
      </c>
      <c r="G1114" s="6">
        <v>25.52</v>
      </c>
      <c r="H1114" s="6">
        <v>76.56</v>
      </c>
      <c r="I1114" s="6">
        <v>15.31</v>
      </c>
      <c r="J1114" s="6">
        <v>61.25</v>
      </c>
      <c r="K1114" s="5">
        <v>219</v>
      </c>
    </row>
    <row r="1115" spans="1:11" x14ac:dyDescent="0.3">
      <c r="A1115" s="3">
        <v>6531</v>
      </c>
      <c r="B1115" s="3" t="s">
        <v>26</v>
      </c>
      <c r="C1115" s="4">
        <v>45799</v>
      </c>
      <c r="D1115" s="3" t="s">
        <v>45</v>
      </c>
      <c r="E1115" s="3" t="s">
        <v>18</v>
      </c>
      <c r="F1115" s="5">
        <v>1</v>
      </c>
      <c r="G1115" s="6">
        <v>11.86</v>
      </c>
      <c r="H1115" s="6">
        <v>11.86</v>
      </c>
      <c r="I1115" s="6">
        <v>1.78</v>
      </c>
      <c r="J1115" s="6">
        <v>10.08</v>
      </c>
      <c r="K1115" s="5">
        <v>295</v>
      </c>
    </row>
    <row r="1116" spans="1:11" x14ac:dyDescent="0.3">
      <c r="A1116" s="3">
        <v>1674</v>
      </c>
      <c r="B1116" s="3" t="s">
        <v>31</v>
      </c>
      <c r="C1116" s="4">
        <v>45785</v>
      </c>
      <c r="D1116" s="3" t="s">
        <v>45</v>
      </c>
      <c r="E1116" s="3" t="s">
        <v>23</v>
      </c>
      <c r="F1116" s="5">
        <v>3</v>
      </c>
      <c r="G1116" s="6">
        <v>7.53</v>
      </c>
      <c r="H1116" s="6">
        <v>22.59</v>
      </c>
      <c r="I1116" s="6">
        <v>0</v>
      </c>
      <c r="J1116" s="6">
        <v>22.59</v>
      </c>
      <c r="K1116" s="5">
        <v>217</v>
      </c>
    </row>
    <row r="1117" spans="1:11" x14ac:dyDescent="0.3">
      <c r="A1117" s="3">
        <v>1464</v>
      </c>
      <c r="B1117" s="3" t="s">
        <v>14</v>
      </c>
      <c r="C1117" s="4">
        <v>45208</v>
      </c>
      <c r="D1117" s="3" t="s">
        <v>35</v>
      </c>
      <c r="E1117" s="3" t="s">
        <v>21</v>
      </c>
      <c r="F1117" s="5">
        <v>5</v>
      </c>
      <c r="G1117" s="6">
        <v>1.66</v>
      </c>
      <c r="H1117" s="6">
        <v>8.3000000000000007</v>
      </c>
      <c r="I1117" s="6">
        <v>1.66</v>
      </c>
      <c r="J1117" s="6">
        <v>6.64</v>
      </c>
      <c r="K1117" s="5">
        <v>402</v>
      </c>
    </row>
    <row r="1118" spans="1:11" x14ac:dyDescent="0.3">
      <c r="A1118" s="3">
        <v>1744</v>
      </c>
      <c r="B1118" s="3" t="s">
        <v>19</v>
      </c>
      <c r="C1118" s="4">
        <v>45643</v>
      </c>
      <c r="D1118" s="3" t="s">
        <v>22</v>
      </c>
      <c r="E1118" s="3" t="s">
        <v>32</v>
      </c>
      <c r="F1118" s="5">
        <v>4</v>
      </c>
      <c r="G1118" s="6">
        <v>6.91</v>
      </c>
      <c r="H1118" s="6">
        <v>27.64</v>
      </c>
      <c r="I1118" s="6">
        <v>2.5499999999999998</v>
      </c>
      <c r="J1118" s="6">
        <v>25.09</v>
      </c>
      <c r="K1118" s="5">
        <v>200</v>
      </c>
    </row>
    <row r="1119" spans="1:11" x14ac:dyDescent="0.3">
      <c r="A1119" s="3">
        <v>5336</v>
      </c>
      <c r="B1119" s="3" t="s">
        <v>26</v>
      </c>
      <c r="C1119" s="4">
        <v>45650</v>
      </c>
      <c r="D1119" s="3" t="s">
        <v>15</v>
      </c>
      <c r="E1119" s="3" t="s">
        <v>21</v>
      </c>
      <c r="F1119" s="5">
        <v>5</v>
      </c>
      <c r="G1119" s="6">
        <v>28.89</v>
      </c>
      <c r="H1119" s="6">
        <v>144.44999999999999</v>
      </c>
      <c r="I1119" s="6">
        <v>1.69</v>
      </c>
      <c r="J1119" s="6">
        <v>142.76</v>
      </c>
      <c r="K1119" s="5">
        <v>327</v>
      </c>
    </row>
    <row r="1120" spans="1:11" x14ac:dyDescent="0.3">
      <c r="A1120" s="3">
        <v>4453</v>
      </c>
      <c r="B1120" s="3" t="s">
        <v>14</v>
      </c>
      <c r="C1120" s="4">
        <v>45740</v>
      </c>
      <c r="D1120" s="3" t="s">
        <v>34</v>
      </c>
      <c r="E1120" s="3" t="s">
        <v>40</v>
      </c>
      <c r="F1120" s="5">
        <v>5</v>
      </c>
      <c r="G1120" s="6">
        <v>15.16</v>
      </c>
      <c r="H1120" s="6">
        <v>75.8</v>
      </c>
      <c r="I1120" s="6">
        <v>4.6500000000000004</v>
      </c>
      <c r="J1120" s="6">
        <v>71.150000000000006</v>
      </c>
      <c r="K1120" s="5">
        <v>95</v>
      </c>
    </row>
    <row r="1121" spans="1:11" x14ac:dyDescent="0.3">
      <c r="A1121" s="3">
        <v>7825</v>
      </c>
      <c r="B1121" s="3" t="s">
        <v>24</v>
      </c>
      <c r="C1121" s="4">
        <v>45625</v>
      </c>
      <c r="D1121" s="3" t="s">
        <v>35</v>
      </c>
      <c r="E1121" s="3" t="s">
        <v>44</v>
      </c>
      <c r="F1121" s="5">
        <v>2</v>
      </c>
      <c r="G1121" s="6">
        <v>9.43</v>
      </c>
      <c r="H1121" s="6">
        <v>18.86</v>
      </c>
      <c r="I1121" s="6">
        <v>1.89</v>
      </c>
      <c r="J1121" s="6">
        <v>16.97</v>
      </c>
      <c r="K1121" s="5">
        <v>268</v>
      </c>
    </row>
    <row r="1122" spans="1:11" x14ac:dyDescent="0.3">
      <c r="A1122" s="3">
        <v>1496</v>
      </c>
      <c r="B1122" s="3" t="s">
        <v>31</v>
      </c>
      <c r="C1122" s="4">
        <v>45531</v>
      </c>
      <c r="D1122" s="3" t="s">
        <v>22</v>
      </c>
      <c r="E1122" s="3" t="s">
        <v>46</v>
      </c>
      <c r="F1122" s="5">
        <v>1</v>
      </c>
      <c r="G1122" s="6">
        <v>5.97</v>
      </c>
      <c r="H1122" s="6">
        <v>5.97</v>
      </c>
      <c r="I1122" s="6">
        <v>0.6</v>
      </c>
      <c r="J1122" s="6">
        <v>5.37</v>
      </c>
      <c r="K1122" s="5">
        <v>440</v>
      </c>
    </row>
    <row r="1123" spans="1:11" x14ac:dyDescent="0.3">
      <c r="A1123" s="3">
        <v>9938</v>
      </c>
      <c r="B1123" s="3" t="s">
        <v>19</v>
      </c>
      <c r="C1123" s="4">
        <v>45369</v>
      </c>
      <c r="D1123" s="3" t="s">
        <v>15</v>
      </c>
      <c r="E1123" s="3" t="s">
        <v>41</v>
      </c>
      <c r="F1123" s="5">
        <v>5</v>
      </c>
      <c r="G1123" s="6">
        <v>13.12</v>
      </c>
      <c r="H1123" s="6">
        <v>65.599999999999994</v>
      </c>
      <c r="I1123" s="6">
        <v>6.56</v>
      </c>
      <c r="J1123" s="6">
        <v>59.04</v>
      </c>
      <c r="K1123" s="5">
        <v>380</v>
      </c>
    </row>
    <row r="1124" spans="1:11" x14ac:dyDescent="0.3">
      <c r="A1124" s="3">
        <v>5949</v>
      </c>
      <c r="B1124" s="3" t="s">
        <v>42</v>
      </c>
      <c r="C1124" s="4">
        <v>45520</v>
      </c>
      <c r="D1124" s="3" t="s">
        <v>34</v>
      </c>
      <c r="E1124" s="3" t="s">
        <v>44</v>
      </c>
      <c r="F1124" s="5">
        <v>3</v>
      </c>
      <c r="G1124" s="6">
        <v>13.52</v>
      </c>
      <c r="H1124" s="6">
        <v>40.56</v>
      </c>
      <c r="I1124" s="6">
        <v>8.11</v>
      </c>
      <c r="J1124" s="6">
        <v>32.450000000000003</v>
      </c>
      <c r="K1124" s="5">
        <v>363</v>
      </c>
    </row>
    <row r="1125" spans="1:11" x14ac:dyDescent="0.3">
      <c r="A1125" s="3">
        <v>5012</v>
      </c>
      <c r="B1125" s="3" t="s">
        <v>30</v>
      </c>
      <c r="C1125" s="4">
        <v>45770</v>
      </c>
      <c r="D1125" s="3" t="s">
        <v>28</v>
      </c>
      <c r="E1125" s="3" t="s">
        <v>44</v>
      </c>
      <c r="F1125" s="5">
        <v>5</v>
      </c>
      <c r="G1125" s="6">
        <v>21.78</v>
      </c>
      <c r="H1125" s="6">
        <v>108.9</v>
      </c>
      <c r="I1125" s="6">
        <v>21.78</v>
      </c>
      <c r="J1125" s="6">
        <v>87.12</v>
      </c>
      <c r="K1125" s="5">
        <v>234</v>
      </c>
    </row>
    <row r="1126" spans="1:11" x14ac:dyDescent="0.3">
      <c r="A1126" s="3">
        <v>7653</v>
      </c>
      <c r="B1126" s="3" t="s">
        <v>31</v>
      </c>
      <c r="C1126" s="4">
        <v>45376</v>
      </c>
      <c r="D1126" s="3" t="s">
        <v>34</v>
      </c>
      <c r="E1126" s="3" t="s">
        <v>33</v>
      </c>
      <c r="F1126" s="5">
        <v>1</v>
      </c>
      <c r="G1126" s="6">
        <v>24.9</v>
      </c>
      <c r="H1126" s="6">
        <v>24.9</v>
      </c>
      <c r="I1126" s="6">
        <v>2.3199999999999998</v>
      </c>
      <c r="J1126" s="6">
        <v>22.58</v>
      </c>
      <c r="K1126" s="5">
        <v>309</v>
      </c>
    </row>
    <row r="1127" spans="1:11" x14ac:dyDescent="0.3">
      <c r="A1127" s="3">
        <v>8430</v>
      </c>
      <c r="B1127" s="3" t="s">
        <v>26</v>
      </c>
      <c r="C1127" s="4">
        <v>45201</v>
      </c>
      <c r="D1127" s="3" t="s">
        <v>45</v>
      </c>
      <c r="E1127" s="3" t="s">
        <v>33</v>
      </c>
      <c r="F1127" s="5">
        <v>5</v>
      </c>
      <c r="G1127" s="6">
        <v>2.12</v>
      </c>
      <c r="H1127" s="6">
        <v>10.6</v>
      </c>
      <c r="I1127" s="6">
        <v>0</v>
      </c>
      <c r="J1127" s="6">
        <v>10.6</v>
      </c>
      <c r="K1127" s="5">
        <v>46</v>
      </c>
    </row>
    <row r="1128" spans="1:11" x14ac:dyDescent="0.3">
      <c r="A1128" s="3">
        <v>1981</v>
      </c>
      <c r="B1128" s="3" t="s">
        <v>26</v>
      </c>
      <c r="C1128" s="4">
        <v>45267</v>
      </c>
      <c r="D1128" s="3" t="s">
        <v>22</v>
      </c>
      <c r="E1128" s="3" t="s">
        <v>37</v>
      </c>
      <c r="F1128" s="5">
        <v>4</v>
      </c>
      <c r="G1128" s="6">
        <v>18.77</v>
      </c>
      <c r="H1128" s="6">
        <v>75.08</v>
      </c>
      <c r="I1128" s="6">
        <v>7.51</v>
      </c>
      <c r="J1128" s="6">
        <v>67.569999999999993</v>
      </c>
      <c r="K1128" s="5">
        <v>414</v>
      </c>
    </row>
    <row r="1129" spans="1:11" x14ac:dyDescent="0.3">
      <c r="A1129" s="3">
        <v>8202</v>
      </c>
      <c r="B1129" s="3" t="s">
        <v>42</v>
      </c>
      <c r="C1129" s="4">
        <v>45467</v>
      </c>
      <c r="D1129" s="3" t="s">
        <v>34</v>
      </c>
      <c r="E1129" s="3" t="s">
        <v>16</v>
      </c>
      <c r="F1129" s="5">
        <v>4</v>
      </c>
      <c r="G1129" s="6">
        <v>12.15</v>
      </c>
      <c r="H1129" s="6">
        <v>48.6</v>
      </c>
      <c r="I1129" s="6">
        <v>0</v>
      </c>
      <c r="J1129" s="6">
        <v>48.6</v>
      </c>
      <c r="K1129" s="5">
        <v>337</v>
      </c>
    </row>
    <row r="1130" spans="1:11" x14ac:dyDescent="0.3">
      <c r="A1130" s="3">
        <v>8933</v>
      </c>
      <c r="B1130" s="3" t="s">
        <v>11</v>
      </c>
      <c r="C1130" s="4">
        <v>45505</v>
      </c>
      <c r="D1130" s="3" t="s">
        <v>20</v>
      </c>
      <c r="E1130" s="3" t="s">
        <v>40</v>
      </c>
      <c r="F1130" s="5">
        <v>2</v>
      </c>
      <c r="G1130" s="6">
        <v>26.67</v>
      </c>
      <c r="H1130" s="6">
        <v>53.34</v>
      </c>
      <c r="I1130" s="6">
        <v>0</v>
      </c>
      <c r="J1130" s="6">
        <v>53.34</v>
      </c>
      <c r="K1130" s="5">
        <v>80</v>
      </c>
    </row>
    <row r="1131" spans="1:11" x14ac:dyDescent="0.3">
      <c r="A1131" s="3">
        <v>4342</v>
      </c>
      <c r="B1131" s="3" t="s">
        <v>14</v>
      </c>
      <c r="C1131" s="4">
        <v>45409</v>
      </c>
      <c r="D1131" s="3" t="s">
        <v>35</v>
      </c>
      <c r="E1131" s="3" t="s">
        <v>43</v>
      </c>
      <c r="F1131" s="5">
        <v>2</v>
      </c>
      <c r="G1131" s="6">
        <v>27.34</v>
      </c>
      <c r="H1131" s="6">
        <v>54.68</v>
      </c>
      <c r="I1131" s="6">
        <v>8.1999999999999993</v>
      </c>
      <c r="J1131" s="6">
        <v>46.48</v>
      </c>
      <c r="K1131" s="5">
        <v>210</v>
      </c>
    </row>
    <row r="1132" spans="1:11" x14ac:dyDescent="0.3">
      <c r="A1132" s="3">
        <v>3353</v>
      </c>
      <c r="B1132" s="3" t="s">
        <v>11</v>
      </c>
      <c r="C1132" s="4">
        <v>45387</v>
      </c>
      <c r="D1132" s="3" t="s">
        <v>15</v>
      </c>
      <c r="E1132" s="3" t="s">
        <v>46</v>
      </c>
      <c r="F1132" s="5">
        <v>3</v>
      </c>
      <c r="G1132" s="6">
        <v>12.88</v>
      </c>
      <c r="H1132" s="6">
        <v>38.64</v>
      </c>
      <c r="I1132" s="6">
        <v>7.73</v>
      </c>
      <c r="J1132" s="6">
        <v>30.91</v>
      </c>
      <c r="K1132" s="5">
        <v>84</v>
      </c>
    </row>
    <row r="1133" spans="1:11" x14ac:dyDescent="0.3">
      <c r="A1133" s="3">
        <v>6231</v>
      </c>
      <c r="B1133" s="3" t="s">
        <v>14</v>
      </c>
      <c r="C1133" s="4">
        <v>45715</v>
      </c>
      <c r="D1133" s="3" t="s">
        <v>12</v>
      </c>
      <c r="E1133" s="3" t="s">
        <v>33</v>
      </c>
      <c r="F1133" s="5">
        <v>1</v>
      </c>
      <c r="G1133" s="6">
        <v>3.11</v>
      </c>
      <c r="H1133" s="6">
        <v>3.11</v>
      </c>
      <c r="I1133" s="6">
        <v>0.31</v>
      </c>
      <c r="J1133" s="6">
        <v>2.8</v>
      </c>
      <c r="K1133" s="5">
        <v>355</v>
      </c>
    </row>
    <row r="1134" spans="1:11" x14ac:dyDescent="0.3">
      <c r="A1134" s="3">
        <v>6658</v>
      </c>
      <c r="B1134" s="3"/>
      <c r="C1134" s="4">
        <v>45454</v>
      </c>
      <c r="D1134" s="3" t="s">
        <v>20</v>
      </c>
      <c r="E1134" s="3" t="s">
        <v>44</v>
      </c>
      <c r="F1134" s="5">
        <v>4</v>
      </c>
      <c r="G1134" s="6">
        <v>2.09</v>
      </c>
      <c r="H1134" s="6">
        <v>8.36</v>
      </c>
      <c r="I1134" s="6">
        <v>0</v>
      </c>
      <c r="J1134" s="6">
        <v>8.36</v>
      </c>
      <c r="K1134" s="5">
        <v>128</v>
      </c>
    </row>
    <row r="1135" spans="1:11" x14ac:dyDescent="0.3">
      <c r="A1135" s="3">
        <v>3142</v>
      </c>
      <c r="B1135" s="3" t="s">
        <v>19</v>
      </c>
      <c r="C1135" s="4">
        <v>45735</v>
      </c>
      <c r="D1135" s="3" t="s">
        <v>22</v>
      </c>
      <c r="E1135" s="3" t="s">
        <v>33</v>
      </c>
      <c r="F1135" s="5">
        <v>4</v>
      </c>
      <c r="G1135" s="6">
        <v>14.37</v>
      </c>
      <c r="H1135" s="6">
        <v>57.48</v>
      </c>
      <c r="I1135" s="6">
        <v>0</v>
      </c>
      <c r="J1135" s="6">
        <v>57.48</v>
      </c>
      <c r="K1135" s="5">
        <v>42</v>
      </c>
    </row>
    <row r="1136" spans="1:11" x14ac:dyDescent="0.3">
      <c r="A1136" s="3">
        <v>7070</v>
      </c>
      <c r="B1136" s="3" t="s">
        <v>26</v>
      </c>
      <c r="C1136" s="4">
        <v>45544</v>
      </c>
      <c r="D1136" s="3" t="s">
        <v>34</v>
      </c>
      <c r="E1136" s="3" t="s">
        <v>47</v>
      </c>
      <c r="F1136" s="5">
        <v>3</v>
      </c>
      <c r="G1136" s="6">
        <v>25.4</v>
      </c>
      <c r="H1136" s="6">
        <v>76.2</v>
      </c>
      <c r="I1136" s="6">
        <v>1.4</v>
      </c>
      <c r="J1136" s="6">
        <v>74.8</v>
      </c>
      <c r="K1136" s="5">
        <v>87</v>
      </c>
    </row>
    <row r="1137" spans="1:11" x14ac:dyDescent="0.3">
      <c r="A1137" s="3">
        <v>2739</v>
      </c>
      <c r="B1137" s="3" t="s">
        <v>30</v>
      </c>
      <c r="C1137" s="4">
        <v>45392</v>
      </c>
      <c r="D1137" s="3" t="s">
        <v>15</v>
      </c>
      <c r="E1137" s="3" t="s">
        <v>18</v>
      </c>
      <c r="F1137" s="5">
        <v>4</v>
      </c>
      <c r="G1137" s="6">
        <v>5.88</v>
      </c>
      <c r="H1137" s="6">
        <v>23.52</v>
      </c>
      <c r="I1137" s="6">
        <v>0</v>
      </c>
      <c r="J1137" s="6">
        <v>23.52</v>
      </c>
      <c r="K1137" s="5">
        <v>343</v>
      </c>
    </row>
    <row r="1138" spans="1:11" x14ac:dyDescent="0.3">
      <c r="A1138" s="3">
        <v>4960</v>
      </c>
      <c r="B1138" s="3" t="s">
        <v>30</v>
      </c>
      <c r="C1138" s="4">
        <v>45507</v>
      </c>
      <c r="D1138" s="3" t="s">
        <v>34</v>
      </c>
      <c r="E1138" s="3" t="s">
        <v>33</v>
      </c>
      <c r="F1138" s="5">
        <v>3</v>
      </c>
      <c r="G1138" s="6">
        <v>6.15</v>
      </c>
      <c r="H1138" s="6">
        <v>18.45</v>
      </c>
      <c r="I1138" s="6">
        <v>0</v>
      </c>
      <c r="J1138" s="6">
        <v>18.45</v>
      </c>
      <c r="K1138" s="5">
        <v>365</v>
      </c>
    </row>
    <row r="1139" spans="1:11" x14ac:dyDescent="0.3">
      <c r="A1139" s="3">
        <v>3007</v>
      </c>
      <c r="B1139" s="3" t="s">
        <v>14</v>
      </c>
      <c r="C1139" s="4">
        <v>45352</v>
      </c>
      <c r="D1139" s="3" t="s">
        <v>17</v>
      </c>
      <c r="E1139" s="3" t="s">
        <v>33</v>
      </c>
      <c r="F1139" s="5">
        <v>1</v>
      </c>
      <c r="G1139" s="6">
        <v>25.25</v>
      </c>
      <c r="H1139" s="6">
        <v>25.25</v>
      </c>
      <c r="I1139" s="6">
        <v>2.5299999999999998</v>
      </c>
      <c r="J1139" s="6">
        <v>22.72</v>
      </c>
      <c r="K1139" s="5">
        <v>415</v>
      </c>
    </row>
    <row r="1140" spans="1:11" x14ac:dyDescent="0.3">
      <c r="A1140" s="3">
        <v>8366</v>
      </c>
      <c r="B1140" s="3" t="s">
        <v>30</v>
      </c>
      <c r="C1140" s="4">
        <v>45337</v>
      </c>
      <c r="D1140" s="3" t="s">
        <v>45</v>
      </c>
      <c r="E1140" s="3" t="s">
        <v>40</v>
      </c>
      <c r="F1140" s="5">
        <v>5</v>
      </c>
      <c r="G1140" s="6">
        <v>1.1299999999999999</v>
      </c>
      <c r="H1140" s="6">
        <v>5.65</v>
      </c>
      <c r="I1140" s="6">
        <v>1.1299999999999999</v>
      </c>
      <c r="J1140" s="6">
        <v>4.5199999999999996</v>
      </c>
      <c r="K1140" s="5">
        <v>395</v>
      </c>
    </row>
    <row r="1141" spans="1:11" x14ac:dyDescent="0.3">
      <c r="A1141" s="3">
        <v>3308</v>
      </c>
      <c r="B1141" s="3" t="s">
        <v>42</v>
      </c>
      <c r="C1141" s="4">
        <v>45220</v>
      </c>
      <c r="D1141" s="3" t="s">
        <v>22</v>
      </c>
      <c r="E1141" s="3" t="s">
        <v>25</v>
      </c>
      <c r="F1141" s="5">
        <v>2</v>
      </c>
      <c r="G1141" s="6">
        <v>3.64</v>
      </c>
      <c r="H1141" s="6">
        <v>7.28</v>
      </c>
      <c r="I1141" s="6">
        <v>2.35</v>
      </c>
      <c r="J1141" s="6">
        <v>4.93</v>
      </c>
      <c r="K1141" s="5">
        <v>215</v>
      </c>
    </row>
    <row r="1142" spans="1:11" x14ac:dyDescent="0.3">
      <c r="A1142" s="3">
        <v>1829</v>
      </c>
      <c r="B1142" s="3" t="s">
        <v>42</v>
      </c>
      <c r="C1142" s="4">
        <v>45370</v>
      </c>
      <c r="D1142" s="3" t="s">
        <v>27</v>
      </c>
      <c r="E1142" s="3" t="s">
        <v>43</v>
      </c>
      <c r="F1142" s="5">
        <v>2</v>
      </c>
      <c r="G1142" s="6">
        <v>28.79</v>
      </c>
      <c r="H1142" s="6">
        <v>57.58</v>
      </c>
      <c r="I1142" s="6">
        <v>0</v>
      </c>
      <c r="J1142" s="6">
        <v>57.58</v>
      </c>
      <c r="K1142" s="5">
        <v>49</v>
      </c>
    </row>
    <row r="1143" spans="1:11" x14ac:dyDescent="0.3">
      <c r="A1143" s="3">
        <v>7293</v>
      </c>
      <c r="B1143" s="3" t="s">
        <v>19</v>
      </c>
      <c r="C1143" s="4">
        <v>45816</v>
      </c>
      <c r="D1143" s="3" t="s">
        <v>12</v>
      </c>
      <c r="E1143" s="3" t="s">
        <v>16</v>
      </c>
      <c r="F1143" s="5">
        <v>5</v>
      </c>
      <c r="G1143" s="6">
        <v>4.1100000000000003</v>
      </c>
      <c r="H1143" s="6">
        <v>20.55</v>
      </c>
      <c r="I1143" s="6">
        <v>3.51</v>
      </c>
      <c r="J1143" s="6">
        <v>17.04</v>
      </c>
      <c r="K1143" s="5">
        <v>167</v>
      </c>
    </row>
    <row r="1144" spans="1:11" x14ac:dyDescent="0.3">
      <c r="A1144" s="3">
        <v>7850</v>
      </c>
      <c r="B1144" s="3" t="s">
        <v>42</v>
      </c>
      <c r="C1144" s="4">
        <v>45337</v>
      </c>
      <c r="D1144" s="3" t="s">
        <v>38</v>
      </c>
      <c r="E1144" s="3" t="s">
        <v>32</v>
      </c>
      <c r="F1144" s="5">
        <v>4</v>
      </c>
      <c r="G1144" s="6">
        <v>4.49</v>
      </c>
      <c r="H1144" s="6">
        <v>17.96</v>
      </c>
      <c r="I1144" s="6">
        <v>2.69</v>
      </c>
      <c r="J1144" s="6">
        <v>15.27</v>
      </c>
      <c r="K1144" s="5">
        <v>109</v>
      </c>
    </row>
    <row r="1145" spans="1:11" x14ac:dyDescent="0.3">
      <c r="A1145" s="3">
        <v>3616</v>
      </c>
      <c r="B1145" s="3" t="s">
        <v>36</v>
      </c>
      <c r="C1145" s="4">
        <v>45776</v>
      </c>
      <c r="D1145" s="3" t="s">
        <v>34</v>
      </c>
      <c r="E1145" s="3" t="s">
        <v>39</v>
      </c>
      <c r="F1145" s="5">
        <v>4</v>
      </c>
      <c r="G1145" s="6">
        <v>19.96</v>
      </c>
      <c r="H1145" s="6">
        <v>79.84</v>
      </c>
      <c r="I1145" s="6">
        <v>15.97</v>
      </c>
      <c r="J1145" s="6">
        <v>63.87</v>
      </c>
      <c r="K1145" s="5">
        <v>6</v>
      </c>
    </row>
    <row r="1146" spans="1:11" x14ac:dyDescent="0.3">
      <c r="A1146" s="3">
        <v>6364</v>
      </c>
      <c r="B1146" s="3" t="s">
        <v>26</v>
      </c>
      <c r="C1146" s="4">
        <v>45870</v>
      </c>
      <c r="D1146" s="3" t="s">
        <v>17</v>
      </c>
      <c r="E1146" s="3" t="s">
        <v>43</v>
      </c>
      <c r="F1146" s="5">
        <v>3</v>
      </c>
      <c r="G1146" s="6">
        <v>19.84</v>
      </c>
      <c r="H1146" s="6">
        <v>59.52</v>
      </c>
      <c r="I1146" s="6">
        <v>4.54</v>
      </c>
      <c r="J1146" s="6">
        <v>54.98</v>
      </c>
      <c r="K1146" s="5">
        <v>188</v>
      </c>
    </row>
    <row r="1147" spans="1:11" x14ac:dyDescent="0.3">
      <c r="A1147" s="3">
        <v>6123</v>
      </c>
      <c r="B1147" s="3" t="s">
        <v>24</v>
      </c>
      <c r="C1147" s="4">
        <v>45292</v>
      </c>
      <c r="D1147" s="3" t="s">
        <v>35</v>
      </c>
      <c r="E1147" s="3" t="s">
        <v>47</v>
      </c>
      <c r="F1147" s="5">
        <v>1</v>
      </c>
      <c r="G1147" s="6">
        <v>21.65</v>
      </c>
      <c r="H1147" s="6">
        <v>21.65</v>
      </c>
      <c r="I1147" s="6">
        <v>3.25</v>
      </c>
      <c r="J1147" s="6">
        <v>18.399999999999999</v>
      </c>
      <c r="K1147" s="5">
        <v>405</v>
      </c>
    </row>
    <row r="1148" spans="1:11" x14ac:dyDescent="0.3">
      <c r="A1148" s="3">
        <v>3610</v>
      </c>
      <c r="B1148" s="3" t="s">
        <v>11</v>
      </c>
      <c r="C1148" s="4">
        <v>45532</v>
      </c>
      <c r="D1148" s="3" t="s">
        <v>28</v>
      </c>
      <c r="E1148" s="3" t="s">
        <v>21</v>
      </c>
      <c r="F1148" s="5">
        <v>4</v>
      </c>
      <c r="G1148" s="6">
        <v>20.65</v>
      </c>
      <c r="H1148" s="6">
        <v>82.6</v>
      </c>
      <c r="I1148" s="6">
        <v>12.39</v>
      </c>
      <c r="J1148" s="6">
        <v>70.209999999999994</v>
      </c>
      <c r="K1148" s="5">
        <v>497</v>
      </c>
    </row>
    <row r="1149" spans="1:11" x14ac:dyDescent="0.3">
      <c r="A1149" s="3">
        <v>9433</v>
      </c>
      <c r="B1149" s="3" t="s">
        <v>19</v>
      </c>
      <c r="C1149" s="4">
        <v>45507</v>
      </c>
      <c r="D1149" s="3" t="s">
        <v>27</v>
      </c>
      <c r="E1149" s="3" t="s">
        <v>21</v>
      </c>
      <c r="F1149" s="5">
        <v>4</v>
      </c>
      <c r="G1149" s="6">
        <v>2.95</v>
      </c>
      <c r="H1149" s="6">
        <v>11.8</v>
      </c>
      <c r="I1149" s="6">
        <v>1.18</v>
      </c>
      <c r="J1149" s="6">
        <v>10.62</v>
      </c>
      <c r="K1149" s="5">
        <v>9</v>
      </c>
    </row>
    <row r="1150" spans="1:11" x14ac:dyDescent="0.3">
      <c r="A1150" s="3">
        <v>9171</v>
      </c>
      <c r="B1150" s="3" t="s">
        <v>14</v>
      </c>
      <c r="C1150" s="4">
        <v>45827</v>
      </c>
      <c r="D1150" s="3" t="s">
        <v>27</v>
      </c>
      <c r="E1150" s="3" t="s">
        <v>25</v>
      </c>
      <c r="F1150" s="5">
        <v>5</v>
      </c>
      <c r="G1150" s="6">
        <v>18.03</v>
      </c>
      <c r="H1150" s="6">
        <v>90.15</v>
      </c>
      <c r="I1150" s="6">
        <v>3.47</v>
      </c>
      <c r="J1150" s="6">
        <v>86.68</v>
      </c>
      <c r="K1150" s="5">
        <v>6</v>
      </c>
    </row>
    <row r="1151" spans="1:11" x14ac:dyDescent="0.3">
      <c r="A1151" s="3">
        <v>6055</v>
      </c>
      <c r="B1151" s="3" t="s">
        <v>11</v>
      </c>
      <c r="C1151" s="4">
        <v>45531</v>
      </c>
      <c r="D1151" s="3" t="s">
        <v>35</v>
      </c>
      <c r="E1151" s="3" t="s">
        <v>25</v>
      </c>
      <c r="F1151" s="5">
        <v>4</v>
      </c>
      <c r="G1151" s="6">
        <v>22.95</v>
      </c>
      <c r="H1151" s="6">
        <v>91.8</v>
      </c>
      <c r="I1151" s="6">
        <v>1.55</v>
      </c>
      <c r="J1151" s="6">
        <v>90.25</v>
      </c>
      <c r="K1151" s="5">
        <v>317</v>
      </c>
    </row>
    <row r="1152" spans="1:11" x14ac:dyDescent="0.3">
      <c r="A1152" s="3">
        <v>1379</v>
      </c>
      <c r="B1152" s="3" t="s">
        <v>26</v>
      </c>
      <c r="C1152" s="4">
        <v>45214</v>
      </c>
      <c r="D1152" s="3" t="s">
        <v>35</v>
      </c>
      <c r="E1152" s="3" t="s">
        <v>44</v>
      </c>
      <c r="F1152" s="5">
        <v>2</v>
      </c>
      <c r="G1152" s="6">
        <v>11.89</v>
      </c>
      <c r="H1152" s="6">
        <v>23.78</v>
      </c>
      <c r="I1152" s="6">
        <v>4.76</v>
      </c>
      <c r="J1152" s="6">
        <v>19.02</v>
      </c>
      <c r="K1152" s="5">
        <v>328</v>
      </c>
    </row>
    <row r="1153" spans="1:11" x14ac:dyDescent="0.3">
      <c r="A1153" s="3">
        <v>7442</v>
      </c>
      <c r="B1153" s="3" t="s">
        <v>26</v>
      </c>
      <c r="C1153" s="4">
        <v>45537</v>
      </c>
      <c r="D1153" s="3" t="s">
        <v>22</v>
      </c>
      <c r="E1153" s="3" t="s">
        <v>41</v>
      </c>
      <c r="F1153" s="5">
        <v>3</v>
      </c>
      <c r="G1153" s="6">
        <v>10.199999999999999</v>
      </c>
      <c r="H1153" s="6">
        <v>30.6</v>
      </c>
      <c r="I1153" s="6">
        <v>4.17</v>
      </c>
      <c r="J1153" s="6">
        <v>26.43</v>
      </c>
      <c r="K1153" s="5">
        <v>402</v>
      </c>
    </row>
    <row r="1154" spans="1:11" x14ac:dyDescent="0.3">
      <c r="A1154" s="3">
        <v>8491</v>
      </c>
      <c r="B1154" s="3" t="s">
        <v>24</v>
      </c>
      <c r="C1154" s="4">
        <v>45331</v>
      </c>
      <c r="D1154" s="3" t="s">
        <v>27</v>
      </c>
      <c r="E1154" s="3" t="s">
        <v>37</v>
      </c>
      <c r="F1154" s="5">
        <v>1</v>
      </c>
      <c r="G1154" s="6">
        <v>7.63</v>
      </c>
      <c r="H1154" s="6">
        <v>7.63</v>
      </c>
      <c r="I1154" s="6">
        <v>1.1399999999999999</v>
      </c>
      <c r="J1154" s="6">
        <v>6.49</v>
      </c>
      <c r="K1154" s="5">
        <v>375</v>
      </c>
    </row>
    <row r="1155" spans="1:11" x14ac:dyDescent="0.3">
      <c r="A1155" s="3">
        <v>4524</v>
      </c>
      <c r="B1155" s="3" t="s">
        <v>42</v>
      </c>
      <c r="C1155" s="4">
        <v>45598</v>
      </c>
      <c r="D1155" s="3" t="s">
        <v>17</v>
      </c>
      <c r="E1155" s="3" t="s">
        <v>18</v>
      </c>
      <c r="F1155" s="5">
        <v>1</v>
      </c>
      <c r="G1155" s="6">
        <v>27.28</v>
      </c>
      <c r="H1155" s="6">
        <v>27.28</v>
      </c>
      <c r="I1155" s="6">
        <v>0</v>
      </c>
      <c r="J1155" s="6">
        <v>27.28</v>
      </c>
      <c r="K1155" s="5">
        <v>340</v>
      </c>
    </row>
    <row r="1156" spans="1:11" x14ac:dyDescent="0.3">
      <c r="A1156" s="3">
        <v>6781</v>
      </c>
      <c r="B1156" s="3" t="s">
        <v>42</v>
      </c>
      <c r="C1156" s="4">
        <v>45182</v>
      </c>
      <c r="D1156" s="3" t="s">
        <v>28</v>
      </c>
      <c r="E1156" s="3" t="s">
        <v>32</v>
      </c>
      <c r="F1156" s="5">
        <v>5</v>
      </c>
      <c r="G1156" s="6">
        <v>10.32</v>
      </c>
      <c r="H1156" s="6">
        <v>51.6</v>
      </c>
      <c r="I1156" s="6">
        <v>4.4800000000000004</v>
      </c>
      <c r="J1156" s="6">
        <v>47.12</v>
      </c>
      <c r="K1156" s="5">
        <v>226</v>
      </c>
    </row>
    <row r="1157" spans="1:11" x14ac:dyDescent="0.3">
      <c r="A1157" s="3">
        <v>1828</v>
      </c>
      <c r="B1157" s="3" t="s">
        <v>11</v>
      </c>
      <c r="C1157" s="4">
        <v>45363</v>
      </c>
      <c r="D1157" s="3" t="s">
        <v>17</v>
      </c>
      <c r="E1157" s="3" t="s">
        <v>40</v>
      </c>
      <c r="F1157" s="5">
        <v>2</v>
      </c>
      <c r="G1157" s="6">
        <v>28.2</v>
      </c>
      <c r="H1157" s="6">
        <v>56.4</v>
      </c>
      <c r="I1157" s="6">
        <v>11.28</v>
      </c>
      <c r="J1157" s="6">
        <v>45.12</v>
      </c>
      <c r="K1157" s="5">
        <v>64</v>
      </c>
    </row>
    <row r="1158" spans="1:11" x14ac:dyDescent="0.3">
      <c r="A1158" s="3">
        <v>9108</v>
      </c>
      <c r="B1158" s="3" t="s">
        <v>14</v>
      </c>
      <c r="C1158" s="4">
        <v>45609</v>
      </c>
      <c r="D1158" s="3" t="s">
        <v>17</v>
      </c>
      <c r="E1158" s="3" t="s">
        <v>25</v>
      </c>
      <c r="F1158" s="5">
        <v>5</v>
      </c>
      <c r="G1158" s="6">
        <v>3.26</v>
      </c>
      <c r="H1158" s="6">
        <v>16.3</v>
      </c>
      <c r="I1158" s="6">
        <v>2.44</v>
      </c>
      <c r="J1158" s="6">
        <v>13.86</v>
      </c>
      <c r="K1158" s="5">
        <v>371</v>
      </c>
    </row>
    <row r="1159" spans="1:11" x14ac:dyDescent="0.3">
      <c r="A1159" s="3">
        <v>8710</v>
      </c>
      <c r="B1159" s="3" t="s">
        <v>19</v>
      </c>
      <c r="C1159" s="4">
        <v>45366</v>
      </c>
      <c r="D1159" s="3" t="s">
        <v>17</v>
      </c>
      <c r="E1159" s="3" t="s">
        <v>25</v>
      </c>
      <c r="F1159" s="5">
        <v>4</v>
      </c>
      <c r="G1159" s="6">
        <v>6.11</v>
      </c>
      <c r="H1159" s="6">
        <v>24.44</v>
      </c>
      <c r="I1159" s="6">
        <v>3.67</v>
      </c>
      <c r="J1159" s="6">
        <v>20.77</v>
      </c>
      <c r="K1159" s="5">
        <v>127</v>
      </c>
    </row>
    <row r="1160" spans="1:11" x14ac:dyDescent="0.3">
      <c r="A1160" s="3">
        <v>9793</v>
      </c>
      <c r="B1160" s="3" t="s">
        <v>26</v>
      </c>
      <c r="C1160" s="4">
        <v>45151</v>
      </c>
      <c r="D1160" s="3" t="s">
        <v>27</v>
      </c>
      <c r="E1160" s="3" t="s">
        <v>44</v>
      </c>
      <c r="F1160" s="5">
        <v>3</v>
      </c>
      <c r="G1160" s="6">
        <v>26</v>
      </c>
      <c r="H1160" s="6">
        <v>78</v>
      </c>
      <c r="I1160" s="6">
        <v>11.7</v>
      </c>
      <c r="J1160" s="6">
        <v>66.3</v>
      </c>
      <c r="K1160" s="5">
        <v>246</v>
      </c>
    </row>
    <row r="1161" spans="1:11" x14ac:dyDescent="0.3">
      <c r="A1161" s="3">
        <v>2761</v>
      </c>
      <c r="B1161" s="3" t="s">
        <v>24</v>
      </c>
      <c r="C1161" s="4">
        <v>45479</v>
      </c>
      <c r="D1161" s="3" t="s">
        <v>20</v>
      </c>
      <c r="E1161" s="3" t="s">
        <v>29</v>
      </c>
      <c r="F1161" s="5">
        <v>4</v>
      </c>
      <c r="G1161" s="6">
        <v>13.79</v>
      </c>
      <c r="H1161" s="6">
        <v>55.16</v>
      </c>
      <c r="I1161" s="6">
        <v>11.03</v>
      </c>
      <c r="J1161" s="6">
        <v>44.13</v>
      </c>
      <c r="K1161" s="5">
        <v>258</v>
      </c>
    </row>
    <row r="1162" spans="1:11" x14ac:dyDescent="0.3">
      <c r="A1162" s="3">
        <v>3194</v>
      </c>
      <c r="B1162" s="3" t="s">
        <v>26</v>
      </c>
      <c r="C1162" s="4">
        <v>45830</v>
      </c>
      <c r="D1162" s="3" t="s">
        <v>12</v>
      </c>
      <c r="E1162" s="3" t="s">
        <v>32</v>
      </c>
      <c r="F1162" s="5">
        <v>4</v>
      </c>
      <c r="G1162" s="6">
        <v>25.76</v>
      </c>
      <c r="H1162" s="6">
        <v>103.04</v>
      </c>
      <c r="I1162" s="6">
        <v>3.15</v>
      </c>
      <c r="J1162" s="6">
        <v>99.89</v>
      </c>
      <c r="K1162" s="5">
        <v>388</v>
      </c>
    </row>
    <row r="1163" spans="1:11" x14ac:dyDescent="0.3">
      <c r="A1163" s="3">
        <v>5333</v>
      </c>
      <c r="B1163" s="3" t="s">
        <v>14</v>
      </c>
      <c r="C1163" s="4">
        <v>45710</v>
      </c>
      <c r="D1163" s="3" t="s">
        <v>34</v>
      </c>
      <c r="E1163" s="3" t="s">
        <v>13</v>
      </c>
      <c r="F1163" s="5">
        <v>4</v>
      </c>
      <c r="G1163" s="6">
        <v>14.44</v>
      </c>
      <c r="H1163" s="6">
        <v>57.76</v>
      </c>
      <c r="I1163" s="6">
        <v>5.78</v>
      </c>
      <c r="J1163" s="6">
        <v>51.98</v>
      </c>
      <c r="K1163" s="5">
        <v>232</v>
      </c>
    </row>
    <row r="1164" spans="1:11" x14ac:dyDescent="0.3">
      <c r="A1164" s="3">
        <v>6992</v>
      </c>
      <c r="B1164" s="3" t="s">
        <v>14</v>
      </c>
      <c r="C1164" s="4">
        <v>45738</v>
      </c>
      <c r="D1164" s="3" t="s">
        <v>28</v>
      </c>
      <c r="E1164" s="3" t="s">
        <v>47</v>
      </c>
      <c r="F1164" s="5">
        <v>1</v>
      </c>
      <c r="G1164" s="6">
        <v>10.65</v>
      </c>
      <c r="H1164" s="6">
        <v>10.65</v>
      </c>
      <c r="I1164" s="6">
        <v>2.13</v>
      </c>
      <c r="J1164" s="6">
        <v>8.52</v>
      </c>
      <c r="K1164" s="5">
        <v>366</v>
      </c>
    </row>
    <row r="1165" spans="1:11" x14ac:dyDescent="0.3">
      <c r="A1165" s="3">
        <v>7606</v>
      </c>
      <c r="B1165" s="3" t="s">
        <v>19</v>
      </c>
      <c r="C1165" s="4">
        <v>45429</v>
      </c>
      <c r="D1165" s="3" t="s">
        <v>17</v>
      </c>
      <c r="E1165" s="3" t="s">
        <v>39</v>
      </c>
      <c r="F1165" s="5">
        <v>1</v>
      </c>
      <c r="G1165" s="6">
        <v>25.98</v>
      </c>
      <c r="H1165" s="6">
        <v>25.98</v>
      </c>
      <c r="I1165" s="6">
        <v>2.6</v>
      </c>
      <c r="J1165" s="6">
        <v>23.38</v>
      </c>
      <c r="K1165" s="5">
        <v>373</v>
      </c>
    </row>
    <row r="1166" spans="1:11" x14ac:dyDescent="0.3">
      <c r="A1166" s="3">
        <v>1741</v>
      </c>
      <c r="B1166" s="3" t="s">
        <v>24</v>
      </c>
      <c r="C1166" s="4">
        <v>45456</v>
      </c>
      <c r="D1166" s="3" t="s">
        <v>20</v>
      </c>
      <c r="E1166" s="3" t="s">
        <v>32</v>
      </c>
      <c r="F1166" s="5">
        <v>3</v>
      </c>
      <c r="G1166" s="6">
        <v>12.13</v>
      </c>
      <c r="H1166" s="6">
        <v>36.39</v>
      </c>
      <c r="I1166" s="6">
        <v>3.64</v>
      </c>
      <c r="J1166" s="6">
        <v>32.75</v>
      </c>
      <c r="K1166" s="5">
        <v>157</v>
      </c>
    </row>
    <row r="1167" spans="1:11" x14ac:dyDescent="0.3">
      <c r="A1167" s="3">
        <v>1838</v>
      </c>
      <c r="B1167" s="3" t="s">
        <v>31</v>
      </c>
      <c r="C1167" s="4">
        <v>45587</v>
      </c>
      <c r="D1167" s="3" t="s">
        <v>15</v>
      </c>
      <c r="E1167" s="3" t="s">
        <v>32</v>
      </c>
      <c r="F1167" s="5">
        <v>5</v>
      </c>
      <c r="G1167" s="6">
        <v>5.7</v>
      </c>
      <c r="H1167" s="6">
        <v>28.5</v>
      </c>
      <c r="I1167" s="6">
        <v>4.2699999999999996</v>
      </c>
      <c r="J1167" s="6">
        <v>24.23</v>
      </c>
      <c r="K1167" s="5">
        <v>390</v>
      </c>
    </row>
    <row r="1168" spans="1:11" x14ac:dyDescent="0.3">
      <c r="A1168" s="3">
        <v>4189</v>
      </c>
      <c r="B1168" s="3" t="s">
        <v>36</v>
      </c>
      <c r="C1168" s="4">
        <v>45426</v>
      </c>
      <c r="D1168" s="3" t="s">
        <v>38</v>
      </c>
      <c r="E1168" s="3" t="s">
        <v>47</v>
      </c>
      <c r="F1168" s="5">
        <v>3</v>
      </c>
      <c r="G1168" s="6">
        <v>21.19</v>
      </c>
      <c r="H1168" s="6">
        <v>63.57</v>
      </c>
      <c r="I1168" s="6">
        <v>6.36</v>
      </c>
      <c r="J1168" s="6">
        <v>57.21</v>
      </c>
      <c r="K1168" s="5">
        <v>333</v>
      </c>
    </row>
    <row r="1169" spans="1:11" x14ac:dyDescent="0.3">
      <c r="A1169" s="3">
        <v>5728</v>
      </c>
      <c r="B1169" s="3" t="s">
        <v>42</v>
      </c>
      <c r="C1169" s="4">
        <v>45202</v>
      </c>
      <c r="D1169" s="3" t="s">
        <v>17</v>
      </c>
      <c r="E1169" s="3" t="s">
        <v>47</v>
      </c>
      <c r="F1169" s="5">
        <v>1</v>
      </c>
      <c r="G1169" s="6">
        <v>27.71</v>
      </c>
      <c r="H1169" s="6">
        <v>27.71</v>
      </c>
      <c r="I1169" s="6">
        <v>0</v>
      </c>
      <c r="J1169" s="6">
        <v>27.71</v>
      </c>
      <c r="K1169" s="5">
        <v>185</v>
      </c>
    </row>
    <row r="1170" spans="1:11" x14ac:dyDescent="0.3">
      <c r="A1170" s="3">
        <v>7329</v>
      </c>
      <c r="B1170" s="3" t="s">
        <v>19</v>
      </c>
      <c r="C1170" s="4">
        <v>45536</v>
      </c>
      <c r="D1170" s="3" t="s">
        <v>35</v>
      </c>
      <c r="E1170" s="3" t="s">
        <v>33</v>
      </c>
      <c r="F1170" s="5">
        <v>2</v>
      </c>
      <c r="G1170" s="6">
        <v>8.36</v>
      </c>
      <c r="H1170" s="6">
        <v>16.72</v>
      </c>
      <c r="I1170" s="6">
        <v>1.47</v>
      </c>
      <c r="J1170" s="6">
        <v>15.25</v>
      </c>
      <c r="K1170" s="5">
        <v>308</v>
      </c>
    </row>
    <row r="1171" spans="1:11" x14ac:dyDescent="0.3">
      <c r="A1171" s="3">
        <v>8378</v>
      </c>
      <c r="B1171" s="3" t="s">
        <v>11</v>
      </c>
      <c r="C1171" s="4">
        <v>45738</v>
      </c>
      <c r="D1171" s="3" t="s">
        <v>27</v>
      </c>
      <c r="E1171" s="3" t="s">
        <v>32</v>
      </c>
      <c r="F1171" s="5">
        <v>4</v>
      </c>
      <c r="G1171" s="6">
        <v>21.47</v>
      </c>
      <c r="H1171" s="6">
        <v>85.88</v>
      </c>
      <c r="I1171" s="6">
        <v>4.6399999999999997</v>
      </c>
      <c r="J1171" s="6">
        <v>81.239999999999995</v>
      </c>
      <c r="K1171" s="5">
        <v>498</v>
      </c>
    </row>
    <row r="1172" spans="1:11" x14ac:dyDescent="0.3">
      <c r="A1172" s="3">
        <v>5582</v>
      </c>
      <c r="B1172" s="3" t="s">
        <v>24</v>
      </c>
      <c r="C1172" s="4">
        <v>45786</v>
      </c>
      <c r="D1172" s="3" t="s">
        <v>34</v>
      </c>
      <c r="E1172" s="3" t="s">
        <v>16</v>
      </c>
      <c r="F1172" s="5">
        <v>3</v>
      </c>
      <c r="G1172" s="6">
        <v>21.05</v>
      </c>
      <c r="H1172" s="6">
        <v>63.15</v>
      </c>
      <c r="I1172" s="6">
        <v>2.23</v>
      </c>
      <c r="J1172" s="6">
        <v>60.92</v>
      </c>
      <c r="K1172" s="5">
        <v>256</v>
      </c>
    </row>
    <row r="1173" spans="1:11" x14ac:dyDescent="0.3">
      <c r="A1173" s="3">
        <v>2946</v>
      </c>
      <c r="B1173" s="3" t="s">
        <v>24</v>
      </c>
      <c r="C1173" s="4">
        <v>45244</v>
      </c>
      <c r="D1173" s="3" t="s">
        <v>15</v>
      </c>
      <c r="E1173" s="3" t="s">
        <v>48</v>
      </c>
      <c r="F1173" s="5">
        <v>5</v>
      </c>
      <c r="G1173" s="6">
        <v>23.51</v>
      </c>
      <c r="H1173" s="6">
        <v>117.55</v>
      </c>
      <c r="I1173" s="6">
        <v>17.63</v>
      </c>
      <c r="J1173" s="6">
        <v>99.92</v>
      </c>
      <c r="K1173" s="5">
        <v>176</v>
      </c>
    </row>
    <row r="1174" spans="1:11" x14ac:dyDescent="0.3">
      <c r="A1174" s="3">
        <v>2584</v>
      </c>
      <c r="B1174" s="3" t="s">
        <v>42</v>
      </c>
      <c r="C1174" s="4">
        <v>45450</v>
      </c>
      <c r="D1174" s="3" t="s">
        <v>20</v>
      </c>
      <c r="E1174" s="3" t="s">
        <v>37</v>
      </c>
      <c r="F1174" s="5">
        <v>1</v>
      </c>
      <c r="G1174" s="6">
        <v>29.61</v>
      </c>
      <c r="H1174" s="6">
        <v>29.61</v>
      </c>
      <c r="I1174" s="6">
        <v>1.39</v>
      </c>
      <c r="J1174" s="6">
        <v>28.22</v>
      </c>
      <c r="K1174" s="5">
        <v>417</v>
      </c>
    </row>
    <row r="1175" spans="1:11" x14ac:dyDescent="0.3">
      <c r="A1175" s="3">
        <v>7114</v>
      </c>
      <c r="B1175" s="3" t="s">
        <v>24</v>
      </c>
      <c r="C1175" s="4">
        <v>45762</v>
      </c>
      <c r="D1175" s="3" t="s">
        <v>38</v>
      </c>
      <c r="E1175" s="3" t="s">
        <v>16</v>
      </c>
      <c r="F1175" s="5">
        <v>3</v>
      </c>
      <c r="G1175" s="6">
        <v>22.25</v>
      </c>
      <c r="H1175" s="6">
        <v>66.75</v>
      </c>
      <c r="I1175" s="6">
        <v>10.01</v>
      </c>
      <c r="J1175" s="6">
        <v>56.74</v>
      </c>
      <c r="K1175" s="5">
        <v>87</v>
      </c>
    </row>
    <row r="1176" spans="1:11" x14ac:dyDescent="0.3">
      <c r="A1176" s="3">
        <v>6555</v>
      </c>
      <c r="B1176" s="3" t="s">
        <v>19</v>
      </c>
      <c r="C1176" s="4">
        <v>45578</v>
      </c>
      <c r="D1176" s="3" t="s">
        <v>34</v>
      </c>
      <c r="E1176" s="3" t="s">
        <v>44</v>
      </c>
      <c r="F1176" s="5">
        <v>4</v>
      </c>
      <c r="G1176" s="6">
        <v>6.27</v>
      </c>
      <c r="H1176" s="6">
        <v>25.08</v>
      </c>
      <c r="I1176" s="6">
        <v>2.5099999999999998</v>
      </c>
      <c r="J1176" s="6">
        <v>22.57</v>
      </c>
      <c r="K1176" s="5">
        <v>485</v>
      </c>
    </row>
    <row r="1177" spans="1:11" x14ac:dyDescent="0.3">
      <c r="A1177" s="3">
        <v>6990</v>
      </c>
      <c r="B1177" s="3" t="s">
        <v>42</v>
      </c>
      <c r="C1177" s="4">
        <v>45731</v>
      </c>
      <c r="D1177" s="3" t="s">
        <v>34</v>
      </c>
      <c r="E1177" s="3" t="s">
        <v>44</v>
      </c>
      <c r="F1177" s="5">
        <v>1</v>
      </c>
      <c r="G1177" s="6">
        <v>22.74</v>
      </c>
      <c r="H1177" s="6">
        <v>22.74</v>
      </c>
      <c r="I1177" s="6">
        <v>3.41</v>
      </c>
      <c r="J1177" s="6">
        <v>19.329999999999998</v>
      </c>
      <c r="K1177" s="5">
        <v>414</v>
      </c>
    </row>
    <row r="1178" spans="1:11" x14ac:dyDescent="0.3">
      <c r="A1178" s="3">
        <v>3363</v>
      </c>
      <c r="B1178" s="3" t="s">
        <v>24</v>
      </c>
      <c r="C1178" s="4">
        <v>45299</v>
      </c>
      <c r="D1178" s="3" t="s">
        <v>45</v>
      </c>
      <c r="E1178" s="3" t="s">
        <v>48</v>
      </c>
      <c r="F1178" s="5">
        <v>2</v>
      </c>
      <c r="G1178" s="6">
        <v>3.3</v>
      </c>
      <c r="H1178" s="6">
        <v>6.6</v>
      </c>
      <c r="I1178" s="6">
        <v>2.11</v>
      </c>
      <c r="J1178" s="6">
        <v>4.49</v>
      </c>
      <c r="K1178" s="5">
        <v>43</v>
      </c>
    </row>
    <row r="1179" spans="1:11" x14ac:dyDescent="0.3">
      <c r="A1179" s="3">
        <v>9341</v>
      </c>
      <c r="B1179" s="3" t="s">
        <v>36</v>
      </c>
      <c r="C1179" s="4">
        <v>45456</v>
      </c>
      <c r="D1179" s="3" t="s">
        <v>12</v>
      </c>
      <c r="E1179" s="3" t="s">
        <v>25</v>
      </c>
      <c r="F1179" s="5">
        <v>4</v>
      </c>
      <c r="G1179" s="6">
        <v>15.06</v>
      </c>
      <c r="H1179" s="6">
        <v>60.24</v>
      </c>
      <c r="I1179" s="6">
        <v>1.24</v>
      </c>
      <c r="J1179" s="6">
        <v>59</v>
      </c>
      <c r="K1179" s="5">
        <v>389</v>
      </c>
    </row>
    <row r="1180" spans="1:11" x14ac:dyDescent="0.3">
      <c r="A1180" s="3">
        <v>9193</v>
      </c>
      <c r="B1180" s="3" t="s">
        <v>31</v>
      </c>
      <c r="C1180" s="4">
        <v>45176</v>
      </c>
      <c r="D1180" s="3" t="s">
        <v>27</v>
      </c>
      <c r="E1180" s="3" t="s">
        <v>40</v>
      </c>
      <c r="F1180" s="5">
        <v>1</v>
      </c>
      <c r="G1180" s="6">
        <v>7.11</v>
      </c>
      <c r="H1180" s="6">
        <v>7.11</v>
      </c>
      <c r="I1180" s="6">
        <v>0.71</v>
      </c>
      <c r="J1180" s="6">
        <v>6.4</v>
      </c>
      <c r="K1180" s="5">
        <v>405</v>
      </c>
    </row>
    <row r="1181" spans="1:11" x14ac:dyDescent="0.3">
      <c r="A1181" s="3">
        <v>1742</v>
      </c>
      <c r="B1181" s="3" t="s">
        <v>14</v>
      </c>
      <c r="C1181" s="4">
        <v>45175</v>
      </c>
      <c r="D1181" s="3" t="s">
        <v>35</v>
      </c>
      <c r="E1181" s="3" t="s">
        <v>47</v>
      </c>
      <c r="F1181" s="5">
        <v>4</v>
      </c>
      <c r="G1181" s="6">
        <v>22.94</v>
      </c>
      <c r="H1181" s="6">
        <v>91.76</v>
      </c>
      <c r="I1181" s="6">
        <v>13.76</v>
      </c>
      <c r="J1181" s="6">
        <v>78</v>
      </c>
      <c r="K1181" s="5">
        <v>309</v>
      </c>
    </row>
    <row r="1182" spans="1:11" x14ac:dyDescent="0.3">
      <c r="A1182" s="3">
        <v>3245</v>
      </c>
      <c r="B1182" s="3" t="s">
        <v>36</v>
      </c>
      <c r="C1182" s="4">
        <v>45699</v>
      </c>
      <c r="D1182" s="3" t="s">
        <v>27</v>
      </c>
      <c r="E1182" s="3" t="s">
        <v>21</v>
      </c>
      <c r="F1182" s="5">
        <v>3</v>
      </c>
      <c r="G1182" s="6">
        <v>24.68</v>
      </c>
      <c r="H1182" s="6">
        <v>74.040000000000006</v>
      </c>
      <c r="I1182" s="6">
        <v>0</v>
      </c>
      <c r="J1182" s="6">
        <v>74.040000000000006</v>
      </c>
      <c r="K1182" s="5">
        <v>481</v>
      </c>
    </row>
    <row r="1183" spans="1:11" x14ac:dyDescent="0.3">
      <c r="A1183" s="3">
        <v>6456</v>
      </c>
      <c r="B1183" s="3" t="s">
        <v>24</v>
      </c>
      <c r="C1183" s="4">
        <v>45769</v>
      </c>
      <c r="D1183" s="3" t="s">
        <v>20</v>
      </c>
      <c r="E1183" s="3" t="s">
        <v>40</v>
      </c>
      <c r="F1183" s="5">
        <v>3</v>
      </c>
      <c r="G1183" s="6">
        <v>26.31</v>
      </c>
      <c r="H1183" s="6">
        <v>78.930000000000007</v>
      </c>
      <c r="I1183" s="6">
        <v>2.83</v>
      </c>
      <c r="J1183" s="6">
        <v>76.099999999999994</v>
      </c>
      <c r="K1183" s="5">
        <v>412</v>
      </c>
    </row>
    <row r="1184" spans="1:11" x14ac:dyDescent="0.3">
      <c r="A1184" s="3">
        <v>8761</v>
      </c>
      <c r="B1184" s="3" t="s">
        <v>24</v>
      </c>
      <c r="C1184" s="4">
        <v>45548</v>
      </c>
      <c r="D1184" s="3" t="s">
        <v>34</v>
      </c>
      <c r="E1184" s="3" t="s">
        <v>39</v>
      </c>
      <c r="F1184" s="5">
        <v>5</v>
      </c>
      <c r="G1184" s="6">
        <v>4.55</v>
      </c>
      <c r="H1184" s="6">
        <v>22.75</v>
      </c>
      <c r="I1184" s="6">
        <v>0</v>
      </c>
      <c r="J1184" s="6">
        <v>22.75</v>
      </c>
      <c r="K1184" s="5">
        <v>271</v>
      </c>
    </row>
    <row r="1185" spans="1:11" x14ac:dyDescent="0.3">
      <c r="A1185" s="3">
        <v>8487</v>
      </c>
      <c r="B1185" s="3" t="s">
        <v>42</v>
      </c>
      <c r="C1185" s="4">
        <v>45260</v>
      </c>
      <c r="D1185" s="3" t="s">
        <v>22</v>
      </c>
      <c r="E1185" s="3" t="s">
        <v>33</v>
      </c>
      <c r="F1185" s="5">
        <v>5</v>
      </c>
      <c r="G1185" s="6">
        <v>20.89</v>
      </c>
      <c r="H1185" s="6">
        <v>104.45</v>
      </c>
      <c r="I1185" s="6">
        <v>2.65</v>
      </c>
      <c r="J1185" s="6">
        <v>101.8</v>
      </c>
      <c r="K1185" s="5">
        <v>445</v>
      </c>
    </row>
    <row r="1186" spans="1:11" x14ac:dyDescent="0.3">
      <c r="A1186" s="3">
        <v>9446</v>
      </c>
      <c r="B1186" s="3" t="s">
        <v>42</v>
      </c>
      <c r="C1186" s="4">
        <v>45253</v>
      </c>
      <c r="D1186" s="3" t="s">
        <v>12</v>
      </c>
      <c r="E1186" s="3" t="s">
        <v>21</v>
      </c>
      <c r="F1186" s="5">
        <v>1</v>
      </c>
      <c r="G1186" s="6">
        <v>19.37</v>
      </c>
      <c r="H1186" s="6">
        <v>19.37</v>
      </c>
      <c r="I1186" s="6">
        <v>0</v>
      </c>
      <c r="J1186" s="6">
        <v>19.37</v>
      </c>
      <c r="K1186" s="5">
        <v>447</v>
      </c>
    </row>
    <row r="1187" spans="1:11" x14ac:dyDescent="0.3">
      <c r="A1187" s="3">
        <v>6373</v>
      </c>
      <c r="B1187" s="3" t="s">
        <v>36</v>
      </c>
      <c r="C1187" s="4">
        <v>45868</v>
      </c>
      <c r="D1187" s="3" t="s">
        <v>27</v>
      </c>
      <c r="E1187" s="3" t="s">
        <v>33</v>
      </c>
      <c r="F1187" s="5">
        <v>2</v>
      </c>
      <c r="G1187" s="6">
        <v>18.59</v>
      </c>
      <c r="H1187" s="6">
        <v>37.18</v>
      </c>
      <c r="I1187" s="6">
        <v>5.58</v>
      </c>
      <c r="J1187" s="6">
        <v>31.6</v>
      </c>
      <c r="K1187" s="5">
        <v>204</v>
      </c>
    </row>
    <row r="1188" spans="1:11" x14ac:dyDescent="0.3">
      <c r="A1188" s="3">
        <v>6218</v>
      </c>
      <c r="B1188" s="3" t="s">
        <v>24</v>
      </c>
      <c r="C1188" s="4">
        <v>45271</v>
      </c>
      <c r="D1188" s="3" t="s">
        <v>45</v>
      </c>
      <c r="E1188" s="3" t="s">
        <v>48</v>
      </c>
      <c r="F1188" s="5">
        <v>4</v>
      </c>
      <c r="G1188" s="6">
        <v>9.51</v>
      </c>
      <c r="H1188" s="6">
        <v>38.04</v>
      </c>
      <c r="I1188" s="6">
        <v>4.5</v>
      </c>
      <c r="J1188" s="6">
        <v>33.54</v>
      </c>
      <c r="K1188" s="5">
        <v>99</v>
      </c>
    </row>
    <row r="1189" spans="1:11" x14ac:dyDescent="0.3">
      <c r="A1189" s="3">
        <v>7438</v>
      </c>
      <c r="B1189" s="3" t="s">
        <v>14</v>
      </c>
      <c r="C1189" s="4">
        <v>45623</v>
      </c>
      <c r="D1189" s="3" t="s">
        <v>12</v>
      </c>
      <c r="E1189" s="3" t="s">
        <v>41</v>
      </c>
      <c r="F1189" s="5">
        <v>4</v>
      </c>
      <c r="G1189" s="6">
        <v>24.1</v>
      </c>
      <c r="H1189" s="6">
        <v>96.4</v>
      </c>
      <c r="I1189" s="6">
        <v>19.28</v>
      </c>
      <c r="J1189" s="6">
        <v>77.12</v>
      </c>
      <c r="K1189" s="5">
        <v>154</v>
      </c>
    </row>
    <row r="1190" spans="1:11" x14ac:dyDescent="0.3">
      <c r="A1190" s="3">
        <v>5902</v>
      </c>
      <c r="B1190" s="3" t="s">
        <v>26</v>
      </c>
      <c r="C1190" s="4">
        <v>45606</v>
      </c>
      <c r="D1190" s="3" t="s">
        <v>15</v>
      </c>
      <c r="E1190" s="3" t="s">
        <v>47</v>
      </c>
      <c r="F1190" s="5">
        <v>5</v>
      </c>
      <c r="G1190" s="6">
        <v>7.98</v>
      </c>
      <c r="H1190" s="6">
        <v>39.9</v>
      </c>
      <c r="I1190" s="6">
        <v>0</v>
      </c>
      <c r="J1190" s="6">
        <v>39.9</v>
      </c>
      <c r="K1190" s="5">
        <v>108</v>
      </c>
    </row>
    <row r="1191" spans="1:11" x14ac:dyDescent="0.3">
      <c r="A1191" s="3">
        <v>6511</v>
      </c>
      <c r="B1191" s="3" t="s">
        <v>11</v>
      </c>
      <c r="C1191" s="4">
        <v>45539</v>
      </c>
      <c r="D1191" s="3" t="s">
        <v>15</v>
      </c>
      <c r="E1191" s="3" t="s">
        <v>16</v>
      </c>
      <c r="F1191" s="5">
        <v>1</v>
      </c>
      <c r="G1191" s="6">
        <v>5.64</v>
      </c>
      <c r="H1191" s="6">
        <v>5.64</v>
      </c>
      <c r="I1191" s="6">
        <v>0.56000000000000005</v>
      </c>
      <c r="J1191" s="6">
        <v>5.08</v>
      </c>
      <c r="K1191" s="5">
        <v>475</v>
      </c>
    </row>
    <row r="1192" spans="1:11" x14ac:dyDescent="0.3">
      <c r="A1192" s="3">
        <v>9351</v>
      </c>
      <c r="B1192" s="3" t="s">
        <v>30</v>
      </c>
      <c r="C1192" s="4">
        <v>45558</v>
      </c>
      <c r="D1192" s="3" t="s">
        <v>17</v>
      </c>
      <c r="E1192" s="3" t="s">
        <v>13</v>
      </c>
      <c r="F1192" s="5">
        <v>4</v>
      </c>
      <c r="G1192" s="6">
        <v>28.58</v>
      </c>
      <c r="H1192" s="6">
        <v>114.32</v>
      </c>
      <c r="I1192" s="6">
        <v>0</v>
      </c>
      <c r="J1192" s="6">
        <v>114.32</v>
      </c>
      <c r="K1192" s="5">
        <v>343</v>
      </c>
    </row>
    <row r="1193" spans="1:11" x14ac:dyDescent="0.3">
      <c r="A1193" s="3">
        <v>9025</v>
      </c>
      <c r="B1193" s="3" t="s">
        <v>19</v>
      </c>
      <c r="C1193" s="4">
        <v>45695</v>
      </c>
      <c r="D1193" s="3" t="s">
        <v>38</v>
      </c>
      <c r="E1193" s="3" t="s">
        <v>47</v>
      </c>
      <c r="F1193" s="5">
        <v>1</v>
      </c>
      <c r="G1193" s="6">
        <v>24.06</v>
      </c>
      <c r="H1193" s="6">
        <v>24.06</v>
      </c>
      <c r="I1193" s="6">
        <v>4.07</v>
      </c>
      <c r="J1193" s="6">
        <v>19.989999999999998</v>
      </c>
      <c r="K1193" s="5">
        <v>170</v>
      </c>
    </row>
    <row r="1194" spans="1:11" x14ac:dyDescent="0.3">
      <c r="A1194" s="3">
        <v>5911</v>
      </c>
      <c r="B1194" s="3" t="s">
        <v>11</v>
      </c>
      <c r="C1194" s="4">
        <v>45513</v>
      </c>
      <c r="D1194" s="3" t="s">
        <v>27</v>
      </c>
      <c r="E1194" s="3" t="s">
        <v>21</v>
      </c>
      <c r="F1194" s="5">
        <v>4</v>
      </c>
      <c r="G1194" s="6">
        <v>27.38</v>
      </c>
      <c r="H1194" s="6">
        <v>109.52</v>
      </c>
      <c r="I1194" s="6">
        <v>0</v>
      </c>
      <c r="J1194" s="6">
        <v>109.52</v>
      </c>
      <c r="K1194" s="5">
        <v>380</v>
      </c>
    </row>
    <row r="1195" spans="1:11" x14ac:dyDescent="0.3">
      <c r="A1195" s="3">
        <v>1272</v>
      </c>
      <c r="B1195" s="3" t="s">
        <v>14</v>
      </c>
      <c r="C1195" s="4">
        <v>45431</v>
      </c>
      <c r="D1195" s="3" t="s">
        <v>20</v>
      </c>
      <c r="E1195" s="3" t="s">
        <v>25</v>
      </c>
      <c r="F1195" s="5">
        <v>2</v>
      </c>
      <c r="G1195" s="6">
        <v>8.5</v>
      </c>
      <c r="H1195" s="6">
        <v>17</v>
      </c>
      <c r="I1195" s="6">
        <v>1.36</v>
      </c>
      <c r="J1195" s="6">
        <v>15.64</v>
      </c>
      <c r="K1195" s="5">
        <v>148</v>
      </c>
    </row>
    <row r="1196" spans="1:11" x14ac:dyDescent="0.3">
      <c r="A1196" s="3">
        <v>6427</v>
      </c>
      <c r="B1196" s="3" t="s">
        <v>42</v>
      </c>
      <c r="C1196" s="4">
        <v>45668</v>
      </c>
      <c r="D1196" s="3" t="s">
        <v>15</v>
      </c>
      <c r="E1196" s="3" t="s">
        <v>23</v>
      </c>
      <c r="F1196" s="5">
        <v>2</v>
      </c>
      <c r="G1196" s="6">
        <v>25.74</v>
      </c>
      <c r="H1196" s="6">
        <v>51.48</v>
      </c>
      <c r="I1196" s="6">
        <v>3.95</v>
      </c>
      <c r="J1196" s="6">
        <v>47.53</v>
      </c>
      <c r="K1196" s="5">
        <v>488</v>
      </c>
    </row>
    <row r="1197" spans="1:11" x14ac:dyDescent="0.3">
      <c r="A1197" s="3">
        <v>2795</v>
      </c>
      <c r="B1197" s="3" t="s">
        <v>30</v>
      </c>
      <c r="C1197" s="4">
        <v>45468</v>
      </c>
      <c r="D1197" s="3" t="s">
        <v>12</v>
      </c>
      <c r="E1197" s="3" t="s">
        <v>18</v>
      </c>
      <c r="F1197" s="5">
        <v>2</v>
      </c>
      <c r="G1197" s="6">
        <v>25.56</v>
      </c>
      <c r="H1197" s="6">
        <v>51.12</v>
      </c>
      <c r="I1197" s="6">
        <v>7.67</v>
      </c>
      <c r="J1197" s="6">
        <v>43.45</v>
      </c>
      <c r="K1197" s="5">
        <v>216</v>
      </c>
    </row>
    <row r="1198" spans="1:11" x14ac:dyDescent="0.3">
      <c r="A1198" s="3">
        <v>6040</v>
      </c>
      <c r="B1198" s="3" t="s">
        <v>19</v>
      </c>
      <c r="C1198" s="4">
        <v>45763</v>
      </c>
      <c r="D1198" s="3" t="s">
        <v>38</v>
      </c>
      <c r="E1198" s="3" t="s">
        <v>25</v>
      </c>
      <c r="F1198" s="5">
        <v>1</v>
      </c>
      <c r="G1198" s="6">
        <v>12.45</v>
      </c>
      <c r="H1198" s="6">
        <v>12.45</v>
      </c>
      <c r="I1198" s="6">
        <v>1.87</v>
      </c>
      <c r="J1198" s="6">
        <v>10.58</v>
      </c>
      <c r="K1198" s="5">
        <v>275</v>
      </c>
    </row>
    <row r="1199" spans="1:11" x14ac:dyDescent="0.3">
      <c r="A1199" s="3">
        <v>1436</v>
      </c>
      <c r="B1199" s="3" t="s">
        <v>19</v>
      </c>
      <c r="C1199" s="4">
        <v>45608</v>
      </c>
      <c r="D1199" s="3" t="s">
        <v>35</v>
      </c>
      <c r="E1199" s="3" t="s">
        <v>25</v>
      </c>
      <c r="F1199" s="5">
        <v>4</v>
      </c>
      <c r="G1199" s="6">
        <v>20.71</v>
      </c>
      <c r="H1199" s="6">
        <v>82.84</v>
      </c>
      <c r="I1199" s="6">
        <v>16.57</v>
      </c>
      <c r="J1199" s="6">
        <v>66.27</v>
      </c>
      <c r="K1199" s="5">
        <v>75</v>
      </c>
    </row>
    <row r="1200" spans="1:11" x14ac:dyDescent="0.3">
      <c r="A1200" s="3">
        <v>8775</v>
      </c>
      <c r="B1200" s="3" t="s">
        <v>31</v>
      </c>
      <c r="C1200" s="4">
        <v>45351</v>
      </c>
      <c r="D1200" s="3" t="s">
        <v>28</v>
      </c>
      <c r="E1200" s="3" t="s">
        <v>21</v>
      </c>
      <c r="F1200" s="5">
        <v>3</v>
      </c>
      <c r="G1200" s="6">
        <v>15.56</v>
      </c>
      <c r="H1200" s="6">
        <v>46.68</v>
      </c>
      <c r="I1200" s="6">
        <v>7</v>
      </c>
      <c r="J1200" s="6">
        <v>39.68</v>
      </c>
      <c r="K1200" s="5">
        <v>352</v>
      </c>
    </row>
    <row r="1201" spans="1:11" x14ac:dyDescent="0.3">
      <c r="A1201" s="3">
        <v>4728</v>
      </c>
      <c r="B1201" s="3" t="s">
        <v>26</v>
      </c>
      <c r="C1201" s="4">
        <v>45705</v>
      </c>
      <c r="D1201" s="3" t="s">
        <v>27</v>
      </c>
      <c r="E1201" s="3" t="s">
        <v>44</v>
      </c>
      <c r="F1201" s="5">
        <v>4</v>
      </c>
      <c r="G1201" s="6">
        <v>9.44</v>
      </c>
      <c r="H1201" s="6">
        <v>37.76</v>
      </c>
      <c r="I1201" s="6">
        <v>4.92</v>
      </c>
      <c r="J1201" s="6">
        <v>32.840000000000003</v>
      </c>
      <c r="K1201" s="5">
        <v>494</v>
      </c>
    </row>
    <row r="1202" spans="1:11" x14ac:dyDescent="0.3">
      <c r="A1202" s="3">
        <v>1841</v>
      </c>
      <c r="B1202" s="3" t="s">
        <v>36</v>
      </c>
      <c r="C1202" s="4">
        <v>45598</v>
      </c>
      <c r="D1202" s="3" t="s">
        <v>34</v>
      </c>
      <c r="E1202" s="3" t="s">
        <v>44</v>
      </c>
      <c r="F1202" s="5">
        <v>2</v>
      </c>
      <c r="G1202" s="6">
        <v>21.3</v>
      </c>
      <c r="H1202" s="6">
        <v>42.6</v>
      </c>
      <c r="I1202" s="6">
        <v>4.26</v>
      </c>
      <c r="J1202" s="6">
        <v>38.340000000000003</v>
      </c>
      <c r="K1202" s="5">
        <v>26</v>
      </c>
    </row>
    <row r="1203" spans="1:11" x14ac:dyDescent="0.3">
      <c r="A1203" s="3">
        <v>8871</v>
      </c>
      <c r="B1203" s="3" t="s">
        <v>24</v>
      </c>
      <c r="C1203" s="4">
        <v>45277</v>
      </c>
      <c r="D1203" s="3" t="s">
        <v>35</v>
      </c>
      <c r="E1203" s="3" t="s">
        <v>29</v>
      </c>
      <c r="F1203" s="5">
        <v>1</v>
      </c>
      <c r="G1203" s="6">
        <v>16.88</v>
      </c>
      <c r="H1203" s="6">
        <v>16.88</v>
      </c>
      <c r="I1203" s="6">
        <v>0</v>
      </c>
      <c r="J1203" s="6">
        <v>16.88</v>
      </c>
      <c r="K1203" s="5">
        <v>172</v>
      </c>
    </row>
    <row r="1204" spans="1:11" x14ac:dyDescent="0.3">
      <c r="A1204" s="3">
        <v>9589</v>
      </c>
      <c r="B1204" s="3" t="s">
        <v>26</v>
      </c>
      <c r="C1204" s="4">
        <v>45633</v>
      </c>
      <c r="D1204" s="3" t="s">
        <v>22</v>
      </c>
      <c r="E1204" s="3" t="s">
        <v>32</v>
      </c>
      <c r="F1204" s="5">
        <v>4</v>
      </c>
      <c r="G1204" s="6">
        <v>3.07</v>
      </c>
      <c r="H1204" s="6">
        <v>12.28</v>
      </c>
      <c r="I1204" s="6">
        <v>1.84</v>
      </c>
      <c r="J1204" s="6">
        <v>10.44</v>
      </c>
      <c r="K1204" s="5">
        <v>372</v>
      </c>
    </row>
    <row r="1205" spans="1:11" x14ac:dyDescent="0.3">
      <c r="A1205" s="3">
        <v>7229</v>
      </c>
      <c r="B1205" s="3" t="s">
        <v>42</v>
      </c>
      <c r="C1205" s="4">
        <v>45259</v>
      </c>
      <c r="D1205" s="3" t="s">
        <v>38</v>
      </c>
      <c r="E1205" s="3" t="s">
        <v>32</v>
      </c>
      <c r="F1205" s="5">
        <v>1</v>
      </c>
      <c r="G1205" s="6">
        <v>4.79</v>
      </c>
      <c r="H1205" s="6">
        <v>4.79</v>
      </c>
      <c r="I1205" s="6">
        <v>0</v>
      </c>
      <c r="J1205" s="6">
        <v>4.79</v>
      </c>
      <c r="K1205" s="5">
        <v>385</v>
      </c>
    </row>
    <row r="1206" spans="1:11" x14ac:dyDescent="0.3">
      <c r="A1206" s="3">
        <v>4968</v>
      </c>
      <c r="B1206" s="3" t="s">
        <v>30</v>
      </c>
      <c r="C1206" s="4">
        <v>45169</v>
      </c>
      <c r="D1206" s="3" t="s">
        <v>45</v>
      </c>
      <c r="E1206" s="3" t="s">
        <v>29</v>
      </c>
      <c r="F1206" s="5">
        <v>5</v>
      </c>
      <c r="G1206" s="6">
        <v>4.9800000000000004</v>
      </c>
      <c r="H1206" s="6">
        <v>24.9</v>
      </c>
      <c r="I1206" s="6">
        <v>3.73</v>
      </c>
      <c r="J1206" s="6">
        <v>21.17</v>
      </c>
      <c r="K1206" s="5">
        <v>356</v>
      </c>
    </row>
    <row r="1207" spans="1:11" x14ac:dyDescent="0.3">
      <c r="A1207" s="3">
        <v>2800</v>
      </c>
      <c r="B1207" s="3" t="s">
        <v>19</v>
      </c>
      <c r="C1207" s="4">
        <v>45293</v>
      </c>
      <c r="D1207" s="3" t="s">
        <v>17</v>
      </c>
      <c r="E1207" s="3" t="s">
        <v>44</v>
      </c>
      <c r="F1207" s="5">
        <v>2</v>
      </c>
      <c r="G1207" s="6">
        <v>22.31</v>
      </c>
      <c r="H1207" s="6">
        <v>44.62</v>
      </c>
      <c r="I1207" s="6">
        <v>0</v>
      </c>
      <c r="J1207" s="6">
        <v>44.62</v>
      </c>
      <c r="K1207" s="5">
        <v>4</v>
      </c>
    </row>
    <row r="1208" spans="1:11" x14ac:dyDescent="0.3">
      <c r="A1208" s="3">
        <v>1310</v>
      </c>
      <c r="B1208" s="3" t="s">
        <v>11</v>
      </c>
      <c r="C1208" s="4">
        <v>45487</v>
      </c>
      <c r="D1208" s="3" t="s">
        <v>27</v>
      </c>
      <c r="E1208" s="3" t="s">
        <v>41</v>
      </c>
      <c r="F1208" s="5">
        <v>4</v>
      </c>
      <c r="G1208" s="6">
        <v>28.55</v>
      </c>
      <c r="H1208" s="6">
        <v>114.2</v>
      </c>
      <c r="I1208" s="6">
        <v>1.38</v>
      </c>
      <c r="J1208" s="6">
        <v>112.82</v>
      </c>
      <c r="K1208" s="5">
        <v>218</v>
      </c>
    </row>
    <row r="1209" spans="1:11" x14ac:dyDescent="0.3">
      <c r="A1209" s="3">
        <v>6139</v>
      </c>
      <c r="B1209" s="3" t="s">
        <v>26</v>
      </c>
      <c r="C1209" s="4">
        <v>45470</v>
      </c>
      <c r="D1209" s="3" t="s">
        <v>34</v>
      </c>
      <c r="E1209" s="3" t="s">
        <v>40</v>
      </c>
      <c r="F1209" s="5">
        <v>1</v>
      </c>
      <c r="G1209" s="6">
        <v>29.42</v>
      </c>
      <c r="H1209" s="6">
        <v>29.42</v>
      </c>
      <c r="I1209" s="6">
        <v>2.74</v>
      </c>
      <c r="J1209" s="6">
        <v>26.68</v>
      </c>
      <c r="K1209" s="5">
        <v>332</v>
      </c>
    </row>
    <row r="1210" spans="1:11" x14ac:dyDescent="0.3">
      <c r="A1210" s="3">
        <v>3481</v>
      </c>
      <c r="B1210" s="3" t="s">
        <v>19</v>
      </c>
      <c r="C1210" s="4">
        <v>45465</v>
      </c>
      <c r="D1210" s="3" t="s">
        <v>27</v>
      </c>
      <c r="E1210" s="3" t="s">
        <v>32</v>
      </c>
      <c r="F1210" s="5">
        <v>2</v>
      </c>
      <c r="G1210" s="6">
        <v>1.98</v>
      </c>
      <c r="H1210" s="6">
        <v>3.96</v>
      </c>
      <c r="I1210" s="6">
        <v>0.4</v>
      </c>
      <c r="J1210" s="6">
        <v>3.56</v>
      </c>
      <c r="K1210" s="5">
        <v>123</v>
      </c>
    </row>
    <row r="1211" spans="1:11" x14ac:dyDescent="0.3">
      <c r="A1211" s="3">
        <v>4340</v>
      </c>
      <c r="B1211" s="3" t="s">
        <v>30</v>
      </c>
      <c r="C1211" s="4">
        <v>45463</v>
      </c>
      <c r="D1211" s="3" t="s">
        <v>28</v>
      </c>
      <c r="E1211" s="3" t="s">
        <v>29</v>
      </c>
      <c r="F1211" s="5">
        <v>4</v>
      </c>
      <c r="G1211" s="6">
        <v>23.49</v>
      </c>
      <c r="H1211" s="6">
        <v>93.96</v>
      </c>
      <c r="I1211" s="6">
        <v>9.4</v>
      </c>
      <c r="J1211" s="6">
        <v>84.56</v>
      </c>
      <c r="K1211" s="5">
        <v>407</v>
      </c>
    </row>
    <row r="1212" spans="1:11" x14ac:dyDescent="0.3">
      <c r="A1212" s="3">
        <v>9221</v>
      </c>
      <c r="B1212" s="3" t="s">
        <v>24</v>
      </c>
      <c r="C1212" s="4">
        <v>45746</v>
      </c>
      <c r="D1212" s="3" t="s">
        <v>35</v>
      </c>
      <c r="E1212" s="3" t="s">
        <v>33</v>
      </c>
      <c r="F1212" s="5">
        <v>3</v>
      </c>
      <c r="G1212" s="6">
        <v>1.33</v>
      </c>
      <c r="H1212" s="6">
        <v>3.99</v>
      </c>
      <c r="I1212" s="6">
        <v>2.96</v>
      </c>
      <c r="J1212" s="6">
        <v>1.03</v>
      </c>
      <c r="K1212" s="5">
        <v>59</v>
      </c>
    </row>
    <row r="1213" spans="1:11" x14ac:dyDescent="0.3">
      <c r="A1213" s="3">
        <v>8726</v>
      </c>
      <c r="B1213" s="3" t="s">
        <v>14</v>
      </c>
      <c r="C1213" s="4">
        <v>45822</v>
      </c>
      <c r="D1213" s="3" t="s">
        <v>17</v>
      </c>
      <c r="E1213" s="3" t="s">
        <v>39</v>
      </c>
      <c r="F1213" s="5">
        <v>5</v>
      </c>
      <c r="G1213" s="6">
        <v>17.61</v>
      </c>
      <c r="H1213" s="6">
        <v>88.05</v>
      </c>
      <c r="I1213" s="6">
        <v>13.21</v>
      </c>
      <c r="J1213" s="6">
        <v>74.84</v>
      </c>
      <c r="K1213" s="5">
        <v>293</v>
      </c>
    </row>
    <row r="1214" spans="1:11" x14ac:dyDescent="0.3">
      <c r="A1214" s="3">
        <v>2020</v>
      </c>
      <c r="B1214" s="3" t="s">
        <v>11</v>
      </c>
      <c r="C1214" s="4">
        <v>45693</v>
      </c>
      <c r="D1214" s="3" t="s">
        <v>28</v>
      </c>
      <c r="E1214" s="3" t="s">
        <v>29</v>
      </c>
      <c r="F1214" s="5">
        <v>4</v>
      </c>
      <c r="G1214" s="6">
        <v>15.03</v>
      </c>
      <c r="H1214" s="6">
        <v>60.12</v>
      </c>
      <c r="I1214" s="6">
        <v>9.02</v>
      </c>
      <c r="J1214" s="6">
        <v>51.1</v>
      </c>
      <c r="K1214" s="5">
        <v>330</v>
      </c>
    </row>
    <row r="1215" spans="1:11" x14ac:dyDescent="0.3">
      <c r="A1215" s="3">
        <v>3262</v>
      </c>
      <c r="B1215" s="3" t="s">
        <v>19</v>
      </c>
      <c r="C1215" s="4">
        <v>45547</v>
      </c>
      <c r="D1215" s="3" t="s">
        <v>15</v>
      </c>
      <c r="E1215" s="3" t="s">
        <v>21</v>
      </c>
      <c r="F1215" s="5">
        <v>1</v>
      </c>
      <c r="G1215" s="6">
        <v>21.69</v>
      </c>
      <c r="H1215" s="6">
        <v>21.69</v>
      </c>
      <c r="I1215" s="6">
        <v>2.17</v>
      </c>
      <c r="J1215" s="6">
        <v>19.52</v>
      </c>
      <c r="K1215" s="5">
        <v>441</v>
      </c>
    </row>
    <row r="1216" spans="1:11" x14ac:dyDescent="0.3">
      <c r="A1216" s="3">
        <v>4397</v>
      </c>
      <c r="B1216" s="3" t="s">
        <v>31</v>
      </c>
      <c r="C1216" s="4">
        <v>45580</v>
      </c>
      <c r="D1216" s="3" t="s">
        <v>20</v>
      </c>
      <c r="E1216" s="3" t="s">
        <v>18</v>
      </c>
      <c r="F1216" s="5">
        <v>5</v>
      </c>
      <c r="G1216" s="6">
        <v>23.71</v>
      </c>
      <c r="H1216" s="6">
        <v>118.55</v>
      </c>
      <c r="I1216" s="6">
        <v>3.08</v>
      </c>
      <c r="J1216" s="6">
        <v>115.47</v>
      </c>
      <c r="K1216" s="5">
        <v>271</v>
      </c>
    </row>
    <row r="1217" spans="1:11" x14ac:dyDescent="0.3">
      <c r="A1217" s="3">
        <v>6325</v>
      </c>
      <c r="B1217" s="3" t="s">
        <v>14</v>
      </c>
      <c r="C1217" s="4">
        <v>45659</v>
      </c>
      <c r="D1217" s="3" t="s">
        <v>27</v>
      </c>
      <c r="E1217" s="3" t="s">
        <v>48</v>
      </c>
      <c r="F1217" s="5">
        <v>2</v>
      </c>
      <c r="G1217" s="6">
        <v>28.99</v>
      </c>
      <c r="H1217" s="6">
        <v>57.98</v>
      </c>
      <c r="I1217" s="6">
        <v>11.6</v>
      </c>
      <c r="J1217" s="6">
        <v>46.38</v>
      </c>
      <c r="K1217" s="5">
        <v>459</v>
      </c>
    </row>
    <row r="1218" spans="1:11" x14ac:dyDescent="0.3">
      <c r="A1218" s="3">
        <v>8837</v>
      </c>
      <c r="B1218" s="3" t="s">
        <v>19</v>
      </c>
      <c r="C1218" s="4">
        <v>45553</v>
      </c>
      <c r="D1218" s="3" t="s">
        <v>12</v>
      </c>
      <c r="E1218" s="3" t="s">
        <v>18</v>
      </c>
      <c r="F1218" s="5">
        <v>4</v>
      </c>
      <c r="G1218" s="6">
        <v>24.2</v>
      </c>
      <c r="H1218" s="6">
        <v>96.8</v>
      </c>
      <c r="I1218" s="6">
        <v>19.36</v>
      </c>
      <c r="J1218" s="6">
        <v>77.44</v>
      </c>
      <c r="K1218" s="5">
        <v>62</v>
      </c>
    </row>
    <row r="1219" spans="1:11" x14ac:dyDescent="0.3">
      <c r="A1219" s="3">
        <v>7173</v>
      </c>
      <c r="B1219" s="3" t="s">
        <v>42</v>
      </c>
      <c r="C1219" s="4">
        <v>45388</v>
      </c>
      <c r="D1219" s="3" t="s">
        <v>27</v>
      </c>
      <c r="E1219" s="3" t="s">
        <v>29</v>
      </c>
      <c r="F1219" s="5">
        <v>1</v>
      </c>
      <c r="G1219" s="6">
        <v>17.3</v>
      </c>
      <c r="H1219" s="6">
        <v>17.3</v>
      </c>
      <c r="I1219" s="6">
        <v>4.92</v>
      </c>
      <c r="J1219" s="6">
        <v>12.38</v>
      </c>
      <c r="K1219" s="5">
        <v>435</v>
      </c>
    </row>
    <row r="1220" spans="1:11" x14ac:dyDescent="0.3">
      <c r="A1220" s="3">
        <v>3837</v>
      </c>
      <c r="B1220" s="3" t="s">
        <v>14</v>
      </c>
      <c r="C1220" s="4">
        <v>45502</v>
      </c>
      <c r="D1220" s="3" t="s">
        <v>35</v>
      </c>
      <c r="E1220" s="3" t="s">
        <v>23</v>
      </c>
      <c r="F1220" s="5">
        <v>5</v>
      </c>
      <c r="G1220" s="6">
        <v>5.97</v>
      </c>
      <c r="H1220" s="6">
        <v>29.85</v>
      </c>
      <c r="I1220" s="6">
        <v>5.97</v>
      </c>
      <c r="J1220" s="6">
        <v>23.88</v>
      </c>
      <c r="K1220" s="5">
        <v>500</v>
      </c>
    </row>
    <row r="1221" spans="1:11" x14ac:dyDescent="0.3">
      <c r="A1221" s="3">
        <v>9734</v>
      </c>
      <c r="B1221" s="3" t="s">
        <v>30</v>
      </c>
      <c r="C1221" s="4">
        <v>45410</v>
      </c>
      <c r="D1221" s="3" t="s">
        <v>12</v>
      </c>
      <c r="E1221" s="3" t="s">
        <v>46</v>
      </c>
      <c r="F1221" s="5">
        <v>3</v>
      </c>
      <c r="G1221" s="6">
        <v>20.11</v>
      </c>
      <c r="H1221" s="6">
        <v>60.33</v>
      </c>
      <c r="I1221" s="6">
        <v>2.96</v>
      </c>
      <c r="J1221" s="6">
        <v>57.37</v>
      </c>
      <c r="K1221" s="5">
        <v>227</v>
      </c>
    </row>
    <row r="1222" spans="1:11" x14ac:dyDescent="0.3">
      <c r="A1222" s="3">
        <v>9950</v>
      </c>
      <c r="B1222" s="3" t="s">
        <v>36</v>
      </c>
      <c r="C1222" s="4">
        <v>45420</v>
      </c>
      <c r="D1222" s="3" t="s">
        <v>38</v>
      </c>
      <c r="E1222" s="3" t="s">
        <v>23</v>
      </c>
      <c r="F1222" s="5">
        <v>5</v>
      </c>
      <c r="G1222" s="6">
        <v>16.600000000000001</v>
      </c>
      <c r="H1222" s="6">
        <v>83</v>
      </c>
      <c r="I1222" s="6">
        <v>0</v>
      </c>
      <c r="J1222" s="6">
        <v>83</v>
      </c>
      <c r="K1222" s="5">
        <v>107</v>
      </c>
    </row>
    <row r="1223" spans="1:11" x14ac:dyDescent="0.3">
      <c r="A1223" s="3">
        <v>5331</v>
      </c>
      <c r="B1223" s="3" t="s">
        <v>31</v>
      </c>
      <c r="C1223" s="4">
        <v>45618</v>
      </c>
      <c r="D1223" s="3" t="s">
        <v>17</v>
      </c>
      <c r="E1223" s="3" t="s">
        <v>40</v>
      </c>
      <c r="F1223" s="5">
        <v>2</v>
      </c>
      <c r="G1223" s="6">
        <v>5.0999999999999996</v>
      </c>
      <c r="H1223" s="6">
        <v>10.199999999999999</v>
      </c>
      <c r="I1223" s="6">
        <v>2.04</v>
      </c>
      <c r="J1223" s="6">
        <v>8.16</v>
      </c>
      <c r="K1223" s="5">
        <v>438</v>
      </c>
    </row>
    <row r="1224" spans="1:11" x14ac:dyDescent="0.3">
      <c r="A1224" s="3">
        <v>8932</v>
      </c>
      <c r="B1224" s="3" t="s">
        <v>14</v>
      </c>
      <c r="C1224" s="4">
        <v>45294</v>
      </c>
      <c r="D1224" s="3" t="s">
        <v>17</v>
      </c>
      <c r="E1224" s="3" t="s">
        <v>23</v>
      </c>
      <c r="F1224" s="5">
        <v>3</v>
      </c>
      <c r="G1224" s="6">
        <v>4.72</v>
      </c>
      <c r="H1224" s="6">
        <v>14.16</v>
      </c>
      <c r="I1224" s="6">
        <v>3.2</v>
      </c>
      <c r="J1224" s="6">
        <v>10.96</v>
      </c>
      <c r="K1224" s="5">
        <v>318</v>
      </c>
    </row>
    <row r="1225" spans="1:11" x14ac:dyDescent="0.3">
      <c r="A1225" s="3">
        <v>5038</v>
      </c>
      <c r="B1225" s="3" t="s">
        <v>30</v>
      </c>
      <c r="C1225" s="4">
        <v>45361</v>
      </c>
      <c r="D1225" s="3" t="s">
        <v>20</v>
      </c>
      <c r="E1225" s="3" t="s">
        <v>29</v>
      </c>
      <c r="F1225" s="5">
        <v>4</v>
      </c>
      <c r="G1225" s="6">
        <v>14.22</v>
      </c>
      <c r="H1225" s="6">
        <v>56.88</v>
      </c>
      <c r="I1225" s="6">
        <v>0</v>
      </c>
      <c r="J1225" s="6">
        <v>56.88</v>
      </c>
      <c r="K1225" s="5">
        <v>483</v>
      </c>
    </row>
    <row r="1226" spans="1:11" x14ac:dyDescent="0.3">
      <c r="A1226" s="3">
        <v>5890</v>
      </c>
      <c r="B1226" s="3"/>
      <c r="C1226" s="4">
        <v>45319</v>
      </c>
      <c r="D1226" s="3" t="s">
        <v>34</v>
      </c>
      <c r="E1226" s="3" t="s">
        <v>18</v>
      </c>
      <c r="F1226" s="5">
        <v>2</v>
      </c>
      <c r="G1226" s="6">
        <v>3.04</v>
      </c>
      <c r="H1226" s="6">
        <v>6.08</v>
      </c>
      <c r="I1226" s="6">
        <v>0</v>
      </c>
      <c r="J1226" s="6">
        <v>6.08</v>
      </c>
      <c r="K1226" s="5">
        <v>375</v>
      </c>
    </row>
    <row r="1227" spans="1:11" x14ac:dyDescent="0.3">
      <c r="A1227" s="3">
        <v>5876</v>
      </c>
      <c r="B1227" s="3" t="s">
        <v>42</v>
      </c>
      <c r="C1227" s="4">
        <v>45743</v>
      </c>
      <c r="D1227" s="3" t="s">
        <v>22</v>
      </c>
      <c r="E1227" s="3" t="s">
        <v>46</v>
      </c>
      <c r="F1227" s="5">
        <v>5</v>
      </c>
      <c r="G1227" s="6">
        <v>5.75</v>
      </c>
      <c r="H1227" s="6">
        <v>28.75</v>
      </c>
      <c r="I1227" s="6">
        <v>4.3099999999999996</v>
      </c>
      <c r="J1227" s="6">
        <v>24.44</v>
      </c>
      <c r="K1227" s="5">
        <v>420</v>
      </c>
    </row>
    <row r="1228" spans="1:11" x14ac:dyDescent="0.3">
      <c r="A1228" s="3">
        <v>5735</v>
      </c>
      <c r="B1228" s="3" t="s">
        <v>24</v>
      </c>
      <c r="C1228" s="4">
        <v>45692</v>
      </c>
      <c r="D1228" s="3" t="s">
        <v>20</v>
      </c>
      <c r="E1228" s="3" t="s">
        <v>39</v>
      </c>
      <c r="F1228" s="5">
        <v>5</v>
      </c>
      <c r="G1228" s="6">
        <v>8.17</v>
      </c>
      <c r="H1228" s="6">
        <v>40.85</v>
      </c>
      <c r="I1228" s="6">
        <v>1.44</v>
      </c>
      <c r="J1228" s="6">
        <v>39.409999999999997</v>
      </c>
      <c r="K1228" s="5">
        <v>138</v>
      </c>
    </row>
    <row r="1229" spans="1:11" x14ac:dyDescent="0.3">
      <c r="A1229" s="3">
        <v>4396</v>
      </c>
      <c r="B1229" s="3" t="s">
        <v>14</v>
      </c>
      <c r="C1229" s="4">
        <v>45681</v>
      </c>
      <c r="D1229" s="3" t="s">
        <v>20</v>
      </c>
      <c r="E1229" s="3" t="s">
        <v>43</v>
      </c>
      <c r="F1229" s="5">
        <v>3</v>
      </c>
      <c r="G1229" s="6">
        <v>19.559999999999999</v>
      </c>
      <c r="H1229" s="6">
        <v>58.68</v>
      </c>
      <c r="I1229" s="6">
        <v>8.8000000000000007</v>
      </c>
      <c r="J1229" s="6">
        <v>49.88</v>
      </c>
      <c r="K1229" s="5">
        <v>185</v>
      </c>
    </row>
    <row r="1230" spans="1:11" x14ac:dyDescent="0.3">
      <c r="A1230" s="3">
        <v>9011</v>
      </c>
      <c r="B1230" s="3" t="s">
        <v>19</v>
      </c>
      <c r="C1230" s="4">
        <v>45391</v>
      </c>
      <c r="D1230" s="3" t="s">
        <v>17</v>
      </c>
      <c r="E1230" s="3" t="s">
        <v>13</v>
      </c>
      <c r="F1230" s="5">
        <v>1</v>
      </c>
      <c r="G1230" s="6">
        <v>3.83</v>
      </c>
      <c r="H1230" s="6">
        <v>3.83</v>
      </c>
      <c r="I1230" s="6">
        <v>0.38</v>
      </c>
      <c r="J1230" s="6">
        <v>3.45</v>
      </c>
      <c r="K1230" s="5">
        <v>496</v>
      </c>
    </row>
    <row r="1231" spans="1:11" x14ac:dyDescent="0.3">
      <c r="A1231" s="3">
        <v>8861</v>
      </c>
      <c r="B1231" s="3" t="s">
        <v>11</v>
      </c>
      <c r="C1231" s="4">
        <v>45415</v>
      </c>
      <c r="D1231" s="3" t="s">
        <v>15</v>
      </c>
      <c r="E1231" s="3" t="s">
        <v>29</v>
      </c>
      <c r="F1231" s="5">
        <v>5</v>
      </c>
      <c r="G1231" s="6">
        <v>22.11</v>
      </c>
      <c r="H1231" s="6">
        <v>110.55</v>
      </c>
      <c r="I1231" s="6">
        <v>3.12</v>
      </c>
      <c r="J1231" s="6">
        <v>107.43</v>
      </c>
      <c r="K1231" s="5">
        <v>156</v>
      </c>
    </row>
    <row r="1232" spans="1:11" x14ac:dyDescent="0.3">
      <c r="A1232" s="3">
        <v>5480</v>
      </c>
      <c r="B1232" s="3" t="s">
        <v>30</v>
      </c>
      <c r="C1232" s="4">
        <v>45368</v>
      </c>
      <c r="D1232" s="3" t="s">
        <v>38</v>
      </c>
      <c r="E1232" s="3" t="s">
        <v>13</v>
      </c>
      <c r="F1232" s="5">
        <v>5</v>
      </c>
      <c r="G1232" s="6">
        <v>3.86</v>
      </c>
      <c r="H1232" s="6">
        <v>19.3</v>
      </c>
      <c r="I1232" s="6">
        <v>2.9</v>
      </c>
      <c r="J1232" s="6">
        <v>16.399999999999999</v>
      </c>
      <c r="K1232" s="5">
        <v>24</v>
      </c>
    </row>
    <row r="1233" spans="1:11" x14ac:dyDescent="0.3">
      <c r="A1233" s="3">
        <v>2996</v>
      </c>
      <c r="B1233" s="3" t="s">
        <v>24</v>
      </c>
      <c r="C1233" s="4">
        <v>45590</v>
      </c>
      <c r="D1233" s="3" t="s">
        <v>34</v>
      </c>
      <c r="E1233" s="3" t="s">
        <v>23</v>
      </c>
      <c r="F1233" s="5">
        <v>5</v>
      </c>
      <c r="G1233" s="6">
        <v>16.989999999999998</v>
      </c>
      <c r="H1233" s="6">
        <v>84.95</v>
      </c>
      <c r="I1233" s="6">
        <v>8.5</v>
      </c>
      <c r="J1233" s="6">
        <v>76.45</v>
      </c>
      <c r="K1233" s="5">
        <v>451</v>
      </c>
    </row>
    <row r="1234" spans="1:11" x14ac:dyDescent="0.3">
      <c r="A1234" s="3">
        <v>9899</v>
      </c>
      <c r="B1234" s="3" t="s">
        <v>19</v>
      </c>
      <c r="C1234" s="4">
        <v>45439</v>
      </c>
      <c r="D1234" s="3" t="s">
        <v>35</v>
      </c>
      <c r="E1234" s="3" t="s">
        <v>39</v>
      </c>
      <c r="F1234" s="5">
        <v>5</v>
      </c>
      <c r="G1234" s="6">
        <v>21.67</v>
      </c>
      <c r="H1234" s="6">
        <v>108.35</v>
      </c>
      <c r="I1234" s="6">
        <v>21.67</v>
      </c>
      <c r="J1234" s="6">
        <v>86.68</v>
      </c>
      <c r="K1234" s="5">
        <v>336</v>
      </c>
    </row>
    <row r="1235" spans="1:11" x14ac:dyDescent="0.3">
      <c r="A1235" s="3">
        <v>7464</v>
      </c>
      <c r="B1235" s="3" t="s">
        <v>24</v>
      </c>
      <c r="C1235" s="4">
        <v>45780</v>
      </c>
      <c r="D1235" s="3" t="s">
        <v>28</v>
      </c>
      <c r="E1235" s="3" t="s">
        <v>13</v>
      </c>
      <c r="F1235" s="5">
        <v>1</v>
      </c>
      <c r="G1235" s="6">
        <v>27.62</v>
      </c>
      <c r="H1235" s="6">
        <v>27.62</v>
      </c>
      <c r="I1235" s="6">
        <v>0</v>
      </c>
      <c r="J1235" s="6">
        <v>27.62</v>
      </c>
      <c r="K1235" s="5">
        <v>327</v>
      </c>
    </row>
    <row r="1236" spans="1:11" x14ac:dyDescent="0.3">
      <c r="A1236" s="3">
        <v>6654</v>
      </c>
      <c r="B1236" s="3" t="s">
        <v>42</v>
      </c>
      <c r="C1236" s="4">
        <v>45745</v>
      </c>
      <c r="D1236" s="3" t="s">
        <v>27</v>
      </c>
      <c r="E1236" s="3" t="s">
        <v>16</v>
      </c>
      <c r="F1236" s="5">
        <v>4</v>
      </c>
      <c r="G1236" s="6">
        <v>6.3</v>
      </c>
      <c r="H1236" s="6">
        <v>25.2</v>
      </c>
      <c r="I1236" s="6">
        <v>2.15</v>
      </c>
      <c r="J1236" s="6">
        <v>23.05</v>
      </c>
      <c r="K1236" s="5">
        <v>181</v>
      </c>
    </row>
    <row r="1237" spans="1:11" x14ac:dyDescent="0.3">
      <c r="A1237" s="3">
        <v>3399</v>
      </c>
      <c r="B1237" s="3" t="s">
        <v>24</v>
      </c>
      <c r="C1237" s="4">
        <v>45370</v>
      </c>
      <c r="D1237" s="3" t="s">
        <v>38</v>
      </c>
      <c r="E1237" s="3" t="s">
        <v>25</v>
      </c>
      <c r="F1237" s="5">
        <v>3</v>
      </c>
      <c r="G1237" s="6">
        <v>19.420000000000002</v>
      </c>
      <c r="H1237" s="6">
        <v>58.26</v>
      </c>
      <c r="I1237" s="6">
        <v>5.83</v>
      </c>
      <c r="J1237" s="6">
        <v>52.43</v>
      </c>
      <c r="K1237" s="5">
        <v>44</v>
      </c>
    </row>
    <row r="1238" spans="1:11" x14ac:dyDescent="0.3">
      <c r="A1238" s="3">
        <v>1689</v>
      </c>
      <c r="B1238" s="3" t="s">
        <v>36</v>
      </c>
      <c r="C1238" s="4">
        <v>45368</v>
      </c>
      <c r="D1238" s="3" t="s">
        <v>15</v>
      </c>
      <c r="E1238" s="3" t="s">
        <v>43</v>
      </c>
      <c r="F1238" s="5">
        <v>1</v>
      </c>
      <c r="G1238" s="6">
        <v>22.16</v>
      </c>
      <c r="H1238" s="6">
        <v>22.16</v>
      </c>
      <c r="I1238" s="6">
        <v>4.43</v>
      </c>
      <c r="J1238" s="6">
        <v>17.73</v>
      </c>
      <c r="K1238" s="5">
        <v>483</v>
      </c>
    </row>
    <row r="1239" spans="1:11" x14ac:dyDescent="0.3">
      <c r="A1239" s="3">
        <v>2294</v>
      </c>
      <c r="B1239" s="3" t="s">
        <v>31</v>
      </c>
      <c r="C1239" s="4">
        <v>45414</v>
      </c>
      <c r="D1239" s="3" t="s">
        <v>15</v>
      </c>
      <c r="E1239" s="3" t="s">
        <v>37</v>
      </c>
      <c r="F1239" s="5">
        <v>5</v>
      </c>
      <c r="G1239" s="6">
        <v>27.95</v>
      </c>
      <c r="H1239" s="6">
        <v>139.75</v>
      </c>
      <c r="I1239" s="6">
        <v>13.98</v>
      </c>
      <c r="J1239" s="6">
        <v>125.77</v>
      </c>
      <c r="K1239" s="5">
        <v>413</v>
      </c>
    </row>
    <row r="1240" spans="1:11" x14ac:dyDescent="0.3">
      <c r="A1240" s="3">
        <v>8247</v>
      </c>
      <c r="B1240" s="3" t="s">
        <v>14</v>
      </c>
      <c r="C1240" s="4">
        <v>45654</v>
      </c>
      <c r="D1240" s="3" t="s">
        <v>34</v>
      </c>
      <c r="E1240" s="3" t="s">
        <v>47</v>
      </c>
      <c r="F1240" s="5">
        <v>4</v>
      </c>
      <c r="G1240" s="6">
        <v>15.93</v>
      </c>
      <c r="H1240" s="6">
        <v>63.72</v>
      </c>
      <c r="I1240" s="6">
        <v>6.37</v>
      </c>
      <c r="J1240" s="6">
        <v>57.35</v>
      </c>
      <c r="K1240" s="5">
        <v>346</v>
      </c>
    </row>
    <row r="1241" spans="1:11" x14ac:dyDescent="0.3">
      <c r="A1241" s="3">
        <v>5201</v>
      </c>
      <c r="B1241" s="3" t="s">
        <v>31</v>
      </c>
      <c r="C1241" s="4">
        <v>45725</v>
      </c>
      <c r="D1241" s="3" t="s">
        <v>28</v>
      </c>
      <c r="E1241" s="3" t="s">
        <v>44</v>
      </c>
      <c r="F1241" s="5">
        <v>1</v>
      </c>
      <c r="G1241" s="6">
        <v>21.7</v>
      </c>
      <c r="H1241" s="6">
        <v>21.7</v>
      </c>
      <c r="I1241" s="6">
        <v>4.34</v>
      </c>
      <c r="J1241" s="6">
        <v>17.36</v>
      </c>
      <c r="K1241" s="5">
        <v>359</v>
      </c>
    </row>
    <row r="1242" spans="1:11" x14ac:dyDescent="0.3">
      <c r="A1242" s="3">
        <v>8849</v>
      </c>
      <c r="B1242" s="3" t="s">
        <v>14</v>
      </c>
      <c r="C1242" s="4">
        <v>45311</v>
      </c>
      <c r="D1242" s="3" t="s">
        <v>27</v>
      </c>
      <c r="E1242" s="3" t="s">
        <v>40</v>
      </c>
      <c r="F1242" s="5">
        <v>5</v>
      </c>
      <c r="G1242" s="6">
        <v>14</v>
      </c>
      <c r="H1242" s="6">
        <v>70</v>
      </c>
      <c r="I1242" s="6">
        <v>14</v>
      </c>
      <c r="J1242" s="6">
        <v>56</v>
      </c>
      <c r="K1242" s="5">
        <v>86</v>
      </c>
    </row>
    <row r="1243" spans="1:11" x14ac:dyDescent="0.3">
      <c r="A1243" s="3">
        <v>4310</v>
      </c>
      <c r="B1243" s="3" t="s">
        <v>11</v>
      </c>
      <c r="C1243" s="4">
        <v>45788</v>
      </c>
      <c r="D1243" s="3" t="s">
        <v>22</v>
      </c>
      <c r="E1243" s="3" t="s">
        <v>41</v>
      </c>
      <c r="F1243" s="5">
        <v>5</v>
      </c>
      <c r="G1243" s="6">
        <v>11.24</v>
      </c>
      <c r="H1243" s="6">
        <v>56.2</v>
      </c>
      <c r="I1243" s="6">
        <v>5.62</v>
      </c>
      <c r="J1243" s="6">
        <v>50.58</v>
      </c>
      <c r="K1243" s="5">
        <v>26</v>
      </c>
    </row>
    <row r="1244" spans="1:11" x14ac:dyDescent="0.3">
      <c r="A1244" s="3">
        <v>9824</v>
      </c>
      <c r="B1244" s="3" t="s">
        <v>24</v>
      </c>
      <c r="C1244" s="4">
        <v>45355</v>
      </c>
      <c r="D1244" s="3" t="s">
        <v>34</v>
      </c>
      <c r="E1244" s="3" t="s">
        <v>23</v>
      </c>
      <c r="F1244" s="5">
        <v>1</v>
      </c>
      <c r="G1244" s="6">
        <v>10.79</v>
      </c>
      <c r="H1244" s="6">
        <v>10.79</v>
      </c>
      <c r="I1244" s="6">
        <v>4.4000000000000004</v>
      </c>
      <c r="J1244" s="6">
        <v>6.39</v>
      </c>
      <c r="K1244" s="5">
        <v>347</v>
      </c>
    </row>
    <row r="1245" spans="1:11" x14ac:dyDescent="0.3">
      <c r="A1245" s="3">
        <v>5450</v>
      </c>
      <c r="B1245" s="3" t="s">
        <v>11</v>
      </c>
      <c r="C1245" s="4">
        <v>45251</v>
      </c>
      <c r="D1245" s="3" t="s">
        <v>35</v>
      </c>
      <c r="E1245" s="3" t="s">
        <v>37</v>
      </c>
      <c r="F1245" s="5">
        <v>4</v>
      </c>
      <c r="G1245" s="6">
        <v>9.5</v>
      </c>
      <c r="H1245" s="6">
        <v>38</v>
      </c>
      <c r="I1245" s="6">
        <v>0</v>
      </c>
      <c r="J1245" s="6">
        <v>38</v>
      </c>
      <c r="K1245" s="5">
        <v>109</v>
      </c>
    </row>
    <row r="1246" spans="1:11" x14ac:dyDescent="0.3">
      <c r="A1246" s="3">
        <v>2789</v>
      </c>
      <c r="B1246" s="3" t="s">
        <v>24</v>
      </c>
      <c r="C1246" s="4">
        <v>45623</v>
      </c>
      <c r="D1246" s="3" t="s">
        <v>17</v>
      </c>
      <c r="E1246" s="3" t="s">
        <v>37</v>
      </c>
      <c r="F1246" s="5">
        <v>5</v>
      </c>
      <c r="G1246" s="6">
        <v>24.94</v>
      </c>
      <c r="H1246" s="6">
        <v>124.7</v>
      </c>
      <c r="I1246" s="6">
        <v>4.3899999999999997</v>
      </c>
      <c r="J1246" s="6">
        <v>120.31</v>
      </c>
      <c r="K1246" s="5">
        <v>18</v>
      </c>
    </row>
    <row r="1247" spans="1:11" x14ac:dyDescent="0.3">
      <c r="A1247" s="3">
        <v>4920</v>
      </c>
      <c r="B1247" s="3" t="s">
        <v>31</v>
      </c>
      <c r="C1247" s="4">
        <v>45333</v>
      </c>
      <c r="D1247" s="3" t="s">
        <v>22</v>
      </c>
      <c r="E1247" s="3" t="s">
        <v>39</v>
      </c>
      <c r="F1247" s="5">
        <v>5</v>
      </c>
      <c r="G1247" s="6">
        <v>14.34</v>
      </c>
      <c r="H1247" s="6">
        <v>71.7</v>
      </c>
      <c r="I1247" s="6">
        <v>1.02</v>
      </c>
      <c r="J1247" s="6">
        <v>70.680000000000007</v>
      </c>
      <c r="K1247" s="5">
        <v>152</v>
      </c>
    </row>
    <row r="1248" spans="1:11" x14ac:dyDescent="0.3">
      <c r="A1248" s="3">
        <v>1831</v>
      </c>
      <c r="B1248" s="3" t="s">
        <v>19</v>
      </c>
      <c r="C1248" s="4">
        <v>45665</v>
      </c>
      <c r="D1248" s="3" t="s">
        <v>20</v>
      </c>
      <c r="E1248" s="3" t="s">
        <v>23</v>
      </c>
      <c r="F1248" s="5">
        <v>1</v>
      </c>
      <c r="G1248" s="6">
        <v>3.93</v>
      </c>
      <c r="H1248" s="6">
        <v>3.93</v>
      </c>
      <c r="I1248" s="6">
        <v>3.12</v>
      </c>
      <c r="J1248" s="6">
        <v>0.81</v>
      </c>
      <c r="K1248" s="5">
        <v>251</v>
      </c>
    </row>
    <row r="1249" spans="1:11" x14ac:dyDescent="0.3">
      <c r="A1249" s="3">
        <v>9700</v>
      </c>
      <c r="B1249" s="3" t="s">
        <v>19</v>
      </c>
      <c r="C1249" s="4">
        <v>45320</v>
      </c>
      <c r="D1249" s="3" t="s">
        <v>20</v>
      </c>
      <c r="E1249" s="3" t="s">
        <v>48</v>
      </c>
      <c r="F1249" s="5">
        <v>4</v>
      </c>
      <c r="G1249" s="6">
        <v>1.19</v>
      </c>
      <c r="H1249" s="6">
        <v>4.76</v>
      </c>
      <c r="I1249" s="6">
        <v>0.95</v>
      </c>
      <c r="J1249" s="6">
        <v>3.81</v>
      </c>
      <c r="K1249" s="5">
        <v>393</v>
      </c>
    </row>
    <row r="1250" spans="1:11" x14ac:dyDescent="0.3">
      <c r="A1250" s="3">
        <v>4814</v>
      </c>
      <c r="B1250" s="3" t="s">
        <v>26</v>
      </c>
      <c r="C1250" s="4">
        <v>45185</v>
      </c>
      <c r="D1250" s="3" t="s">
        <v>20</v>
      </c>
      <c r="E1250" s="3" t="s">
        <v>23</v>
      </c>
      <c r="F1250" s="5">
        <v>3</v>
      </c>
      <c r="G1250" s="6">
        <v>11.56</v>
      </c>
      <c r="H1250" s="6">
        <v>34.68</v>
      </c>
      <c r="I1250" s="6">
        <v>4.25</v>
      </c>
      <c r="J1250" s="6">
        <v>30.43</v>
      </c>
      <c r="K1250" s="5">
        <v>456</v>
      </c>
    </row>
    <row r="1251" spans="1:11" x14ac:dyDescent="0.3">
      <c r="A1251" s="3">
        <v>2641</v>
      </c>
      <c r="B1251" s="3" t="s">
        <v>11</v>
      </c>
      <c r="C1251" s="4">
        <v>45466</v>
      </c>
      <c r="D1251" s="3" t="s">
        <v>45</v>
      </c>
      <c r="E1251" s="3" t="s">
        <v>33</v>
      </c>
      <c r="F1251" s="5">
        <v>2</v>
      </c>
      <c r="G1251" s="6">
        <v>5.05</v>
      </c>
      <c r="H1251" s="6">
        <v>10.1</v>
      </c>
      <c r="I1251" s="6">
        <v>2.44</v>
      </c>
      <c r="J1251" s="6">
        <v>7.66</v>
      </c>
      <c r="K1251" s="5">
        <v>382</v>
      </c>
    </row>
    <row r="1252" spans="1:11" x14ac:dyDescent="0.3">
      <c r="A1252" s="3">
        <v>6411</v>
      </c>
      <c r="B1252" s="3" t="s">
        <v>42</v>
      </c>
      <c r="C1252" s="4">
        <v>45702</v>
      </c>
      <c r="D1252" s="3" t="s">
        <v>15</v>
      </c>
      <c r="E1252" s="3" t="s">
        <v>44</v>
      </c>
      <c r="F1252" s="5">
        <v>3</v>
      </c>
      <c r="G1252" s="6">
        <v>2.16</v>
      </c>
      <c r="H1252" s="6">
        <v>6.48</v>
      </c>
      <c r="I1252" s="6">
        <v>0</v>
      </c>
      <c r="J1252" s="6">
        <v>6.48</v>
      </c>
      <c r="K1252" s="5">
        <v>202</v>
      </c>
    </row>
    <row r="1253" spans="1:11" x14ac:dyDescent="0.3">
      <c r="A1253" s="3">
        <v>8739</v>
      </c>
      <c r="B1253" s="3" t="s">
        <v>36</v>
      </c>
      <c r="C1253" s="4">
        <v>45223</v>
      </c>
      <c r="D1253" s="3" t="s">
        <v>12</v>
      </c>
      <c r="E1253" s="3" t="s">
        <v>29</v>
      </c>
      <c r="F1253" s="5">
        <v>2</v>
      </c>
      <c r="G1253" s="6">
        <v>28.49</v>
      </c>
      <c r="H1253" s="6">
        <v>56.98</v>
      </c>
      <c r="I1253" s="6">
        <v>2.68</v>
      </c>
      <c r="J1253" s="6">
        <v>54.3</v>
      </c>
      <c r="K1253" s="5">
        <v>491</v>
      </c>
    </row>
    <row r="1254" spans="1:11" x14ac:dyDescent="0.3">
      <c r="A1254" s="3">
        <v>3252</v>
      </c>
      <c r="B1254" s="3" t="s">
        <v>14</v>
      </c>
      <c r="C1254" s="4">
        <v>45149</v>
      </c>
      <c r="D1254" s="3" t="s">
        <v>45</v>
      </c>
      <c r="E1254" s="3" t="s">
        <v>41</v>
      </c>
      <c r="F1254" s="5">
        <v>3</v>
      </c>
      <c r="G1254" s="6">
        <v>22.77</v>
      </c>
      <c r="H1254" s="6">
        <v>68.31</v>
      </c>
      <c r="I1254" s="6">
        <v>3.9</v>
      </c>
      <c r="J1254" s="6">
        <v>64.41</v>
      </c>
      <c r="K1254" s="5">
        <v>399</v>
      </c>
    </row>
    <row r="1255" spans="1:11" x14ac:dyDescent="0.3">
      <c r="A1255" s="3">
        <v>3587</v>
      </c>
      <c r="B1255" s="3" t="s">
        <v>24</v>
      </c>
      <c r="C1255" s="4">
        <v>45461</v>
      </c>
      <c r="D1255" s="3" t="s">
        <v>34</v>
      </c>
      <c r="E1255" s="3" t="s">
        <v>48</v>
      </c>
      <c r="F1255" s="5">
        <v>1</v>
      </c>
      <c r="G1255" s="6">
        <v>23.98</v>
      </c>
      <c r="H1255" s="6">
        <v>23.98</v>
      </c>
      <c r="I1255" s="6">
        <v>3.6</v>
      </c>
      <c r="J1255" s="6">
        <v>20.38</v>
      </c>
      <c r="K1255" s="5">
        <v>64</v>
      </c>
    </row>
    <row r="1256" spans="1:11" x14ac:dyDescent="0.3">
      <c r="A1256" s="3">
        <v>8793</v>
      </c>
      <c r="B1256" s="3" t="s">
        <v>14</v>
      </c>
      <c r="C1256" s="4">
        <v>45515</v>
      </c>
      <c r="D1256" s="3" t="s">
        <v>12</v>
      </c>
      <c r="E1256" s="3" t="s">
        <v>25</v>
      </c>
      <c r="F1256" s="5">
        <v>1</v>
      </c>
      <c r="G1256" s="6">
        <v>20.66</v>
      </c>
      <c r="H1256" s="6">
        <v>20.66</v>
      </c>
      <c r="I1256" s="6">
        <v>3.95</v>
      </c>
      <c r="J1256" s="6">
        <v>16.71</v>
      </c>
      <c r="K1256" s="5">
        <v>175</v>
      </c>
    </row>
    <row r="1257" spans="1:11" x14ac:dyDescent="0.3">
      <c r="A1257" s="3">
        <v>4267</v>
      </c>
      <c r="B1257" s="3"/>
      <c r="C1257" s="4">
        <v>45732</v>
      </c>
      <c r="D1257" s="3" t="s">
        <v>45</v>
      </c>
      <c r="E1257" s="3" t="s">
        <v>37</v>
      </c>
      <c r="F1257" s="5">
        <v>3</v>
      </c>
      <c r="G1257" s="6">
        <v>15.08</v>
      </c>
      <c r="H1257" s="6">
        <v>45.24</v>
      </c>
      <c r="I1257" s="6">
        <v>9.0500000000000007</v>
      </c>
      <c r="J1257" s="6">
        <v>36.19</v>
      </c>
      <c r="K1257" s="5">
        <v>389</v>
      </c>
    </row>
    <row r="1258" spans="1:11" x14ac:dyDescent="0.3">
      <c r="A1258" s="3">
        <v>5706</v>
      </c>
      <c r="B1258" s="3" t="s">
        <v>19</v>
      </c>
      <c r="C1258" s="4">
        <v>45394</v>
      </c>
      <c r="D1258" s="3" t="s">
        <v>38</v>
      </c>
      <c r="E1258" s="3" t="s">
        <v>29</v>
      </c>
      <c r="F1258" s="5">
        <v>2</v>
      </c>
      <c r="G1258" s="6">
        <v>9.14</v>
      </c>
      <c r="H1258" s="6">
        <v>18.28</v>
      </c>
      <c r="I1258" s="6">
        <v>0</v>
      </c>
      <c r="J1258" s="6">
        <v>18.28</v>
      </c>
      <c r="K1258" s="5">
        <v>58</v>
      </c>
    </row>
    <row r="1259" spans="1:11" x14ac:dyDescent="0.3">
      <c r="A1259" s="3">
        <v>5676</v>
      </c>
      <c r="B1259" s="3" t="s">
        <v>42</v>
      </c>
      <c r="C1259" s="4">
        <v>45646</v>
      </c>
      <c r="D1259" s="3" t="s">
        <v>27</v>
      </c>
      <c r="E1259" s="3" t="s">
        <v>16</v>
      </c>
      <c r="F1259" s="5">
        <v>2</v>
      </c>
      <c r="G1259" s="6">
        <v>14.73</v>
      </c>
      <c r="H1259" s="6">
        <v>29.46</v>
      </c>
      <c r="I1259" s="6">
        <v>0</v>
      </c>
      <c r="J1259" s="6">
        <v>29.46</v>
      </c>
      <c r="K1259" s="5">
        <v>400</v>
      </c>
    </row>
    <row r="1260" spans="1:11" x14ac:dyDescent="0.3">
      <c r="A1260" s="3">
        <v>1969</v>
      </c>
      <c r="B1260" s="3" t="s">
        <v>14</v>
      </c>
      <c r="C1260" s="4">
        <v>45850</v>
      </c>
      <c r="D1260" s="3" t="s">
        <v>28</v>
      </c>
      <c r="E1260" s="3" t="s">
        <v>29</v>
      </c>
      <c r="F1260" s="5">
        <v>2</v>
      </c>
      <c r="G1260" s="6">
        <v>29.77</v>
      </c>
      <c r="H1260" s="6">
        <v>59.54</v>
      </c>
      <c r="I1260" s="6">
        <v>11.91</v>
      </c>
      <c r="J1260" s="6">
        <v>47.63</v>
      </c>
      <c r="K1260" s="5">
        <v>302</v>
      </c>
    </row>
    <row r="1261" spans="1:11" x14ac:dyDescent="0.3">
      <c r="A1261" s="3">
        <v>2465</v>
      </c>
      <c r="B1261" s="3" t="s">
        <v>11</v>
      </c>
      <c r="C1261" s="4">
        <v>45651</v>
      </c>
      <c r="D1261" s="3" t="s">
        <v>34</v>
      </c>
      <c r="E1261" s="3" t="s">
        <v>32</v>
      </c>
      <c r="F1261" s="5">
        <v>1</v>
      </c>
      <c r="G1261" s="6">
        <v>8.93</v>
      </c>
      <c r="H1261" s="6">
        <v>8.93</v>
      </c>
      <c r="I1261" s="6">
        <v>0.89</v>
      </c>
      <c r="J1261" s="6">
        <v>8.0399999999999991</v>
      </c>
      <c r="K1261" s="5">
        <v>98</v>
      </c>
    </row>
    <row r="1262" spans="1:11" x14ac:dyDescent="0.3">
      <c r="A1262" s="3">
        <v>4804</v>
      </c>
      <c r="B1262" s="3" t="s">
        <v>31</v>
      </c>
      <c r="C1262" s="4">
        <v>45560</v>
      </c>
      <c r="D1262" s="3" t="s">
        <v>28</v>
      </c>
      <c r="E1262" s="3" t="s">
        <v>44</v>
      </c>
      <c r="F1262" s="5">
        <v>1</v>
      </c>
      <c r="G1262" s="6">
        <v>26.06</v>
      </c>
      <c r="H1262" s="6">
        <v>26.06</v>
      </c>
      <c r="I1262" s="6">
        <v>2.23</v>
      </c>
      <c r="J1262" s="6">
        <v>23.83</v>
      </c>
      <c r="K1262" s="5">
        <v>194</v>
      </c>
    </row>
    <row r="1263" spans="1:11" x14ac:dyDescent="0.3">
      <c r="A1263" s="3">
        <v>1611</v>
      </c>
      <c r="B1263" s="3" t="s">
        <v>42</v>
      </c>
      <c r="C1263" s="4">
        <v>45854</v>
      </c>
      <c r="D1263" s="3" t="s">
        <v>17</v>
      </c>
      <c r="E1263" s="3" t="s">
        <v>21</v>
      </c>
      <c r="F1263" s="5">
        <v>4</v>
      </c>
      <c r="G1263" s="6">
        <v>14.89</v>
      </c>
      <c r="H1263" s="6">
        <v>59.56</v>
      </c>
      <c r="I1263" s="6">
        <v>0</v>
      </c>
      <c r="J1263" s="6">
        <v>59.56</v>
      </c>
      <c r="K1263" s="5">
        <v>261</v>
      </c>
    </row>
    <row r="1264" spans="1:11" x14ac:dyDescent="0.3">
      <c r="A1264" s="3">
        <v>3868</v>
      </c>
      <c r="B1264" s="3" t="s">
        <v>31</v>
      </c>
      <c r="C1264" s="4">
        <v>45469</v>
      </c>
      <c r="D1264" s="3" t="s">
        <v>35</v>
      </c>
      <c r="E1264" s="3" t="s">
        <v>48</v>
      </c>
      <c r="F1264" s="5">
        <v>3</v>
      </c>
      <c r="G1264" s="6">
        <v>11.53</v>
      </c>
      <c r="H1264" s="6">
        <v>34.590000000000003</v>
      </c>
      <c r="I1264" s="6">
        <v>0</v>
      </c>
      <c r="J1264" s="6">
        <v>34.590000000000003</v>
      </c>
      <c r="K1264" s="5">
        <v>482</v>
      </c>
    </row>
    <row r="1265" spans="1:11" x14ac:dyDescent="0.3">
      <c r="A1265" s="3">
        <v>3880</v>
      </c>
      <c r="B1265" s="3" t="s">
        <v>24</v>
      </c>
      <c r="C1265" s="4">
        <v>45870</v>
      </c>
      <c r="D1265" s="3" t="s">
        <v>17</v>
      </c>
      <c r="E1265" s="3" t="s">
        <v>21</v>
      </c>
      <c r="F1265" s="5">
        <v>1</v>
      </c>
      <c r="G1265" s="6">
        <v>6.26</v>
      </c>
      <c r="H1265" s="6">
        <v>6.26</v>
      </c>
      <c r="I1265" s="6">
        <v>0</v>
      </c>
      <c r="J1265" s="6">
        <v>6.26</v>
      </c>
      <c r="K1265" s="5">
        <v>0</v>
      </c>
    </row>
    <row r="1266" spans="1:11" x14ac:dyDescent="0.3">
      <c r="A1266" s="3">
        <v>1595</v>
      </c>
      <c r="B1266" s="3" t="s">
        <v>36</v>
      </c>
      <c r="C1266" s="4">
        <v>45794</v>
      </c>
      <c r="D1266" s="3" t="s">
        <v>17</v>
      </c>
      <c r="E1266" s="3" t="s">
        <v>37</v>
      </c>
      <c r="F1266" s="5">
        <v>4</v>
      </c>
      <c r="G1266" s="6">
        <v>9.11</v>
      </c>
      <c r="H1266" s="6">
        <v>36.44</v>
      </c>
      <c r="I1266" s="6">
        <v>3.64</v>
      </c>
      <c r="J1266" s="6">
        <v>32.799999999999997</v>
      </c>
      <c r="K1266" s="5">
        <v>310</v>
      </c>
    </row>
    <row r="1267" spans="1:11" x14ac:dyDescent="0.3">
      <c r="A1267" s="3">
        <v>7504</v>
      </c>
      <c r="B1267" s="3" t="s">
        <v>19</v>
      </c>
      <c r="C1267" s="4">
        <v>45757</v>
      </c>
      <c r="D1267" s="3" t="s">
        <v>35</v>
      </c>
      <c r="E1267" s="3" t="s">
        <v>47</v>
      </c>
      <c r="F1267" s="5">
        <v>3</v>
      </c>
      <c r="G1267" s="6">
        <v>10.68</v>
      </c>
      <c r="H1267" s="6">
        <v>32.04</v>
      </c>
      <c r="I1267" s="6">
        <v>0</v>
      </c>
      <c r="J1267" s="6">
        <v>32.04</v>
      </c>
      <c r="K1267" s="5">
        <v>57</v>
      </c>
    </row>
    <row r="1268" spans="1:11" x14ac:dyDescent="0.3">
      <c r="A1268" s="3">
        <v>9116</v>
      </c>
      <c r="B1268" s="3" t="s">
        <v>31</v>
      </c>
      <c r="C1268" s="4">
        <v>45289</v>
      </c>
      <c r="D1268" s="3" t="s">
        <v>27</v>
      </c>
      <c r="E1268" s="3" t="s">
        <v>18</v>
      </c>
      <c r="F1268" s="5">
        <v>2</v>
      </c>
      <c r="G1268" s="6">
        <v>10.6</v>
      </c>
      <c r="H1268" s="6">
        <v>21.2</v>
      </c>
      <c r="I1268" s="6">
        <v>0</v>
      </c>
      <c r="J1268" s="6">
        <v>21.2</v>
      </c>
      <c r="K1268" s="5">
        <v>379</v>
      </c>
    </row>
    <row r="1269" spans="1:11" x14ac:dyDescent="0.3">
      <c r="A1269" s="3">
        <v>5742</v>
      </c>
      <c r="B1269" s="3" t="s">
        <v>14</v>
      </c>
      <c r="C1269" s="4">
        <v>45825</v>
      </c>
      <c r="D1269" s="3" t="s">
        <v>28</v>
      </c>
      <c r="E1269" s="3" t="s">
        <v>23</v>
      </c>
      <c r="F1269" s="5">
        <v>2</v>
      </c>
      <c r="G1269" s="6">
        <v>19.850000000000001</v>
      </c>
      <c r="H1269" s="6">
        <v>39.700000000000003</v>
      </c>
      <c r="I1269" s="6">
        <v>4.55</v>
      </c>
      <c r="J1269" s="6">
        <v>35.15</v>
      </c>
      <c r="K1269" s="5">
        <v>107</v>
      </c>
    </row>
    <row r="1270" spans="1:11" x14ac:dyDescent="0.3">
      <c r="A1270" s="3">
        <v>1613</v>
      </c>
      <c r="B1270" s="3" t="s">
        <v>19</v>
      </c>
      <c r="C1270" s="4">
        <v>45152</v>
      </c>
      <c r="D1270" s="3" t="s">
        <v>27</v>
      </c>
      <c r="E1270" s="3" t="s">
        <v>48</v>
      </c>
      <c r="F1270" s="5">
        <v>1</v>
      </c>
      <c r="G1270" s="6">
        <v>18</v>
      </c>
      <c r="H1270" s="6">
        <v>18</v>
      </c>
      <c r="I1270" s="6">
        <v>3.6</v>
      </c>
      <c r="J1270" s="6">
        <v>14.4</v>
      </c>
      <c r="K1270" s="5">
        <v>467</v>
      </c>
    </row>
    <row r="1271" spans="1:11" x14ac:dyDescent="0.3">
      <c r="A1271" s="3">
        <v>5888</v>
      </c>
      <c r="B1271" s="3" t="s">
        <v>26</v>
      </c>
      <c r="C1271" s="4">
        <v>45586</v>
      </c>
      <c r="D1271" s="3" t="s">
        <v>15</v>
      </c>
      <c r="E1271" s="3" t="s">
        <v>43</v>
      </c>
      <c r="F1271" s="5">
        <v>5</v>
      </c>
      <c r="G1271" s="6">
        <v>18.940000000000001</v>
      </c>
      <c r="H1271" s="6">
        <v>94.7</v>
      </c>
      <c r="I1271" s="6">
        <v>18.940000000000001</v>
      </c>
      <c r="J1271" s="6">
        <v>75.760000000000005</v>
      </c>
      <c r="K1271" s="5">
        <v>154</v>
      </c>
    </row>
    <row r="1272" spans="1:11" x14ac:dyDescent="0.3">
      <c r="A1272" s="3">
        <v>2758</v>
      </c>
      <c r="B1272" s="3" t="s">
        <v>14</v>
      </c>
      <c r="C1272" s="4">
        <v>45866</v>
      </c>
      <c r="D1272" s="3" t="s">
        <v>34</v>
      </c>
      <c r="E1272" s="3" t="s">
        <v>40</v>
      </c>
      <c r="F1272" s="5">
        <v>2</v>
      </c>
      <c r="G1272" s="6">
        <v>6.55</v>
      </c>
      <c r="H1272" s="6">
        <v>13.1</v>
      </c>
      <c r="I1272" s="6">
        <v>4.9000000000000004</v>
      </c>
      <c r="J1272" s="6">
        <v>8.1999999999999993</v>
      </c>
      <c r="K1272" s="5">
        <v>281</v>
      </c>
    </row>
    <row r="1273" spans="1:11" x14ac:dyDescent="0.3">
      <c r="A1273" s="3">
        <v>6489</v>
      </c>
      <c r="B1273" s="3" t="s">
        <v>36</v>
      </c>
      <c r="C1273" s="4">
        <v>45366</v>
      </c>
      <c r="D1273" s="3" t="s">
        <v>45</v>
      </c>
      <c r="E1273" s="3" t="s">
        <v>48</v>
      </c>
      <c r="F1273" s="5">
        <v>4</v>
      </c>
      <c r="G1273" s="6">
        <v>2.95</v>
      </c>
      <c r="H1273" s="6">
        <v>11.8</v>
      </c>
      <c r="I1273" s="6">
        <v>2.36</v>
      </c>
      <c r="J1273" s="6">
        <v>9.44</v>
      </c>
      <c r="K1273" s="5">
        <v>214</v>
      </c>
    </row>
    <row r="1274" spans="1:11" x14ac:dyDescent="0.3">
      <c r="A1274" s="3">
        <v>8444</v>
      </c>
      <c r="B1274" s="3" t="s">
        <v>30</v>
      </c>
      <c r="C1274" s="4">
        <v>45643</v>
      </c>
      <c r="D1274" s="3" t="s">
        <v>34</v>
      </c>
      <c r="E1274" s="3" t="s">
        <v>37</v>
      </c>
      <c r="F1274" s="5">
        <v>1</v>
      </c>
      <c r="G1274" s="6">
        <v>28.71</v>
      </c>
      <c r="H1274" s="6">
        <v>28.71</v>
      </c>
      <c r="I1274" s="6">
        <v>0</v>
      </c>
      <c r="J1274" s="6">
        <v>28.71</v>
      </c>
      <c r="K1274" s="5">
        <v>31</v>
      </c>
    </row>
    <row r="1275" spans="1:11" x14ac:dyDescent="0.3">
      <c r="A1275" s="3">
        <v>9901</v>
      </c>
      <c r="B1275" s="3" t="s">
        <v>24</v>
      </c>
      <c r="C1275" s="4">
        <v>45552</v>
      </c>
      <c r="D1275" s="3" t="s">
        <v>45</v>
      </c>
      <c r="E1275" s="3" t="s">
        <v>18</v>
      </c>
      <c r="F1275" s="5">
        <v>5</v>
      </c>
      <c r="G1275" s="6">
        <v>29.16</v>
      </c>
      <c r="H1275" s="6">
        <v>145.80000000000001</v>
      </c>
      <c r="I1275" s="6">
        <v>2.54</v>
      </c>
      <c r="J1275" s="6">
        <v>143.26</v>
      </c>
      <c r="K1275" s="5">
        <v>84</v>
      </c>
    </row>
    <row r="1276" spans="1:11" x14ac:dyDescent="0.3">
      <c r="A1276" s="3">
        <v>9092</v>
      </c>
      <c r="B1276" s="3" t="s">
        <v>24</v>
      </c>
      <c r="C1276" s="4">
        <v>45835</v>
      </c>
      <c r="D1276" s="3" t="s">
        <v>20</v>
      </c>
      <c r="E1276" s="3" t="s">
        <v>13</v>
      </c>
      <c r="F1276" s="5">
        <v>2</v>
      </c>
      <c r="G1276" s="6">
        <v>6.33</v>
      </c>
      <c r="H1276" s="6">
        <v>12.66</v>
      </c>
      <c r="I1276" s="6">
        <v>3.79</v>
      </c>
      <c r="J1276" s="6">
        <v>8.8699999999999992</v>
      </c>
      <c r="K1276" s="5">
        <v>81</v>
      </c>
    </row>
    <row r="1277" spans="1:11" x14ac:dyDescent="0.3">
      <c r="A1277" s="3">
        <v>3198</v>
      </c>
      <c r="B1277" s="3" t="s">
        <v>14</v>
      </c>
      <c r="C1277" s="4">
        <v>45806</v>
      </c>
      <c r="D1277" s="3" t="s">
        <v>45</v>
      </c>
      <c r="E1277" s="3" t="s">
        <v>46</v>
      </c>
      <c r="F1277" s="5">
        <v>5</v>
      </c>
      <c r="G1277" s="6">
        <v>8.5</v>
      </c>
      <c r="H1277" s="6">
        <v>42.5</v>
      </c>
      <c r="I1277" s="6">
        <v>6.38</v>
      </c>
      <c r="J1277" s="6">
        <v>36.119999999999997</v>
      </c>
      <c r="K1277" s="5">
        <v>436</v>
      </c>
    </row>
    <row r="1278" spans="1:11" x14ac:dyDescent="0.3">
      <c r="A1278" s="3">
        <v>9261</v>
      </c>
      <c r="B1278" s="3" t="s">
        <v>30</v>
      </c>
      <c r="C1278" s="4">
        <v>45508</v>
      </c>
      <c r="D1278" s="3" t="s">
        <v>38</v>
      </c>
      <c r="E1278" s="3" t="s">
        <v>48</v>
      </c>
      <c r="F1278" s="5">
        <v>2</v>
      </c>
      <c r="G1278" s="6">
        <v>7.48</v>
      </c>
      <c r="H1278" s="6">
        <v>14.96</v>
      </c>
      <c r="I1278" s="6">
        <v>2.2400000000000002</v>
      </c>
      <c r="J1278" s="6">
        <v>12.72</v>
      </c>
      <c r="K1278" s="5">
        <v>273</v>
      </c>
    </row>
    <row r="1279" spans="1:11" x14ac:dyDescent="0.3">
      <c r="A1279" s="3">
        <v>5470</v>
      </c>
      <c r="B1279" s="3" t="s">
        <v>31</v>
      </c>
      <c r="C1279" s="4">
        <v>45294</v>
      </c>
      <c r="D1279" s="3" t="s">
        <v>27</v>
      </c>
      <c r="E1279" s="3" t="s">
        <v>41</v>
      </c>
      <c r="F1279" s="5">
        <v>3</v>
      </c>
      <c r="G1279" s="6">
        <v>27.88</v>
      </c>
      <c r="H1279" s="6">
        <v>83.64</v>
      </c>
      <c r="I1279" s="6">
        <v>0</v>
      </c>
      <c r="J1279" s="6">
        <v>83.64</v>
      </c>
      <c r="K1279" s="5">
        <v>138</v>
      </c>
    </row>
    <row r="1280" spans="1:11" x14ac:dyDescent="0.3">
      <c r="A1280" s="3">
        <v>2845</v>
      </c>
      <c r="B1280" s="3" t="s">
        <v>42</v>
      </c>
      <c r="C1280" s="4">
        <v>45401</v>
      </c>
      <c r="D1280" s="3" t="s">
        <v>17</v>
      </c>
      <c r="E1280" s="3" t="s">
        <v>18</v>
      </c>
      <c r="F1280" s="5">
        <v>1</v>
      </c>
      <c r="G1280" s="6">
        <v>1.03</v>
      </c>
      <c r="H1280" s="6">
        <v>1.03</v>
      </c>
      <c r="I1280" s="6">
        <v>0.15</v>
      </c>
      <c r="J1280" s="6">
        <v>0.88</v>
      </c>
      <c r="K1280" s="5">
        <v>177</v>
      </c>
    </row>
    <row r="1281" spans="1:11" x14ac:dyDescent="0.3">
      <c r="A1281" s="3">
        <v>3662</v>
      </c>
      <c r="B1281" s="3" t="s">
        <v>11</v>
      </c>
      <c r="C1281" s="4">
        <v>45712</v>
      </c>
      <c r="D1281" s="3" t="s">
        <v>38</v>
      </c>
      <c r="E1281" s="3" t="s">
        <v>13</v>
      </c>
      <c r="F1281" s="5">
        <v>2</v>
      </c>
      <c r="G1281" s="6">
        <v>12.83</v>
      </c>
      <c r="H1281" s="6">
        <v>25.66</v>
      </c>
      <c r="I1281" s="6">
        <v>3.85</v>
      </c>
      <c r="J1281" s="6">
        <v>21.81</v>
      </c>
      <c r="K1281" s="5">
        <v>313</v>
      </c>
    </row>
    <row r="1282" spans="1:11" x14ac:dyDescent="0.3">
      <c r="A1282" s="3">
        <v>8518</v>
      </c>
      <c r="B1282" s="3" t="s">
        <v>31</v>
      </c>
      <c r="C1282" s="4">
        <v>45648</v>
      </c>
      <c r="D1282" s="3" t="s">
        <v>27</v>
      </c>
      <c r="E1282" s="3" t="s">
        <v>39</v>
      </c>
      <c r="F1282" s="5">
        <v>3</v>
      </c>
      <c r="G1282" s="6">
        <v>7.35</v>
      </c>
      <c r="H1282" s="6">
        <v>22.05</v>
      </c>
      <c r="I1282" s="6">
        <v>4.41</v>
      </c>
      <c r="J1282" s="6">
        <v>17.64</v>
      </c>
      <c r="K1282" s="5">
        <v>494</v>
      </c>
    </row>
    <row r="1283" spans="1:11" x14ac:dyDescent="0.3">
      <c r="A1283" s="3">
        <v>5215</v>
      </c>
      <c r="B1283" s="3" t="s">
        <v>30</v>
      </c>
      <c r="C1283" s="4">
        <v>45703</v>
      </c>
      <c r="D1283" s="3" t="s">
        <v>12</v>
      </c>
      <c r="E1283" s="3" t="s">
        <v>18</v>
      </c>
      <c r="F1283" s="5">
        <v>5</v>
      </c>
      <c r="G1283" s="6">
        <v>4.08</v>
      </c>
      <c r="H1283" s="6">
        <v>20.399999999999999</v>
      </c>
      <c r="I1283" s="6">
        <v>0</v>
      </c>
      <c r="J1283" s="6">
        <v>20.399999999999999</v>
      </c>
      <c r="K1283" s="5">
        <v>381</v>
      </c>
    </row>
    <row r="1284" spans="1:11" x14ac:dyDescent="0.3">
      <c r="A1284" s="3">
        <v>4050</v>
      </c>
      <c r="B1284" s="3" t="s">
        <v>30</v>
      </c>
      <c r="C1284" s="4">
        <v>45155</v>
      </c>
      <c r="D1284" s="3" t="s">
        <v>27</v>
      </c>
      <c r="E1284" s="3" t="s">
        <v>18</v>
      </c>
      <c r="F1284" s="5">
        <v>2</v>
      </c>
      <c r="G1284" s="6">
        <v>24.68</v>
      </c>
      <c r="H1284" s="6">
        <v>49.36</v>
      </c>
      <c r="I1284" s="6">
        <v>7.4</v>
      </c>
      <c r="J1284" s="6">
        <v>41.96</v>
      </c>
      <c r="K1284" s="5">
        <v>112</v>
      </c>
    </row>
    <row r="1285" spans="1:11" x14ac:dyDescent="0.3">
      <c r="A1285" s="3">
        <v>6523</v>
      </c>
      <c r="B1285" s="3" t="s">
        <v>42</v>
      </c>
      <c r="C1285" s="4">
        <v>45759</v>
      </c>
      <c r="D1285" s="3" t="s">
        <v>28</v>
      </c>
      <c r="E1285" s="3" t="s">
        <v>32</v>
      </c>
      <c r="F1285" s="5">
        <v>2</v>
      </c>
      <c r="G1285" s="6">
        <v>13.93</v>
      </c>
      <c r="H1285" s="6">
        <v>27.86</v>
      </c>
      <c r="I1285" s="6">
        <v>4.18</v>
      </c>
      <c r="J1285" s="6">
        <v>23.68</v>
      </c>
      <c r="K1285" s="5">
        <v>373</v>
      </c>
    </row>
    <row r="1286" spans="1:11" x14ac:dyDescent="0.3">
      <c r="A1286" s="3">
        <v>5833</v>
      </c>
      <c r="B1286" s="3" t="s">
        <v>19</v>
      </c>
      <c r="C1286" s="4">
        <v>45586</v>
      </c>
      <c r="D1286" s="3" t="s">
        <v>45</v>
      </c>
      <c r="E1286" s="3" t="s">
        <v>43</v>
      </c>
      <c r="F1286" s="5">
        <v>4</v>
      </c>
      <c r="G1286" s="6">
        <v>6.25</v>
      </c>
      <c r="H1286" s="6">
        <v>25</v>
      </c>
      <c r="I1286" s="6">
        <v>5</v>
      </c>
      <c r="J1286" s="6">
        <v>20</v>
      </c>
      <c r="K1286" s="5">
        <v>94</v>
      </c>
    </row>
    <row r="1287" spans="1:11" x14ac:dyDescent="0.3">
      <c r="A1287" s="3">
        <v>4164</v>
      </c>
      <c r="B1287" s="3" t="s">
        <v>26</v>
      </c>
      <c r="C1287" s="4">
        <v>45281</v>
      </c>
      <c r="D1287" s="3" t="s">
        <v>34</v>
      </c>
      <c r="E1287" s="3" t="s">
        <v>37</v>
      </c>
      <c r="F1287" s="5">
        <v>1</v>
      </c>
      <c r="G1287" s="6">
        <v>9.98</v>
      </c>
      <c r="H1287" s="6">
        <v>9.98</v>
      </c>
      <c r="I1287" s="6">
        <v>1</v>
      </c>
      <c r="J1287" s="6">
        <v>8.98</v>
      </c>
      <c r="K1287" s="5">
        <v>453</v>
      </c>
    </row>
    <row r="1288" spans="1:11" x14ac:dyDescent="0.3">
      <c r="A1288" s="3">
        <v>7643</v>
      </c>
      <c r="B1288" s="3" t="s">
        <v>42</v>
      </c>
      <c r="C1288" s="4">
        <v>45787</v>
      </c>
      <c r="D1288" s="3" t="s">
        <v>15</v>
      </c>
      <c r="E1288" s="3" t="s">
        <v>41</v>
      </c>
      <c r="F1288" s="5">
        <v>1</v>
      </c>
      <c r="G1288" s="6">
        <v>13.36</v>
      </c>
      <c r="H1288" s="6">
        <v>13.36</v>
      </c>
      <c r="I1288" s="6">
        <v>3.9</v>
      </c>
      <c r="J1288" s="6">
        <v>9.4600000000000009</v>
      </c>
      <c r="K1288" s="5">
        <v>232</v>
      </c>
    </row>
    <row r="1289" spans="1:11" x14ac:dyDescent="0.3">
      <c r="A1289" s="3">
        <v>8007</v>
      </c>
      <c r="B1289" s="3" t="s">
        <v>19</v>
      </c>
      <c r="C1289" s="4">
        <v>45545</v>
      </c>
      <c r="D1289" s="3" t="s">
        <v>12</v>
      </c>
      <c r="E1289" s="3" t="s">
        <v>48</v>
      </c>
      <c r="F1289" s="5">
        <v>4</v>
      </c>
      <c r="G1289" s="6">
        <v>12.13</v>
      </c>
      <c r="H1289" s="6">
        <v>48.52</v>
      </c>
      <c r="I1289" s="6">
        <v>0</v>
      </c>
      <c r="J1289" s="6">
        <v>48.52</v>
      </c>
      <c r="K1289" s="5">
        <v>56</v>
      </c>
    </row>
    <row r="1290" spans="1:11" x14ac:dyDescent="0.3">
      <c r="A1290" s="3">
        <v>6372</v>
      </c>
      <c r="B1290" s="3" t="s">
        <v>31</v>
      </c>
      <c r="C1290" s="4">
        <v>45212</v>
      </c>
      <c r="D1290" s="3" t="s">
        <v>34</v>
      </c>
      <c r="E1290" s="3" t="s">
        <v>25</v>
      </c>
      <c r="F1290" s="5">
        <v>1</v>
      </c>
      <c r="G1290" s="6">
        <v>8.75</v>
      </c>
      <c r="H1290" s="6">
        <v>8.75</v>
      </c>
      <c r="I1290" s="6">
        <v>4.83</v>
      </c>
      <c r="J1290" s="6">
        <v>3.92</v>
      </c>
      <c r="K1290" s="5">
        <v>480</v>
      </c>
    </row>
    <row r="1291" spans="1:11" x14ac:dyDescent="0.3">
      <c r="A1291" s="3">
        <v>7567</v>
      </c>
      <c r="B1291" s="3" t="s">
        <v>11</v>
      </c>
      <c r="C1291" s="4">
        <v>45664</v>
      </c>
      <c r="D1291" s="3" t="s">
        <v>38</v>
      </c>
      <c r="E1291" s="3" t="s">
        <v>21</v>
      </c>
      <c r="F1291" s="5">
        <v>1</v>
      </c>
      <c r="G1291" s="6">
        <v>6.86</v>
      </c>
      <c r="H1291" s="6">
        <v>6.86</v>
      </c>
      <c r="I1291" s="6">
        <v>1.37</v>
      </c>
      <c r="J1291" s="6">
        <v>5.49</v>
      </c>
      <c r="K1291" s="5">
        <v>245</v>
      </c>
    </row>
    <row r="1292" spans="1:11" x14ac:dyDescent="0.3">
      <c r="A1292" s="3">
        <v>2562</v>
      </c>
      <c r="B1292" s="3" t="s">
        <v>30</v>
      </c>
      <c r="C1292" s="4">
        <v>45288</v>
      </c>
      <c r="D1292" s="3" t="s">
        <v>22</v>
      </c>
      <c r="E1292" s="3" t="s">
        <v>47</v>
      </c>
      <c r="F1292" s="5">
        <v>2</v>
      </c>
      <c r="G1292" s="6">
        <v>8.06</v>
      </c>
      <c r="H1292" s="6">
        <v>16.12</v>
      </c>
      <c r="I1292" s="6">
        <v>0</v>
      </c>
      <c r="J1292" s="6">
        <v>16.12</v>
      </c>
      <c r="K1292" s="5">
        <v>278</v>
      </c>
    </row>
    <row r="1293" spans="1:11" x14ac:dyDescent="0.3">
      <c r="A1293" s="3">
        <v>3303</v>
      </c>
      <c r="B1293" s="3" t="s">
        <v>14</v>
      </c>
      <c r="C1293" s="4">
        <v>45515</v>
      </c>
      <c r="D1293" s="3" t="s">
        <v>15</v>
      </c>
      <c r="E1293" s="3" t="s">
        <v>39</v>
      </c>
      <c r="F1293" s="5">
        <v>1</v>
      </c>
      <c r="G1293" s="6">
        <v>3.97</v>
      </c>
      <c r="H1293" s="6">
        <v>3.97</v>
      </c>
      <c r="I1293" s="6">
        <v>4.55</v>
      </c>
      <c r="J1293" s="6">
        <v>-0.57999999999999996</v>
      </c>
      <c r="K1293" s="5">
        <v>151</v>
      </c>
    </row>
    <row r="1294" spans="1:11" x14ac:dyDescent="0.3">
      <c r="A1294" s="3">
        <v>6301</v>
      </c>
      <c r="B1294" s="3" t="s">
        <v>24</v>
      </c>
      <c r="C1294" s="4">
        <v>45871</v>
      </c>
      <c r="D1294" s="3" t="s">
        <v>34</v>
      </c>
      <c r="E1294" s="3" t="s">
        <v>39</v>
      </c>
      <c r="F1294" s="5">
        <v>2</v>
      </c>
      <c r="G1294" s="6">
        <v>1.69</v>
      </c>
      <c r="H1294" s="6">
        <v>3.38</v>
      </c>
      <c r="I1294" s="6">
        <v>0.68</v>
      </c>
      <c r="J1294" s="6">
        <v>2.7</v>
      </c>
      <c r="K1294" s="5">
        <v>218</v>
      </c>
    </row>
    <row r="1295" spans="1:11" x14ac:dyDescent="0.3">
      <c r="A1295" s="3">
        <v>5064</v>
      </c>
      <c r="B1295" s="3" t="s">
        <v>36</v>
      </c>
      <c r="C1295" s="4">
        <v>45150</v>
      </c>
      <c r="D1295" s="3" t="s">
        <v>27</v>
      </c>
      <c r="E1295" s="3" t="s">
        <v>37</v>
      </c>
      <c r="F1295" s="5">
        <v>2</v>
      </c>
      <c r="G1295" s="6">
        <v>27.72</v>
      </c>
      <c r="H1295" s="6">
        <v>55.44</v>
      </c>
      <c r="I1295" s="6">
        <v>0</v>
      </c>
      <c r="J1295" s="6">
        <v>55.44</v>
      </c>
      <c r="K1295" s="5">
        <v>350</v>
      </c>
    </row>
    <row r="1296" spans="1:11" x14ac:dyDescent="0.3">
      <c r="A1296" s="3">
        <v>5272</v>
      </c>
      <c r="B1296" s="3" t="s">
        <v>11</v>
      </c>
      <c r="C1296" s="4">
        <v>45442</v>
      </c>
      <c r="D1296" s="3" t="s">
        <v>45</v>
      </c>
      <c r="E1296" s="3" t="s">
        <v>29</v>
      </c>
      <c r="F1296" s="5">
        <v>1</v>
      </c>
      <c r="G1296" s="6">
        <v>7.5</v>
      </c>
      <c r="H1296" s="6">
        <v>7.5</v>
      </c>
      <c r="I1296" s="6">
        <v>1.1200000000000001</v>
      </c>
      <c r="J1296" s="6">
        <v>6.38</v>
      </c>
      <c r="K1296" s="5">
        <v>489</v>
      </c>
    </row>
    <row r="1297" spans="1:11" x14ac:dyDescent="0.3">
      <c r="A1297" s="3">
        <v>4858</v>
      </c>
      <c r="B1297" s="3" t="s">
        <v>11</v>
      </c>
      <c r="C1297" s="4">
        <v>45491</v>
      </c>
      <c r="D1297" s="3" t="s">
        <v>28</v>
      </c>
      <c r="E1297" s="3" t="s">
        <v>21</v>
      </c>
      <c r="F1297" s="5">
        <v>1</v>
      </c>
      <c r="G1297" s="6">
        <v>11.44</v>
      </c>
      <c r="H1297" s="6">
        <v>11.44</v>
      </c>
      <c r="I1297" s="6">
        <v>3.42</v>
      </c>
      <c r="J1297" s="6">
        <v>8.02</v>
      </c>
      <c r="K1297" s="5">
        <v>473</v>
      </c>
    </row>
    <row r="1298" spans="1:11" x14ac:dyDescent="0.3">
      <c r="A1298" s="3">
        <v>5374</v>
      </c>
      <c r="B1298" s="3" t="s">
        <v>19</v>
      </c>
      <c r="C1298" s="4">
        <v>45401</v>
      </c>
      <c r="D1298" s="3" t="s">
        <v>20</v>
      </c>
      <c r="E1298" s="3" t="s">
        <v>46</v>
      </c>
      <c r="F1298" s="5">
        <v>3</v>
      </c>
      <c r="G1298" s="6">
        <v>18.38</v>
      </c>
      <c r="H1298" s="6">
        <v>55.14</v>
      </c>
      <c r="I1298" s="6">
        <v>11.03</v>
      </c>
      <c r="J1298" s="6">
        <v>44.11</v>
      </c>
      <c r="K1298" s="5">
        <v>347</v>
      </c>
    </row>
    <row r="1299" spans="1:11" x14ac:dyDescent="0.3">
      <c r="A1299" s="3">
        <v>5947</v>
      </c>
      <c r="B1299" s="3" t="s">
        <v>30</v>
      </c>
      <c r="C1299" s="4">
        <v>45597</v>
      </c>
      <c r="D1299" s="3" t="s">
        <v>28</v>
      </c>
      <c r="E1299" s="3" t="s">
        <v>37</v>
      </c>
      <c r="F1299" s="5">
        <v>3</v>
      </c>
      <c r="G1299" s="6">
        <v>26.38</v>
      </c>
      <c r="H1299" s="6">
        <v>79.14</v>
      </c>
      <c r="I1299" s="6">
        <v>0</v>
      </c>
      <c r="J1299" s="6">
        <v>79.14</v>
      </c>
      <c r="K1299" s="5">
        <v>138</v>
      </c>
    </row>
    <row r="1300" spans="1:11" x14ac:dyDescent="0.3">
      <c r="A1300" s="3">
        <v>1187</v>
      </c>
      <c r="B1300" s="3" t="s">
        <v>36</v>
      </c>
      <c r="C1300" s="4">
        <v>45348</v>
      </c>
      <c r="D1300" s="3" t="s">
        <v>35</v>
      </c>
      <c r="E1300" s="3" t="s">
        <v>43</v>
      </c>
      <c r="F1300" s="5">
        <v>1</v>
      </c>
      <c r="G1300" s="6">
        <v>25.98</v>
      </c>
      <c r="H1300" s="6">
        <v>25.98</v>
      </c>
      <c r="I1300" s="6">
        <v>0</v>
      </c>
      <c r="J1300" s="6">
        <v>25.98</v>
      </c>
      <c r="K1300" s="5">
        <v>500</v>
      </c>
    </row>
    <row r="1301" spans="1:11" x14ac:dyDescent="0.3">
      <c r="A1301" s="3">
        <v>6890</v>
      </c>
      <c r="B1301" s="3" t="s">
        <v>19</v>
      </c>
      <c r="C1301" s="4">
        <v>45683</v>
      </c>
      <c r="D1301" s="3" t="s">
        <v>22</v>
      </c>
      <c r="E1301" s="3" t="s">
        <v>41</v>
      </c>
      <c r="F1301" s="5">
        <v>4</v>
      </c>
      <c r="G1301" s="6">
        <v>13.94</v>
      </c>
      <c r="H1301" s="6">
        <v>55.76</v>
      </c>
      <c r="I1301" s="6">
        <v>1.45</v>
      </c>
      <c r="J1301" s="6">
        <v>54.31</v>
      </c>
      <c r="K1301" s="5">
        <v>407</v>
      </c>
    </row>
    <row r="1302" spans="1:11" x14ac:dyDescent="0.3">
      <c r="A1302" s="3">
        <v>4871</v>
      </c>
      <c r="B1302" s="3" t="s">
        <v>24</v>
      </c>
      <c r="C1302" s="4">
        <v>45193</v>
      </c>
      <c r="D1302" s="3" t="s">
        <v>35</v>
      </c>
      <c r="E1302" s="3" t="s">
        <v>41</v>
      </c>
      <c r="F1302" s="5">
        <v>1</v>
      </c>
      <c r="G1302" s="6">
        <v>10.36</v>
      </c>
      <c r="H1302" s="6">
        <v>10.36</v>
      </c>
      <c r="I1302" s="6">
        <v>1.04</v>
      </c>
      <c r="J1302" s="6">
        <v>9.32</v>
      </c>
      <c r="K1302" s="5">
        <v>65</v>
      </c>
    </row>
    <row r="1303" spans="1:11" x14ac:dyDescent="0.3">
      <c r="A1303" s="3">
        <v>2936</v>
      </c>
      <c r="B1303" s="3" t="s">
        <v>36</v>
      </c>
      <c r="C1303" s="4">
        <v>45506</v>
      </c>
      <c r="D1303" s="3" t="s">
        <v>22</v>
      </c>
      <c r="E1303" s="3" t="s">
        <v>47</v>
      </c>
      <c r="F1303" s="5">
        <v>4</v>
      </c>
      <c r="G1303" s="6">
        <v>14.95</v>
      </c>
      <c r="H1303" s="6">
        <v>59.8</v>
      </c>
      <c r="I1303" s="6">
        <v>4.17</v>
      </c>
      <c r="J1303" s="6">
        <v>55.63</v>
      </c>
      <c r="K1303" s="5">
        <v>498</v>
      </c>
    </row>
    <row r="1304" spans="1:11" x14ac:dyDescent="0.3">
      <c r="A1304" s="3">
        <v>6026</v>
      </c>
      <c r="B1304" s="3" t="s">
        <v>36</v>
      </c>
      <c r="C1304" s="4">
        <v>45269</v>
      </c>
      <c r="D1304" s="3" t="s">
        <v>34</v>
      </c>
      <c r="E1304" s="3" t="s">
        <v>25</v>
      </c>
      <c r="F1304" s="5">
        <v>4</v>
      </c>
      <c r="G1304" s="6">
        <v>13.13</v>
      </c>
      <c r="H1304" s="6">
        <v>52.52</v>
      </c>
      <c r="I1304" s="6">
        <v>3.14</v>
      </c>
      <c r="J1304" s="6">
        <v>49.38</v>
      </c>
      <c r="K1304" s="5">
        <v>254</v>
      </c>
    </row>
    <row r="1305" spans="1:11" x14ac:dyDescent="0.3">
      <c r="A1305" s="3">
        <v>7642</v>
      </c>
      <c r="B1305" s="3" t="s">
        <v>42</v>
      </c>
      <c r="C1305" s="4">
        <v>45677</v>
      </c>
      <c r="D1305" s="3" t="s">
        <v>20</v>
      </c>
      <c r="E1305" s="3" t="s">
        <v>43</v>
      </c>
      <c r="F1305" s="5">
        <v>5</v>
      </c>
      <c r="G1305" s="6">
        <v>21.72</v>
      </c>
      <c r="H1305" s="6">
        <v>108.6</v>
      </c>
      <c r="I1305" s="6">
        <v>0</v>
      </c>
      <c r="J1305" s="6">
        <v>108.6</v>
      </c>
      <c r="K1305" s="5">
        <v>269</v>
      </c>
    </row>
    <row r="1306" spans="1:11" x14ac:dyDescent="0.3">
      <c r="A1306" s="3">
        <v>9233</v>
      </c>
      <c r="B1306" s="3" t="s">
        <v>11</v>
      </c>
      <c r="C1306" s="4">
        <v>45861</v>
      </c>
      <c r="D1306" s="3" t="s">
        <v>17</v>
      </c>
      <c r="E1306" s="3" t="s">
        <v>23</v>
      </c>
      <c r="F1306" s="5">
        <v>1</v>
      </c>
      <c r="G1306" s="6">
        <v>6.89</v>
      </c>
      <c r="H1306" s="6">
        <v>6.89</v>
      </c>
      <c r="I1306" s="6">
        <v>1.03</v>
      </c>
      <c r="J1306" s="6">
        <v>5.86</v>
      </c>
      <c r="K1306" s="5">
        <v>435</v>
      </c>
    </row>
    <row r="1307" spans="1:11" x14ac:dyDescent="0.3">
      <c r="A1307" s="3">
        <v>6095</v>
      </c>
      <c r="B1307" s="3" t="s">
        <v>14</v>
      </c>
      <c r="C1307" s="4">
        <v>45681</v>
      </c>
      <c r="D1307" s="3" t="s">
        <v>45</v>
      </c>
      <c r="E1307" s="3" t="s">
        <v>41</v>
      </c>
      <c r="F1307" s="5">
        <v>1</v>
      </c>
      <c r="G1307" s="6">
        <v>2.72</v>
      </c>
      <c r="H1307" s="6">
        <v>2.72</v>
      </c>
      <c r="I1307" s="6">
        <v>0.54</v>
      </c>
      <c r="J1307" s="6">
        <v>2.1800000000000002</v>
      </c>
      <c r="K1307" s="5">
        <v>178</v>
      </c>
    </row>
    <row r="1308" spans="1:11" x14ac:dyDescent="0.3">
      <c r="A1308" s="3">
        <v>2923</v>
      </c>
      <c r="B1308" s="3" t="s">
        <v>30</v>
      </c>
      <c r="C1308" s="4">
        <v>45641</v>
      </c>
      <c r="D1308" s="3" t="s">
        <v>45</v>
      </c>
      <c r="E1308" s="3" t="s">
        <v>41</v>
      </c>
      <c r="F1308" s="5">
        <v>5</v>
      </c>
      <c r="G1308" s="6">
        <v>29.17</v>
      </c>
      <c r="H1308" s="6">
        <v>145.85</v>
      </c>
      <c r="I1308" s="6">
        <v>29.17</v>
      </c>
      <c r="J1308" s="6">
        <v>116.68</v>
      </c>
      <c r="K1308" s="5">
        <v>467</v>
      </c>
    </row>
    <row r="1309" spans="1:11" x14ac:dyDescent="0.3">
      <c r="A1309" s="3">
        <v>5833</v>
      </c>
      <c r="B1309" s="3" t="s">
        <v>42</v>
      </c>
      <c r="C1309" s="4">
        <v>45430</v>
      </c>
      <c r="D1309" s="3" t="s">
        <v>17</v>
      </c>
      <c r="E1309" s="3" t="s">
        <v>40</v>
      </c>
      <c r="F1309" s="5">
        <v>2</v>
      </c>
      <c r="G1309" s="6">
        <v>4.3899999999999997</v>
      </c>
      <c r="H1309" s="6">
        <v>8.7799999999999994</v>
      </c>
      <c r="I1309" s="6">
        <v>0.88</v>
      </c>
      <c r="J1309" s="6">
        <v>7.9</v>
      </c>
      <c r="K1309" s="5">
        <v>356</v>
      </c>
    </row>
    <row r="1310" spans="1:11" x14ac:dyDescent="0.3">
      <c r="A1310" s="3">
        <v>4618</v>
      </c>
      <c r="B1310" s="3" t="s">
        <v>31</v>
      </c>
      <c r="C1310" s="4">
        <v>45315</v>
      </c>
      <c r="D1310" s="3" t="s">
        <v>20</v>
      </c>
      <c r="E1310" s="3" t="s">
        <v>23</v>
      </c>
      <c r="F1310" s="5">
        <v>1</v>
      </c>
      <c r="G1310" s="6">
        <v>21.33</v>
      </c>
      <c r="H1310" s="6">
        <v>21.33</v>
      </c>
      <c r="I1310" s="6">
        <v>2.13</v>
      </c>
      <c r="J1310" s="6">
        <v>19.2</v>
      </c>
      <c r="K1310" s="5">
        <v>339</v>
      </c>
    </row>
    <row r="1311" spans="1:11" x14ac:dyDescent="0.3">
      <c r="A1311" s="3">
        <v>3188</v>
      </c>
      <c r="B1311" s="3" t="s">
        <v>19</v>
      </c>
      <c r="C1311" s="4">
        <v>45516</v>
      </c>
      <c r="D1311" s="3" t="s">
        <v>12</v>
      </c>
      <c r="E1311" s="3" t="s">
        <v>41</v>
      </c>
      <c r="F1311" s="5">
        <v>3</v>
      </c>
      <c r="G1311" s="6">
        <v>5.09</v>
      </c>
      <c r="H1311" s="6">
        <v>15.27</v>
      </c>
      <c r="I1311" s="6">
        <v>3.28</v>
      </c>
      <c r="J1311" s="6">
        <v>11.99</v>
      </c>
      <c r="K1311" s="5">
        <v>125</v>
      </c>
    </row>
    <row r="1312" spans="1:11" x14ac:dyDescent="0.3">
      <c r="A1312" s="3">
        <v>3509</v>
      </c>
      <c r="B1312" s="3" t="s">
        <v>24</v>
      </c>
      <c r="C1312" s="4">
        <v>45498</v>
      </c>
      <c r="D1312" s="3" t="s">
        <v>34</v>
      </c>
      <c r="E1312" s="3" t="s">
        <v>29</v>
      </c>
      <c r="F1312" s="5">
        <v>4</v>
      </c>
      <c r="G1312" s="6">
        <v>22.55</v>
      </c>
      <c r="H1312" s="6">
        <v>90.2</v>
      </c>
      <c r="I1312" s="6">
        <v>9.02</v>
      </c>
      <c r="J1312" s="6">
        <v>81.180000000000007</v>
      </c>
      <c r="K1312" s="5">
        <v>383</v>
      </c>
    </row>
    <row r="1313" spans="1:11" x14ac:dyDescent="0.3">
      <c r="A1313" s="3">
        <v>7121</v>
      </c>
      <c r="B1313" s="3" t="s">
        <v>24</v>
      </c>
      <c r="C1313" s="4">
        <v>45467</v>
      </c>
      <c r="D1313" s="3" t="s">
        <v>22</v>
      </c>
      <c r="E1313" s="3" t="s">
        <v>33</v>
      </c>
      <c r="F1313" s="5">
        <v>1</v>
      </c>
      <c r="G1313" s="6">
        <v>9.31</v>
      </c>
      <c r="H1313" s="6">
        <v>9.31</v>
      </c>
      <c r="I1313" s="6">
        <v>0</v>
      </c>
      <c r="J1313" s="6">
        <v>9.31</v>
      </c>
      <c r="K1313" s="5">
        <v>79</v>
      </c>
    </row>
    <row r="1314" spans="1:11" x14ac:dyDescent="0.3">
      <c r="A1314" s="3">
        <v>9998</v>
      </c>
      <c r="B1314" s="3" t="s">
        <v>31</v>
      </c>
      <c r="C1314" s="4">
        <v>45853</v>
      </c>
      <c r="D1314" s="3" t="s">
        <v>28</v>
      </c>
      <c r="E1314" s="3" t="s">
        <v>29</v>
      </c>
      <c r="F1314" s="5">
        <v>5</v>
      </c>
      <c r="G1314" s="6">
        <v>5.64</v>
      </c>
      <c r="H1314" s="6">
        <v>28.2</v>
      </c>
      <c r="I1314" s="6">
        <v>0</v>
      </c>
      <c r="J1314" s="6">
        <v>28.2</v>
      </c>
      <c r="K1314" s="5">
        <v>202</v>
      </c>
    </row>
    <row r="1315" spans="1:11" x14ac:dyDescent="0.3">
      <c r="A1315" s="3">
        <v>8714</v>
      </c>
      <c r="B1315" s="3" t="s">
        <v>26</v>
      </c>
      <c r="C1315" s="4">
        <v>45733</v>
      </c>
      <c r="D1315" s="3" t="s">
        <v>38</v>
      </c>
      <c r="E1315" s="3" t="s">
        <v>13</v>
      </c>
      <c r="F1315" s="5">
        <v>5</v>
      </c>
      <c r="G1315" s="6">
        <v>15.54</v>
      </c>
      <c r="H1315" s="6">
        <v>77.7</v>
      </c>
      <c r="I1315" s="6">
        <v>7.77</v>
      </c>
      <c r="J1315" s="6">
        <v>69.930000000000007</v>
      </c>
      <c r="K1315" s="5">
        <v>363</v>
      </c>
    </row>
    <row r="1316" spans="1:11" x14ac:dyDescent="0.3">
      <c r="A1316" s="3">
        <v>9806</v>
      </c>
      <c r="B1316" s="3" t="s">
        <v>19</v>
      </c>
      <c r="C1316" s="4">
        <v>45767</v>
      </c>
      <c r="D1316" s="3" t="s">
        <v>35</v>
      </c>
      <c r="E1316" s="3" t="s">
        <v>43</v>
      </c>
      <c r="F1316" s="5">
        <v>5</v>
      </c>
      <c r="G1316" s="6">
        <v>11.94</v>
      </c>
      <c r="H1316" s="6">
        <v>59.7</v>
      </c>
      <c r="I1316" s="6">
        <v>0</v>
      </c>
      <c r="J1316" s="6">
        <v>59.7</v>
      </c>
      <c r="K1316" s="5">
        <v>486</v>
      </c>
    </row>
    <row r="1317" spans="1:11" x14ac:dyDescent="0.3">
      <c r="A1317" s="3">
        <v>4578</v>
      </c>
      <c r="B1317" s="3" t="s">
        <v>42</v>
      </c>
      <c r="C1317" s="4">
        <v>45736</v>
      </c>
      <c r="D1317" s="3" t="s">
        <v>20</v>
      </c>
      <c r="E1317" s="3" t="s">
        <v>40</v>
      </c>
      <c r="F1317" s="5">
        <v>2</v>
      </c>
      <c r="G1317" s="6">
        <v>12.37</v>
      </c>
      <c r="H1317" s="6">
        <v>24.74</v>
      </c>
      <c r="I1317" s="6">
        <v>0</v>
      </c>
      <c r="J1317" s="6">
        <v>24.74</v>
      </c>
      <c r="K1317" s="5">
        <v>421</v>
      </c>
    </row>
    <row r="1318" spans="1:11" x14ac:dyDescent="0.3">
      <c r="A1318" s="3">
        <v>5054</v>
      </c>
      <c r="B1318" s="3" t="s">
        <v>26</v>
      </c>
      <c r="C1318" s="4">
        <v>45673</v>
      </c>
      <c r="D1318" s="3" t="s">
        <v>45</v>
      </c>
      <c r="E1318" s="3" t="s">
        <v>21</v>
      </c>
      <c r="F1318" s="5">
        <v>4</v>
      </c>
      <c r="G1318" s="6">
        <v>24.98</v>
      </c>
      <c r="H1318" s="6">
        <v>99.92</v>
      </c>
      <c r="I1318" s="6">
        <v>14.99</v>
      </c>
      <c r="J1318" s="6">
        <v>84.93</v>
      </c>
      <c r="K1318" s="5">
        <v>84</v>
      </c>
    </row>
    <row r="1319" spans="1:11" x14ac:dyDescent="0.3">
      <c r="A1319" s="3">
        <v>2341</v>
      </c>
      <c r="B1319" s="3" t="s">
        <v>24</v>
      </c>
      <c r="C1319" s="4">
        <v>45553</v>
      </c>
      <c r="D1319" s="3" t="s">
        <v>17</v>
      </c>
      <c r="E1319" s="3" t="s">
        <v>13</v>
      </c>
      <c r="F1319" s="5">
        <v>1</v>
      </c>
      <c r="G1319" s="6">
        <v>4.0199999999999996</v>
      </c>
      <c r="H1319" s="6">
        <v>4.0199999999999996</v>
      </c>
      <c r="I1319" s="6">
        <v>1.96</v>
      </c>
      <c r="J1319" s="6">
        <v>2.06</v>
      </c>
      <c r="K1319" s="5">
        <v>185</v>
      </c>
    </row>
    <row r="1320" spans="1:11" x14ac:dyDescent="0.3">
      <c r="A1320" s="3">
        <v>8319</v>
      </c>
      <c r="B1320" s="3" t="s">
        <v>19</v>
      </c>
      <c r="C1320" s="4">
        <v>45555</v>
      </c>
      <c r="D1320" s="3" t="s">
        <v>38</v>
      </c>
      <c r="E1320" s="3" t="s">
        <v>48</v>
      </c>
      <c r="F1320" s="5">
        <v>1</v>
      </c>
      <c r="G1320" s="6">
        <v>7.14</v>
      </c>
      <c r="H1320" s="6">
        <v>7.14</v>
      </c>
      <c r="I1320" s="6">
        <v>1.43</v>
      </c>
      <c r="J1320" s="6">
        <v>5.71</v>
      </c>
      <c r="K1320" s="5">
        <v>5</v>
      </c>
    </row>
    <row r="1321" spans="1:11" x14ac:dyDescent="0.3">
      <c r="A1321" s="3">
        <v>6927</v>
      </c>
      <c r="B1321" s="3" t="s">
        <v>14</v>
      </c>
      <c r="C1321" s="4">
        <v>45205</v>
      </c>
      <c r="D1321" s="3" t="s">
        <v>17</v>
      </c>
      <c r="E1321" s="3" t="s">
        <v>40</v>
      </c>
      <c r="F1321" s="5">
        <v>2</v>
      </c>
      <c r="G1321" s="6">
        <v>8.8000000000000007</v>
      </c>
      <c r="H1321" s="6">
        <v>17.600000000000001</v>
      </c>
      <c r="I1321" s="6">
        <v>4.95</v>
      </c>
      <c r="J1321" s="6">
        <v>12.65</v>
      </c>
      <c r="K1321" s="5">
        <v>500</v>
      </c>
    </row>
    <row r="1322" spans="1:11" x14ac:dyDescent="0.3">
      <c r="A1322" s="3">
        <v>2838</v>
      </c>
      <c r="B1322" s="3" t="s">
        <v>26</v>
      </c>
      <c r="C1322" s="4">
        <v>45192</v>
      </c>
      <c r="D1322" s="3" t="s">
        <v>12</v>
      </c>
      <c r="E1322" s="3" t="s">
        <v>40</v>
      </c>
      <c r="F1322" s="5">
        <v>3</v>
      </c>
      <c r="G1322" s="6">
        <v>3.69</v>
      </c>
      <c r="H1322" s="6">
        <v>11.07</v>
      </c>
      <c r="I1322" s="6">
        <v>1.66</v>
      </c>
      <c r="J1322" s="6">
        <v>9.41</v>
      </c>
      <c r="K1322" s="5">
        <v>158</v>
      </c>
    </row>
    <row r="1323" spans="1:11" x14ac:dyDescent="0.3">
      <c r="A1323" s="3">
        <v>9972</v>
      </c>
      <c r="B1323" s="3" t="s">
        <v>30</v>
      </c>
      <c r="C1323" s="4">
        <v>45846</v>
      </c>
      <c r="D1323" s="3" t="s">
        <v>20</v>
      </c>
      <c r="E1323" s="3" t="s">
        <v>46</v>
      </c>
      <c r="F1323" s="5">
        <v>2</v>
      </c>
      <c r="G1323" s="6">
        <v>10.11</v>
      </c>
      <c r="H1323" s="6">
        <v>20.22</v>
      </c>
      <c r="I1323" s="6">
        <v>4.04</v>
      </c>
      <c r="J1323" s="6">
        <v>16.18</v>
      </c>
      <c r="K1323" s="5">
        <v>200</v>
      </c>
    </row>
    <row r="1324" spans="1:11" x14ac:dyDescent="0.3">
      <c r="A1324" s="3">
        <v>9281</v>
      </c>
      <c r="B1324" s="3" t="s">
        <v>11</v>
      </c>
      <c r="C1324" s="4">
        <v>45302</v>
      </c>
      <c r="D1324" s="3" t="s">
        <v>22</v>
      </c>
      <c r="E1324" s="3" t="s">
        <v>16</v>
      </c>
      <c r="F1324" s="5">
        <v>5</v>
      </c>
      <c r="G1324" s="6">
        <v>3.92</v>
      </c>
      <c r="H1324" s="6">
        <v>19.600000000000001</v>
      </c>
      <c r="I1324" s="6">
        <v>3.35</v>
      </c>
      <c r="J1324" s="6">
        <v>16.25</v>
      </c>
      <c r="K1324" s="5">
        <v>413</v>
      </c>
    </row>
    <row r="1325" spans="1:11" x14ac:dyDescent="0.3">
      <c r="A1325" s="3">
        <v>9792</v>
      </c>
      <c r="B1325" s="3" t="s">
        <v>24</v>
      </c>
      <c r="C1325" s="4">
        <v>45261</v>
      </c>
      <c r="D1325" s="3" t="s">
        <v>45</v>
      </c>
      <c r="E1325" s="3" t="s">
        <v>40</v>
      </c>
      <c r="F1325" s="5">
        <v>3</v>
      </c>
      <c r="G1325" s="6">
        <v>5.67</v>
      </c>
      <c r="H1325" s="6">
        <v>17.010000000000002</v>
      </c>
      <c r="I1325" s="6">
        <v>4.54</v>
      </c>
      <c r="J1325" s="6">
        <v>12.47</v>
      </c>
      <c r="K1325" s="5">
        <v>349</v>
      </c>
    </row>
    <row r="1326" spans="1:11" x14ac:dyDescent="0.3">
      <c r="A1326" s="3">
        <v>3695</v>
      </c>
      <c r="B1326" s="3" t="s">
        <v>11</v>
      </c>
      <c r="C1326" s="4">
        <v>45399</v>
      </c>
      <c r="D1326" s="3" t="s">
        <v>17</v>
      </c>
      <c r="E1326" s="3" t="s">
        <v>44</v>
      </c>
      <c r="F1326" s="5">
        <v>2</v>
      </c>
      <c r="G1326" s="6">
        <v>23.29</v>
      </c>
      <c r="H1326" s="6">
        <v>46.58</v>
      </c>
      <c r="I1326" s="6">
        <v>4.66</v>
      </c>
      <c r="J1326" s="6">
        <v>41.92</v>
      </c>
      <c r="K1326" s="5">
        <v>82</v>
      </c>
    </row>
    <row r="1327" spans="1:11" x14ac:dyDescent="0.3">
      <c r="A1327" s="3">
        <v>9525</v>
      </c>
      <c r="B1327" s="3" t="s">
        <v>19</v>
      </c>
      <c r="C1327" s="4">
        <v>45488</v>
      </c>
      <c r="D1327" s="3" t="s">
        <v>22</v>
      </c>
      <c r="E1327" s="3" t="s">
        <v>37</v>
      </c>
      <c r="F1327" s="5">
        <v>3</v>
      </c>
      <c r="G1327" s="6">
        <v>19.07</v>
      </c>
      <c r="H1327" s="6">
        <v>57.21</v>
      </c>
      <c r="I1327" s="6">
        <v>4.5599999999999996</v>
      </c>
      <c r="J1327" s="6">
        <v>52.65</v>
      </c>
      <c r="K1327" s="5">
        <v>481</v>
      </c>
    </row>
    <row r="1328" spans="1:11" x14ac:dyDescent="0.3">
      <c r="A1328" s="3">
        <v>2904</v>
      </c>
      <c r="B1328" s="3" t="s">
        <v>24</v>
      </c>
      <c r="C1328" s="4">
        <v>45673</v>
      </c>
      <c r="D1328" s="3" t="s">
        <v>17</v>
      </c>
      <c r="E1328" s="3" t="s">
        <v>44</v>
      </c>
      <c r="F1328" s="5">
        <v>5</v>
      </c>
      <c r="G1328" s="6">
        <v>18.59</v>
      </c>
      <c r="H1328" s="6">
        <v>92.95</v>
      </c>
      <c r="I1328" s="6">
        <v>3.51</v>
      </c>
      <c r="J1328" s="6">
        <v>89.44</v>
      </c>
      <c r="K1328" s="5">
        <v>490</v>
      </c>
    </row>
    <row r="1329" spans="1:11" x14ac:dyDescent="0.3">
      <c r="A1329" s="3">
        <v>4365</v>
      </c>
      <c r="B1329" s="3" t="s">
        <v>26</v>
      </c>
      <c r="C1329" s="4">
        <v>45701</v>
      </c>
      <c r="D1329" s="3" t="s">
        <v>15</v>
      </c>
      <c r="E1329" s="3" t="s">
        <v>39</v>
      </c>
      <c r="F1329" s="5">
        <v>2</v>
      </c>
      <c r="G1329" s="6">
        <v>23.21</v>
      </c>
      <c r="H1329" s="6">
        <v>46.42</v>
      </c>
      <c r="I1329" s="6">
        <v>4.6399999999999997</v>
      </c>
      <c r="J1329" s="6">
        <v>41.78</v>
      </c>
      <c r="K1329" s="5">
        <v>158</v>
      </c>
    </row>
    <row r="1330" spans="1:11" x14ac:dyDescent="0.3">
      <c r="A1330" s="3">
        <v>9008</v>
      </c>
      <c r="B1330" s="3" t="s">
        <v>11</v>
      </c>
      <c r="C1330" s="4">
        <v>45215</v>
      </c>
      <c r="D1330" s="3" t="s">
        <v>45</v>
      </c>
      <c r="E1330" s="3" t="s">
        <v>21</v>
      </c>
      <c r="F1330" s="5">
        <v>2</v>
      </c>
      <c r="G1330" s="6">
        <v>28.08</v>
      </c>
      <c r="H1330" s="6">
        <v>56.16</v>
      </c>
      <c r="I1330" s="6">
        <v>8.42</v>
      </c>
      <c r="J1330" s="6">
        <v>47.74</v>
      </c>
      <c r="K1330" s="5">
        <v>82</v>
      </c>
    </row>
    <row r="1331" spans="1:11" x14ac:dyDescent="0.3">
      <c r="A1331" s="3">
        <v>9361</v>
      </c>
      <c r="B1331" s="3" t="s">
        <v>36</v>
      </c>
      <c r="C1331" s="4">
        <v>45491</v>
      </c>
      <c r="D1331" s="3" t="s">
        <v>22</v>
      </c>
      <c r="E1331" s="3" t="s">
        <v>43</v>
      </c>
      <c r="F1331" s="5">
        <v>1</v>
      </c>
      <c r="G1331" s="6">
        <v>6.19</v>
      </c>
      <c r="H1331" s="6">
        <v>6.19</v>
      </c>
      <c r="I1331" s="6">
        <v>0.93</v>
      </c>
      <c r="J1331" s="6">
        <v>5.26</v>
      </c>
      <c r="K1331" s="5">
        <v>395</v>
      </c>
    </row>
    <row r="1332" spans="1:11" x14ac:dyDescent="0.3">
      <c r="A1332" s="3">
        <v>1911</v>
      </c>
      <c r="B1332" s="3" t="s">
        <v>26</v>
      </c>
      <c r="C1332" s="4">
        <v>45497</v>
      </c>
      <c r="D1332" s="3" t="s">
        <v>35</v>
      </c>
      <c r="E1332" s="3" t="s">
        <v>33</v>
      </c>
      <c r="F1332" s="5">
        <v>2</v>
      </c>
      <c r="G1332" s="6">
        <v>28.25</v>
      </c>
      <c r="H1332" s="6">
        <v>56.5</v>
      </c>
      <c r="I1332" s="6">
        <v>2.4500000000000002</v>
      </c>
      <c r="J1332" s="6">
        <v>54.05</v>
      </c>
      <c r="K1332" s="5">
        <v>497</v>
      </c>
    </row>
    <row r="1333" spans="1:11" x14ac:dyDescent="0.3">
      <c r="A1333" s="3">
        <v>3161</v>
      </c>
      <c r="B1333" s="3" t="s">
        <v>30</v>
      </c>
      <c r="C1333" s="4">
        <v>45543</v>
      </c>
      <c r="D1333" s="3" t="s">
        <v>20</v>
      </c>
      <c r="E1333" s="3" t="s">
        <v>16</v>
      </c>
      <c r="F1333" s="5">
        <v>5</v>
      </c>
      <c r="G1333" s="6">
        <v>27.59</v>
      </c>
      <c r="H1333" s="6">
        <v>137.94999999999999</v>
      </c>
      <c r="I1333" s="6">
        <v>20.69</v>
      </c>
      <c r="J1333" s="6">
        <v>117.26</v>
      </c>
      <c r="K1333" s="5">
        <v>66</v>
      </c>
    </row>
    <row r="1334" spans="1:11" x14ac:dyDescent="0.3">
      <c r="A1334" s="3">
        <v>7806</v>
      </c>
      <c r="B1334" s="3" t="s">
        <v>14</v>
      </c>
      <c r="C1334" s="4">
        <v>45499</v>
      </c>
      <c r="D1334" s="3" t="s">
        <v>28</v>
      </c>
      <c r="E1334" s="3" t="s">
        <v>21</v>
      </c>
      <c r="F1334" s="5">
        <v>3</v>
      </c>
      <c r="G1334" s="6">
        <v>3.41</v>
      </c>
      <c r="H1334" s="6">
        <v>10.23</v>
      </c>
      <c r="I1334" s="6">
        <v>1.53</v>
      </c>
      <c r="J1334" s="6">
        <v>8.6999999999999993</v>
      </c>
      <c r="K1334" s="5">
        <v>211</v>
      </c>
    </row>
    <row r="1335" spans="1:11" x14ac:dyDescent="0.3">
      <c r="A1335" s="3">
        <v>1945</v>
      </c>
      <c r="B1335" s="3" t="s">
        <v>31</v>
      </c>
      <c r="C1335" s="4">
        <v>45579</v>
      </c>
      <c r="D1335" s="3" t="s">
        <v>28</v>
      </c>
      <c r="E1335" s="3" t="s">
        <v>40</v>
      </c>
      <c r="F1335" s="5">
        <v>2</v>
      </c>
      <c r="G1335" s="6">
        <v>21.28</v>
      </c>
      <c r="H1335" s="6">
        <v>42.56</v>
      </c>
      <c r="I1335" s="6">
        <v>8.51</v>
      </c>
      <c r="J1335" s="6">
        <v>34.049999999999997</v>
      </c>
      <c r="K1335" s="5">
        <v>287</v>
      </c>
    </row>
    <row r="1336" spans="1:11" x14ac:dyDescent="0.3">
      <c r="A1336" s="3">
        <v>8575</v>
      </c>
      <c r="B1336" s="3" t="s">
        <v>11</v>
      </c>
      <c r="C1336" s="4">
        <v>45667</v>
      </c>
      <c r="D1336" s="3" t="s">
        <v>35</v>
      </c>
      <c r="E1336" s="3" t="s">
        <v>32</v>
      </c>
      <c r="F1336" s="5">
        <v>2</v>
      </c>
      <c r="G1336" s="6">
        <v>17.52</v>
      </c>
      <c r="H1336" s="6">
        <v>35.04</v>
      </c>
      <c r="I1336" s="6">
        <v>7.01</v>
      </c>
      <c r="J1336" s="6">
        <v>28.03</v>
      </c>
      <c r="K1336" s="5">
        <v>437</v>
      </c>
    </row>
    <row r="1337" spans="1:11" x14ac:dyDescent="0.3">
      <c r="A1337" s="3">
        <v>6049</v>
      </c>
      <c r="B1337" s="3" t="s">
        <v>24</v>
      </c>
      <c r="C1337" s="4">
        <v>45706</v>
      </c>
      <c r="D1337" s="3" t="s">
        <v>45</v>
      </c>
      <c r="E1337" s="3" t="s">
        <v>43</v>
      </c>
      <c r="F1337" s="5">
        <v>3</v>
      </c>
      <c r="G1337" s="6">
        <v>14.5</v>
      </c>
      <c r="H1337" s="6">
        <v>43.5</v>
      </c>
      <c r="I1337" s="6">
        <v>1.34</v>
      </c>
      <c r="J1337" s="6">
        <v>42.16</v>
      </c>
      <c r="K1337" s="5">
        <v>328</v>
      </c>
    </row>
    <row r="1338" spans="1:11" x14ac:dyDescent="0.3">
      <c r="A1338" s="3">
        <v>1356</v>
      </c>
      <c r="B1338" s="3" t="s">
        <v>11</v>
      </c>
      <c r="C1338" s="4">
        <v>45452</v>
      </c>
      <c r="D1338" s="3" t="s">
        <v>20</v>
      </c>
      <c r="E1338" s="3" t="s">
        <v>16</v>
      </c>
      <c r="F1338" s="5">
        <v>2</v>
      </c>
      <c r="G1338" s="6">
        <v>12.63</v>
      </c>
      <c r="H1338" s="6">
        <v>25.26</v>
      </c>
      <c r="I1338" s="6">
        <v>3.79</v>
      </c>
      <c r="J1338" s="6">
        <v>21.47</v>
      </c>
      <c r="K1338" s="5">
        <v>33</v>
      </c>
    </row>
    <row r="1339" spans="1:11" x14ac:dyDescent="0.3">
      <c r="A1339" s="3">
        <v>5169</v>
      </c>
      <c r="B1339" s="3" t="s">
        <v>26</v>
      </c>
      <c r="C1339" s="4">
        <v>45779</v>
      </c>
      <c r="D1339" s="3" t="s">
        <v>17</v>
      </c>
      <c r="E1339" s="3" t="s">
        <v>47</v>
      </c>
      <c r="F1339" s="5">
        <v>1</v>
      </c>
      <c r="G1339" s="6">
        <v>9.06</v>
      </c>
      <c r="H1339" s="6">
        <v>9.06</v>
      </c>
      <c r="I1339" s="6">
        <v>0.91</v>
      </c>
      <c r="J1339" s="6">
        <v>8.15</v>
      </c>
      <c r="K1339" s="5">
        <v>19</v>
      </c>
    </row>
    <row r="1340" spans="1:11" x14ac:dyDescent="0.3">
      <c r="A1340" s="3">
        <v>1049</v>
      </c>
      <c r="B1340" s="3" t="s">
        <v>19</v>
      </c>
      <c r="C1340" s="4">
        <v>45724</v>
      </c>
      <c r="D1340" s="3" t="s">
        <v>27</v>
      </c>
      <c r="E1340" s="3" t="s">
        <v>44</v>
      </c>
      <c r="F1340" s="5">
        <v>3</v>
      </c>
      <c r="G1340" s="6">
        <v>17.47</v>
      </c>
      <c r="H1340" s="6">
        <v>52.41</v>
      </c>
      <c r="I1340" s="6">
        <v>4.75</v>
      </c>
      <c r="J1340" s="6">
        <v>47.66</v>
      </c>
      <c r="K1340" s="5">
        <v>307</v>
      </c>
    </row>
    <row r="1341" spans="1:11" x14ac:dyDescent="0.3">
      <c r="A1341" s="3">
        <v>4570</v>
      </c>
      <c r="B1341" s="3" t="s">
        <v>36</v>
      </c>
      <c r="C1341" s="4">
        <v>45594</v>
      </c>
      <c r="D1341" s="3" t="s">
        <v>20</v>
      </c>
      <c r="E1341" s="3" t="s">
        <v>47</v>
      </c>
      <c r="F1341" s="5">
        <v>2</v>
      </c>
      <c r="G1341" s="6">
        <v>2.56</v>
      </c>
      <c r="H1341" s="6">
        <v>5.12</v>
      </c>
      <c r="I1341" s="6">
        <v>0</v>
      </c>
      <c r="J1341" s="6">
        <v>5.12</v>
      </c>
      <c r="K1341" s="5">
        <v>444</v>
      </c>
    </row>
    <row r="1342" spans="1:11" x14ac:dyDescent="0.3">
      <c r="A1342" s="3">
        <v>2196</v>
      </c>
      <c r="B1342" s="3" t="s">
        <v>24</v>
      </c>
      <c r="C1342" s="4">
        <v>45180</v>
      </c>
      <c r="D1342" s="3" t="s">
        <v>35</v>
      </c>
      <c r="E1342" s="3" t="s">
        <v>13</v>
      </c>
      <c r="F1342" s="5">
        <v>2</v>
      </c>
      <c r="G1342" s="6">
        <v>3.41</v>
      </c>
      <c r="H1342" s="6">
        <v>6.82</v>
      </c>
      <c r="I1342" s="6">
        <v>0.68</v>
      </c>
      <c r="J1342" s="6">
        <v>6.14</v>
      </c>
      <c r="K1342" s="5">
        <v>35</v>
      </c>
    </row>
    <row r="1343" spans="1:11" x14ac:dyDescent="0.3">
      <c r="A1343" s="3">
        <v>7941</v>
      </c>
      <c r="B1343" s="3" t="s">
        <v>11</v>
      </c>
      <c r="C1343" s="4">
        <v>45412</v>
      </c>
      <c r="D1343" s="3" t="s">
        <v>35</v>
      </c>
      <c r="E1343" s="3" t="s">
        <v>33</v>
      </c>
      <c r="F1343" s="5">
        <v>4</v>
      </c>
      <c r="G1343" s="6">
        <v>16.21</v>
      </c>
      <c r="H1343" s="6">
        <v>64.84</v>
      </c>
      <c r="I1343" s="6">
        <v>12.97</v>
      </c>
      <c r="J1343" s="6">
        <v>51.87</v>
      </c>
      <c r="K1343" s="5">
        <v>342</v>
      </c>
    </row>
    <row r="1344" spans="1:11" x14ac:dyDescent="0.3">
      <c r="A1344" s="3">
        <v>2044</v>
      </c>
      <c r="B1344" s="3" t="s">
        <v>31</v>
      </c>
      <c r="C1344" s="4">
        <v>45565</v>
      </c>
      <c r="D1344" s="3" t="s">
        <v>15</v>
      </c>
      <c r="E1344" s="3" t="s">
        <v>16</v>
      </c>
      <c r="F1344" s="5">
        <v>3</v>
      </c>
      <c r="G1344" s="6">
        <v>28.93</v>
      </c>
      <c r="H1344" s="6">
        <v>86.79</v>
      </c>
      <c r="I1344" s="6">
        <v>17.36</v>
      </c>
      <c r="J1344" s="6">
        <v>69.430000000000007</v>
      </c>
      <c r="K1344" s="5">
        <v>152</v>
      </c>
    </row>
    <row r="1345" spans="1:11" x14ac:dyDescent="0.3">
      <c r="A1345" s="3">
        <v>1987</v>
      </c>
      <c r="B1345" s="3" t="s">
        <v>36</v>
      </c>
      <c r="C1345" s="4">
        <v>45870</v>
      </c>
      <c r="D1345" s="3" t="s">
        <v>20</v>
      </c>
      <c r="E1345" s="3" t="s">
        <v>47</v>
      </c>
      <c r="F1345" s="5">
        <v>4</v>
      </c>
      <c r="G1345" s="6">
        <v>16.52</v>
      </c>
      <c r="H1345" s="6">
        <v>66.08</v>
      </c>
      <c r="I1345" s="6">
        <v>0</v>
      </c>
      <c r="J1345" s="6">
        <v>66.08</v>
      </c>
      <c r="K1345" s="5">
        <v>401</v>
      </c>
    </row>
    <row r="1346" spans="1:11" x14ac:dyDescent="0.3">
      <c r="A1346" s="3">
        <v>2130</v>
      </c>
      <c r="B1346" s="3" t="s">
        <v>24</v>
      </c>
      <c r="C1346" s="4">
        <v>45870</v>
      </c>
      <c r="D1346" s="3" t="s">
        <v>22</v>
      </c>
      <c r="E1346" s="3" t="s">
        <v>32</v>
      </c>
      <c r="F1346" s="5">
        <v>1</v>
      </c>
      <c r="G1346" s="6">
        <v>17.260000000000002</v>
      </c>
      <c r="H1346" s="6">
        <v>17.260000000000002</v>
      </c>
      <c r="I1346" s="6">
        <v>3.89</v>
      </c>
      <c r="J1346" s="6">
        <v>13.37</v>
      </c>
      <c r="K1346" s="5">
        <v>457</v>
      </c>
    </row>
    <row r="1347" spans="1:11" x14ac:dyDescent="0.3">
      <c r="A1347" s="3">
        <v>8734</v>
      </c>
      <c r="B1347" s="3" t="s">
        <v>19</v>
      </c>
      <c r="C1347" s="4">
        <v>45169</v>
      </c>
      <c r="D1347" s="3" t="s">
        <v>22</v>
      </c>
      <c r="E1347" s="3" t="s">
        <v>21</v>
      </c>
      <c r="F1347" s="5">
        <v>1</v>
      </c>
      <c r="G1347" s="6">
        <v>5.35</v>
      </c>
      <c r="H1347" s="6">
        <v>5.35</v>
      </c>
      <c r="I1347" s="6">
        <v>0.54</v>
      </c>
      <c r="J1347" s="6">
        <v>4.8099999999999996</v>
      </c>
      <c r="K1347" s="5">
        <v>234</v>
      </c>
    </row>
    <row r="1348" spans="1:11" x14ac:dyDescent="0.3">
      <c r="A1348" s="3">
        <v>5703</v>
      </c>
      <c r="B1348" s="3" t="s">
        <v>36</v>
      </c>
      <c r="C1348" s="4">
        <v>45462</v>
      </c>
      <c r="D1348" s="3" t="s">
        <v>15</v>
      </c>
      <c r="E1348" s="3" t="s">
        <v>16</v>
      </c>
      <c r="F1348" s="5">
        <v>3</v>
      </c>
      <c r="G1348" s="6">
        <v>16.09</v>
      </c>
      <c r="H1348" s="6">
        <v>48.27</v>
      </c>
      <c r="I1348" s="6">
        <v>9.65</v>
      </c>
      <c r="J1348" s="6">
        <v>38.619999999999997</v>
      </c>
      <c r="K1348" s="5">
        <v>1</v>
      </c>
    </row>
    <row r="1349" spans="1:11" x14ac:dyDescent="0.3">
      <c r="A1349" s="3">
        <v>3948</v>
      </c>
      <c r="B1349" s="3" t="s">
        <v>26</v>
      </c>
      <c r="C1349" s="4">
        <v>45742</v>
      </c>
      <c r="D1349" s="3" t="s">
        <v>27</v>
      </c>
      <c r="E1349" s="3" t="s">
        <v>48</v>
      </c>
      <c r="F1349" s="5">
        <v>1</v>
      </c>
      <c r="G1349" s="6">
        <v>7.33</v>
      </c>
      <c r="H1349" s="6">
        <v>7.33</v>
      </c>
      <c r="I1349" s="6">
        <v>0</v>
      </c>
      <c r="J1349" s="6">
        <v>7.33</v>
      </c>
      <c r="K1349" s="5">
        <v>96</v>
      </c>
    </row>
    <row r="1350" spans="1:11" x14ac:dyDescent="0.3">
      <c r="A1350" s="3">
        <v>3218</v>
      </c>
      <c r="B1350" s="3" t="s">
        <v>14</v>
      </c>
      <c r="C1350" s="4">
        <v>45739</v>
      </c>
      <c r="D1350" s="3" t="s">
        <v>34</v>
      </c>
      <c r="E1350" s="3" t="s">
        <v>32</v>
      </c>
      <c r="F1350" s="5">
        <v>2</v>
      </c>
      <c r="G1350" s="6">
        <v>11.08</v>
      </c>
      <c r="H1350" s="6">
        <v>22.16</v>
      </c>
      <c r="I1350" s="6">
        <v>0</v>
      </c>
      <c r="J1350" s="6">
        <v>22.16</v>
      </c>
      <c r="K1350" s="5">
        <v>487</v>
      </c>
    </row>
    <row r="1351" spans="1:11" x14ac:dyDescent="0.3">
      <c r="A1351" s="3">
        <v>7887</v>
      </c>
      <c r="B1351" s="3"/>
      <c r="C1351" s="4">
        <v>45435</v>
      </c>
      <c r="D1351" s="3" t="s">
        <v>22</v>
      </c>
      <c r="E1351" s="3" t="s">
        <v>23</v>
      </c>
      <c r="F1351" s="5">
        <v>1</v>
      </c>
      <c r="G1351" s="6">
        <v>9.75</v>
      </c>
      <c r="H1351" s="6">
        <v>9.75</v>
      </c>
      <c r="I1351" s="6">
        <v>0</v>
      </c>
      <c r="J1351" s="6">
        <v>9.75</v>
      </c>
      <c r="K1351" s="5">
        <v>157</v>
      </c>
    </row>
    <row r="1352" spans="1:11" x14ac:dyDescent="0.3">
      <c r="A1352" s="3">
        <v>7266</v>
      </c>
      <c r="B1352" s="3" t="s">
        <v>26</v>
      </c>
      <c r="C1352" s="4">
        <v>45493</v>
      </c>
      <c r="D1352" s="3" t="s">
        <v>27</v>
      </c>
      <c r="E1352" s="3" t="s">
        <v>33</v>
      </c>
      <c r="F1352" s="5">
        <v>4</v>
      </c>
      <c r="G1352" s="6">
        <v>12.89</v>
      </c>
      <c r="H1352" s="6">
        <v>51.56</v>
      </c>
      <c r="I1352" s="6">
        <v>4.9000000000000004</v>
      </c>
      <c r="J1352" s="6">
        <v>46.66</v>
      </c>
      <c r="K1352" s="5">
        <v>180</v>
      </c>
    </row>
    <row r="1353" spans="1:11" x14ac:dyDescent="0.3">
      <c r="A1353" s="3">
        <v>7184</v>
      </c>
      <c r="B1353" s="3" t="s">
        <v>36</v>
      </c>
      <c r="C1353" s="4">
        <v>45436</v>
      </c>
      <c r="D1353" s="3" t="s">
        <v>15</v>
      </c>
      <c r="E1353" s="3" t="s">
        <v>29</v>
      </c>
      <c r="F1353" s="5">
        <v>4</v>
      </c>
      <c r="G1353" s="6">
        <v>13.41</v>
      </c>
      <c r="H1353" s="6">
        <v>53.64</v>
      </c>
      <c r="I1353" s="6">
        <v>2.74</v>
      </c>
      <c r="J1353" s="6">
        <v>50.9</v>
      </c>
      <c r="K1353" s="5">
        <v>90</v>
      </c>
    </row>
    <row r="1354" spans="1:11" x14ac:dyDescent="0.3">
      <c r="A1354" s="3">
        <v>2314</v>
      </c>
      <c r="B1354" s="3" t="s">
        <v>30</v>
      </c>
      <c r="C1354" s="4">
        <v>45675</v>
      </c>
      <c r="D1354" s="3" t="s">
        <v>27</v>
      </c>
      <c r="E1354" s="3" t="s">
        <v>16</v>
      </c>
      <c r="F1354" s="5">
        <v>3</v>
      </c>
      <c r="G1354" s="6">
        <v>21.35</v>
      </c>
      <c r="H1354" s="6">
        <v>64.05</v>
      </c>
      <c r="I1354" s="6">
        <v>4.22</v>
      </c>
      <c r="J1354" s="6">
        <v>59.83</v>
      </c>
      <c r="K1354" s="5">
        <v>480</v>
      </c>
    </row>
    <row r="1355" spans="1:11" x14ac:dyDescent="0.3">
      <c r="A1355" s="3">
        <v>9835</v>
      </c>
      <c r="B1355" s="3" t="s">
        <v>11</v>
      </c>
      <c r="C1355" s="4">
        <v>45248</v>
      </c>
      <c r="D1355" s="3" t="s">
        <v>15</v>
      </c>
      <c r="E1355" s="3" t="s">
        <v>39</v>
      </c>
      <c r="F1355" s="5">
        <v>5</v>
      </c>
      <c r="G1355" s="6">
        <v>28.03</v>
      </c>
      <c r="H1355" s="6">
        <v>140.15</v>
      </c>
      <c r="I1355" s="6">
        <v>0</v>
      </c>
      <c r="J1355" s="6">
        <v>140.15</v>
      </c>
      <c r="K1355" s="5">
        <v>53</v>
      </c>
    </row>
    <row r="1356" spans="1:11" x14ac:dyDescent="0.3">
      <c r="A1356" s="3">
        <v>6697</v>
      </c>
      <c r="B1356" s="3" t="s">
        <v>14</v>
      </c>
      <c r="C1356" s="4">
        <v>45237</v>
      </c>
      <c r="D1356" s="3" t="s">
        <v>15</v>
      </c>
      <c r="E1356" s="3" t="s">
        <v>33</v>
      </c>
      <c r="F1356" s="5">
        <v>5</v>
      </c>
      <c r="G1356" s="6">
        <v>17.850000000000001</v>
      </c>
      <c r="H1356" s="6">
        <v>89.25</v>
      </c>
      <c r="I1356" s="6">
        <v>8.93</v>
      </c>
      <c r="J1356" s="6">
        <v>80.319999999999993</v>
      </c>
      <c r="K1356" s="5">
        <v>16</v>
      </c>
    </row>
    <row r="1357" spans="1:11" x14ac:dyDescent="0.3">
      <c r="A1357" s="3">
        <v>3924</v>
      </c>
      <c r="B1357" s="3" t="s">
        <v>42</v>
      </c>
      <c r="C1357" s="4">
        <v>45562</v>
      </c>
      <c r="D1357" s="3" t="s">
        <v>17</v>
      </c>
      <c r="E1357" s="3" t="s">
        <v>33</v>
      </c>
      <c r="F1357" s="5">
        <v>5</v>
      </c>
      <c r="G1357" s="6">
        <v>12.04</v>
      </c>
      <c r="H1357" s="6">
        <v>60.2</v>
      </c>
      <c r="I1357" s="6">
        <v>2.4</v>
      </c>
      <c r="J1357" s="6">
        <v>57.8</v>
      </c>
      <c r="K1357" s="5">
        <v>100</v>
      </c>
    </row>
    <row r="1358" spans="1:11" x14ac:dyDescent="0.3">
      <c r="A1358" s="3">
        <v>7439</v>
      </c>
      <c r="B1358" s="3" t="s">
        <v>26</v>
      </c>
      <c r="C1358" s="4">
        <v>45555</v>
      </c>
      <c r="D1358" s="3" t="s">
        <v>20</v>
      </c>
      <c r="E1358" s="3" t="s">
        <v>32</v>
      </c>
      <c r="F1358" s="5">
        <v>1</v>
      </c>
      <c r="G1358" s="6">
        <v>28.24</v>
      </c>
      <c r="H1358" s="6">
        <v>28.24</v>
      </c>
      <c r="I1358" s="6">
        <v>2.13</v>
      </c>
      <c r="J1358" s="6">
        <v>26.11</v>
      </c>
      <c r="K1358" s="5">
        <v>400</v>
      </c>
    </row>
    <row r="1359" spans="1:11" x14ac:dyDescent="0.3">
      <c r="A1359" s="3">
        <v>3086</v>
      </c>
      <c r="B1359" s="3" t="s">
        <v>30</v>
      </c>
      <c r="C1359" s="4">
        <v>45710</v>
      </c>
      <c r="D1359" s="3" t="s">
        <v>35</v>
      </c>
      <c r="E1359" s="3" t="s">
        <v>16</v>
      </c>
      <c r="F1359" s="5">
        <v>2</v>
      </c>
      <c r="G1359" s="6">
        <v>1.1100000000000001</v>
      </c>
      <c r="H1359" s="6">
        <v>2.2200000000000002</v>
      </c>
      <c r="I1359" s="6">
        <v>1.06</v>
      </c>
      <c r="J1359" s="6">
        <v>1.1599999999999999</v>
      </c>
      <c r="K1359" s="5">
        <v>465</v>
      </c>
    </row>
    <row r="1360" spans="1:11" x14ac:dyDescent="0.3">
      <c r="A1360" s="3">
        <v>4648</v>
      </c>
      <c r="B1360" s="3" t="s">
        <v>19</v>
      </c>
      <c r="C1360" s="4">
        <v>45793</v>
      </c>
      <c r="D1360" s="3" t="s">
        <v>22</v>
      </c>
      <c r="E1360" s="3" t="s">
        <v>46</v>
      </c>
      <c r="F1360" s="5">
        <v>5</v>
      </c>
      <c r="G1360" s="6">
        <v>10.199999999999999</v>
      </c>
      <c r="H1360" s="6">
        <v>51</v>
      </c>
      <c r="I1360" s="6">
        <v>10.199999999999999</v>
      </c>
      <c r="J1360" s="6">
        <v>40.799999999999997</v>
      </c>
      <c r="K1360" s="5">
        <v>87</v>
      </c>
    </row>
    <row r="1361" spans="1:11" x14ac:dyDescent="0.3">
      <c r="A1361" s="3">
        <v>1056</v>
      </c>
      <c r="B1361" s="3" t="s">
        <v>14</v>
      </c>
      <c r="C1361" s="4">
        <v>45732</v>
      </c>
      <c r="D1361" s="3" t="s">
        <v>20</v>
      </c>
      <c r="E1361" s="3" t="s">
        <v>44</v>
      </c>
      <c r="F1361" s="5">
        <v>5</v>
      </c>
      <c r="G1361" s="6">
        <v>19.68</v>
      </c>
      <c r="H1361" s="6">
        <v>98.4</v>
      </c>
      <c r="I1361" s="6">
        <v>2.72</v>
      </c>
      <c r="J1361" s="6">
        <v>95.68</v>
      </c>
      <c r="K1361" s="5">
        <v>424</v>
      </c>
    </row>
    <row r="1362" spans="1:11" x14ac:dyDescent="0.3">
      <c r="A1362" s="3">
        <v>1372</v>
      </c>
      <c r="B1362" s="3" t="s">
        <v>24</v>
      </c>
      <c r="C1362" s="4">
        <v>45376</v>
      </c>
      <c r="D1362" s="3" t="s">
        <v>34</v>
      </c>
      <c r="E1362" s="3" t="s">
        <v>32</v>
      </c>
      <c r="F1362" s="5">
        <v>3</v>
      </c>
      <c r="G1362" s="6">
        <v>15.99</v>
      </c>
      <c r="H1362" s="6">
        <v>47.97</v>
      </c>
      <c r="I1362" s="6">
        <v>3.84</v>
      </c>
      <c r="J1362" s="6">
        <v>44.13</v>
      </c>
      <c r="K1362" s="5">
        <v>223</v>
      </c>
    </row>
    <row r="1363" spans="1:11" x14ac:dyDescent="0.3">
      <c r="A1363" s="3">
        <v>8585</v>
      </c>
      <c r="B1363" s="3" t="s">
        <v>19</v>
      </c>
      <c r="C1363" s="4">
        <v>45668</v>
      </c>
      <c r="D1363" s="3" t="s">
        <v>38</v>
      </c>
      <c r="E1363" s="3" t="s">
        <v>48</v>
      </c>
      <c r="F1363" s="5">
        <v>5</v>
      </c>
      <c r="G1363" s="6">
        <v>23.73</v>
      </c>
      <c r="H1363" s="6">
        <v>118.65</v>
      </c>
      <c r="I1363" s="6">
        <v>1.64</v>
      </c>
      <c r="J1363" s="6">
        <v>117.01</v>
      </c>
      <c r="K1363" s="5">
        <v>431</v>
      </c>
    </row>
    <row r="1364" spans="1:11" x14ac:dyDescent="0.3">
      <c r="A1364" s="3">
        <v>9920</v>
      </c>
      <c r="B1364" s="3" t="s">
        <v>36</v>
      </c>
      <c r="C1364" s="4">
        <v>45474</v>
      </c>
      <c r="D1364" s="3" t="s">
        <v>17</v>
      </c>
      <c r="E1364" s="3" t="s">
        <v>43</v>
      </c>
      <c r="F1364" s="5">
        <v>1</v>
      </c>
      <c r="G1364" s="6">
        <v>1.73</v>
      </c>
      <c r="H1364" s="6">
        <v>1.73</v>
      </c>
      <c r="I1364" s="6">
        <v>3.47</v>
      </c>
      <c r="J1364" s="6">
        <v>-1.74</v>
      </c>
      <c r="K1364" s="5">
        <v>5</v>
      </c>
    </row>
    <row r="1365" spans="1:11" x14ac:dyDescent="0.3">
      <c r="A1365" s="3">
        <v>9715</v>
      </c>
      <c r="B1365" s="3" t="s">
        <v>14</v>
      </c>
      <c r="C1365" s="4">
        <v>45439</v>
      </c>
      <c r="D1365" s="3" t="s">
        <v>15</v>
      </c>
      <c r="E1365" s="3" t="s">
        <v>32</v>
      </c>
      <c r="F1365" s="5">
        <v>1</v>
      </c>
      <c r="G1365" s="6">
        <v>22.52</v>
      </c>
      <c r="H1365" s="6">
        <v>22.52</v>
      </c>
      <c r="I1365" s="6">
        <v>0</v>
      </c>
      <c r="J1365" s="6">
        <v>22.52</v>
      </c>
      <c r="K1365" s="5">
        <v>66</v>
      </c>
    </row>
    <row r="1366" spans="1:11" x14ac:dyDescent="0.3">
      <c r="A1366" s="3">
        <v>4762</v>
      </c>
      <c r="B1366" s="3" t="s">
        <v>36</v>
      </c>
      <c r="C1366" s="4">
        <v>45337</v>
      </c>
      <c r="D1366" s="3" t="s">
        <v>34</v>
      </c>
      <c r="E1366" s="3" t="s">
        <v>25</v>
      </c>
      <c r="F1366" s="5">
        <v>2</v>
      </c>
      <c r="G1366" s="6">
        <v>9.6</v>
      </c>
      <c r="H1366" s="6">
        <v>19.2</v>
      </c>
      <c r="I1366" s="6">
        <v>0</v>
      </c>
      <c r="J1366" s="6">
        <v>19.2</v>
      </c>
      <c r="K1366" s="5">
        <v>274</v>
      </c>
    </row>
    <row r="1367" spans="1:11" x14ac:dyDescent="0.3">
      <c r="A1367" s="3">
        <v>8546</v>
      </c>
      <c r="B1367" s="3" t="s">
        <v>24</v>
      </c>
      <c r="C1367" s="4">
        <v>45413</v>
      </c>
      <c r="D1367" s="3" t="s">
        <v>35</v>
      </c>
      <c r="E1367" s="3" t="s">
        <v>40</v>
      </c>
      <c r="F1367" s="5">
        <v>3</v>
      </c>
      <c r="G1367" s="6">
        <v>3.4</v>
      </c>
      <c r="H1367" s="6">
        <v>10.199999999999999</v>
      </c>
      <c r="I1367" s="6">
        <v>0</v>
      </c>
      <c r="J1367" s="6">
        <v>10.199999999999999</v>
      </c>
      <c r="K1367" s="5">
        <v>73</v>
      </c>
    </row>
    <row r="1368" spans="1:11" x14ac:dyDescent="0.3">
      <c r="A1368" s="3">
        <v>3541</v>
      </c>
      <c r="B1368" s="3" t="s">
        <v>11</v>
      </c>
      <c r="C1368" s="4">
        <v>45359</v>
      </c>
      <c r="D1368" s="3" t="s">
        <v>15</v>
      </c>
      <c r="E1368" s="3" t="s">
        <v>33</v>
      </c>
      <c r="F1368" s="5">
        <v>5</v>
      </c>
      <c r="G1368" s="6">
        <v>4.55</v>
      </c>
      <c r="H1368" s="6">
        <v>22.75</v>
      </c>
      <c r="I1368" s="6">
        <v>3.41</v>
      </c>
      <c r="J1368" s="6">
        <v>19.34</v>
      </c>
      <c r="K1368" s="5">
        <v>72</v>
      </c>
    </row>
    <row r="1369" spans="1:11" x14ac:dyDescent="0.3">
      <c r="A1369" s="3">
        <v>4088</v>
      </c>
      <c r="B1369" s="3" t="s">
        <v>19</v>
      </c>
      <c r="C1369" s="4">
        <v>45873</v>
      </c>
      <c r="D1369" s="3" t="s">
        <v>15</v>
      </c>
      <c r="E1369" s="3" t="s">
        <v>43</v>
      </c>
      <c r="F1369" s="5">
        <v>4</v>
      </c>
      <c r="G1369" s="6">
        <v>25.48</v>
      </c>
      <c r="H1369" s="6">
        <v>101.92</v>
      </c>
      <c r="I1369" s="6">
        <v>10.19</v>
      </c>
      <c r="J1369" s="6">
        <v>91.73</v>
      </c>
      <c r="K1369" s="5">
        <v>467</v>
      </c>
    </row>
    <row r="1370" spans="1:11" x14ac:dyDescent="0.3">
      <c r="A1370" s="3">
        <v>2848</v>
      </c>
      <c r="B1370" s="3" t="s">
        <v>11</v>
      </c>
      <c r="C1370" s="4">
        <v>45170</v>
      </c>
      <c r="D1370" s="3" t="s">
        <v>45</v>
      </c>
      <c r="E1370" s="3" t="s">
        <v>39</v>
      </c>
      <c r="F1370" s="5">
        <v>4</v>
      </c>
      <c r="G1370" s="6">
        <v>3.12</v>
      </c>
      <c r="H1370" s="6">
        <v>12.48</v>
      </c>
      <c r="I1370" s="6">
        <v>2.5</v>
      </c>
      <c r="J1370" s="6">
        <v>9.98</v>
      </c>
      <c r="K1370" s="5">
        <v>491</v>
      </c>
    </row>
    <row r="1371" spans="1:11" x14ac:dyDescent="0.3">
      <c r="A1371" s="3">
        <v>7868</v>
      </c>
      <c r="B1371" s="3" t="s">
        <v>24</v>
      </c>
      <c r="C1371" s="4">
        <v>45622</v>
      </c>
      <c r="D1371" s="3" t="s">
        <v>20</v>
      </c>
      <c r="E1371" s="3" t="s">
        <v>21</v>
      </c>
      <c r="F1371" s="5">
        <v>4</v>
      </c>
      <c r="G1371" s="6">
        <v>24.44</v>
      </c>
      <c r="H1371" s="6">
        <v>97.76</v>
      </c>
      <c r="I1371" s="6">
        <v>4.6100000000000003</v>
      </c>
      <c r="J1371" s="6">
        <v>93.15</v>
      </c>
      <c r="K1371" s="5">
        <v>92</v>
      </c>
    </row>
    <row r="1372" spans="1:11" x14ac:dyDescent="0.3">
      <c r="A1372" s="3">
        <v>1256</v>
      </c>
      <c r="B1372" s="3" t="s">
        <v>31</v>
      </c>
      <c r="C1372" s="4">
        <v>45331</v>
      </c>
      <c r="D1372" s="3" t="s">
        <v>15</v>
      </c>
      <c r="E1372" s="3" t="s">
        <v>21</v>
      </c>
      <c r="F1372" s="5">
        <v>3</v>
      </c>
      <c r="G1372" s="6">
        <v>15.02</v>
      </c>
      <c r="H1372" s="6">
        <v>45.06</v>
      </c>
      <c r="I1372" s="6">
        <v>9.01</v>
      </c>
      <c r="J1372" s="6">
        <v>36.049999999999997</v>
      </c>
      <c r="K1372" s="5">
        <v>314</v>
      </c>
    </row>
    <row r="1373" spans="1:11" x14ac:dyDescent="0.3">
      <c r="A1373" s="3">
        <v>4376</v>
      </c>
      <c r="B1373" s="3"/>
      <c r="C1373" s="4">
        <v>45197</v>
      </c>
      <c r="D1373" s="3" t="s">
        <v>35</v>
      </c>
      <c r="E1373" s="3" t="s">
        <v>48</v>
      </c>
      <c r="F1373" s="5">
        <v>2</v>
      </c>
      <c r="G1373" s="6">
        <v>18.57</v>
      </c>
      <c r="H1373" s="6">
        <v>37.14</v>
      </c>
      <c r="I1373" s="6">
        <v>3.05</v>
      </c>
      <c r="J1373" s="6">
        <v>34.090000000000003</v>
      </c>
      <c r="K1373" s="5">
        <v>274</v>
      </c>
    </row>
    <row r="1374" spans="1:11" x14ac:dyDescent="0.3">
      <c r="A1374" s="3">
        <v>2653</v>
      </c>
      <c r="B1374" s="3" t="s">
        <v>19</v>
      </c>
      <c r="C1374" s="4">
        <v>45606</v>
      </c>
      <c r="D1374" s="3" t="s">
        <v>17</v>
      </c>
      <c r="E1374" s="3" t="s">
        <v>23</v>
      </c>
      <c r="F1374" s="5">
        <v>1</v>
      </c>
      <c r="G1374" s="6">
        <v>27.05</v>
      </c>
      <c r="H1374" s="6">
        <v>27.05</v>
      </c>
      <c r="I1374" s="6">
        <v>5.41</v>
      </c>
      <c r="J1374" s="6">
        <v>21.64</v>
      </c>
      <c r="K1374" s="5">
        <v>15</v>
      </c>
    </row>
    <row r="1375" spans="1:11" x14ac:dyDescent="0.3">
      <c r="A1375" s="3">
        <v>1550</v>
      </c>
      <c r="B1375" s="3" t="s">
        <v>42</v>
      </c>
      <c r="C1375" s="4">
        <v>45491</v>
      </c>
      <c r="D1375" s="3" t="s">
        <v>15</v>
      </c>
      <c r="E1375" s="3" t="s">
        <v>41</v>
      </c>
      <c r="F1375" s="5">
        <v>3</v>
      </c>
      <c r="G1375" s="6">
        <v>8.93</v>
      </c>
      <c r="H1375" s="6">
        <v>26.79</v>
      </c>
      <c r="I1375" s="6">
        <v>4.0199999999999996</v>
      </c>
      <c r="J1375" s="6">
        <v>22.77</v>
      </c>
      <c r="K1375" s="5">
        <v>102</v>
      </c>
    </row>
    <row r="1376" spans="1:11" x14ac:dyDescent="0.3">
      <c r="A1376" s="3">
        <v>1797</v>
      </c>
      <c r="B1376" s="3" t="s">
        <v>14</v>
      </c>
      <c r="C1376" s="4">
        <v>45335</v>
      </c>
      <c r="D1376" s="3" t="s">
        <v>27</v>
      </c>
      <c r="E1376" s="3" t="s">
        <v>37</v>
      </c>
      <c r="F1376" s="5">
        <v>4</v>
      </c>
      <c r="G1376" s="6">
        <v>22.6</v>
      </c>
      <c r="H1376" s="6">
        <v>90.4</v>
      </c>
      <c r="I1376" s="6">
        <v>4.79</v>
      </c>
      <c r="J1376" s="6">
        <v>85.61</v>
      </c>
      <c r="K1376" s="5">
        <v>253</v>
      </c>
    </row>
    <row r="1377" spans="1:11" x14ac:dyDescent="0.3">
      <c r="A1377" s="3">
        <v>1724</v>
      </c>
      <c r="B1377" s="3" t="s">
        <v>42</v>
      </c>
      <c r="C1377" s="4">
        <v>45457</v>
      </c>
      <c r="D1377" s="3" t="s">
        <v>35</v>
      </c>
      <c r="E1377" s="3" t="s">
        <v>29</v>
      </c>
      <c r="F1377" s="5">
        <v>2</v>
      </c>
      <c r="G1377" s="6">
        <v>20.91</v>
      </c>
      <c r="H1377" s="6">
        <v>41.82</v>
      </c>
      <c r="I1377" s="6">
        <v>4.18</v>
      </c>
      <c r="J1377" s="6">
        <v>37.64</v>
      </c>
      <c r="K1377" s="5">
        <v>454</v>
      </c>
    </row>
    <row r="1378" spans="1:11" x14ac:dyDescent="0.3">
      <c r="A1378" s="3">
        <v>8191</v>
      </c>
      <c r="B1378" s="3" t="s">
        <v>11</v>
      </c>
      <c r="C1378" s="4">
        <v>45327</v>
      </c>
      <c r="D1378" s="3" t="s">
        <v>28</v>
      </c>
      <c r="E1378" s="3" t="s">
        <v>37</v>
      </c>
      <c r="F1378" s="5">
        <v>2</v>
      </c>
      <c r="G1378" s="6">
        <v>24.02</v>
      </c>
      <c r="H1378" s="6">
        <v>48.04</v>
      </c>
      <c r="I1378" s="6">
        <v>4.8</v>
      </c>
      <c r="J1378" s="6">
        <v>43.24</v>
      </c>
      <c r="K1378" s="5">
        <v>488</v>
      </c>
    </row>
    <row r="1379" spans="1:11" x14ac:dyDescent="0.3">
      <c r="A1379" s="3">
        <v>9843</v>
      </c>
      <c r="B1379" s="3" t="s">
        <v>26</v>
      </c>
      <c r="C1379" s="4">
        <v>45313</v>
      </c>
      <c r="D1379" s="3" t="s">
        <v>20</v>
      </c>
      <c r="E1379" s="3" t="s">
        <v>13</v>
      </c>
      <c r="F1379" s="5">
        <v>3</v>
      </c>
      <c r="G1379" s="6">
        <v>19.05</v>
      </c>
      <c r="H1379" s="6">
        <v>57.15</v>
      </c>
      <c r="I1379" s="6">
        <v>5.71</v>
      </c>
      <c r="J1379" s="6">
        <v>51.44</v>
      </c>
      <c r="K1379" s="5">
        <v>310</v>
      </c>
    </row>
    <row r="1380" spans="1:11" x14ac:dyDescent="0.3">
      <c r="A1380" s="3">
        <v>1924</v>
      </c>
      <c r="B1380" s="3" t="s">
        <v>42</v>
      </c>
      <c r="C1380" s="4">
        <v>45253</v>
      </c>
      <c r="D1380" s="3" t="s">
        <v>28</v>
      </c>
      <c r="E1380" s="3" t="s">
        <v>23</v>
      </c>
      <c r="F1380" s="5">
        <v>3</v>
      </c>
      <c r="G1380" s="6">
        <v>27.03</v>
      </c>
      <c r="H1380" s="6">
        <v>81.09</v>
      </c>
      <c r="I1380" s="6">
        <v>8.11</v>
      </c>
      <c r="J1380" s="6">
        <v>72.98</v>
      </c>
      <c r="K1380" s="5">
        <v>419</v>
      </c>
    </row>
    <row r="1381" spans="1:11" x14ac:dyDescent="0.3">
      <c r="A1381" s="3">
        <v>9255</v>
      </c>
      <c r="B1381" s="3" t="s">
        <v>19</v>
      </c>
      <c r="C1381" s="4">
        <v>45369</v>
      </c>
      <c r="D1381" s="3" t="s">
        <v>12</v>
      </c>
      <c r="E1381" s="3" t="s">
        <v>46</v>
      </c>
      <c r="F1381" s="5">
        <v>3</v>
      </c>
      <c r="G1381" s="6">
        <v>18.010000000000002</v>
      </c>
      <c r="H1381" s="6">
        <v>54.03</v>
      </c>
      <c r="I1381" s="6">
        <v>5.4</v>
      </c>
      <c r="J1381" s="6">
        <v>48.63</v>
      </c>
      <c r="K1381" s="5">
        <v>150</v>
      </c>
    </row>
    <row r="1382" spans="1:11" x14ac:dyDescent="0.3">
      <c r="A1382" s="3">
        <v>4836</v>
      </c>
      <c r="B1382" s="3" t="s">
        <v>31</v>
      </c>
      <c r="C1382" s="4">
        <v>45778</v>
      </c>
      <c r="D1382" s="3" t="s">
        <v>15</v>
      </c>
      <c r="E1382" s="3" t="s">
        <v>29</v>
      </c>
      <c r="F1382" s="5">
        <v>3</v>
      </c>
      <c r="G1382" s="6">
        <v>13.44</v>
      </c>
      <c r="H1382" s="6">
        <v>40.32</v>
      </c>
      <c r="I1382" s="6">
        <v>8.06</v>
      </c>
      <c r="J1382" s="6">
        <v>32.26</v>
      </c>
      <c r="K1382" s="5">
        <v>95</v>
      </c>
    </row>
    <row r="1383" spans="1:11" x14ac:dyDescent="0.3">
      <c r="A1383" s="3">
        <v>6224</v>
      </c>
      <c r="B1383" s="3" t="s">
        <v>11</v>
      </c>
      <c r="C1383" s="4">
        <v>45593</v>
      </c>
      <c r="D1383" s="3" t="s">
        <v>17</v>
      </c>
      <c r="E1383" s="3" t="s">
        <v>23</v>
      </c>
      <c r="F1383" s="5">
        <v>3</v>
      </c>
      <c r="G1383" s="6">
        <v>5.2</v>
      </c>
      <c r="H1383" s="6">
        <v>15.6</v>
      </c>
      <c r="I1383" s="6">
        <v>2.27</v>
      </c>
      <c r="J1383" s="6">
        <v>13.33</v>
      </c>
      <c r="K1383" s="5">
        <v>160</v>
      </c>
    </row>
    <row r="1384" spans="1:11" x14ac:dyDescent="0.3">
      <c r="A1384" s="3">
        <v>6253</v>
      </c>
      <c r="B1384" s="3" t="s">
        <v>31</v>
      </c>
      <c r="C1384" s="4">
        <v>45329</v>
      </c>
      <c r="D1384" s="3" t="s">
        <v>22</v>
      </c>
      <c r="E1384" s="3" t="s">
        <v>44</v>
      </c>
      <c r="F1384" s="5">
        <v>4</v>
      </c>
      <c r="G1384" s="6">
        <v>17.45</v>
      </c>
      <c r="H1384" s="6">
        <v>69.8</v>
      </c>
      <c r="I1384" s="6">
        <v>1.26</v>
      </c>
      <c r="J1384" s="6">
        <v>68.540000000000006</v>
      </c>
      <c r="K1384" s="5">
        <v>164</v>
      </c>
    </row>
    <row r="1385" spans="1:11" x14ac:dyDescent="0.3">
      <c r="A1385" s="3">
        <v>5944</v>
      </c>
      <c r="B1385" s="3" t="s">
        <v>30</v>
      </c>
      <c r="C1385" s="4">
        <v>45825</v>
      </c>
      <c r="D1385" s="3" t="s">
        <v>28</v>
      </c>
      <c r="E1385" s="3" t="s">
        <v>44</v>
      </c>
      <c r="F1385" s="5">
        <v>5</v>
      </c>
      <c r="G1385" s="6">
        <v>7.3</v>
      </c>
      <c r="H1385" s="6">
        <v>36.5</v>
      </c>
      <c r="I1385" s="6">
        <v>0</v>
      </c>
      <c r="J1385" s="6">
        <v>36.5</v>
      </c>
      <c r="K1385" s="5">
        <v>287</v>
      </c>
    </row>
    <row r="1386" spans="1:11" x14ac:dyDescent="0.3">
      <c r="A1386" s="3">
        <v>3347</v>
      </c>
      <c r="B1386" s="3" t="s">
        <v>11</v>
      </c>
      <c r="C1386" s="4">
        <v>45657</v>
      </c>
      <c r="D1386" s="3" t="s">
        <v>28</v>
      </c>
      <c r="E1386" s="3" t="s">
        <v>16</v>
      </c>
      <c r="F1386" s="5">
        <v>4</v>
      </c>
      <c r="G1386" s="6">
        <v>10.210000000000001</v>
      </c>
      <c r="H1386" s="6">
        <v>40.840000000000003</v>
      </c>
      <c r="I1386" s="6">
        <v>8.17</v>
      </c>
      <c r="J1386" s="6">
        <v>32.67</v>
      </c>
      <c r="K1386" s="5">
        <v>163</v>
      </c>
    </row>
    <row r="1387" spans="1:11" x14ac:dyDescent="0.3">
      <c r="A1387" s="3">
        <v>9540</v>
      </c>
      <c r="B1387" s="3" t="s">
        <v>31</v>
      </c>
      <c r="C1387" s="4">
        <v>45316</v>
      </c>
      <c r="D1387" s="3" t="s">
        <v>45</v>
      </c>
      <c r="E1387" s="3" t="s">
        <v>47</v>
      </c>
      <c r="F1387" s="5">
        <v>1</v>
      </c>
      <c r="G1387" s="6">
        <v>29.71</v>
      </c>
      <c r="H1387" s="6">
        <v>29.71</v>
      </c>
      <c r="I1387" s="6">
        <v>2.81</v>
      </c>
      <c r="J1387" s="6">
        <v>26.9</v>
      </c>
      <c r="K1387" s="5">
        <v>215</v>
      </c>
    </row>
    <row r="1388" spans="1:11" x14ac:dyDescent="0.3">
      <c r="A1388" s="3">
        <v>7775</v>
      </c>
      <c r="B1388" s="3" t="s">
        <v>36</v>
      </c>
      <c r="C1388" s="4">
        <v>45378</v>
      </c>
      <c r="D1388" s="3" t="s">
        <v>28</v>
      </c>
      <c r="E1388" s="3" t="s">
        <v>32</v>
      </c>
      <c r="F1388" s="5">
        <v>2</v>
      </c>
      <c r="G1388" s="6">
        <v>17.71</v>
      </c>
      <c r="H1388" s="6">
        <v>35.42</v>
      </c>
      <c r="I1388" s="6">
        <v>0</v>
      </c>
      <c r="J1388" s="6">
        <v>35.42</v>
      </c>
      <c r="K1388" s="5">
        <v>145</v>
      </c>
    </row>
    <row r="1389" spans="1:11" x14ac:dyDescent="0.3">
      <c r="A1389" s="3">
        <v>5508</v>
      </c>
      <c r="B1389" s="3" t="s">
        <v>31</v>
      </c>
      <c r="C1389" s="4">
        <v>45192</v>
      </c>
      <c r="D1389" s="3" t="s">
        <v>45</v>
      </c>
      <c r="E1389" s="3" t="s">
        <v>37</v>
      </c>
      <c r="F1389" s="5">
        <v>2</v>
      </c>
      <c r="G1389" s="6">
        <v>25.4</v>
      </c>
      <c r="H1389" s="6">
        <v>50.8</v>
      </c>
      <c r="I1389" s="6">
        <v>4.67</v>
      </c>
      <c r="J1389" s="6">
        <v>46.13</v>
      </c>
      <c r="K1389" s="5">
        <v>206</v>
      </c>
    </row>
    <row r="1390" spans="1:11" x14ac:dyDescent="0.3">
      <c r="A1390" s="3">
        <v>3869</v>
      </c>
      <c r="B1390" s="3" t="s">
        <v>31</v>
      </c>
      <c r="C1390" s="4">
        <v>45631</v>
      </c>
      <c r="D1390" s="3" t="s">
        <v>22</v>
      </c>
      <c r="E1390" s="3" t="s">
        <v>39</v>
      </c>
      <c r="F1390" s="5">
        <v>1</v>
      </c>
      <c r="G1390" s="6">
        <v>14.62</v>
      </c>
      <c r="H1390" s="6">
        <v>14.62</v>
      </c>
      <c r="I1390" s="6">
        <v>0</v>
      </c>
      <c r="J1390" s="6">
        <v>14.62</v>
      </c>
      <c r="K1390" s="5">
        <v>424</v>
      </c>
    </row>
    <row r="1391" spans="1:11" x14ac:dyDescent="0.3">
      <c r="A1391" s="3">
        <v>7999</v>
      </c>
      <c r="B1391" s="3" t="s">
        <v>30</v>
      </c>
      <c r="C1391" s="4">
        <v>45576</v>
      </c>
      <c r="D1391" s="3" t="s">
        <v>35</v>
      </c>
      <c r="E1391" s="3" t="s">
        <v>21</v>
      </c>
      <c r="F1391" s="5">
        <v>3</v>
      </c>
      <c r="G1391" s="6">
        <v>12.6</v>
      </c>
      <c r="H1391" s="6">
        <v>37.799999999999997</v>
      </c>
      <c r="I1391" s="6">
        <v>3.78</v>
      </c>
      <c r="J1391" s="6">
        <v>34.020000000000003</v>
      </c>
      <c r="K1391" s="5">
        <v>284</v>
      </c>
    </row>
    <row r="1392" spans="1:11" x14ac:dyDescent="0.3">
      <c r="A1392" s="3">
        <v>9120</v>
      </c>
      <c r="B1392" s="3" t="s">
        <v>31</v>
      </c>
      <c r="C1392" s="4">
        <v>45181</v>
      </c>
      <c r="D1392" s="3" t="s">
        <v>20</v>
      </c>
      <c r="E1392" s="3" t="s">
        <v>37</v>
      </c>
      <c r="F1392" s="5">
        <v>4</v>
      </c>
      <c r="G1392" s="6">
        <v>15.3</v>
      </c>
      <c r="H1392" s="6">
        <v>61.2</v>
      </c>
      <c r="I1392" s="6">
        <v>9.18</v>
      </c>
      <c r="J1392" s="6">
        <v>52.02</v>
      </c>
      <c r="K1392" s="5">
        <v>328</v>
      </c>
    </row>
    <row r="1393" spans="1:11" x14ac:dyDescent="0.3">
      <c r="A1393" s="3">
        <v>6642</v>
      </c>
      <c r="B1393" s="3" t="s">
        <v>11</v>
      </c>
      <c r="C1393" s="4">
        <v>45644</v>
      </c>
      <c r="D1393" s="3" t="s">
        <v>12</v>
      </c>
      <c r="E1393" s="3" t="s">
        <v>25</v>
      </c>
      <c r="F1393" s="5">
        <v>1</v>
      </c>
      <c r="G1393" s="6">
        <v>24.93</v>
      </c>
      <c r="H1393" s="6">
        <v>24.93</v>
      </c>
      <c r="I1393" s="6">
        <v>3.74</v>
      </c>
      <c r="J1393" s="6">
        <v>21.19</v>
      </c>
      <c r="K1393" s="5">
        <v>71</v>
      </c>
    </row>
    <row r="1394" spans="1:11" x14ac:dyDescent="0.3">
      <c r="A1394" s="3">
        <v>7244</v>
      </c>
      <c r="B1394" s="3" t="s">
        <v>24</v>
      </c>
      <c r="C1394" s="4">
        <v>45755</v>
      </c>
      <c r="D1394" s="3" t="s">
        <v>17</v>
      </c>
      <c r="E1394" s="3" t="s">
        <v>29</v>
      </c>
      <c r="F1394" s="5">
        <v>1</v>
      </c>
      <c r="G1394" s="6">
        <v>6.53</v>
      </c>
      <c r="H1394" s="6">
        <v>6.53</v>
      </c>
      <c r="I1394" s="6">
        <v>4.96</v>
      </c>
      <c r="J1394" s="6">
        <v>1.57</v>
      </c>
      <c r="K1394" s="5">
        <v>461</v>
      </c>
    </row>
    <row r="1395" spans="1:11" x14ac:dyDescent="0.3">
      <c r="A1395" s="3">
        <v>9592</v>
      </c>
      <c r="B1395" s="3" t="s">
        <v>31</v>
      </c>
      <c r="C1395" s="4">
        <v>45392</v>
      </c>
      <c r="D1395" s="3" t="s">
        <v>35</v>
      </c>
      <c r="E1395" s="3" t="s">
        <v>40</v>
      </c>
      <c r="F1395" s="5">
        <v>1</v>
      </c>
      <c r="G1395" s="6">
        <v>2.38</v>
      </c>
      <c r="H1395" s="6">
        <v>2.38</v>
      </c>
      <c r="I1395" s="6">
        <v>0.36</v>
      </c>
      <c r="J1395" s="6">
        <v>2.02</v>
      </c>
      <c r="K1395" s="5">
        <v>155</v>
      </c>
    </row>
    <row r="1396" spans="1:11" x14ac:dyDescent="0.3">
      <c r="A1396" s="3">
        <v>7821</v>
      </c>
      <c r="B1396" s="3" t="s">
        <v>36</v>
      </c>
      <c r="C1396" s="4">
        <v>45462</v>
      </c>
      <c r="D1396" s="3" t="s">
        <v>28</v>
      </c>
      <c r="E1396" s="3" t="s">
        <v>32</v>
      </c>
      <c r="F1396" s="5">
        <v>3</v>
      </c>
      <c r="G1396" s="6">
        <v>21.25</v>
      </c>
      <c r="H1396" s="6">
        <v>63.75</v>
      </c>
      <c r="I1396" s="6">
        <v>2.84</v>
      </c>
      <c r="J1396" s="6">
        <v>60.91</v>
      </c>
      <c r="K1396" s="5">
        <v>473</v>
      </c>
    </row>
    <row r="1397" spans="1:11" x14ac:dyDescent="0.3">
      <c r="A1397" s="3">
        <v>3444</v>
      </c>
      <c r="B1397" s="3" t="s">
        <v>19</v>
      </c>
      <c r="C1397" s="4">
        <v>45377</v>
      </c>
      <c r="D1397" s="3" t="s">
        <v>22</v>
      </c>
      <c r="E1397" s="3" t="s">
        <v>41</v>
      </c>
      <c r="F1397" s="5">
        <v>5</v>
      </c>
      <c r="G1397" s="6">
        <v>26.74</v>
      </c>
      <c r="H1397" s="6">
        <v>133.69999999999999</v>
      </c>
      <c r="I1397" s="6">
        <v>0</v>
      </c>
      <c r="J1397" s="6">
        <v>133.69999999999999</v>
      </c>
      <c r="K1397" s="5">
        <v>494</v>
      </c>
    </row>
    <row r="1398" spans="1:11" x14ac:dyDescent="0.3">
      <c r="A1398" s="3">
        <v>7167</v>
      </c>
      <c r="B1398" s="3" t="s">
        <v>26</v>
      </c>
      <c r="C1398" s="4">
        <v>45287</v>
      </c>
      <c r="D1398" s="3" t="s">
        <v>27</v>
      </c>
      <c r="E1398" s="3" t="s">
        <v>48</v>
      </c>
      <c r="F1398" s="5">
        <v>5</v>
      </c>
      <c r="G1398" s="6">
        <v>16.29</v>
      </c>
      <c r="H1398" s="6">
        <v>81.45</v>
      </c>
      <c r="I1398" s="6">
        <v>0</v>
      </c>
      <c r="J1398" s="6">
        <v>81.45</v>
      </c>
      <c r="K1398" s="5">
        <v>295</v>
      </c>
    </row>
    <row r="1399" spans="1:11" x14ac:dyDescent="0.3">
      <c r="A1399" s="3">
        <v>9813</v>
      </c>
      <c r="B1399" s="3" t="s">
        <v>26</v>
      </c>
      <c r="C1399" s="4">
        <v>45512</v>
      </c>
      <c r="D1399" s="3" t="s">
        <v>35</v>
      </c>
      <c r="E1399" s="3" t="s">
        <v>21</v>
      </c>
      <c r="F1399" s="5">
        <v>4</v>
      </c>
      <c r="G1399" s="6">
        <v>7.54</v>
      </c>
      <c r="H1399" s="6">
        <v>30.16</v>
      </c>
      <c r="I1399" s="6">
        <v>0</v>
      </c>
      <c r="J1399" s="6">
        <v>30.16</v>
      </c>
      <c r="K1399" s="5">
        <v>135</v>
      </c>
    </row>
    <row r="1400" spans="1:11" x14ac:dyDescent="0.3">
      <c r="A1400" s="3">
        <v>4948</v>
      </c>
      <c r="B1400" s="3" t="s">
        <v>11</v>
      </c>
      <c r="C1400" s="4">
        <v>45804</v>
      </c>
      <c r="D1400" s="3" t="s">
        <v>22</v>
      </c>
      <c r="E1400" s="3" t="s">
        <v>18</v>
      </c>
      <c r="F1400" s="5">
        <v>2</v>
      </c>
      <c r="G1400" s="6">
        <v>20.11</v>
      </c>
      <c r="H1400" s="6">
        <v>40.22</v>
      </c>
      <c r="I1400" s="6">
        <v>0</v>
      </c>
      <c r="J1400" s="6">
        <v>40.22</v>
      </c>
      <c r="K1400" s="5">
        <v>376</v>
      </c>
    </row>
    <row r="1401" spans="1:11" x14ac:dyDescent="0.3">
      <c r="A1401" s="3">
        <v>4692</v>
      </c>
      <c r="B1401" s="3" t="s">
        <v>11</v>
      </c>
      <c r="C1401" s="4">
        <v>45378</v>
      </c>
      <c r="D1401" s="3" t="s">
        <v>15</v>
      </c>
      <c r="E1401" s="3" t="s">
        <v>47</v>
      </c>
      <c r="F1401" s="5">
        <v>1</v>
      </c>
      <c r="G1401" s="6">
        <v>7.15</v>
      </c>
      <c r="H1401" s="6">
        <v>7.15</v>
      </c>
      <c r="I1401" s="6">
        <v>0.72</v>
      </c>
      <c r="J1401" s="6">
        <v>6.43</v>
      </c>
      <c r="K1401" s="5">
        <v>343</v>
      </c>
    </row>
    <row r="1402" spans="1:11" x14ac:dyDescent="0.3">
      <c r="A1402" s="3">
        <v>3365</v>
      </c>
      <c r="B1402" s="3" t="s">
        <v>24</v>
      </c>
      <c r="C1402" s="4">
        <v>45770</v>
      </c>
      <c r="D1402" s="3" t="s">
        <v>17</v>
      </c>
      <c r="E1402" s="3" t="s">
        <v>47</v>
      </c>
      <c r="F1402" s="5">
        <v>1</v>
      </c>
      <c r="G1402" s="6">
        <v>10.86</v>
      </c>
      <c r="H1402" s="6">
        <v>10.86</v>
      </c>
      <c r="I1402" s="6">
        <v>1.63</v>
      </c>
      <c r="J1402" s="6">
        <v>9.23</v>
      </c>
      <c r="K1402" s="5">
        <v>416</v>
      </c>
    </row>
    <row r="1403" spans="1:11" x14ac:dyDescent="0.3">
      <c r="A1403" s="3">
        <v>8586</v>
      </c>
      <c r="B1403" s="3" t="s">
        <v>26</v>
      </c>
      <c r="C1403" s="4">
        <v>45855</v>
      </c>
      <c r="D1403" s="3" t="s">
        <v>27</v>
      </c>
      <c r="E1403" s="3" t="s">
        <v>41</v>
      </c>
      <c r="F1403" s="5">
        <v>5</v>
      </c>
      <c r="G1403" s="6">
        <v>4.05</v>
      </c>
      <c r="H1403" s="6">
        <v>20.25</v>
      </c>
      <c r="I1403" s="6">
        <v>3.04</v>
      </c>
      <c r="J1403" s="6">
        <v>17.21</v>
      </c>
      <c r="K1403" s="5">
        <v>66</v>
      </c>
    </row>
    <row r="1404" spans="1:11" x14ac:dyDescent="0.3">
      <c r="A1404" s="3">
        <v>1944</v>
      </c>
      <c r="B1404" s="3" t="s">
        <v>24</v>
      </c>
      <c r="C1404" s="4">
        <v>45581</v>
      </c>
      <c r="D1404" s="3" t="s">
        <v>45</v>
      </c>
      <c r="E1404" s="3" t="s">
        <v>46</v>
      </c>
      <c r="F1404" s="5">
        <v>2</v>
      </c>
      <c r="G1404" s="6">
        <v>23.61</v>
      </c>
      <c r="H1404" s="6">
        <v>47.22</v>
      </c>
      <c r="I1404" s="6">
        <v>7.08</v>
      </c>
      <c r="J1404" s="6">
        <v>40.14</v>
      </c>
      <c r="K1404" s="5">
        <v>96</v>
      </c>
    </row>
    <row r="1405" spans="1:11" x14ac:dyDescent="0.3">
      <c r="A1405" s="3">
        <v>7761</v>
      </c>
      <c r="B1405" s="3" t="s">
        <v>24</v>
      </c>
      <c r="C1405" s="4">
        <v>45468</v>
      </c>
      <c r="D1405" s="3" t="s">
        <v>34</v>
      </c>
      <c r="E1405" s="3" t="s">
        <v>37</v>
      </c>
      <c r="F1405" s="5">
        <v>5</v>
      </c>
      <c r="G1405" s="6">
        <v>19.79</v>
      </c>
      <c r="H1405" s="6">
        <v>98.95</v>
      </c>
      <c r="I1405" s="6">
        <v>3.98</v>
      </c>
      <c r="J1405" s="6">
        <v>94.97</v>
      </c>
      <c r="K1405" s="5">
        <v>75</v>
      </c>
    </row>
    <row r="1406" spans="1:11" x14ac:dyDescent="0.3">
      <c r="A1406" s="3">
        <v>9683</v>
      </c>
      <c r="B1406" s="3"/>
      <c r="C1406" s="4">
        <v>45249</v>
      </c>
      <c r="D1406" s="3" t="s">
        <v>12</v>
      </c>
      <c r="E1406" s="3" t="s">
        <v>33</v>
      </c>
      <c r="F1406" s="5">
        <v>2</v>
      </c>
      <c r="G1406" s="6">
        <v>8.73</v>
      </c>
      <c r="H1406" s="6">
        <v>17.46</v>
      </c>
      <c r="I1406" s="6">
        <v>2.62</v>
      </c>
      <c r="J1406" s="6">
        <v>14.84</v>
      </c>
      <c r="K1406" s="5">
        <v>243</v>
      </c>
    </row>
    <row r="1407" spans="1:11" x14ac:dyDescent="0.3">
      <c r="A1407" s="3">
        <v>7363</v>
      </c>
      <c r="B1407" s="3" t="s">
        <v>30</v>
      </c>
      <c r="C1407" s="4">
        <v>45333</v>
      </c>
      <c r="D1407" s="3" t="s">
        <v>15</v>
      </c>
      <c r="E1407" s="3" t="s">
        <v>18</v>
      </c>
      <c r="F1407" s="5">
        <v>1</v>
      </c>
      <c r="G1407" s="6">
        <v>11.27</v>
      </c>
      <c r="H1407" s="6">
        <v>11.27</v>
      </c>
      <c r="I1407" s="6">
        <v>1.1299999999999999</v>
      </c>
      <c r="J1407" s="6">
        <v>10.14</v>
      </c>
      <c r="K1407" s="5">
        <v>108</v>
      </c>
    </row>
    <row r="1408" spans="1:11" x14ac:dyDescent="0.3">
      <c r="A1408" s="3">
        <v>5177</v>
      </c>
      <c r="B1408" s="3" t="s">
        <v>14</v>
      </c>
      <c r="C1408" s="4">
        <v>45302</v>
      </c>
      <c r="D1408" s="3" t="s">
        <v>20</v>
      </c>
      <c r="E1408" s="3" t="s">
        <v>46</v>
      </c>
      <c r="F1408" s="5">
        <v>3</v>
      </c>
      <c r="G1408" s="6">
        <v>2.5299999999999998</v>
      </c>
      <c r="H1408" s="6">
        <v>7.59</v>
      </c>
      <c r="I1408" s="6">
        <v>1.2</v>
      </c>
      <c r="J1408" s="6">
        <v>6.39</v>
      </c>
      <c r="K1408" s="5">
        <v>139</v>
      </c>
    </row>
    <row r="1409" spans="1:11" x14ac:dyDescent="0.3">
      <c r="A1409" s="3">
        <v>6411</v>
      </c>
      <c r="B1409" s="3"/>
      <c r="C1409" s="4">
        <v>45647</v>
      </c>
      <c r="D1409" s="3" t="s">
        <v>20</v>
      </c>
      <c r="E1409" s="3" t="s">
        <v>44</v>
      </c>
      <c r="F1409" s="5">
        <v>3</v>
      </c>
      <c r="G1409" s="6">
        <v>6.48</v>
      </c>
      <c r="H1409" s="6">
        <v>19.440000000000001</v>
      </c>
      <c r="I1409" s="6">
        <v>3.43</v>
      </c>
      <c r="J1409" s="6">
        <v>16.010000000000002</v>
      </c>
      <c r="K1409" s="5">
        <v>90</v>
      </c>
    </row>
    <row r="1410" spans="1:11" x14ac:dyDescent="0.3">
      <c r="A1410" s="3">
        <v>2295</v>
      </c>
      <c r="B1410" s="3" t="s">
        <v>14</v>
      </c>
      <c r="C1410" s="4">
        <v>45861</v>
      </c>
      <c r="D1410" s="3" t="s">
        <v>20</v>
      </c>
      <c r="E1410" s="3" t="s">
        <v>48</v>
      </c>
      <c r="F1410" s="5">
        <v>1</v>
      </c>
      <c r="G1410" s="6">
        <v>19.73</v>
      </c>
      <c r="H1410" s="6">
        <v>19.73</v>
      </c>
      <c r="I1410" s="6">
        <v>3.95</v>
      </c>
      <c r="J1410" s="6">
        <v>15.78</v>
      </c>
      <c r="K1410" s="5">
        <v>490</v>
      </c>
    </row>
    <row r="1411" spans="1:11" x14ac:dyDescent="0.3">
      <c r="A1411" s="3">
        <v>8369</v>
      </c>
      <c r="B1411" s="3"/>
      <c r="C1411" s="4">
        <v>45802</v>
      </c>
      <c r="D1411" s="3" t="s">
        <v>12</v>
      </c>
      <c r="E1411" s="3" t="s">
        <v>40</v>
      </c>
      <c r="F1411" s="5">
        <v>5</v>
      </c>
      <c r="G1411" s="6">
        <v>8.7100000000000009</v>
      </c>
      <c r="H1411" s="6">
        <v>43.55</v>
      </c>
      <c r="I1411" s="6">
        <v>6.53</v>
      </c>
      <c r="J1411" s="6">
        <v>37.020000000000003</v>
      </c>
      <c r="K1411" s="5">
        <v>33</v>
      </c>
    </row>
    <row r="1412" spans="1:11" x14ac:dyDescent="0.3">
      <c r="A1412" s="3">
        <v>7079</v>
      </c>
      <c r="B1412" s="3" t="s">
        <v>42</v>
      </c>
      <c r="C1412" s="4">
        <v>45216</v>
      </c>
      <c r="D1412" s="3" t="s">
        <v>28</v>
      </c>
      <c r="E1412" s="3" t="s">
        <v>32</v>
      </c>
      <c r="F1412" s="5">
        <v>4</v>
      </c>
      <c r="G1412" s="6">
        <v>12.38</v>
      </c>
      <c r="H1412" s="6">
        <v>49.52</v>
      </c>
      <c r="I1412" s="6">
        <v>4.95</v>
      </c>
      <c r="J1412" s="6">
        <v>44.57</v>
      </c>
      <c r="K1412" s="5">
        <v>112</v>
      </c>
    </row>
    <row r="1413" spans="1:11" x14ac:dyDescent="0.3">
      <c r="A1413" s="3">
        <v>9775</v>
      </c>
      <c r="B1413" s="3" t="s">
        <v>42</v>
      </c>
      <c r="C1413" s="4">
        <v>45707</v>
      </c>
      <c r="D1413" s="3" t="s">
        <v>34</v>
      </c>
      <c r="E1413" s="3" t="s">
        <v>44</v>
      </c>
      <c r="F1413" s="5">
        <v>3</v>
      </c>
      <c r="G1413" s="6">
        <v>19.46</v>
      </c>
      <c r="H1413" s="6">
        <v>58.38</v>
      </c>
      <c r="I1413" s="6">
        <v>0</v>
      </c>
      <c r="J1413" s="6">
        <v>58.38</v>
      </c>
      <c r="K1413" s="5">
        <v>361</v>
      </c>
    </row>
    <row r="1414" spans="1:11" x14ac:dyDescent="0.3">
      <c r="A1414" s="3">
        <v>4120</v>
      </c>
      <c r="B1414" s="3" t="s">
        <v>31</v>
      </c>
      <c r="C1414" s="4">
        <v>45185</v>
      </c>
      <c r="D1414" s="3" t="s">
        <v>15</v>
      </c>
      <c r="E1414" s="3" t="s">
        <v>29</v>
      </c>
      <c r="F1414" s="5">
        <v>5</v>
      </c>
      <c r="G1414" s="6">
        <v>27.32</v>
      </c>
      <c r="H1414" s="6">
        <v>136.6</v>
      </c>
      <c r="I1414" s="6">
        <v>0</v>
      </c>
      <c r="J1414" s="6">
        <v>136.6</v>
      </c>
      <c r="K1414" s="5">
        <v>318</v>
      </c>
    </row>
    <row r="1415" spans="1:11" x14ac:dyDescent="0.3">
      <c r="A1415" s="3">
        <v>5398</v>
      </c>
      <c r="B1415" s="3" t="s">
        <v>30</v>
      </c>
      <c r="C1415" s="4">
        <v>45437</v>
      </c>
      <c r="D1415" s="3" t="s">
        <v>17</v>
      </c>
      <c r="E1415" s="3" t="s">
        <v>29</v>
      </c>
      <c r="F1415" s="5">
        <v>3</v>
      </c>
      <c r="G1415" s="6">
        <v>20.75</v>
      </c>
      <c r="H1415" s="6">
        <v>62.25</v>
      </c>
      <c r="I1415" s="6">
        <v>9.34</v>
      </c>
      <c r="J1415" s="6">
        <v>52.91</v>
      </c>
      <c r="K1415" s="5">
        <v>85</v>
      </c>
    </row>
    <row r="1416" spans="1:11" x14ac:dyDescent="0.3">
      <c r="A1416" s="3">
        <v>1647</v>
      </c>
      <c r="B1416" s="3" t="s">
        <v>26</v>
      </c>
      <c r="C1416" s="4">
        <v>45823</v>
      </c>
      <c r="D1416" s="3" t="s">
        <v>34</v>
      </c>
      <c r="E1416" s="3" t="s">
        <v>39</v>
      </c>
      <c r="F1416" s="5">
        <v>4</v>
      </c>
      <c r="G1416" s="6">
        <v>13.4</v>
      </c>
      <c r="H1416" s="6">
        <v>53.6</v>
      </c>
      <c r="I1416" s="6">
        <v>8.0399999999999991</v>
      </c>
      <c r="J1416" s="6">
        <v>45.56</v>
      </c>
      <c r="K1416" s="5">
        <v>10</v>
      </c>
    </row>
    <row r="1417" spans="1:11" x14ac:dyDescent="0.3">
      <c r="A1417" s="3">
        <v>2192</v>
      </c>
      <c r="B1417" s="3" t="s">
        <v>11</v>
      </c>
      <c r="C1417" s="4">
        <v>45291</v>
      </c>
      <c r="D1417" s="3" t="s">
        <v>34</v>
      </c>
      <c r="E1417" s="3" t="s">
        <v>39</v>
      </c>
      <c r="F1417" s="5">
        <v>5</v>
      </c>
      <c r="G1417" s="6">
        <v>11.2</v>
      </c>
      <c r="H1417" s="6">
        <v>56</v>
      </c>
      <c r="I1417" s="6">
        <v>5.6</v>
      </c>
      <c r="J1417" s="6">
        <v>50.4</v>
      </c>
      <c r="K1417" s="5">
        <v>242</v>
      </c>
    </row>
    <row r="1418" spans="1:11" x14ac:dyDescent="0.3">
      <c r="A1418" s="3">
        <v>4555</v>
      </c>
      <c r="B1418" s="3" t="s">
        <v>42</v>
      </c>
      <c r="C1418" s="4">
        <v>45517</v>
      </c>
      <c r="D1418" s="3" t="s">
        <v>45</v>
      </c>
      <c r="E1418" s="3" t="s">
        <v>48</v>
      </c>
      <c r="F1418" s="5">
        <v>1</v>
      </c>
      <c r="G1418" s="6">
        <v>24.74</v>
      </c>
      <c r="H1418" s="6">
        <v>24.74</v>
      </c>
      <c r="I1418" s="6">
        <v>4.95</v>
      </c>
      <c r="J1418" s="6">
        <v>19.79</v>
      </c>
      <c r="K1418" s="5">
        <v>290</v>
      </c>
    </row>
    <row r="1419" spans="1:11" x14ac:dyDescent="0.3">
      <c r="A1419" s="3">
        <v>4422</v>
      </c>
      <c r="B1419" s="3" t="s">
        <v>14</v>
      </c>
      <c r="C1419" s="4">
        <v>45820</v>
      </c>
      <c r="D1419" s="3" t="s">
        <v>38</v>
      </c>
      <c r="E1419" s="3" t="s">
        <v>29</v>
      </c>
      <c r="F1419" s="5">
        <v>2</v>
      </c>
      <c r="G1419" s="6">
        <v>23.47</v>
      </c>
      <c r="H1419" s="6">
        <v>46.94</v>
      </c>
      <c r="I1419" s="6">
        <v>0</v>
      </c>
      <c r="J1419" s="6">
        <v>46.94</v>
      </c>
      <c r="K1419" s="5">
        <v>51</v>
      </c>
    </row>
    <row r="1420" spans="1:11" x14ac:dyDescent="0.3">
      <c r="A1420" s="3">
        <v>6455</v>
      </c>
      <c r="B1420" s="3" t="s">
        <v>36</v>
      </c>
      <c r="C1420" s="4">
        <v>45380</v>
      </c>
      <c r="D1420" s="3" t="s">
        <v>45</v>
      </c>
      <c r="E1420" s="3" t="s">
        <v>47</v>
      </c>
      <c r="F1420" s="5">
        <v>3</v>
      </c>
      <c r="G1420" s="6">
        <v>29.69</v>
      </c>
      <c r="H1420" s="6">
        <v>89.07</v>
      </c>
      <c r="I1420" s="6">
        <v>13.36</v>
      </c>
      <c r="J1420" s="6">
        <v>75.709999999999994</v>
      </c>
      <c r="K1420" s="5">
        <v>131</v>
      </c>
    </row>
    <row r="1421" spans="1:11" x14ac:dyDescent="0.3">
      <c r="A1421" s="3">
        <v>1251</v>
      </c>
      <c r="B1421" s="3" t="s">
        <v>36</v>
      </c>
      <c r="C1421" s="4">
        <v>45309</v>
      </c>
      <c r="D1421" s="3" t="s">
        <v>45</v>
      </c>
      <c r="E1421" s="3" t="s">
        <v>39</v>
      </c>
      <c r="F1421" s="5">
        <v>3</v>
      </c>
      <c r="G1421" s="6">
        <v>9.7200000000000006</v>
      </c>
      <c r="H1421" s="6">
        <v>29.16</v>
      </c>
      <c r="I1421" s="6">
        <v>2.08</v>
      </c>
      <c r="J1421" s="6">
        <v>27.08</v>
      </c>
      <c r="K1421" s="5">
        <v>170</v>
      </c>
    </row>
    <row r="1422" spans="1:11" x14ac:dyDescent="0.3">
      <c r="A1422" s="3">
        <v>4113</v>
      </c>
      <c r="B1422" s="3" t="s">
        <v>14</v>
      </c>
      <c r="C1422" s="4">
        <v>45720</v>
      </c>
      <c r="D1422" s="3" t="s">
        <v>27</v>
      </c>
      <c r="E1422" s="3" t="s">
        <v>39</v>
      </c>
      <c r="F1422" s="5">
        <v>2</v>
      </c>
      <c r="G1422" s="6">
        <v>29.37</v>
      </c>
      <c r="H1422" s="6">
        <v>58.74</v>
      </c>
      <c r="I1422" s="6">
        <v>0</v>
      </c>
      <c r="J1422" s="6">
        <v>58.74</v>
      </c>
      <c r="K1422" s="5">
        <v>438</v>
      </c>
    </row>
    <row r="1423" spans="1:11" x14ac:dyDescent="0.3">
      <c r="A1423" s="3">
        <v>2922</v>
      </c>
      <c r="B1423" s="3" t="s">
        <v>19</v>
      </c>
      <c r="C1423" s="4">
        <v>45725</v>
      </c>
      <c r="D1423" s="3" t="s">
        <v>22</v>
      </c>
      <c r="E1423" s="3" t="s">
        <v>47</v>
      </c>
      <c r="F1423" s="5">
        <v>1</v>
      </c>
      <c r="G1423" s="6">
        <v>8.08</v>
      </c>
      <c r="H1423" s="6">
        <v>8.08</v>
      </c>
      <c r="I1423" s="6">
        <v>1.21</v>
      </c>
      <c r="J1423" s="6">
        <v>6.87</v>
      </c>
      <c r="K1423" s="5">
        <v>379</v>
      </c>
    </row>
    <row r="1424" spans="1:11" x14ac:dyDescent="0.3">
      <c r="A1424" s="3">
        <v>8846</v>
      </c>
      <c r="B1424" s="3" t="s">
        <v>42</v>
      </c>
      <c r="C1424" s="4">
        <v>45855</v>
      </c>
      <c r="D1424" s="3" t="s">
        <v>15</v>
      </c>
      <c r="E1424" s="3" t="s">
        <v>44</v>
      </c>
      <c r="F1424" s="5">
        <v>4</v>
      </c>
      <c r="G1424" s="6">
        <v>19.510000000000002</v>
      </c>
      <c r="H1424" s="6">
        <v>78.040000000000006</v>
      </c>
      <c r="I1424" s="6">
        <v>0</v>
      </c>
      <c r="J1424" s="6">
        <v>78.040000000000006</v>
      </c>
      <c r="K1424" s="5">
        <v>494</v>
      </c>
    </row>
    <row r="1425" spans="1:11" x14ac:dyDescent="0.3">
      <c r="A1425" s="3">
        <v>4974</v>
      </c>
      <c r="B1425" s="3" t="s">
        <v>14</v>
      </c>
      <c r="C1425" s="4">
        <v>45685</v>
      </c>
      <c r="D1425" s="3" t="s">
        <v>45</v>
      </c>
      <c r="E1425" s="3" t="s">
        <v>46</v>
      </c>
      <c r="F1425" s="5">
        <v>2</v>
      </c>
      <c r="G1425" s="6">
        <v>8.68</v>
      </c>
      <c r="H1425" s="6">
        <v>17.36</v>
      </c>
      <c r="I1425" s="6">
        <v>2.6</v>
      </c>
      <c r="J1425" s="6">
        <v>14.76</v>
      </c>
      <c r="K1425" s="5">
        <v>347</v>
      </c>
    </row>
    <row r="1426" spans="1:11" x14ac:dyDescent="0.3">
      <c r="A1426" s="3">
        <v>4350</v>
      </c>
      <c r="B1426" s="3" t="s">
        <v>24</v>
      </c>
      <c r="C1426" s="4">
        <v>45453</v>
      </c>
      <c r="D1426" s="3" t="s">
        <v>28</v>
      </c>
      <c r="E1426" s="3" t="s">
        <v>16</v>
      </c>
      <c r="F1426" s="5">
        <v>3</v>
      </c>
      <c r="G1426" s="6">
        <v>9.9600000000000009</v>
      </c>
      <c r="H1426" s="6">
        <v>29.88</v>
      </c>
      <c r="I1426" s="6">
        <v>1.49</v>
      </c>
      <c r="J1426" s="6">
        <v>28.39</v>
      </c>
      <c r="K1426" s="5">
        <v>21</v>
      </c>
    </row>
    <row r="1427" spans="1:11" x14ac:dyDescent="0.3">
      <c r="A1427" s="3">
        <v>4921</v>
      </c>
      <c r="B1427" s="3" t="s">
        <v>26</v>
      </c>
      <c r="C1427" s="4">
        <v>45573</v>
      </c>
      <c r="D1427" s="3" t="s">
        <v>28</v>
      </c>
      <c r="E1427" s="3" t="s">
        <v>23</v>
      </c>
      <c r="F1427" s="5">
        <v>3</v>
      </c>
      <c r="G1427" s="6">
        <v>4.1900000000000004</v>
      </c>
      <c r="H1427" s="6">
        <v>12.57</v>
      </c>
      <c r="I1427" s="6">
        <v>0</v>
      </c>
      <c r="J1427" s="6">
        <v>12.57</v>
      </c>
      <c r="K1427" s="5">
        <v>4</v>
      </c>
    </row>
    <row r="1428" spans="1:11" x14ac:dyDescent="0.3">
      <c r="A1428" s="3">
        <v>6269</v>
      </c>
      <c r="B1428" s="3" t="s">
        <v>19</v>
      </c>
      <c r="C1428" s="4">
        <v>45747</v>
      </c>
      <c r="D1428" s="3" t="s">
        <v>45</v>
      </c>
      <c r="E1428" s="3" t="s">
        <v>41</v>
      </c>
      <c r="F1428" s="5">
        <v>5</v>
      </c>
      <c r="G1428" s="6">
        <v>29.02</v>
      </c>
      <c r="H1428" s="6">
        <v>145.1</v>
      </c>
      <c r="I1428" s="6">
        <v>21.76</v>
      </c>
      <c r="J1428" s="6">
        <v>123.34</v>
      </c>
      <c r="K1428" s="5">
        <v>319</v>
      </c>
    </row>
    <row r="1429" spans="1:11" x14ac:dyDescent="0.3">
      <c r="A1429" s="3">
        <v>5637</v>
      </c>
      <c r="B1429" s="3" t="s">
        <v>26</v>
      </c>
      <c r="C1429" s="4">
        <v>45440</v>
      </c>
      <c r="D1429" s="3" t="s">
        <v>35</v>
      </c>
      <c r="E1429" s="3" t="s">
        <v>43</v>
      </c>
      <c r="F1429" s="5">
        <v>3</v>
      </c>
      <c r="G1429" s="6">
        <v>1.44</v>
      </c>
      <c r="H1429" s="6">
        <v>4.32</v>
      </c>
      <c r="I1429" s="6">
        <v>0.65</v>
      </c>
      <c r="J1429" s="6">
        <v>3.67</v>
      </c>
      <c r="K1429" s="5">
        <v>20</v>
      </c>
    </row>
    <row r="1430" spans="1:11" x14ac:dyDescent="0.3">
      <c r="A1430" s="3">
        <v>8639</v>
      </c>
      <c r="B1430" s="3" t="s">
        <v>11</v>
      </c>
      <c r="C1430" s="4">
        <v>45559</v>
      </c>
      <c r="D1430" s="3" t="s">
        <v>12</v>
      </c>
      <c r="E1430" s="3" t="s">
        <v>47</v>
      </c>
      <c r="F1430" s="5">
        <v>3</v>
      </c>
      <c r="G1430" s="6">
        <v>1.1399999999999999</v>
      </c>
      <c r="H1430" s="6">
        <v>3.42</v>
      </c>
      <c r="I1430" s="6">
        <v>2.0099999999999998</v>
      </c>
      <c r="J1430" s="6">
        <v>1.41</v>
      </c>
      <c r="K1430" s="5">
        <v>180</v>
      </c>
    </row>
    <row r="1431" spans="1:11" x14ac:dyDescent="0.3">
      <c r="A1431" s="3">
        <v>6886</v>
      </c>
      <c r="B1431" s="3" t="s">
        <v>36</v>
      </c>
      <c r="C1431" s="4">
        <v>45384</v>
      </c>
      <c r="D1431" s="3" t="s">
        <v>35</v>
      </c>
      <c r="E1431" s="3" t="s">
        <v>46</v>
      </c>
      <c r="F1431" s="5">
        <v>5</v>
      </c>
      <c r="G1431" s="6">
        <v>5.49</v>
      </c>
      <c r="H1431" s="6">
        <v>27.45</v>
      </c>
      <c r="I1431" s="6">
        <v>5.49</v>
      </c>
      <c r="J1431" s="6">
        <v>21.96</v>
      </c>
      <c r="K1431" s="5">
        <v>44</v>
      </c>
    </row>
    <row r="1432" spans="1:11" x14ac:dyDescent="0.3">
      <c r="A1432" s="3">
        <v>5285</v>
      </c>
      <c r="B1432" s="3" t="s">
        <v>42</v>
      </c>
      <c r="C1432" s="4">
        <v>45424</v>
      </c>
      <c r="D1432" s="3" t="s">
        <v>20</v>
      </c>
      <c r="E1432" s="3" t="s">
        <v>43</v>
      </c>
      <c r="F1432" s="5">
        <v>3</v>
      </c>
      <c r="G1432" s="6">
        <v>7.34</v>
      </c>
      <c r="H1432" s="6">
        <v>22.02</v>
      </c>
      <c r="I1432" s="6">
        <v>4.4000000000000004</v>
      </c>
      <c r="J1432" s="6">
        <v>17.62</v>
      </c>
      <c r="K1432" s="5">
        <v>242</v>
      </c>
    </row>
    <row r="1433" spans="1:11" x14ac:dyDescent="0.3">
      <c r="A1433" s="3">
        <v>9401</v>
      </c>
      <c r="B1433" s="3" t="s">
        <v>24</v>
      </c>
      <c r="C1433" s="4">
        <v>45830</v>
      </c>
      <c r="D1433" s="3" t="s">
        <v>20</v>
      </c>
      <c r="E1433" s="3" t="s">
        <v>32</v>
      </c>
      <c r="F1433" s="5">
        <v>1</v>
      </c>
      <c r="G1433" s="6">
        <v>26.89</v>
      </c>
      <c r="H1433" s="6">
        <v>26.89</v>
      </c>
      <c r="I1433" s="6">
        <v>2.2400000000000002</v>
      </c>
      <c r="J1433" s="6">
        <v>24.65</v>
      </c>
      <c r="K1433" s="5">
        <v>471</v>
      </c>
    </row>
    <row r="1434" spans="1:11" x14ac:dyDescent="0.3">
      <c r="A1434" s="3">
        <v>9147</v>
      </c>
      <c r="B1434" s="3" t="s">
        <v>24</v>
      </c>
      <c r="C1434" s="4">
        <v>45506</v>
      </c>
      <c r="D1434" s="3" t="s">
        <v>27</v>
      </c>
      <c r="E1434" s="3" t="s">
        <v>21</v>
      </c>
      <c r="F1434" s="5">
        <v>5</v>
      </c>
      <c r="G1434" s="6">
        <v>5.03</v>
      </c>
      <c r="H1434" s="6">
        <v>25.15</v>
      </c>
      <c r="I1434" s="6">
        <v>3.77</v>
      </c>
      <c r="J1434" s="6">
        <v>21.38</v>
      </c>
      <c r="K1434" s="5">
        <v>393</v>
      </c>
    </row>
    <row r="1435" spans="1:11" x14ac:dyDescent="0.3">
      <c r="A1435" s="3">
        <v>2615</v>
      </c>
      <c r="B1435" s="3" t="s">
        <v>19</v>
      </c>
      <c r="C1435" s="4">
        <v>45768</v>
      </c>
      <c r="D1435" s="3" t="s">
        <v>20</v>
      </c>
      <c r="E1435" s="3" t="s">
        <v>18</v>
      </c>
      <c r="F1435" s="5">
        <v>2</v>
      </c>
      <c r="G1435" s="6">
        <v>9.7200000000000006</v>
      </c>
      <c r="H1435" s="6">
        <v>19.440000000000001</v>
      </c>
      <c r="I1435" s="6">
        <v>4.71</v>
      </c>
      <c r="J1435" s="6">
        <v>14.73</v>
      </c>
      <c r="K1435" s="5">
        <v>43</v>
      </c>
    </row>
    <row r="1436" spans="1:11" x14ac:dyDescent="0.3">
      <c r="A1436" s="3">
        <v>8692</v>
      </c>
      <c r="B1436" s="3" t="s">
        <v>26</v>
      </c>
      <c r="C1436" s="4">
        <v>45736</v>
      </c>
      <c r="D1436" s="3" t="s">
        <v>38</v>
      </c>
      <c r="E1436" s="3" t="s">
        <v>29</v>
      </c>
      <c r="F1436" s="5">
        <v>4</v>
      </c>
      <c r="G1436" s="6">
        <v>23.68</v>
      </c>
      <c r="H1436" s="6">
        <v>94.72</v>
      </c>
      <c r="I1436" s="6">
        <v>1.55</v>
      </c>
      <c r="J1436" s="6">
        <v>93.17</v>
      </c>
      <c r="K1436" s="5">
        <v>426</v>
      </c>
    </row>
    <row r="1437" spans="1:11" x14ac:dyDescent="0.3">
      <c r="A1437" s="3">
        <v>6246</v>
      </c>
      <c r="B1437" s="3" t="s">
        <v>26</v>
      </c>
      <c r="C1437" s="4">
        <v>45855</v>
      </c>
      <c r="D1437" s="3" t="s">
        <v>22</v>
      </c>
      <c r="E1437" s="3" t="s">
        <v>46</v>
      </c>
      <c r="F1437" s="5">
        <v>3</v>
      </c>
      <c r="G1437" s="6">
        <v>14.57</v>
      </c>
      <c r="H1437" s="6">
        <v>43.71</v>
      </c>
      <c r="I1437" s="6">
        <v>4.37</v>
      </c>
      <c r="J1437" s="6">
        <v>39.340000000000003</v>
      </c>
      <c r="K1437" s="5">
        <v>218</v>
      </c>
    </row>
    <row r="1438" spans="1:11" x14ac:dyDescent="0.3">
      <c r="A1438" s="3">
        <v>4328</v>
      </c>
      <c r="B1438" s="3" t="s">
        <v>24</v>
      </c>
      <c r="C1438" s="4">
        <v>45432</v>
      </c>
      <c r="D1438" s="3" t="s">
        <v>45</v>
      </c>
      <c r="E1438" s="3" t="s">
        <v>39</v>
      </c>
      <c r="F1438" s="5">
        <v>5</v>
      </c>
      <c r="G1438" s="6">
        <v>1.76</v>
      </c>
      <c r="H1438" s="6">
        <v>8.8000000000000007</v>
      </c>
      <c r="I1438" s="6">
        <v>4.0199999999999996</v>
      </c>
      <c r="J1438" s="6">
        <v>4.78</v>
      </c>
      <c r="K1438" s="5">
        <v>392</v>
      </c>
    </row>
    <row r="1439" spans="1:11" x14ac:dyDescent="0.3">
      <c r="A1439" s="3">
        <v>6126</v>
      </c>
      <c r="B1439" s="3" t="s">
        <v>30</v>
      </c>
      <c r="C1439" s="4">
        <v>45466</v>
      </c>
      <c r="D1439" s="3" t="s">
        <v>17</v>
      </c>
      <c r="E1439" s="3" t="s">
        <v>46</v>
      </c>
      <c r="F1439" s="5">
        <v>3</v>
      </c>
      <c r="G1439" s="6">
        <v>4.68</v>
      </c>
      <c r="H1439" s="6">
        <v>14.04</v>
      </c>
      <c r="I1439" s="6">
        <v>4.0199999999999996</v>
      </c>
      <c r="J1439" s="6">
        <v>10.02</v>
      </c>
      <c r="K1439" s="5">
        <v>278</v>
      </c>
    </row>
    <row r="1440" spans="1:11" x14ac:dyDescent="0.3">
      <c r="A1440" s="3">
        <v>1749</v>
      </c>
      <c r="B1440" s="3" t="s">
        <v>24</v>
      </c>
      <c r="C1440" s="4">
        <v>45581</v>
      </c>
      <c r="D1440" s="3" t="s">
        <v>34</v>
      </c>
      <c r="E1440" s="3" t="s">
        <v>32</v>
      </c>
      <c r="F1440" s="5">
        <v>1</v>
      </c>
      <c r="G1440" s="6">
        <v>14.41</v>
      </c>
      <c r="H1440" s="6">
        <v>14.41</v>
      </c>
      <c r="I1440" s="6">
        <v>1.34</v>
      </c>
      <c r="J1440" s="6">
        <v>13.07</v>
      </c>
      <c r="K1440" s="5">
        <v>390</v>
      </c>
    </row>
    <row r="1441" spans="1:11" x14ac:dyDescent="0.3">
      <c r="A1441" s="3">
        <v>4625</v>
      </c>
      <c r="B1441" s="3" t="s">
        <v>30</v>
      </c>
      <c r="C1441" s="4">
        <v>45720</v>
      </c>
      <c r="D1441" s="3" t="s">
        <v>27</v>
      </c>
      <c r="E1441" s="3" t="s">
        <v>48</v>
      </c>
      <c r="F1441" s="5">
        <v>3</v>
      </c>
      <c r="G1441" s="6">
        <v>18.23</v>
      </c>
      <c r="H1441" s="6">
        <v>54.69</v>
      </c>
      <c r="I1441" s="6">
        <v>2.93</v>
      </c>
      <c r="J1441" s="6">
        <v>51.76</v>
      </c>
      <c r="K1441" s="5">
        <v>420</v>
      </c>
    </row>
    <row r="1442" spans="1:11" x14ac:dyDescent="0.3">
      <c r="A1442" s="3">
        <v>3390</v>
      </c>
      <c r="B1442" s="3" t="s">
        <v>36</v>
      </c>
      <c r="C1442" s="4">
        <v>45157</v>
      </c>
      <c r="D1442" s="3" t="s">
        <v>12</v>
      </c>
      <c r="E1442" s="3" t="s">
        <v>48</v>
      </c>
      <c r="F1442" s="5">
        <v>5</v>
      </c>
      <c r="G1442" s="6">
        <v>20.55</v>
      </c>
      <c r="H1442" s="6">
        <v>102.75</v>
      </c>
      <c r="I1442" s="6">
        <v>0</v>
      </c>
      <c r="J1442" s="6">
        <v>102.75</v>
      </c>
      <c r="K1442" s="5">
        <v>378</v>
      </c>
    </row>
    <row r="1443" spans="1:11" x14ac:dyDescent="0.3">
      <c r="A1443" s="3">
        <v>5272</v>
      </c>
      <c r="B1443" s="3" t="s">
        <v>42</v>
      </c>
      <c r="C1443" s="4">
        <v>45574</v>
      </c>
      <c r="D1443" s="3" t="s">
        <v>38</v>
      </c>
      <c r="E1443" s="3" t="s">
        <v>41</v>
      </c>
      <c r="F1443" s="5">
        <v>5</v>
      </c>
      <c r="G1443" s="6">
        <v>22.46</v>
      </c>
      <c r="H1443" s="6">
        <v>112.3</v>
      </c>
      <c r="I1443" s="6">
        <v>22.46</v>
      </c>
      <c r="J1443" s="6">
        <v>89.84</v>
      </c>
      <c r="K1443" s="5">
        <v>253</v>
      </c>
    </row>
    <row r="1444" spans="1:11" x14ac:dyDescent="0.3">
      <c r="A1444" s="3">
        <v>7841</v>
      </c>
      <c r="B1444" s="3" t="s">
        <v>19</v>
      </c>
      <c r="C1444" s="4">
        <v>45374</v>
      </c>
      <c r="D1444" s="3" t="s">
        <v>35</v>
      </c>
      <c r="E1444" s="3" t="s">
        <v>37</v>
      </c>
      <c r="F1444" s="5">
        <v>1</v>
      </c>
      <c r="G1444" s="6">
        <v>24.35</v>
      </c>
      <c r="H1444" s="6">
        <v>24.35</v>
      </c>
      <c r="I1444" s="6">
        <v>1.27</v>
      </c>
      <c r="J1444" s="6">
        <v>23.08</v>
      </c>
      <c r="K1444" s="5">
        <v>319</v>
      </c>
    </row>
    <row r="1445" spans="1:11" x14ac:dyDescent="0.3">
      <c r="A1445" s="3">
        <v>3497</v>
      </c>
      <c r="B1445" s="3" t="s">
        <v>19</v>
      </c>
      <c r="C1445" s="4">
        <v>45297</v>
      </c>
      <c r="D1445" s="3" t="s">
        <v>28</v>
      </c>
      <c r="E1445" s="3" t="s">
        <v>48</v>
      </c>
      <c r="F1445" s="5">
        <v>5</v>
      </c>
      <c r="G1445" s="6">
        <v>3.8</v>
      </c>
      <c r="H1445" s="6">
        <v>19</v>
      </c>
      <c r="I1445" s="6">
        <v>1.9</v>
      </c>
      <c r="J1445" s="6">
        <v>17.100000000000001</v>
      </c>
      <c r="K1445" s="5">
        <v>104</v>
      </c>
    </row>
    <row r="1446" spans="1:11" x14ac:dyDescent="0.3">
      <c r="A1446" s="3">
        <v>6404</v>
      </c>
      <c r="B1446" s="3" t="s">
        <v>31</v>
      </c>
      <c r="C1446" s="4">
        <v>45323</v>
      </c>
      <c r="D1446" s="3" t="s">
        <v>38</v>
      </c>
      <c r="E1446" s="3" t="s">
        <v>33</v>
      </c>
      <c r="F1446" s="5">
        <v>4</v>
      </c>
      <c r="G1446" s="6">
        <v>2.6</v>
      </c>
      <c r="H1446" s="6">
        <v>10.4</v>
      </c>
      <c r="I1446" s="6">
        <v>1.04</v>
      </c>
      <c r="J1446" s="6">
        <v>9.36</v>
      </c>
      <c r="K1446" s="5">
        <v>62</v>
      </c>
    </row>
    <row r="1447" spans="1:11" x14ac:dyDescent="0.3">
      <c r="A1447" s="3">
        <v>7223</v>
      </c>
      <c r="B1447" s="3" t="s">
        <v>26</v>
      </c>
      <c r="C1447" s="4">
        <v>45587</v>
      </c>
      <c r="D1447" s="3" t="s">
        <v>34</v>
      </c>
      <c r="E1447" s="3" t="s">
        <v>25</v>
      </c>
      <c r="F1447" s="5">
        <v>5</v>
      </c>
      <c r="G1447" s="6">
        <v>8.5399999999999991</v>
      </c>
      <c r="H1447" s="6">
        <v>42.7</v>
      </c>
      <c r="I1447" s="6">
        <v>0</v>
      </c>
      <c r="J1447" s="6">
        <v>42.7</v>
      </c>
      <c r="K1447" s="5">
        <v>313</v>
      </c>
    </row>
    <row r="1448" spans="1:11" x14ac:dyDescent="0.3">
      <c r="A1448" s="3">
        <v>5026</v>
      </c>
      <c r="B1448" s="3" t="s">
        <v>11</v>
      </c>
      <c r="C1448" s="4">
        <v>45532</v>
      </c>
      <c r="D1448" s="3" t="s">
        <v>20</v>
      </c>
      <c r="E1448" s="3" t="s">
        <v>41</v>
      </c>
      <c r="F1448" s="5">
        <v>1</v>
      </c>
      <c r="G1448" s="6">
        <v>6.35</v>
      </c>
      <c r="H1448" s="6">
        <v>6.35</v>
      </c>
      <c r="I1448" s="6">
        <v>1.27</v>
      </c>
      <c r="J1448" s="6">
        <v>5.08</v>
      </c>
      <c r="K1448" s="5">
        <v>419</v>
      </c>
    </row>
    <row r="1449" spans="1:11" x14ac:dyDescent="0.3">
      <c r="A1449" s="3">
        <v>6530</v>
      </c>
      <c r="B1449" s="3" t="s">
        <v>14</v>
      </c>
      <c r="C1449" s="4">
        <v>45344</v>
      </c>
      <c r="D1449" s="3" t="s">
        <v>38</v>
      </c>
      <c r="E1449" s="3" t="s">
        <v>44</v>
      </c>
      <c r="F1449" s="5">
        <v>4</v>
      </c>
      <c r="G1449" s="6">
        <v>14.92</v>
      </c>
      <c r="H1449" s="6">
        <v>59.68</v>
      </c>
      <c r="I1449" s="6">
        <v>2.97</v>
      </c>
      <c r="J1449" s="6">
        <v>56.71</v>
      </c>
      <c r="K1449" s="5">
        <v>148</v>
      </c>
    </row>
    <row r="1450" spans="1:11" x14ac:dyDescent="0.3">
      <c r="A1450" s="3">
        <v>9005</v>
      </c>
      <c r="B1450" s="3" t="s">
        <v>30</v>
      </c>
      <c r="C1450" s="4">
        <v>45707</v>
      </c>
      <c r="D1450" s="3" t="s">
        <v>20</v>
      </c>
      <c r="E1450" s="3" t="s">
        <v>32</v>
      </c>
      <c r="F1450" s="5">
        <v>1</v>
      </c>
      <c r="G1450" s="6">
        <v>14.44</v>
      </c>
      <c r="H1450" s="6">
        <v>14.44</v>
      </c>
      <c r="I1450" s="6">
        <v>2.89</v>
      </c>
      <c r="J1450" s="6">
        <v>11.55</v>
      </c>
      <c r="K1450" s="5">
        <v>416</v>
      </c>
    </row>
    <row r="1451" spans="1:11" x14ac:dyDescent="0.3">
      <c r="A1451" s="3">
        <v>9037</v>
      </c>
      <c r="B1451" s="3" t="s">
        <v>31</v>
      </c>
      <c r="C1451" s="4">
        <v>45502</v>
      </c>
      <c r="D1451" s="3" t="s">
        <v>35</v>
      </c>
      <c r="E1451" s="3" t="s">
        <v>33</v>
      </c>
      <c r="F1451" s="5">
        <v>1</v>
      </c>
      <c r="G1451" s="6">
        <v>17.350000000000001</v>
      </c>
      <c r="H1451" s="6">
        <v>17.350000000000001</v>
      </c>
      <c r="I1451" s="6">
        <v>3.58</v>
      </c>
      <c r="J1451" s="6">
        <v>13.77</v>
      </c>
      <c r="K1451" s="5">
        <v>5</v>
      </c>
    </row>
    <row r="1452" spans="1:11" x14ac:dyDescent="0.3">
      <c r="A1452" s="3">
        <v>3756</v>
      </c>
      <c r="B1452" s="3" t="s">
        <v>26</v>
      </c>
      <c r="C1452" s="4">
        <v>45714</v>
      </c>
      <c r="D1452" s="3" t="s">
        <v>12</v>
      </c>
      <c r="E1452" s="3" t="s">
        <v>23</v>
      </c>
      <c r="F1452" s="5">
        <v>2</v>
      </c>
      <c r="G1452" s="6">
        <v>14.56</v>
      </c>
      <c r="H1452" s="6">
        <v>29.12</v>
      </c>
      <c r="I1452" s="6">
        <v>4.37</v>
      </c>
      <c r="J1452" s="6">
        <v>24.75</v>
      </c>
      <c r="K1452" s="5">
        <v>370</v>
      </c>
    </row>
    <row r="1453" spans="1:11" x14ac:dyDescent="0.3">
      <c r="A1453" s="3">
        <v>6770</v>
      </c>
      <c r="B1453" s="3" t="s">
        <v>31</v>
      </c>
      <c r="C1453" s="4">
        <v>45276</v>
      </c>
      <c r="D1453" s="3" t="s">
        <v>34</v>
      </c>
      <c r="E1453" s="3" t="s">
        <v>23</v>
      </c>
      <c r="F1453" s="5">
        <v>5</v>
      </c>
      <c r="G1453" s="6">
        <v>25.81</v>
      </c>
      <c r="H1453" s="6">
        <v>129.05000000000001</v>
      </c>
      <c r="I1453" s="6">
        <v>19.36</v>
      </c>
      <c r="J1453" s="6">
        <v>109.69</v>
      </c>
      <c r="K1453" s="5">
        <v>257</v>
      </c>
    </row>
    <row r="1454" spans="1:11" x14ac:dyDescent="0.3">
      <c r="A1454" s="3">
        <v>3293</v>
      </c>
      <c r="B1454" s="3" t="s">
        <v>14</v>
      </c>
      <c r="C1454" s="4">
        <v>45704</v>
      </c>
      <c r="D1454" s="3" t="s">
        <v>20</v>
      </c>
      <c r="E1454" s="3" t="s">
        <v>46</v>
      </c>
      <c r="F1454" s="5">
        <v>1</v>
      </c>
      <c r="G1454" s="6">
        <v>6.05</v>
      </c>
      <c r="H1454" s="6">
        <v>6.05</v>
      </c>
      <c r="I1454" s="6">
        <v>0</v>
      </c>
      <c r="J1454" s="6">
        <v>6.05</v>
      </c>
      <c r="K1454" s="5">
        <v>77</v>
      </c>
    </row>
    <row r="1455" spans="1:11" x14ac:dyDescent="0.3">
      <c r="A1455" s="3">
        <v>9954</v>
      </c>
      <c r="B1455" s="3" t="s">
        <v>36</v>
      </c>
      <c r="C1455" s="4">
        <v>45524</v>
      </c>
      <c r="D1455" s="3" t="s">
        <v>45</v>
      </c>
      <c r="E1455" s="3" t="s">
        <v>41</v>
      </c>
      <c r="F1455" s="5">
        <v>3</v>
      </c>
      <c r="G1455" s="6">
        <v>23.75</v>
      </c>
      <c r="H1455" s="6">
        <v>71.25</v>
      </c>
      <c r="I1455" s="6">
        <v>7.12</v>
      </c>
      <c r="J1455" s="6">
        <v>64.13</v>
      </c>
      <c r="K1455" s="5">
        <v>337</v>
      </c>
    </row>
    <row r="1456" spans="1:11" x14ac:dyDescent="0.3">
      <c r="A1456" s="3">
        <v>4015</v>
      </c>
      <c r="B1456" s="3" t="s">
        <v>11</v>
      </c>
      <c r="C1456" s="4">
        <v>45857</v>
      </c>
      <c r="D1456" s="3" t="s">
        <v>27</v>
      </c>
      <c r="E1456" s="3" t="s">
        <v>47</v>
      </c>
      <c r="F1456" s="5">
        <v>4</v>
      </c>
      <c r="G1456" s="6">
        <v>28.9</v>
      </c>
      <c r="H1456" s="6">
        <v>115.6</v>
      </c>
      <c r="I1456" s="6">
        <v>3.83</v>
      </c>
      <c r="J1456" s="6">
        <v>111.77</v>
      </c>
      <c r="K1456" s="5">
        <v>310</v>
      </c>
    </row>
    <row r="1457" spans="1:11" x14ac:dyDescent="0.3">
      <c r="A1457" s="3">
        <v>9882</v>
      </c>
      <c r="B1457" s="3" t="s">
        <v>14</v>
      </c>
      <c r="C1457" s="4">
        <v>45643</v>
      </c>
      <c r="D1457" s="3" t="s">
        <v>27</v>
      </c>
      <c r="E1457" s="3" t="s">
        <v>46</v>
      </c>
      <c r="F1457" s="5">
        <v>3</v>
      </c>
      <c r="G1457" s="6">
        <v>4.74</v>
      </c>
      <c r="H1457" s="6">
        <v>14.22</v>
      </c>
      <c r="I1457" s="6">
        <v>3.47</v>
      </c>
      <c r="J1457" s="6">
        <v>10.75</v>
      </c>
      <c r="K1457" s="5">
        <v>165</v>
      </c>
    </row>
    <row r="1458" spans="1:11" x14ac:dyDescent="0.3">
      <c r="A1458" s="3">
        <v>1962</v>
      </c>
      <c r="B1458" s="3" t="s">
        <v>24</v>
      </c>
      <c r="C1458" s="4">
        <v>45551</v>
      </c>
      <c r="D1458" s="3" t="s">
        <v>15</v>
      </c>
      <c r="E1458" s="3" t="s">
        <v>40</v>
      </c>
      <c r="F1458" s="5">
        <v>1</v>
      </c>
      <c r="G1458" s="6">
        <v>25.7</v>
      </c>
      <c r="H1458" s="6">
        <v>25.7</v>
      </c>
      <c r="I1458" s="6">
        <v>3.66</v>
      </c>
      <c r="J1458" s="6">
        <v>22.04</v>
      </c>
      <c r="K1458" s="5">
        <v>81</v>
      </c>
    </row>
    <row r="1459" spans="1:11" x14ac:dyDescent="0.3">
      <c r="A1459" s="3">
        <v>1554</v>
      </c>
      <c r="B1459" s="3" t="s">
        <v>26</v>
      </c>
      <c r="C1459" s="4">
        <v>45796</v>
      </c>
      <c r="D1459" s="3" t="s">
        <v>27</v>
      </c>
      <c r="E1459" s="3" t="s">
        <v>47</v>
      </c>
      <c r="F1459" s="5">
        <v>3</v>
      </c>
      <c r="G1459" s="6">
        <v>23.03</v>
      </c>
      <c r="H1459" s="6">
        <v>69.09</v>
      </c>
      <c r="I1459" s="6">
        <v>4.5999999999999996</v>
      </c>
      <c r="J1459" s="6">
        <v>64.489999999999995</v>
      </c>
      <c r="K1459" s="5">
        <v>395</v>
      </c>
    </row>
    <row r="1460" spans="1:11" x14ac:dyDescent="0.3">
      <c r="A1460" s="3">
        <v>2217</v>
      </c>
      <c r="B1460" s="3" t="s">
        <v>19</v>
      </c>
      <c r="C1460" s="4">
        <v>45780</v>
      </c>
      <c r="D1460" s="3" t="s">
        <v>20</v>
      </c>
      <c r="E1460" s="3" t="s">
        <v>16</v>
      </c>
      <c r="F1460" s="5">
        <v>1</v>
      </c>
      <c r="G1460" s="6">
        <v>2.79</v>
      </c>
      <c r="H1460" s="6">
        <v>2.79</v>
      </c>
      <c r="I1460" s="6">
        <v>4.3899999999999997</v>
      </c>
      <c r="J1460" s="6">
        <v>-1.6</v>
      </c>
      <c r="K1460" s="5">
        <v>128</v>
      </c>
    </row>
    <row r="1461" spans="1:11" x14ac:dyDescent="0.3">
      <c r="A1461" s="3">
        <v>1794</v>
      </c>
      <c r="B1461" s="3"/>
      <c r="C1461" s="4">
        <v>45738</v>
      </c>
      <c r="D1461" s="3" t="s">
        <v>45</v>
      </c>
      <c r="E1461" s="3" t="s">
        <v>23</v>
      </c>
      <c r="F1461" s="5">
        <v>5</v>
      </c>
      <c r="G1461" s="6">
        <v>19.3</v>
      </c>
      <c r="H1461" s="6">
        <v>96.5</v>
      </c>
      <c r="I1461" s="6">
        <v>14.47</v>
      </c>
      <c r="J1461" s="6">
        <v>82.03</v>
      </c>
      <c r="K1461" s="5">
        <v>15</v>
      </c>
    </row>
    <row r="1462" spans="1:11" x14ac:dyDescent="0.3">
      <c r="A1462" s="3">
        <v>1104</v>
      </c>
      <c r="B1462" s="3" t="s">
        <v>11</v>
      </c>
      <c r="C1462" s="4">
        <v>45465</v>
      </c>
      <c r="D1462" s="3" t="s">
        <v>45</v>
      </c>
      <c r="E1462" s="3" t="s">
        <v>32</v>
      </c>
      <c r="F1462" s="5">
        <v>2</v>
      </c>
      <c r="G1462" s="6">
        <v>29.67</v>
      </c>
      <c r="H1462" s="6">
        <v>59.34</v>
      </c>
      <c r="I1462" s="6">
        <v>11.87</v>
      </c>
      <c r="J1462" s="6">
        <v>47.47</v>
      </c>
      <c r="K1462" s="5">
        <v>293</v>
      </c>
    </row>
    <row r="1463" spans="1:11" x14ac:dyDescent="0.3">
      <c r="A1463" s="3">
        <v>3252</v>
      </c>
      <c r="B1463" s="3" t="s">
        <v>30</v>
      </c>
      <c r="C1463" s="4">
        <v>45799</v>
      </c>
      <c r="D1463" s="3" t="s">
        <v>45</v>
      </c>
      <c r="E1463" s="3" t="s">
        <v>33</v>
      </c>
      <c r="F1463" s="5">
        <v>3</v>
      </c>
      <c r="G1463" s="6">
        <v>7.53</v>
      </c>
      <c r="H1463" s="6">
        <v>22.59</v>
      </c>
      <c r="I1463" s="6">
        <v>2.2599999999999998</v>
      </c>
      <c r="J1463" s="6">
        <v>20.329999999999998</v>
      </c>
      <c r="K1463" s="5">
        <v>379</v>
      </c>
    </row>
    <row r="1464" spans="1:11" x14ac:dyDescent="0.3">
      <c r="A1464" s="3">
        <v>4791</v>
      </c>
      <c r="B1464" s="3" t="s">
        <v>14</v>
      </c>
      <c r="C1464" s="4">
        <v>45197</v>
      </c>
      <c r="D1464" s="3" t="s">
        <v>17</v>
      </c>
      <c r="E1464" s="3" t="s">
        <v>43</v>
      </c>
      <c r="F1464" s="5">
        <v>5</v>
      </c>
      <c r="G1464" s="6">
        <v>1.69</v>
      </c>
      <c r="H1464" s="6">
        <v>8.4499999999999993</v>
      </c>
      <c r="I1464" s="6">
        <v>1.69</v>
      </c>
      <c r="J1464" s="6">
        <v>6.76</v>
      </c>
      <c r="K1464" s="5">
        <v>491</v>
      </c>
    </row>
    <row r="1465" spans="1:11" x14ac:dyDescent="0.3">
      <c r="A1465" s="3">
        <v>3474</v>
      </c>
      <c r="B1465" s="3" t="s">
        <v>31</v>
      </c>
      <c r="C1465" s="4">
        <v>45152</v>
      </c>
      <c r="D1465" s="3" t="s">
        <v>34</v>
      </c>
      <c r="E1465" s="3" t="s">
        <v>39</v>
      </c>
      <c r="F1465" s="5">
        <v>3</v>
      </c>
      <c r="G1465" s="6">
        <v>23.45</v>
      </c>
      <c r="H1465" s="6">
        <v>70.349999999999994</v>
      </c>
      <c r="I1465" s="6">
        <v>10.55</v>
      </c>
      <c r="J1465" s="6">
        <v>59.8</v>
      </c>
      <c r="K1465" s="5">
        <v>290</v>
      </c>
    </row>
    <row r="1466" spans="1:11" x14ac:dyDescent="0.3">
      <c r="A1466" s="3">
        <v>4583</v>
      </c>
      <c r="B1466" s="3" t="s">
        <v>19</v>
      </c>
      <c r="C1466" s="4">
        <v>45537</v>
      </c>
      <c r="D1466" s="3" t="s">
        <v>27</v>
      </c>
      <c r="E1466" s="3" t="s">
        <v>46</v>
      </c>
      <c r="F1466" s="5">
        <v>4</v>
      </c>
      <c r="G1466" s="6">
        <v>6.5</v>
      </c>
      <c r="H1466" s="6">
        <v>26</v>
      </c>
      <c r="I1466" s="6">
        <v>2.41</v>
      </c>
      <c r="J1466" s="6">
        <v>23.59</v>
      </c>
      <c r="K1466" s="5">
        <v>106</v>
      </c>
    </row>
    <row r="1467" spans="1:11" x14ac:dyDescent="0.3">
      <c r="A1467" s="3">
        <v>8471</v>
      </c>
      <c r="B1467" s="3" t="s">
        <v>14</v>
      </c>
      <c r="C1467" s="4">
        <v>45434</v>
      </c>
      <c r="D1467" s="3" t="s">
        <v>34</v>
      </c>
      <c r="E1467" s="3" t="s">
        <v>43</v>
      </c>
      <c r="F1467" s="5">
        <v>4</v>
      </c>
      <c r="G1467" s="6">
        <v>13.39</v>
      </c>
      <c r="H1467" s="6">
        <v>53.56</v>
      </c>
      <c r="I1467" s="6">
        <v>1.31</v>
      </c>
      <c r="J1467" s="6">
        <v>52.25</v>
      </c>
      <c r="K1467" s="5">
        <v>192</v>
      </c>
    </row>
    <row r="1468" spans="1:11" x14ac:dyDescent="0.3">
      <c r="A1468" s="3">
        <v>1990</v>
      </c>
      <c r="B1468" s="3" t="s">
        <v>14</v>
      </c>
      <c r="C1468" s="4">
        <v>45624</v>
      </c>
      <c r="D1468" s="3" t="s">
        <v>35</v>
      </c>
      <c r="E1468" s="3" t="s">
        <v>48</v>
      </c>
      <c r="F1468" s="5">
        <v>1</v>
      </c>
      <c r="G1468" s="6">
        <v>15.45</v>
      </c>
      <c r="H1468" s="6">
        <v>15.45</v>
      </c>
      <c r="I1468" s="6">
        <v>1.9</v>
      </c>
      <c r="J1468" s="6">
        <v>13.55</v>
      </c>
      <c r="K1468" s="5">
        <v>26</v>
      </c>
    </row>
    <row r="1469" spans="1:11" x14ac:dyDescent="0.3">
      <c r="A1469" s="3">
        <v>8916</v>
      </c>
      <c r="B1469" s="3" t="s">
        <v>30</v>
      </c>
      <c r="C1469" s="4">
        <v>45657</v>
      </c>
      <c r="D1469" s="3" t="s">
        <v>35</v>
      </c>
      <c r="E1469" s="3" t="s">
        <v>32</v>
      </c>
      <c r="F1469" s="5">
        <v>3</v>
      </c>
      <c r="G1469" s="6">
        <v>2.96</v>
      </c>
      <c r="H1469" s="6">
        <v>8.8800000000000008</v>
      </c>
      <c r="I1469" s="6">
        <v>1.33</v>
      </c>
      <c r="J1469" s="6">
        <v>7.55</v>
      </c>
      <c r="K1469" s="5">
        <v>446</v>
      </c>
    </row>
    <row r="1470" spans="1:11" x14ac:dyDescent="0.3">
      <c r="A1470" s="3">
        <v>8993</v>
      </c>
      <c r="B1470" s="3" t="s">
        <v>11</v>
      </c>
      <c r="C1470" s="4">
        <v>45157</v>
      </c>
      <c r="D1470" s="3" t="s">
        <v>38</v>
      </c>
      <c r="E1470" s="3" t="s">
        <v>25</v>
      </c>
      <c r="F1470" s="5">
        <v>5</v>
      </c>
      <c r="G1470" s="6">
        <v>28.01</v>
      </c>
      <c r="H1470" s="6">
        <v>140.05000000000001</v>
      </c>
      <c r="I1470" s="6">
        <v>14.01</v>
      </c>
      <c r="J1470" s="6">
        <v>126.04</v>
      </c>
      <c r="K1470" s="5">
        <v>256</v>
      </c>
    </row>
    <row r="1471" spans="1:11" x14ac:dyDescent="0.3">
      <c r="A1471" s="3">
        <v>1108</v>
      </c>
      <c r="B1471" s="3" t="s">
        <v>31</v>
      </c>
      <c r="C1471" s="4">
        <v>45558</v>
      </c>
      <c r="D1471" s="3" t="s">
        <v>38</v>
      </c>
      <c r="E1471" s="3" t="s">
        <v>48</v>
      </c>
      <c r="F1471" s="5">
        <v>5</v>
      </c>
      <c r="G1471" s="6">
        <v>14.65</v>
      </c>
      <c r="H1471" s="6">
        <v>73.25</v>
      </c>
      <c r="I1471" s="6">
        <v>0</v>
      </c>
      <c r="J1471" s="6">
        <v>73.25</v>
      </c>
      <c r="K1471" s="5">
        <v>469</v>
      </c>
    </row>
    <row r="1472" spans="1:11" x14ac:dyDescent="0.3">
      <c r="A1472" s="3">
        <v>7739</v>
      </c>
      <c r="B1472" s="3" t="s">
        <v>31</v>
      </c>
      <c r="C1472" s="4">
        <v>45154</v>
      </c>
      <c r="D1472" s="3" t="s">
        <v>12</v>
      </c>
      <c r="E1472" s="3" t="s">
        <v>21</v>
      </c>
      <c r="F1472" s="5">
        <v>4</v>
      </c>
      <c r="G1472" s="6">
        <v>8.56</v>
      </c>
      <c r="H1472" s="6">
        <v>34.24</v>
      </c>
      <c r="I1472" s="6">
        <v>6.85</v>
      </c>
      <c r="J1472" s="6">
        <v>27.39</v>
      </c>
      <c r="K1472" s="5">
        <v>171</v>
      </c>
    </row>
    <row r="1473" spans="1:11" x14ac:dyDescent="0.3">
      <c r="A1473" s="3">
        <v>1274</v>
      </c>
      <c r="B1473" s="3" t="s">
        <v>42</v>
      </c>
      <c r="C1473" s="4">
        <v>45556</v>
      </c>
      <c r="D1473" s="3" t="s">
        <v>38</v>
      </c>
      <c r="E1473" s="3" t="s">
        <v>21</v>
      </c>
      <c r="F1473" s="5">
        <v>1</v>
      </c>
      <c r="G1473" s="6">
        <v>7.82</v>
      </c>
      <c r="H1473" s="6">
        <v>7.82</v>
      </c>
      <c r="I1473" s="6">
        <v>1.17</v>
      </c>
      <c r="J1473" s="6">
        <v>6.65</v>
      </c>
      <c r="K1473" s="5">
        <v>37</v>
      </c>
    </row>
    <row r="1474" spans="1:11" x14ac:dyDescent="0.3">
      <c r="A1474" s="3">
        <v>5501</v>
      </c>
      <c r="B1474" s="3" t="s">
        <v>11</v>
      </c>
      <c r="C1474" s="4">
        <v>45561</v>
      </c>
      <c r="D1474" s="3" t="s">
        <v>20</v>
      </c>
      <c r="E1474" s="3" t="s">
        <v>43</v>
      </c>
      <c r="F1474" s="5">
        <v>5</v>
      </c>
      <c r="G1474" s="6">
        <v>14.87</v>
      </c>
      <c r="H1474" s="6">
        <v>74.349999999999994</v>
      </c>
      <c r="I1474" s="6">
        <v>0</v>
      </c>
      <c r="J1474" s="6">
        <v>74.349999999999994</v>
      </c>
      <c r="K1474" s="5">
        <v>66</v>
      </c>
    </row>
    <row r="1475" spans="1:11" x14ac:dyDescent="0.3">
      <c r="A1475" s="3">
        <v>5697</v>
      </c>
      <c r="B1475" s="3" t="s">
        <v>31</v>
      </c>
      <c r="C1475" s="4">
        <v>45158</v>
      </c>
      <c r="D1475" s="3" t="s">
        <v>15</v>
      </c>
      <c r="E1475" s="3" t="s">
        <v>40</v>
      </c>
      <c r="F1475" s="5">
        <v>4</v>
      </c>
      <c r="G1475" s="6">
        <v>15.71</v>
      </c>
      <c r="H1475" s="6">
        <v>62.84</v>
      </c>
      <c r="I1475" s="6">
        <v>6.28</v>
      </c>
      <c r="J1475" s="6">
        <v>56.56</v>
      </c>
      <c r="K1475" s="5">
        <v>332</v>
      </c>
    </row>
    <row r="1476" spans="1:11" x14ac:dyDescent="0.3">
      <c r="A1476" s="3">
        <v>9228</v>
      </c>
      <c r="B1476" s="3" t="s">
        <v>26</v>
      </c>
      <c r="C1476" s="4">
        <v>45776</v>
      </c>
      <c r="D1476" s="3" t="s">
        <v>35</v>
      </c>
      <c r="E1476" s="3" t="s">
        <v>25</v>
      </c>
      <c r="F1476" s="5">
        <v>1</v>
      </c>
      <c r="G1476" s="6">
        <v>28</v>
      </c>
      <c r="H1476" s="6">
        <v>28</v>
      </c>
      <c r="I1476" s="6">
        <v>3.43</v>
      </c>
      <c r="J1476" s="6">
        <v>24.57</v>
      </c>
      <c r="K1476" s="5">
        <v>13</v>
      </c>
    </row>
    <row r="1477" spans="1:11" x14ac:dyDescent="0.3">
      <c r="A1477" s="3">
        <v>8054</v>
      </c>
      <c r="B1477" s="3" t="s">
        <v>24</v>
      </c>
      <c r="C1477" s="4">
        <v>45771</v>
      </c>
      <c r="D1477" s="3" t="s">
        <v>27</v>
      </c>
      <c r="E1477" s="3" t="s">
        <v>39</v>
      </c>
      <c r="F1477" s="5">
        <v>5</v>
      </c>
      <c r="G1477" s="6">
        <v>14.97</v>
      </c>
      <c r="H1477" s="6">
        <v>74.849999999999994</v>
      </c>
      <c r="I1477" s="6">
        <v>0</v>
      </c>
      <c r="J1477" s="6">
        <v>74.849999999999994</v>
      </c>
      <c r="K1477" s="5">
        <v>198</v>
      </c>
    </row>
    <row r="1478" spans="1:11" x14ac:dyDescent="0.3">
      <c r="A1478" s="3">
        <v>3937</v>
      </c>
      <c r="B1478" s="3" t="s">
        <v>19</v>
      </c>
      <c r="C1478" s="4">
        <v>45228</v>
      </c>
      <c r="D1478" s="3" t="s">
        <v>20</v>
      </c>
      <c r="E1478" s="3" t="s">
        <v>16</v>
      </c>
      <c r="F1478" s="5">
        <v>5</v>
      </c>
      <c r="G1478" s="6">
        <v>4.99</v>
      </c>
      <c r="H1478" s="6">
        <v>24.95</v>
      </c>
      <c r="I1478" s="6">
        <v>4.93</v>
      </c>
      <c r="J1478" s="6">
        <v>20.02</v>
      </c>
      <c r="K1478" s="5">
        <v>224</v>
      </c>
    </row>
    <row r="1479" spans="1:11" x14ac:dyDescent="0.3">
      <c r="A1479" s="3">
        <v>2578</v>
      </c>
      <c r="B1479" s="3" t="s">
        <v>36</v>
      </c>
      <c r="C1479" s="4">
        <v>45552</v>
      </c>
      <c r="D1479" s="3" t="s">
        <v>22</v>
      </c>
      <c r="E1479" s="3" t="s">
        <v>44</v>
      </c>
      <c r="F1479" s="5">
        <v>3</v>
      </c>
      <c r="G1479" s="6">
        <v>13.65</v>
      </c>
      <c r="H1479" s="6">
        <v>40.950000000000003</v>
      </c>
      <c r="I1479" s="6">
        <v>8.19</v>
      </c>
      <c r="J1479" s="6">
        <v>32.76</v>
      </c>
      <c r="K1479" s="5">
        <v>29</v>
      </c>
    </row>
    <row r="1480" spans="1:11" x14ac:dyDescent="0.3">
      <c r="A1480" s="3">
        <v>3439</v>
      </c>
      <c r="B1480" s="3" t="s">
        <v>11</v>
      </c>
      <c r="C1480" s="4">
        <v>45332</v>
      </c>
      <c r="D1480" s="3" t="s">
        <v>28</v>
      </c>
      <c r="E1480" s="3" t="s">
        <v>39</v>
      </c>
      <c r="F1480" s="5">
        <v>2</v>
      </c>
      <c r="G1480" s="6">
        <v>12.97</v>
      </c>
      <c r="H1480" s="6">
        <v>25.94</v>
      </c>
      <c r="I1480" s="6">
        <v>4.49</v>
      </c>
      <c r="J1480" s="6">
        <v>21.45</v>
      </c>
      <c r="K1480" s="5">
        <v>385</v>
      </c>
    </row>
    <row r="1481" spans="1:11" x14ac:dyDescent="0.3">
      <c r="A1481" s="3">
        <v>4144</v>
      </c>
      <c r="B1481" s="3" t="s">
        <v>42</v>
      </c>
      <c r="C1481" s="4">
        <v>45626</v>
      </c>
      <c r="D1481" s="3" t="s">
        <v>12</v>
      </c>
      <c r="E1481" s="3" t="s">
        <v>43</v>
      </c>
      <c r="F1481" s="5">
        <v>1</v>
      </c>
      <c r="G1481" s="6">
        <v>4.66</v>
      </c>
      <c r="H1481" s="6">
        <v>4.66</v>
      </c>
      <c r="I1481" s="6">
        <v>2.2599999999999998</v>
      </c>
      <c r="J1481" s="6">
        <v>2.4</v>
      </c>
      <c r="K1481" s="5">
        <v>92</v>
      </c>
    </row>
    <row r="1482" spans="1:11" x14ac:dyDescent="0.3">
      <c r="A1482" s="3">
        <v>9625</v>
      </c>
      <c r="B1482" s="3" t="s">
        <v>42</v>
      </c>
      <c r="C1482" s="4">
        <v>45341</v>
      </c>
      <c r="D1482" s="3" t="s">
        <v>35</v>
      </c>
      <c r="E1482" s="3" t="s">
        <v>41</v>
      </c>
      <c r="F1482" s="5">
        <v>5</v>
      </c>
      <c r="G1482" s="6">
        <v>12.53</v>
      </c>
      <c r="H1482" s="6">
        <v>62.65</v>
      </c>
      <c r="I1482" s="6">
        <v>0</v>
      </c>
      <c r="J1482" s="6">
        <v>62.65</v>
      </c>
      <c r="K1482" s="5">
        <v>336</v>
      </c>
    </row>
    <row r="1483" spans="1:11" x14ac:dyDescent="0.3">
      <c r="A1483" s="3">
        <v>6807</v>
      </c>
      <c r="B1483" s="3" t="s">
        <v>11</v>
      </c>
      <c r="C1483" s="4">
        <v>45352</v>
      </c>
      <c r="D1483" s="3" t="s">
        <v>15</v>
      </c>
      <c r="E1483" s="3" t="s">
        <v>13</v>
      </c>
      <c r="F1483" s="5">
        <v>5</v>
      </c>
      <c r="G1483" s="6">
        <v>6.96</v>
      </c>
      <c r="H1483" s="6">
        <v>34.799999999999997</v>
      </c>
      <c r="I1483" s="6">
        <v>6.96</v>
      </c>
      <c r="J1483" s="6">
        <v>27.84</v>
      </c>
      <c r="K1483" s="5">
        <v>361</v>
      </c>
    </row>
    <row r="1484" spans="1:11" x14ac:dyDescent="0.3">
      <c r="A1484" s="3">
        <v>7502</v>
      </c>
      <c r="B1484" s="3" t="s">
        <v>26</v>
      </c>
      <c r="C1484" s="4">
        <v>45206</v>
      </c>
      <c r="D1484" s="3" t="s">
        <v>35</v>
      </c>
      <c r="E1484" s="3" t="s">
        <v>23</v>
      </c>
      <c r="F1484" s="5">
        <v>5</v>
      </c>
      <c r="G1484" s="6">
        <v>9.48</v>
      </c>
      <c r="H1484" s="6">
        <v>47.4</v>
      </c>
      <c r="I1484" s="6">
        <v>4.57</v>
      </c>
      <c r="J1484" s="6">
        <v>42.83</v>
      </c>
      <c r="K1484" s="5">
        <v>334</v>
      </c>
    </row>
    <row r="1485" spans="1:11" x14ac:dyDescent="0.3">
      <c r="A1485" s="3">
        <v>7112</v>
      </c>
      <c r="B1485" s="3" t="s">
        <v>36</v>
      </c>
      <c r="C1485" s="4">
        <v>45460</v>
      </c>
      <c r="D1485" s="3" t="s">
        <v>38</v>
      </c>
      <c r="E1485" s="3" t="s">
        <v>46</v>
      </c>
      <c r="F1485" s="5">
        <v>1</v>
      </c>
      <c r="G1485" s="6">
        <v>2.56</v>
      </c>
      <c r="H1485" s="6">
        <v>2.56</v>
      </c>
      <c r="I1485" s="6">
        <v>0</v>
      </c>
      <c r="J1485" s="6">
        <v>2.56</v>
      </c>
      <c r="K1485" s="5">
        <v>461</v>
      </c>
    </row>
    <row r="1486" spans="1:11" x14ac:dyDescent="0.3">
      <c r="A1486" s="3">
        <v>8520</v>
      </c>
      <c r="B1486" s="3" t="s">
        <v>26</v>
      </c>
      <c r="C1486" s="4">
        <v>45583</v>
      </c>
      <c r="D1486" s="3" t="s">
        <v>35</v>
      </c>
      <c r="E1486" s="3" t="s">
        <v>43</v>
      </c>
      <c r="F1486" s="5">
        <v>2</v>
      </c>
      <c r="G1486" s="6">
        <v>27.44</v>
      </c>
      <c r="H1486" s="6">
        <v>54.88</v>
      </c>
      <c r="I1486" s="6">
        <v>8.23</v>
      </c>
      <c r="J1486" s="6">
        <v>46.65</v>
      </c>
      <c r="K1486" s="5">
        <v>430</v>
      </c>
    </row>
    <row r="1487" spans="1:11" x14ac:dyDescent="0.3">
      <c r="A1487" s="3">
        <v>4984</v>
      </c>
      <c r="B1487" s="3" t="s">
        <v>14</v>
      </c>
      <c r="C1487" s="4">
        <v>45686</v>
      </c>
      <c r="D1487" s="3" t="s">
        <v>17</v>
      </c>
      <c r="E1487" s="3" t="s">
        <v>48</v>
      </c>
      <c r="F1487" s="5">
        <v>3</v>
      </c>
      <c r="G1487" s="6">
        <v>22.01</v>
      </c>
      <c r="H1487" s="6">
        <v>66.03</v>
      </c>
      <c r="I1487" s="6">
        <v>4.91</v>
      </c>
      <c r="J1487" s="6">
        <v>61.12</v>
      </c>
      <c r="K1487" s="5">
        <v>403</v>
      </c>
    </row>
    <row r="1488" spans="1:11" x14ac:dyDescent="0.3">
      <c r="A1488" s="3">
        <v>4700</v>
      </c>
      <c r="B1488" s="3" t="s">
        <v>26</v>
      </c>
      <c r="C1488" s="4">
        <v>45377</v>
      </c>
      <c r="D1488" s="3" t="s">
        <v>27</v>
      </c>
      <c r="E1488" s="3" t="s">
        <v>33</v>
      </c>
      <c r="F1488" s="5">
        <v>1</v>
      </c>
      <c r="G1488" s="6">
        <v>1.61</v>
      </c>
      <c r="H1488" s="6">
        <v>1.61</v>
      </c>
      <c r="I1488" s="6">
        <v>0.24</v>
      </c>
      <c r="J1488" s="6">
        <v>1.37</v>
      </c>
      <c r="K1488" s="5">
        <v>428</v>
      </c>
    </row>
    <row r="1489" spans="1:11" x14ac:dyDescent="0.3">
      <c r="A1489" s="3">
        <v>2320</v>
      </c>
      <c r="B1489" s="3" t="s">
        <v>30</v>
      </c>
      <c r="C1489" s="4">
        <v>45652</v>
      </c>
      <c r="D1489" s="3" t="s">
        <v>28</v>
      </c>
      <c r="E1489" s="3" t="s">
        <v>32</v>
      </c>
      <c r="F1489" s="5">
        <v>3</v>
      </c>
      <c r="G1489" s="6">
        <v>24.98</v>
      </c>
      <c r="H1489" s="6">
        <v>74.94</v>
      </c>
      <c r="I1489" s="6">
        <v>11.24</v>
      </c>
      <c r="J1489" s="6">
        <v>63.7</v>
      </c>
      <c r="K1489" s="5">
        <v>43</v>
      </c>
    </row>
    <row r="1490" spans="1:11" x14ac:dyDescent="0.3">
      <c r="A1490" s="3">
        <v>1519</v>
      </c>
      <c r="B1490" s="3" t="s">
        <v>24</v>
      </c>
      <c r="C1490" s="4">
        <v>45217</v>
      </c>
      <c r="D1490" s="3" t="s">
        <v>45</v>
      </c>
      <c r="E1490" s="3" t="s">
        <v>39</v>
      </c>
      <c r="F1490" s="5">
        <v>4</v>
      </c>
      <c r="G1490" s="6">
        <v>12.15</v>
      </c>
      <c r="H1490" s="6">
        <v>48.6</v>
      </c>
      <c r="I1490" s="6">
        <v>9.7200000000000006</v>
      </c>
      <c r="J1490" s="6">
        <v>38.880000000000003</v>
      </c>
      <c r="K1490" s="5">
        <v>22</v>
      </c>
    </row>
    <row r="1491" spans="1:11" x14ac:dyDescent="0.3">
      <c r="A1491" s="3">
        <v>7640</v>
      </c>
      <c r="B1491" s="3" t="s">
        <v>24</v>
      </c>
      <c r="C1491" s="4">
        <v>45439</v>
      </c>
      <c r="D1491" s="3" t="s">
        <v>34</v>
      </c>
      <c r="E1491" s="3" t="s">
        <v>16</v>
      </c>
      <c r="F1491" s="5">
        <v>5</v>
      </c>
      <c r="G1491" s="6">
        <v>2.5099999999999998</v>
      </c>
      <c r="H1491" s="6">
        <v>12.55</v>
      </c>
      <c r="I1491" s="6">
        <v>4.05</v>
      </c>
      <c r="J1491" s="6">
        <v>8.5</v>
      </c>
      <c r="K1491" s="5">
        <v>156</v>
      </c>
    </row>
    <row r="1492" spans="1:11" x14ac:dyDescent="0.3">
      <c r="A1492" s="3">
        <v>7179</v>
      </c>
      <c r="B1492" s="3" t="s">
        <v>31</v>
      </c>
      <c r="C1492" s="4">
        <v>45574</v>
      </c>
      <c r="D1492" s="3" t="s">
        <v>28</v>
      </c>
      <c r="E1492" s="3" t="s">
        <v>21</v>
      </c>
      <c r="F1492" s="5">
        <v>3</v>
      </c>
      <c r="G1492" s="6">
        <v>24.49</v>
      </c>
      <c r="H1492" s="6">
        <v>73.47</v>
      </c>
      <c r="I1492" s="6">
        <v>2.36</v>
      </c>
      <c r="J1492" s="6">
        <v>71.11</v>
      </c>
      <c r="K1492" s="5">
        <v>302</v>
      </c>
    </row>
    <row r="1493" spans="1:11" x14ac:dyDescent="0.3">
      <c r="A1493" s="3">
        <v>8798</v>
      </c>
      <c r="B1493" s="3" t="s">
        <v>24</v>
      </c>
      <c r="C1493" s="4">
        <v>45188</v>
      </c>
      <c r="D1493" s="3" t="s">
        <v>20</v>
      </c>
      <c r="E1493" s="3" t="s">
        <v>40</v>
      </c>
      <c r="F1493" s="5">
        <v>1</v>
      </c>
      <c r="G1493" s="6">
        <v>17.04</v>
      </c>
      <c r="H1493" s="6">
        <v>17.04</v>
      </c>
      <c r="I1493" s="6">
        <v>2.85</v>
      </c>
      <c r="J1493" s="6">
        <v>14.19</v>
      </c>
      <c r="K1493" s="5">
        <v>487</v>
      </c>
    </row>
    <row r="1494" spans="1:11" x14ac:dyDescent="0.3">
      <c r="A1494" s="3">
        <v>1154</v>
      </c>
      <c r="B1494" s="3" t="s">
        <v>14</v>
      </c>
      <c r="C1494" s="4">
        <v>45690</v>
      </c>
      <c r="D1494" s="3" t="s">
        <v>35</v>
      </c>
      <c r="E1494" s="3" t="s">
        <v>29</v>
      </c>
      <c r="F1494" s="5">
        <v>4</v>
      </c>
      <c r="G1494" s="6">
        <v>14.54</v>
      </c>
      <c r="H1494" s="6">
        <v>58.16</v>
      </c>
      <c r="I1494" s="6">
        <v>11.63</v>
      </c>
      <c r="J1494" s="6">
        <v>46.53</v>
      </c>
      <c r="K1494" s="5">
        <v>473</v>
      </c>
    </row>
    <row r="1495" spans="1:11" x14ac:dyDescent="0.3">
      <c r="A1495" s="3">
        <v>3807</v>
      </c>
      <c r="B1495" s="3" t="s">
        <v>31</v>
      </c>
      <c r="C1495" s="4">
        <v>45209</v>
      </c>
      <c r="D1495" s="3" t="s">
        <v>35</v>
      </c>
      <c r="E1495" s="3" t="s">
        <v>13</v>
      </c>
      <c r="F1495" s="5">
        <v>1</v>
      </c>
      <c r="G1495" s="6">
        <v>29.96</v>
      </c>
      <c r="H1495" s="6">
        <v>29.96</v>
      </c>
      <c r="I1495" s="6">
        <v>4.49</v>
      </c>
      <c r="J1495" s="6">
        <v>25.47</v>
      </c>
      <c r="K1495" s="5">
        <v>394</v>
      </c>
    </row>
    <row r="1496" spans="1:11" x14ac:dyDescent="0.3">
      <c r="A1496" s="3">
        <v>9189</v>
      </c>
      <c r="B1496" s="3" t="s">
        <v>24</v>
      </c>
      <c r="C1496" s="4">
        <v>45801</v>
      </c>
      <c r="D1496" s="3" t="s">
        <v>12</v>
      </c>
      <c r="E1496" s="3" t="s">
        <v>13</v>
      </c>
      <c r="F1496" s="5">
        <v>3</v>
      </c>
      <c r="G1496" s="6">
        <v>8.7799999999999994</v>
      </c>
      <c r="H1496" s="6">
        <v>26.34</v>
      </c>
      <c r="I1496" s="6">
        <v>2.23</v>
      </c>
      <c r="J1496" s="6">
        <v>24.11</v>
      </c>
      <c r="K1496" s="5">
        <v>128</v>
      </c>
    </row>
    <row r="1497" spans="1:11" x14ac:dyDescent="0.3">
      <c r="A1497" s="3">
        <v>8109</v>
      </c>
      <c r="B1497" s="3" t="s">
        <v>36</v>
      </c>
      <c r="C1497" s="4">
        <v>45645</v>
      </c>
      <c r="D1497" s="3" t="s">
        <v>35</v>
      </c>
      <c r="E1497" s="3" t="s">
        <v>29</v>
      </c>
      <c r="F1497" s="5">
        <v>4</v>
      </c>
      <c r="G1497" s="6">
        <v>14.41</v>
      </c>
      <c r="H1497" s="6">
        <v>57.64</v>
      </c>
      <c r="I1497" s="6">
        <v>5.76</v>
      </c>
      <c r="J1497" s="6">
        <v>51.88</v>
      </c>
      <c r="K1497" s="5">
        <v>225</v>
      </c>
    </row>
    <row r="1498" spans="1:11" x14ac:dyDescent="0.3">
      <c r="A1498" s="3">
        <v>6427</v>
      </c>
      <c r="B1498" s="3" t="s">
        <v>31</v>
      </c>
      <c r="C1498" s="4">
        <v>45584</v>
      </c>
      <c r="D1498" s="3" t="s">
        <v>22</v>
      </c>
      <c r="E1498" s="3" t="s">
        <v>47</v>
      </c>
      <c r="F1498" s="5">
        <v>5</v>
      </c>
      <c r="G1498" s="6">
        <v>7.31</v>
      </c>
      <c r="H1498" s="6">
        <v>36.549999999999997</v>
      </c>
      <c r="I1498" s="6">
        <v>5.48</v>
      </c>
      <c r="J1498" s="6">
        <v>31.07</v>
      </c>
      <c r="K1498" s="5">
        <v>29</v>
      </c>
    </row>
    <row r="1499" spans="1:11" x14ac:dyDescent="0.3">
      <c r="A1499" s="3">
        <v>2562</v>
      </c>
      <c r="B1499" s="3" t="s">
        <v>14</v>
      </c>
      <c r="C1499" s="4">
        <v>45840</v>
      </c>
      <c r="D1499" s="3" t="s">
        <v>22</v>
      </c>
      <c r="E1499" s="3" t="s">
        <v>43</v>
      </c>
      <c r="F1499" s="5">
        <v>4</v>
      </c>
      <c r="G1499" s="6">
        <v>6.2</v>
      </c>
      <c r="H1499" s="6">
        <v>24.8</v>
      </c>
      <c r="I1499" s="6">
        <v>3.72</v>
      </c>
      <c r="J1499" s="6">
        <v>21.08</v>
      </c>
      <c r="K1499" s="5">
        <v>392</v>
      </c>
    </row>
    <row r="1500" spans="1:11" x14ac:dyDescent="0.3">
      <c r="A1500" s="3">
        <v>9653</v>
      </c>
      <c r="B1500" s="3" t="s">
        <v>26</v>
      </c>
      <c r="C1500" s="4">
        <v>45858</v>
      </c>
      <c r="D1500" s="3" t="s">
        <v>34</v>
      </c>
      <c r="E1500" s="3" t="s">
        <v>25</v>
      </c>
      <c r="F1500" s="5">
        <v>2</v>
      </c>
      <c r="G1500" s="6">
        <v>5.25</v>
      </c>
      <c r="H1500" s="6">
        <v>10.5</v>
      </c>
      <c r="I1500" s="6">
        <v>2.1</v>
      </c>
      <c r="J1500" s="6">
        <v>8.4</v>
      </c>
      <c r="K1500" s="5">
        <v>316</v>
      </c>
    </row>
    <row r="1501" spans="1:11" x14ac:dyDescent="0.3">
      <c r="A1501" s="3">
        <v>1697</v>
      </c>
      <c r="B1501" s="3" t="s">
        <v>11</v>
      </c>
      <c r="C1501" s="4">
        <v>45323</v>
      </c>
      <c r="D1501" s="3" t="s">
        <v>27</v>
      </c>
      <c r="E1501" s="3" t="s">
        <v>40</v>
      </c>
      <c r="F1501" s="5">
        <v>2</v>
      </c>
      <c r="G1501" s="6">
        <v>20.84</v>
      </c>
      <c r="H1501" s="6">
        <v>41.68</v>
      </c>
      <c r="I1501" s="6">
        <v>2.27</v>
      </c>
      <c r="J1501" s="6">
        <v>39.409999999999997</v>
      </c>
      <c r="K1501" s="5">
        <v>440</v>
      </c>
    </row>
    <row r="1502" spans="1:11" x14ac:dyDescent="0.3">
      <c r="A1502" s="3">
        <v>4463</v>
      </c>
      <c r="B1502" s="3" t="s">
        <v>14</v>
      </c>
      <c r="C1502" s="4">
        <v>45845</v>
      </c>
      <c r="D1502" s="3" t="s">
        <v>17</v>
      </c>
      <c r="E1502" s="3" t="s">
        <v>40</v>
      </c>
      <c r="F1502" s="5">
        <v>3</v>
      </c>
      <c r="G1502" s="6">
        <v>29.27</v>
      </c>
      <c r="H1502" s="6">
        <v>87.81</v>
      </c>
      <c r="I1502" s="6">
        <v>3.87</v>
      </c>
      <c r="J1502" s="6">
        <v>83.94</v>
      </c>
      <c r="K1502" s="5">
        <v>8</v>
      </c>
    </row>
    <row r="1503" spans="1:11" x14ac:dyDescent="0.3">
      <c r="A1503" s="3">
        <v>8790</v>
      </c>
      <c r="B1503" s="3" t="s">
        <v>42</v>
      </c>
      <c r="C1503" s="4">
        <v>45355</v>
      </c>
      <c r="D1503" s="3" t="s">
        <v>22</v>
      </c>
      <c r="E1503" s="3" t="s">
        <v>48</v>
      </c>
      <c r="F1503" s="5">
        <v>1</v>
      </c>
      <c r="G1503" s="6">
        <v>15.69</v>
      </c>
      <c r="H1503" s="6">
        <v>15.69</v>
      </c>
      <c r="I1503" s="6">
        <v>3.14</v>
      </c>
      <c r="J1503" s="6">
        <v>12.55</v>
      </c>
      <c r="K1503" s="5">
        <v>57</v>
      </c>
    </row>
    <row r="1504" spans="1:11" x14ac:dyDescent="0.3">
      <c r="A1504" s="3">
        <v>1762</v>
      </c>
      <c r="B1504" s="3" t="s">
        <v>42</v>
      </c>
      <c r="C1504" s="4">
        <v>45862</v>
      </c>
      <c r="D1504" s="3" t="s">
        <v>22</v>
      </c>
      <c r="E1504" s="3" t="s">
        <v>23</v>
      </c>
      <c r="F1504" s="5">
        <v>4</v>
      </c>
      <c r="G1504" s="6">
        <v>3.06</v>
      </c>
      <c r="H1504" s="6">
        <v>12.24</v>
      </c>
      <c r="I1504" s="6">
        <v>2.4500000000000002</v>
      </c>
      <c r="J1504" s="6">
        <v>9.7899999999999991</v>
      </c>
      <c r="K1504" s="5">
        <v>218</v>
      </c>
    </row>
    <row r="1505" spans="1:11" x14ac:dyDescent="0.3">
      <c r="A1505" s="3">
        <v>2218</v>
      </c>
      <c r="B1505" s="3" t="s">
        <v>31</v>
      </c>
      <c r="C1505" s="4">
        <v>45676</v>
      </c>
      <c r="D1505" s="3" t="s">
        <v>22</v>
      </c>
      <c r="E1505" s="3" t="s">
        <v>23</v>
      </c>
      <c r="F1505" s="5">
        <v>3</v>
      </c>
      <c r="G1505" s="6">
        <v>29.27</v>
      </c>
      <c r="H1505" s="6">
        <v>87.81</v>
      </c>
      <c r="I1505" s="6">
        <v>8.7799999999999994</v>
      </c>
      <c r="J1505" s="6">
        <v>79.03</v>
      </c>
      <c r="K1505" s="5">
        <v>459</v>
      </c>
    </row>
    <row r="1506" spans="1:11" x14ac:dyDescent="0.3">
      <c r="A1506" s="3">
        <v>5593</v>
      </c>
      <c r="B1506" s="3" t="s">
        <v>30</v>
      </c>
      <c r="C1506" s="4">
        <v>45843</v>
      </c>
      <c r="D1506" s="3" t="s">
        <v>28</v>
      </c>
      <c r="E1506" s="3" t="s">
        <v>39</v>
      </c>
      <c r="F1506" s="5">
        <v>2</v>
      </c>
      <c r="G1506" s="6">
        <v>11.67</v>
      </c>
      <c r="H1506" s="6">
        <v>23.34</v>
      </c>
      <c r="I1506" s="6">
        <v>1.1000000000000001</v>
      </c>
      <c r="J1506" s="6">
        <v>22.24</v>
      </c>
      <c r="K1506" s="5">
        <v>148</v>
      </c>
    </row>
    <row r="1507" spans="1:11" x14ac:dyDescent="0.3">
      <c r="A1507" s="3">
        <v>9897</v>
      </c>
      <c r="B1507" s="3" t="s">
        <v>42</v>
      </c>
      <c r="C1507" s="4">
        <v>45582</v>
      </c>
      <c r="D1507" s="3" t="s">
        <v>22</v>
      </c>
      <c r="E1507" s="3" t="s">
        <v>46</v>
      </c>
      <c r="F1507" s="5">
        <v>5</v>
      </c>
      <c r="G1507" s="6">
        <v>23.71</v>
      </c>
      <c r="H1507" s="6">
        <v>118.55</v>
      </c>
      <c r="I1507" s="6">
        <v>23.71</v>
      </c>
      <c r="J1507" s="6">
        <v>94.84</v>
      </c>
      <c r="K1507" s="5">
        <v>364</v>
      </c>
    </row>
    <row r="1508" spans="1:11" x14ac:dyDescent="0.3">
      <c r="A1508" s="3">
        <v>1539</v>
      </c>
      <c r="B1508" s="3" t="s">
        <v>24</v>
      </c>
      <c r="C1508" s="4">
        <v>45284</v>
      </c>
      <c r="D1508" s="3" t="s">
        <v>28</v>
      </c>
      <c r="E1508" s="3" t="s">
        <v>40</v>
      </c>
      <c r="F1508" s="5">
        <v>2</v>
      </c>
      <c r="G1508" s="6">
        <v>12.04</v>
      </c>
      <c r="H1508" s="6">
        <v>24.08</v>
      </c>
      <c r="I1508" s="6">
        <v>4.83</v>
      </c>
      <c r="J1508" s="6">
        <v>19.25</v>
      </c>
      <c r="K1508" s="5">
        <v>332</v>
      </c>
    </row>
    <row r="1509" spans="1:11" x14ac:dyDescent="0.3">
      <c r="A1509" s="3">
        <v>6152</v>
      </c>
      <c r="B1509" s="3" t="s">
        <v>42</v>
      </c>
      <c r="C1509" s="4">
        <v>45157</v>
      </c>
      <c r="D1509" s="3" t="s">
        <v>28</v>
      </c>
      <c r="E1509" s="3" t="s">
        <v>46</v>
      </c>
      <c r="F1509" s="5">
        <v>5</v>
      </c>
      <c r="G1509" s="6">
        <v>19.27</v>
      </c>
      <c r="H1509" s="6">
        <v>96.35</v>
      </c>
      <c r="I1509" s="6">
        <v>3.93</v>
      </c>
      <c r="J1509" s="6">
        <v>92.42</v>
      </c>
      <c r="K1509" s="5">
        <v>375</v>
      </c>
    </row>
    <row r="1510" spans="1:11" x14ac:dyDescent="0.3">
      <c r="A1510" s="3">
        <v>4394</v>
      </c>
      <c r="B1510" s="3" t="s">
        <v>14</v>
      </c>
      <c r="C1510" s="4">
        <v>45600</v>
      </c>
      <c r="D1510" s="3" t="s">
        <v>12</v>
      </c>
      <c r="E1510" s="3" t="s">
        <v>47</v>
      </c>
      <c r="F1510" s="5">
        <v>5</v>
      </c>
      <c r="G1510" s="6">
        <v>16.079999999999998</v>
      </c>
      <c r="H1510" s="6">
        <v>80.400000000000006</v>
      </c>
      <c r="I1510" s="6">
        <v>16.079999999999998</v>
      </c>
      <c r="J1510" s="6">
        <v>64.319999999999993</v>
      </c>
      <c r="K1510" s="5">
        <v>162</v>
      </c>
    </row>
    <row r="1511" spans="1:11" x14ac:dyDescent="0.3">
      <c r="A1511" s="3">
        <v>3362</v>
      </c>
      <c r="B1511" s="3" t="s">
        <v>30</v>
      </c>
      <c r="C1511" s="4">
        <v>45729</v>
      </c>
      <c r="D1511" s="3" t="s">
        <v>17</v>
      </c>
      <c r="E1511" s="3" t="s">
        <v>21</v>
      </c>
      <c r="F1511" s="5">
        <v>2</v>
      </c>
      <c r="G1511" s="6">
        <v>24.16</v>
      </c>
      <c r="H1511" s="6">
        <v>48.32</v>
      </c>
      <c r="I1511" s="6">
        <v>9.66</v>
      </c>
      <c r="J1511" s="6">
        <v>38.659999999999997</v>
      </c>
      <c r="K1511" s="5">
        <v>500</v>
      </c>
    </row>
    <row r="1512" spans="1:11" x14ac:dyDescent="0.3">
      <c r="A1512" s="3">
        <v>7525</v>
      </c>
      <c r="B1512" s="3" t="s">
        <v>26</v>
      </c>
      <c r="C1512" s="4">
        <v>45866</v>
      </c>
      <c r="D1512" s="3" t="s">
        <v>22</v>
      </c>
      <c r="E1512" s="3" t="s">
        <v>48</v>
      </c>
      <c r="F1512" s="5">
        <v>2</v>
      </c>
      <c r="G1512" s="6">
        <v>13.9</v>
      </c>
      <c r="H1512" s="6">
        <v>27.8</v>
      </c>
      <c r="I1512" s="6">
        <v>4.17</v>
      </c>
      <c r="J1512" s="6">
        <v>23.63</v>
      </c>
      <c r="K1512" s="5">
        <v>490</v>
      </c>
    </row>
    <row r="1513" spans="1:11" x14ac:dyDescent="0.3">
      <c r="A1513" s="3">
        <v>2260</v>
      </c>
      <c r="B1513" s="3" t="s">
        <v>11</v>
      </c>
      <c r="C1513" s="4">
        <v>45377</v>
      </c>
      <c r="D1513" s="3" t="s">
        <v>22</v>
      </c>
      <c r="E1513" s="3" t="s">
        <v>18</v>
      </c>
      <c r="F1513" s="5">
        <v>5</v>
      </c>
      <c r="G1513" s="6">
        <v>3.21</v>
      </c>
      <c r="H1513" s="6">
        <v>16.05</v>
      </c>
      <c r="I1513" s="6">
        <v>1.92</v>
      </c>
      <c r="J1513" s="6">
        <v>14.13</v>
      </c>
      <c r="K1513" s="5">
        <v>185</v>
      </c>
    </row>
    <row r="1514" spans="1:11" x14ac:dyDescent="0.3">
      <c r="A1514" s="3">
        <v>3661</v>
      </c>
      <c r="B1514" s="3" t="s">
        <v>24</v>
      </c>
      <c r="C1514" s="4">
        <v>45583</v>
      </c>
      <c r="D1514" s="3" t="s">
        <v>17</v>
      </c>
      <c r="E1514" s="3" t="s">
        <v>41</v>
      </c>
      <c r="F1514" s="5">
        <v>5</v>
      </c>
      <c r="G1514" s="6">
        <v>8.09</v>
      </c>
      <c r="H1514" s="6">
        <v>40.450000000000003</v>
      </c>
      <c r="I1514" s="6">
        <v>0</v>
      </c>
      <c r="J1514" s="6">
        <v>40.450000000000003</v>
      </c>
      <c r="K1514" s="5">
        <v>465</v>
      </c>
    </row>
    <row r="1515" spans="1:11" x14ac:dyDescent="0.3">
      <c r="A1515" s="3">
        <v>4939</v>
      </c>
      <c r="B1515" s="3" t="s">
        <v>19</v>
      </c>
      <c r="C1515" s="4">
        <v>45585</v>
      </c>
      <c r="D1515" s="3" t="s">
        <v>28</v>
      </c>
      <c r="E1515" s="3" t="s">
        <v>13</v>
      </c>
      <c r="F1515" s="5">
        <v>3</v>
      </c>
      <c r="G1515" s="6">
        <v>10.9</v>
      </c>
      <c r="H1515" s="6">
        <v>32.700000000000003</v>
      </c>
      <c r="I1515" s="6">
        <v>3.27</v>
      </c>
      <c r="J1515" s="6">
        <v>29.43</v>
      </c>
      <c r="K1515" s="5">
        <v>60</v>
      </c>
    </row>
    <row r="1516" spans="1:11" x14ac:dyDescent="0.3">
      <c r="A1516" s="3">
        <v>7375</v>
      </c>
      <c r="B1516" s="3" t="s">
        <v>24</v>
      </c>
      <c r="C1516" s="4">
        <v>45670</v>
      </c>
      <c r="D1516" s="3" t="s">
        <v>38</v>
      </c>
      <c r="E1516" s="3" t="s">
        <v>41</v>
      </c>
      <c r="F1516" s="5">
        <v>5</v>
      </c>
      <c r="G1516" s="6">
        <v>15.32</v>
      </c>
      <c r="H1516" s="6">
        <v>76.599999999999994</v>
      </c>
      <c r="I1516" s="6">
        <v>15.32</v>
      </c>
      <c r="J1516" s="6">
        <v>61.28</v>
      </c>
      <c r="K1516" s="5">
        <v>451</v>
      </c>
    </row>
    <row r="1517" spans="1:11" x14ac:dyDescent="0.3">
      <c r="A1517" s="3">
        <v>9856</v>
      </c>
      <c r="B1517" s="3" t="s">
        <v>26</v>
      </c>
      <c r="C1517" s="4">
        <v>45402</v>
      </c>
      <c r="D1517" s="3" t="s">
        <v>12</v>
      </c>
      <c r="E1517" s="3" t="s">
        <v>29</v>
      </c>
      <c r="F1517" s="5">
        <v>1</v>
      </c>
      <c r="G1517" s="6">
        <v>13.13</v>
      </c>
      <c r="H1517" s="6">
        <v>13.13</v>
      </c>
      <c r="I1517" s="6">
        <v>0</v>
      </c>
      <c r="J1517" s="6">
        <v>13.13</v>
      </c>
      <c r="K1517" s="5">
        <v>391</v>
      </c>
    </row>
    <row r="1518" spans="1:11" x14ac:dyDescent="0.3">
      <c r="A1518" s="3">
        <v>7288</v>
      </c>
      <c r="B1518" s="3" t="s">
        <v>11</v>
      </c>
      <c r="C1518" s="4">
        <v>45731</v>
      </c>
      <c r="D1518" s="3" t="s">
        <v>34</v>
      </c>
      <c r="E1518" s="3" t="s">
        <v>40</v>
      </c>
      <c r="F1518" s="5">
        <v>4</v>
      </c>
      <c r="G1518" s="6">
        <v>1.68</v>
      </c>
      <c r="H1518" s="6">
        <v>6.72</v>
      </c>
      <c r="I1518" s="6">
        <v>1.34</v>
      </c>
      <c r="J1518" s="6">
        <v>5.38</v>
      </c>
      <c r="K1518" s="5">
        <v>85</v>
      </c>
    </row>
    <row r="1519" spans="1:11" x14ac:dyDescent="0.3">
      <c r="A1519" s="3">
        <v>3292</v>
      </c>
      <c r="B1519" s="3" t="s">
        <v>14</v>
      </c>
      <c r="C1519" s="4">
        <v>45758</v>
      </c>
      <c r="D1519" s="3" t="s">
        <v>38</v>
      </c>
      <c r="E1519" s="3" t="s">
        <v>32</v>
      </c>
      <c r="F1519" s="5">
        <v>4</v>
      </c>
      <c r="G1519" s="6">
        <v>11.27</v>
      </c>
      <c r="H1519" s="6">
        <v>45.08</v>
      </c>
      <c r="I1519" s="6">
        <v>0</v>
      </c>
      <c r="J1519" s="6">
        <v>45.08</v>
      </c>
      <c r="K1519" s="5">
        <v>205</v>
      </c>
    </row>
    <row r="1520" spans="1:11" x14ac:dyDescent="0.3">
      <c r="A1520" s="3">
        <v>2284</v>
      </c>
      <c r="B1520" s="3" t="s">
        <v>30</v>
      </c>
      <c r="C1520" s="4">
        <v>45533</v>
      </c>
      <c r="D1520" s="3" t="s">
        <v>15</v>
      </c>
      <c r="E1520" s="3" t="s">
        <v>21</v>
      </c>
      <c r="F1520" s="5">
        <v>3</v>
      </c>
      <c r="G1520" s="6">
        <v>18.14</v>
      </c>
      <c r="H1520" s="6">
        <v>54.42</v>
      </c>
      <c r="I1520" s="6">
        <v>0</v>
      </c>
      <c r="J1520" s="6">
        <v>54.42</v>
      </c>
      <c r="K1520" s="5">
        <v>315</v>
      </c>
    </row>
    <row r="1521" spans="1:11" x14ac:dyDescent="0.3">
      <c r="A1521" s="3">
        <v>6666</v>
      </c>
      <c r="B1521" s="3" t="s">
        <v>31</v>
      </c>
      <c r="C1521" s="4">
        <v>45186</v>
      </c>
      <c r="D1521" s="3" t="s">
        <v>15</v>
      </c>
      <c r="E1521" s="3" t="s">
        <v>23</v>
      </c>
      <c r="F1521" s="5">
        <v>4</v>
      </c>
      <c r="G1521" s="6">
        <v>27.4</v>
      </c>
      <c r="H1521" s="6">
        <v>109.6</v>
      </c>
      <c r="I1521" s="6">
        <v>0</v>
      </c>
      <c r="J1521" s="6">
        <v>109.6</v>
      </c>
      <c r="K1521" s="5">
        <v>322</v>
      </c>
    </row>
    <row r="1522" spans="1:11" x14ac:dyDescent="0.3">
      <c r="A1522" s="3">
        <v>2600</v>
      </c>
      <c r="B1522" s="3" t="s">
        <v>24</v>
      </c>
      <c r="C1522" s="4">
        <v>45484</v>
      </c>
      <c r="D1522" s="3" t="s">
        <v>35</v>
      </c>
      <c r="E1522" s="3" t="s">
        <v>47</v>
      </c>
      <c r="F1522" s="5">
        <v>2</v>
      </c>
      <c r="G1522" s="6">
        <v>22.26</v>
      </c>
      <c r="H1522" s="6">
        <v>44.52</v>
      </c>
      <c r="I1522" s="6">
        <v>8.9</v>
      </c>
      <c r="J1522" s="6">
        <v>35.619999999999997</v>
      </c>
      <c r="K1522" s="5">
        <v>370</v>
      </c>
    </row>
    <row r="1523" spans="1:11" x14ac:dyDescent="0.3">
      <c r="A1523" s="3">
        <v>4803</v>
      </c>
      <c r="B1523" s="3" t="s">
        <v>31</v>
      </c>
      <c r="C1523" s="4">
        <v>45796</v>
      </c>
      <c r="D1523" s="3" t="s">
        <v>28</v>
      </c>
      <c r="E1523" s="3" t="s">
        <v>23</v>
      </c>
      <c r="F1523" s="5">
        <v>4</v>
      </c>
      <c r="G1523" s="6">
        <v>11.99</v>
      </c>
      <c r="H1523" s="6">
        <v>47.96</v>
      </c>
      <c r="I1523" s="6">
        <v>3.89</v>
      </c>
      <c r="J1523" s="6">
        <v>44.07</v>
      </c>
      <c r="K1523" s="5">
        <v>224</v>
      </c>
    </row>
    <row r="1524" spans="1:11" x14ac:dyDescent="0.3">
      <c r="A1524" s="3">
        <v>2245</v>
      </c>
      <c r="B1524" s="3" t="s">
        <v>30</v>
      </c>
      <c r="C1524" s="4">
        <v>45409</v>
      </c>
      <c r="D1524" s="3" t="s">
        <v>15</v>
      </c>
      <c r="E1524" s="3" t="s">
        <v>25</v>
      </c>
      <c r="F1524" s="5">
        <v>3</v>
      </c>
      <c r="G1524" s="6">
        <v>15.3</v>
      </c>
      <c r="H1524" s="6">
        <v>45.9</v>
      </c>
      <c r="I1524" s="6">
        <v>6.88</v>
      </c>
      <c r="J1524" s="6">
        <v>39.020000000000003</v>
      </c>
      <c r="K1524" s="5">
        <v>24</v>
      </c>
    </row>
    <row r="1525" spans="1:11" x14ac:dyDescent="0.3">
      <c r="A1525" s="3">
        <v>7499</v>
      </c>
      <c r="B1525" s="3" t="s">
        <v>36</v>
      </c>
      <c r="C1525" s="4">
        <v>45745</v>
      </c>
      <c r="D1525" s="3" t="s">
        <v>20</v>
      </c>
      <c r="E1525" s="3" t="s">
        <v>21</v>
      </c>
      <c r="F1525" s="5">
        <v>2</v>
      </c>
      <c r="G1525" s="6">
        <v>28.64</v>
      </c>
      <c r="H1525" s="6">
        <v>57.28</v>
      </c>
      <c r="I1525" s="6">
        <v>5.73</v>
      </c>
      <c r="J1525" s="6">
        <v>51.55</v>
      </c>
      <c r="K1525" s="5">
        <v>21</v>
      </c>
    </row>
    <row r="1526" spans="1:11" x14ac:dyDescent="0.3">
      <c r="A1526" s="3">
        <v>6347</v>
      </c>
      <c r="B1526" s="3" t="s">
        <v>14</v>
      </c>
      <c r="C1526" s="4">
        <v>45168</v>
      </c>
      <c r="D1526" s="3" t="s">
        <v>35</v>
      </c>
      <c r="E1526" s="3" t="s">
        <v>21</v>
      </c>
      <c r="F1526" s="5">
        <v>1</v>
      </c>
      <c r="G1526" s="6">
        <v>11.06</v>
      </c>
      <c r="H1526" s="6">
        <v>11.06</v>
      </c>
      <c r="I1526" s="6">
        <v>1.66</v>
      </c>
      <c r="J1526" s="6">
        <v>9.4</v>
      </c>
      <c r="K1526" s="5">
        <v>84</v>
      </c>
    </row>
    <row r="1527" spans="1:11" x14ac:dyDescent="0.3">
      <c r="A1527" s="3">
        <v>5478</v>
      </c>
      <c r="B1527" s="3" t="s">
        <v>30</v>
      </c>
      <c r="C1527" s="4">
        <v>45753</v>
      </c>
      <c r="D1527" s="3" t="s">
        <v>45</v>
      </c>
      <c r="E1527" s="3" t="s">
        <v>33</v>
      </c>
      <c r="F1527" s="5">
        <v>2</v>
      </c>
      <c r="G1527" s="6">
        <v>26.67</v>
      </c>
      <c r="H1527" s="6">
        <v>53.34</v>
      </c>
      <c r="I1527" s="6">
        <v>4.01</v>
      </c>
      <c r="J1527" s="6">
        <v>49.33</v>
      </c>
      <c r="K1527" s="5">
        <v>147</v>
      </c>
    </row>
    <row r="1528" spans="1:11" x14ac:dyDescent="0.3">
      <c r="A1528" s="3">
        <v>8381</v>
      </c>
      <c r="B1528" s="3" t="s">
        <v>42</v>
      </c>
      <c r="C1528" s="4">
        <v>45526</v>
      </c>
      <c r="D1528" s="3" t="s">
        <v>27</v>
      </c>
      <c r="E1528" s="3" t="s">
        <v>13</v>
      </c>
      <c r="F1528" s="5">
        <v>2</v>
      </c>
      <c r="G1528" s="6">
        <v>3.77</v>
      </c>
      <c r="H1528" s="6">
        <v>7.54</v>
      </c>
      <c r="I1528" s="6">
        <v>3.39</v>
      </c>
      <c r="J1528" s="6">
        <v>4.1500000000000004</v>
      </c>
      <c r="K1528" s="5">
        <v>282</v>
      </c>
    </row>
    <row r="1529" spans="1:11" x14ac:dyDescent="0.3">
      <c r="A1529" s="3">
        <v>4737</v>
      </c>
      <c r="B1529" s="3" t="s">
        <v>31</v>
      </c>
      <c r="C1529" s="4">
        <v>45421</v>
      </c>
      <c r="D1529" s="3" t="s">
        <v>38</v>
      </c>
      <c r="E1529" s="3" t="s">
        <v>18</v>
      </c>
      <c r="F1529" s="5">
        <v>2</v>
      </c>
      <c r="G1529" s="6">
        <v>1.18</v>
      </c>
      <c r="H1529" s="6">
        <v>2.36</v>
      </c>
      <c r="I1529" s="6">
        <v>0.35</v>
      </c>
      <c r="J1529" s="6">
        <v>2.0099999999999998</v>
      </c>
      <c r="K1529" s="5">
        <v>426</v>
      </c>
    </row>
    <row r="1530" spans="1:11" x14ac:dyDescent="0.3">
      <c r="A1530" s="3">
        <v>7150</v>
      </c>
      <c r="B1530" s="3" t="s">
        <v>42</v>
      </c>
      <c r="C1530" s="4">
        <v>45480</v>
      </c>
      <c r="D1530" s="3" t="s">
        <v>35</v>
      </c>
      <c r="E1530" s="3" t="s">
        <v>16</v>
      </c>
      <c r="F1530" s="5">
        <v>4</v>
      </c>
      <c r="G1530" s="6">
        <v>16.100000000000001</v>
      </c>
      <c r="H1530" s="6">
        <v>64.400000000000006</v>
      </c>
      <c r="I1530" s="6">
        <v>9.66</v>
      </c>
      <c r="J1530" s="6">
        <v>54.74</v>
      </c>
      <c r="K1530" s="5">
        <v>425</v>
      </c>
    </row>
    <row r="1531" spans="1:11" x14ac:dyDescent="0.3">
      <c r="A1531" s="3">
        <v>4043</v>
      </c>
      <c r="B1531" s="3" t="s">
        <v>11</v>
      </c>
      <c r="C1531" s="4">
        <v>45672</v>
      </c>
      <c r="D1531" s="3" t="s">
        <v>15</v>
      </c>
      <c r="E1531" s="3" t="s">
        <v>33</v>
      </c>
      <c r="F1531" s="5">
        <v>4</v>
      </c>
      <c r="G1531" s="6">
        <v>15.29</v>
      </c>
      <c r="H1531" s="6">
        <v>61.16</v>
      </c>
      <c r="I1531" s="6">
        <v>9.17</v>
      </c>
      <c r="J1531" s="6">
        <v>51.99</v>
      </c>
      <c r="K1531" s="5">
        <v>44</v>
      </c>
    </row>
    <row r="1532" spans="1:11" x14ac:dyDescent="0.3">
      <c r="A1532" s="3">
        <v>7227</v>
      </c>
      <c r="B1532" s="3" t="s">
        <v>11</v>
      </c>
      <c r="C1532" s="4">
        <v>45211</v>
      </c>
      <c r="D1532" s="3" t="s">
        <v>22</v>
      </c>
      <c r="E1532" s="3" t="s">
        <v>43</v>
      </c>
      <c r="F1532" s="5">
        <v>2</v>
      </c>
      <c r="G1532" s="6">
        <v>22.08</v>
      </c>
      <c r="H1532" s="6">
        <v>44.16</v>
      </c>
      <c r="I1532" s="6">
        <v>2.34</v>
      </c>
      <c r="J1532" s="6">
        <v>41.82</v>
      </c>
      <c r="K1532" s="5">
        <v>167</v>
      </c>
    </row>
    <row r="1533" spans="1:11" x14ac:dyDescent="0.3">
      <c r="A1533" s="3">
        <v>5839</v>
      </c>
      <c r="B1533" s="3" t="s">
        <v>26</v>
      </c>
      <c r="C1533" s="4">
        <v>45764</v>
      </c>
      <c r="D1533" s="3" t="s">
        <v>27</v>
      </c>
      <c r="E1533" s="3" t="s">
        <v>46</v>
      </c>
      <c r="F1533" s="5">
        <v>1</v>
      </c>
      <c r="G1533" s="6">
        <v>21.49</v>
      </c>
      <c r="H1533" s="6">
        <v>21.49</v>
      </c>
      <c r="I1533" s="6">
        <v>2.15</v>
      </c>
      <c r="J1533" s="6">
        <v>19.34</v>
      </c>
      <c r="K1533" s="5">
        <v>161</v>
      </c>
    </row>
    <row r="1534" spans="1:11" x14ac:dyDescent="0.3">
      <c r="A1534" s="3">
        <v>5037</v>
      </c>
      <c r="B1534" s="3" t="s">
        <v>11</v>
      </c>
      <c r="C1534" s="4">
        <v>45698</v>
      </c>
      <c r="D1534" s="3" t="s">
        <v>38</v>
      </c>
      <c r="E1534" s="3" t="s">
        <v>21</v>
      </c>
      <c r="F1534" s="5">
        <v>2</v>
      </c>
      <c r="G1534" s="6">
        <v>25.39</v>
      </c>
      <c r="H1534" s="6">
        <v>50.78</v>
      </c>
      <c r="I1534" s="6">
        <v>0</v>
      </c>
      <c r="J1534" s="6">
        <v>50.78</v>
      </c>
      <c r="K1534" s="5">
        <v>338</v>
      </c>
    </row>
    <row r="1535" spans="1:11" x14ac:dyDescent="0.3">
      <c r="A1535" s="3">
        <v>2204</v>
      </c>
      <c r="B1535" s="3" t="s">
        <v>31</v>
      </c>
      <c r="C1535" s="4">
        <v>45208</v>
      </c>
      <c r="D1535" s="3" t="s">
        <v>17</v>
      </c>
      <c r="E1535" s="3" t="s">
        <v>41</v>
      </c>
      <c r="F1535" s="5">
        <v>5</v>
      </c>
      <c r="G1535" s="6">
        <v>11.9</v>
      </c>
      <c r="H1535" s="6">
        <v>59.5</v>
      </c>
      <c r="I1535" s="6">
        <v>0</v>
      </c>
      <c r="J1535" s="6">
        <v>59.5</v>
      </c>
      <c r="K1535" s="5">
        <v>482</v>
      </c>
    </row>
    <row r="1536" spans="1:11" x14ac:dyDescent="0.3">
      <c r="A1536" s="3">
        <v>5390</v>
      </c>
      <c r="B1536" s="3" t="s">
        <v>42</v>
      </c>
      <c r="C1536" s="4">
        <v>45264</v>
      </c>
      <c r="D1536" s="3" t="s">
        <v>35</v>
      </c>
      <c r="E1536" s="3" t="s">
        <v>47</v>
      </c>
      <c r="F1536" s="5">
        <v>2</v>
      </c>
      <c r="G1536" s="6">
        <v>15.04</v>
      </c>
      <c r="H1536" s="6">
        <v>30.08</v>
      </c>
      <c r="I1536" s="6">
        <v>4.51</v>
      </c>
      <c r="J1536" s="6">
        <v>25.57</v>
      </c>
      <c r="K1536" s="5">
        <v>95</v>
      </c>
    </row>
    <row r="1537" spans="1:11" x14ac:dyDescent="0.3">
      <c r="A1537" s="3">
        <v>7225</v>
      </c>
      <c r="B1537" s="3" t="s">
        <v>19</v>
      </c>
      <c r="C1537" s="4">
        <v>45697</v>
      </c>
      <c r="D1537" s="3" t="s">
        <v>17</v>
      </c>
      <c r="E1537" s="3" t="s">
        <v>43</v>
      </c>
      <c r="F1537" s="5">
        <v>5</v>
      </c>
      <c r="G1537" s="6">
        <v>25.85</v>
      </c>
      <c r="H1537" s="6">
        <v>129.25</v>
      </c>
      <c r="I1537" s="6">
        <v>2.74</v>
      </c>
      <c r="J1537" s="6">
        <v>126.51</v>
      </c>
      <c r="K1537" s="5">
        <v>383</v>
      </c>
    </row>
    <row r="1538" spans="1:11" x14ac:dyDescent="0.3">
      <c r="A1538" s="3">
        <v>3527</v>
      </c>
      <c r="B1538" s="3" t="s">
        <v>26</v>
      </c>
      <c r="C1538" s="4">
        <v>45719</v>
      </c>
      <c r="D1538" s="3" t="s">
        <v>38</v>
      </c>
      <c r="E1538" s="3" t="s">
        <v>44</v>
      </c>
      <c r="F1538" s="5">
        <v>2</v>
      </c>
      <c r="G1538" s="6">
        <v>2.12</v>
      </c>
      <c r="H1538" s="6">
        <v>4.24</v>
      </c>
      <c r="I1538" s="6">
        <v>2.52</v>
      </c>
      <c r="J1538" s="6">
        <v>1.72</v>
      </c>
      <c r="K1538" s="5">
        <v>352</v>
      </c>
    </row>
    <row r="1539" spans="1:11" x14ac:dyDescent="0.3">
      <c r="A1539" s="3">
        <v>7383</v>
      </c>
      <c r="B1539" s="3" t="s">
        <v>42</v>
      </c>
      <c r="C1539" s="4">
        <v>45390</v>
      </c>
      <c r="D1539" s="3" t="s">
        <v>27</v>
      </c>
      <c r="E1539" s="3" t="s">
        <v>23</v>
      </c>
      <c r="F1539" s="5">
        <v>4</v>
      </c>
      <c r="G1539" s="6">
        <v>16.37</v>
      </c>
      <c r="H1539" s="6">
        <v>65.48</v>
      </c>
      <c r="I1539" s="6">
        <v>9.82</v>
      </c>
      <c r="J1539" s="6">
        <v>55.66</v>
      </c>
      <c r="K1539" s="5">
        <v>488</v>
      </c>
    </row>
    <row r="1540" spans="1:11" x14ac:dyDescent="0.3">
      <c r="A1540" s="3">
        <v>6909</v>
      </c>
      <c r="B1540" s="3" t="s">
        <v>42</v>
      </c>
      <c r="C1540" s="4">
        <v>45227</v>
      </c>
      <c r="D1540" s="3" t="s">
        <v>35</v>
      </c>
      <c r="E1540" s="3" t="s">
        <v>47</v>
      </c>
      <c r="F1540" s="5">
        <v>4</v>
      </c>
      <c r="G1540" s="6">
        <v>24.1</v>
      </c>
      <c r="H1540" s="6">
        <v>96.4</v>
      </c>
      <c r="I1540" s="6">
        <v>2.92</v>
      </c>
      <c r="J1540" s="6">
        <v>93.48</v>
      </c>
      <c r="K1540" s="5">
        <v>200</v>
      </c>
    </row>
    <row r="1541" spans="1:11" x14ac:dyDescent="0.3">
      <c r="A1541" s="3">
        <v>2499</v>
      </c>
      <c r="B1541" s="3" t="s">
        <v>11</v>
      </c>
      <c r="C1541" s="4">
        <v>45149</v>
      </c>
      <c r="D1541" s="3" t="s">
        <v>17</v>
      </c>
      <c r="E1541" s="3" t="s">
        <v>48</v>
      </c>
      <c r="F1541" s="5">
        <v>3</v>
      </c>
      <c r="G1541" s="6">
        <v>13.16</v>
      </c>
      <c r="H1541" s="6">
        <v>39.479999999999997</v>
      </c>
      <c r="I1541" s="6">
        <v>7.9</v>
      </c>
      <c r="J1541" s="6">
        <v>31.58</v>
      </c>
      <c r="K1541" s="5">
        <v>228</v>
      </c>
    </row>
    <row r="1542" spans="1:11" x14ac:dyDescent="0.3">
      <c r="A1542" s="3">
        <v>6050</v>
      </c>
      <c r="B1542" s="3" t="s">
        <v>24</v>
      </c>
      <c r="C1542" s="4">
        <v>45490</v>
      </c>
      <c r="D1542" s="3" t="s">
        <v>15</v>
      </c>
      <c r="E1542" s="3" t="s">
        <v>29</v>
      </c>
      <c r="F1542" s="5">
        <v>4</v>
      </c>
      <c r="G1542" s="6">
        <v>28.72</v>
      </c>
      <c r="H1542" s="6">
        <v>114.88</v>
      </c>
      <c r="I1542" s="6">
        <v>17.23</v>
      </c>
      <c r="J1542" s="6">
        <v>97.65</v>
      </c>
      <c r="K1542" s="5">
        <v>338</v>
      </c>
    </row>
    <row r="1543" spans="1:11" x14ac:dyDescent="0.3">
      <c r="A1543" s="3">
        <v>6896</v>
      </c>
      <c r="B1543" s="3" t="s">
        <v>24</v>
      </c>
      <c r="C1543" s="4">
        <v>45736</v>
      </c>
      <c r="D1543" s="3" t="s">
        <v>34</v>
      </c>
      <c r="E1543" s="3" t="s">
        <v>47</v>
      </c>
      <c r="F1543" s="5">
        <v>4</v>
      </c>
      <c r="G1543" s="6">
        <v>18.420000000000002</v>
      </c>
      <c r="H1543" s="6">
        <v>73.680000000000007</v>
      </c>
      <c r="I1543" s="6">
        <v>2.16</v>
      </c>
      <c r="J1543" s="6">
        <v>71.52</v>
      </c>
      <c r="K1543" s="5">
        <v>351</v>
      </c>
    </row>
    <row r="1544" spans="1:11" x14ac:dyDescent="0.3">
      <c r="A1544" s="3">
        <v>5419</v>
      </c>
      <c r="B1544" s="3" t="s">
        <v>14</v>
      </c>
      <c r="C1544" s="4">
        <v>45224</v>
      </c>
      <c r="D1544" s="3" t="s">
        <v>17</v>
      </c>
      <c r="E1544" s="3" t="s">
        <v>16</v>
      </c>
      <c r="F1544" s="5">
        <v>1</v>
      </c>
      <c r="G1544" s="6">
        <v>17.3</v>
      </c>
      <c r="H1544" s="6">
        <v>17.3</v>
      </c>
      <c r="I1544" s="6">
        <v>0</v>
      </c>
      <c r="J1544" s="6">
        <v>17.3</v>
      </c>
      <c r="K1544" s="5">
        <v>165</v>
      </c>
    </row>
    <row r="1545" spans="1:11" x14ac:dyDescent="0.3">
      <c r="A1545" s="3">
        <v>3170</v>
      </c>
      <c r="B1545" s="3" t="s">
        <v>36</v>
      </c>
      <c r="C1545" s="4">
        <v>45212</v>
      </c>
      <c r="D1545" s="3" t="s">
        <v>20</v>
      </c>
      <c r="E1545" s="3" t="s">
        <v>32</v>
      </c>
      <c r="F1545" s="5">
        <v>4</v>
      </c>
      <c r="G1545" s="6">
        <v>13.32</v>
      </c>
      <c r="H1545" s="6">
        <v>53.28</v>
      </c>
      <c r="I1545" s="6">
        <v>7.99</v>
      </c>
      <c r="J1545" s="6">
        <v>45.29</v>
      </c>
      <c r="K1545" s="5">
        <v>133</v>
      </c>
    </row>
    <row r="1546" spans="1:11" x14ac:dyDescent="0.3">
      <c r="A1546" s="3">
        <v>4070</v>
      </c>
      <c r="B1546" s="3" t="s">
        <v>26</v>
      </c>
      <c r="C1546" s="4">
        <v>45479</v>
      </c>
      <c r="D1546" s="3" t="s">
        <v>17</v>
      </c>
      <c r="E1546" s="3" t="s">
        <v>21</v>
      </c>
      <c r="F1546" s="5">
        <v>1</v>
      </c>
      <c r="G1546" s="6">
        <v>9.94</v>
      </c>
      <c r="H1546" s="6">
        <v>9.94</v>
      </c>
      <c r="I1546" s="6">
        <v>4.5</v>
      </c>
      <c r="J1546" s="6">
        <v>5.44</v>
      </c>
      <c r="K1546" s="5">
        <v>209</v>
      </c>
    </row>
    <row r="1547" spans="1:11" x14ac:dyDescent="0.3">
      <c r="A1547" s="3">
        <v>8353</v>
      </c>
      <c r="B1547" s="3" t="s">
        <v>14</v>
      </c>
      <c r="C1547" s="4">
        <v>45577</v>
      </c>
      <c r="D1547" s="3" t="s">
        <v>17</v>
      </c>
      <c r="E1547" s="3" t="s">
        <v>48</v>
      </c>
      <c r="F1547" s="5">
        <v>5</v>
      </c>
      <c r="G1547" s="6">
        <v>18.7</v>
      </c>
      <c r="H1547" s="6">
        <v>93.5</v>
      </c>
      <c r="I1547" s="6">
        <v>0</v>
      </c>
      <c r="J1547" s="6">
        <v>93.5</v>
      </c>
      <c r="K1547" s="5">
        <v>66</v>
      </c>
    </row>
    <row r="1548" spans="1:11" x14ac:dyDescent="0.3">
      <c r="A1548" s="3">
        <v>9395</v>
      </c>
      <c r="B1548" s="3" t="s">
        <v>31</v>
      </c>
      <c r="C1548" s="4">
        <v>45461</v>
      </c>
      <c r="D1548" s="3" t="s">
        <v>20</v>
      </c>
      <c r="E1548" s="3" t="s">
        <v>43</v>
      </c>
      <c r="F1548" s="5">
        <v>3</v>
      </c>
      <c r="G1548" s="6">
        <v>27.44</v>
      </c>
      <c r="H1548" s="6">
        <v>82.32</v>
      </c>
      <c r="I1548" s="6">
        <v>0</v>
      </c>
      <c r="J1548" s="6">
        <v>82.32</v>
      </c>
      <c r="K1548" s="5">
        <v>392</v>
      </c>
    </row>
    <row r="1549" spans="1:11" x14ac:dyDescent="0.3">
      <c r="A1549" s="3">
        <v>2692</v>
      </c>
      <c r="B1549" s="3" t="s">
        <v>31</v>
      </c>
      <c r="C1549" s="4">
        <v>45165</v>
      </c>
      <c r="D1549" s="3" t="s">
        <v>38</v>
      </c>
      <c r="E1549" s="3" t="s">
        <v>44</v>
      </c>
      <c r="F1549" s="5">
        <v>3</v>
      </c>
      <c r="G1549" s="6">
        <v>16.52</v>
      </c>
      <c r="H1549" s="6">
        <v>49.56</v>
      </c>
      <c r="I1549" s="6">
        <v>0</v>
      </c>
      <c r="J1549" s="6">
        <v>49.56</v>
      </c>
      <c r="K1549" s="5">
        <v>80</v>
      </c>
    </row>
    <row r="1550" spans="1:11" x14ac:dyDescent="0.3">
      <c r="A1550" s="3">
        <v>2468</v>
      </c>
      <c r="B1550" s="3" t="s">
        <v>42</v>
      </c>
      <c r="C1550" s="4">
        <v>45419</v>
      </c>
      <c r="D1550" s="3" t="s">
        <v>35</v>
      </c>
      <c r="E1550" s="3" t="s">
        <v>29</v>
      </c>
      <c r="F1550" s="5">
        <v>3</v>
      </c>
      <c r="G1550" s="6">
        <v>10.6</v>
      </c>
      <c r="H1550" s="6">
        <v>31.8</v>
      </c>
      <c r="I1550" s="6">
        <v>1.1399999999999999</v>
      </c>
      <c r="J1550" s="6">
        <v>30.66</v>
      </c>
      <c r="K1550" s="5">
        <v>110</v>
      </c>
    </row>
    <row r="1551" spans="1:11" x14ac:dyDescent="0.3">
      <c r="A1551" s="3">
        <v>2524</v>
      </c>
      <c r="B1551" s="3" t="s">
        <v>31</v>
      </c>
      <c r="C1551" s="4">
        <v>45608</v>
      </c>
      <c r="D1551" s="3" t="s">
        <v>38</v>
      </c>
      <c r="E1551" s="3" t="s">
        <v>48</v>
      </c>
      <c r="F1551" s="5">
        <v>5</v>
      </c>
      <c r="G1551" s="6">
        <v>12.53</v>
      </c>
      <c r="H1551" s="6">
        <v>62.65</v>
      </c>
      <c r="I1551" s="6">
        <v>12.53</v>
      </c>
      <c r="J1551" s="6">
        <v>50.12</v>
      </c>
      <c r="K1551" s="5">
        <v>248</v>
      </c>
    </row>
    <row r="1552" spans="1:11" x14ac:dyDescent="0.3">
      <c r="A1552" s="3">
        <v>6315</v>
      </c>
      <c r="B1552" s="3" t="s">
        <v>30</v>
      </c>
      <c r="C1552" s="4">
        <v>45815</v>
      </c>
      <c r="D1552" s="3" t="s">
        <v>35</v>
      </c>
      <c r="E1552" s="3" t="s">
        <v>39</v>
      </c>
      <c r="F1552" s="5">
        <v>2</v>
      </c>
      <c r="G1552" s="6">
        <v>19.309999999999999</v>
      </c>
      <c r="H1552" s="6">
        <v>38.619999999999997</v>
      </c>
      <c r="I1552" s="6">
        <v>2.09</v>
      </c>
      <c r="J1552" s="6">
        <v>36.53</v>
      </c>
      <c r="K1552" s="5">
        <v>352</v>
      </c>
    </row>
    <row r="1553" spans="1:11" x14ac:dyDescent="0.3">
      <c r="A1553" s="3">
        <v>7311</v>
      </c>
      <c r="B1553" s="3" t="s">
        <v>11</v>
      </c>
      <c r="C1553" s="4">
        <v>45154</v>
      </c>
      <c r="D1553" s="3" t="s">
        <v>20</v>
      </c>
      <c r="E1553" s="3" t="s">
        <v>32</v>
      </c>
      <c r="F1553" s="5">
        <v>2</v>
      </c>
      <c r="G1553" s="6">
        <v>24.72</v>
      </c>
      <c r="H1553" s="6">
        <v>49.44</v>
      </c>
      <c r="I1553" s="6">
        <v>1.31</v>
      </c>
      <c r="J1553" s="6">
        <v>48.13</v>
      </c>
      <c r="K1553" s="5">
        <v>448</v>
      </c>
    </row>
    <row r="1554" spans="1:11" x14ac:dyDescent="0.3">
      <c r="A1554" s="3">
        <v>5781</v>
      </c>
      <c r="B1554" s="3" t="s">
        <v>14</v>
      </c>
      <c r="C1554" s="4">
        <v>45466</v>
      </c>
      <c r="D1554" s="3" t="s">
        <v>20</v>
      </c>
      <c r="E1554" s="3" t="s">
        <v>39</v>
      </c>
      <c r="F1554" s="5">
        <v>1</v>
      </c>
      <c r="G1554" s="6">
        <v>22.53</v>
      </c>
      <c r="H1554" s="6">
        <v>22.53</v>
      </c>
      <c r="I1554" s="6">
        <v>3.94</v>
      </c>
      <c r="J1554" s="6">
        <v>18.59</v>
      </c>
      <c r="K1554" s="5">
        <v>277</v>
      </c>
    </row>
    <row r="1555" spans="1:11" x14ac:dyDescent="0.3">
      <c r="A1555" s="3">
        <v>7353</v>
      </c>
      <c r="B1555" s="3" t="s">
        <v>24</v>
      </c>
      <c r="C1555" s="4">
        <v>45750</v>
      </c>
      <c r="D1555" s="3" t="s">
        <v>17</v>
      </c>
      <c r="E1555" s="3" t="s">
        <v>37</v>
      </c>
      <c r="F1555" s="5">
        <v>3</v>
      </c>
      <c r="G1555" s="6">
        <v>13.32</v>
      </c>
      <c r="H1555" s="6">
        <v>39.96</v>
      </c>
      <c r="I1555" s="6">
        <v>5.99</v>
      </c>
      <c r="J1555" s="6">
        <v>33.97</v>
      </c>
      <c r="K1555" s="5">
        <v>380</v>
      </c>
    </row>
    <row r="1556" spans="1:11" x14ac:dyDescent="0.3">
      <c r="A1556" s="3">
        <v>2387</v>
      </c>
      <c r="B1556" s="3" t="s">
        <v>30</v>
      </c>
      <c r="C1556" s="4">
        <v>45708</v>
      </c>
      <c r="D1556" s="3" t="s">
        <v>45</v>
      </c>
      <c r="E1556" s="3" t="s">
        <v>44</v>
      </c>
      <c r="F1556" s="5">
        <v>1</v>
      </c>
      <c r="G1556" s="6">
        <v>8.65</v>
      </c>
      <c r="H1556" s="6">
        <v>8.65</v>
      </c>
      <c r="I1556" s="6">
        <v>0.87</v>
      </c>
      <c r="J1556" s="6">
        <v>7.78</v>
      </c>
      <c r="K1556" s="5">
        <v>335</v>
      </c>
    </row>
    <row r="1557" spans="1:11" x14ac:dyDescent="0.3">
      <c r="A1557" s="3">
        <v>4977</v>
      </c>
      <c r="B1557" s="3" t="s">
        <v>30</v>
      </c>
      <c r="C1557" s="4">
        <v>45589</v>
      </c>
      <c r="D1557" s="3" t="s">
        <v>20</v>
      </c>
      <c r="E1557" s="3" t="s">
        <v>43</v>
      </c>
      <c r="F1557" s="5">
        <v>2</v>
      </c>
      <c r="G1557" s="6">
        <v>29.03</v>
      </c>
      <c r="H1557" s="6">
        <v>58.06</v>
      </c>
      <c r="I1557" s="6">
        <v>5.81</v>
      </c>
      <c r="J1557" s="6">
        <v>52.25</v>
      </c>
      <c r="K1557" s="5">
        <v>287</v>
      </c>
    </row>
    <row r="1558" spans="1:11" x14ac:dyDescent="0.3">
      <c r="A1558" s="3">
        <v>9537</v>
      </c>
      <c r="B1558" s="3" t="s">
        <v>30</v>
      </c>
      <c r="C1558" s="4">
        <v>45276</v>
      </c>
      <c r="D1558" s="3" t="s">
        <v>38</v>
      </c>
      <c r="E1558" s="3" t="s">
        <v>46</v>
      </c>
      <c r="F1558" s="5">
        <v>2</v>
      </c>
      <c r="G1558" s="6">
        <v>12.08</v>
      </c>
      <c r="H1558" s="6">
        <v>24.16</v>
      </c>
      <c r="I1558" s="6">
        <v>3.62</v>
      </c>
      <c r="J1558" s="6">
        <v>20.54</v>
      </c>
      <c r="K1558" s="5">
        <v>254</v>
      </c>
    </row>
    <row r="1559" spans="1:11" x14ac:dyDescent="0.3">
      <c r="A1559" s="3">
        <v>7237</v>
      </c>
      <c r="B1559" s="3" t="s">
        <v>14</v>
      </c>
      <c r="C1559" s="4">
        <v>45276</v>
      </c>
      <c r="D1559" s="3" t="s">
        <v>15</v>
      </c>
      <c r="E1559" s="3" t="s">
        <v>33</v>
      </c>
      <c r="F1559" s="5">
        <v>2</v>
      </c>
      <c r="G1559" s="6">
        <v>17.75</v>
      </c>
      <c r="H1559" s="6">
        <v>35.5</v>
      </c>
      <c r="I1559" s="6">
        <v>7.1</v>
      </c>
      <c r="J1559" s="6">
        <v>28.4</v>
      </c>
      <c r="K1559" s="5">
        <v>12</v>
      </c>
    </row>
    <row r="1560" spans="1:11" x14ac:dyDescent="0.3">
      <c r="A1560" s="3">
        <v>3274</v>
      </c>
      <c r="B1560" s="3" t="s">
        <v>26</v>
      </c>
      <c r="C1560" s="4">
        <v>45353</v>
      </c>
      <c r="D1560" s="3" t="s">
        <v>22</v>
      </c>
      <c r="E1560" s="3" t="s">
        <v>47</v>
      </c>
      <c r="F1560" s="5">
        <v>5</v>
      </c>
      <c r="G1560" s="6">
        <v>4.1500000000000004</v>
      </c>
      <c r="H1560" s="6">
        <v>20.75</v>
      </c>
      <c r="I1560" s="6">
        <v>4.1500000000000004</v>
      </c>
      <c r="J1560" s="6">
        <v>16.600000000000001</v>
      </c>
      <c r="K1560" s="5">
        <v>159</v>
      </c>
    </row>
    <row r="1561" spans="1:11" x14ac:dyDescent="0.3">
      <c r="A1561" s="3">
        <v>5933</v>
      </c>
      <c r="B1561" s="3" t="s">
        <v>11</v>
      </c>
      <c r="C1561" s="4">
        <v>45353</v>
      </c>
      <c r="D1561" s="3" t="s">
        <v>15</v>
      </c>
      <c r="E1561" s="3" t="s">
        <v>18</v>
      </c>
      <c r="F1561" s="5">
        <v>2</v>
      </c>
      <c r="G1561" s="6">
        <v>7.01</v>
      </c>
      <c r="H1561" s="6">
        <v>14.02</v>
      </c>
      <c r="I1561" s="6">
        <v>2</v>
      </c>
      <c r="J1561" s="6">
        <v>12.02</v>
      </c>
      <c r="K1561" s="5">
        <v>482</v>
      </c>
    </row>
    <row r="1562" spans="1:11" x14ac:dyDescent="0.3">
      <c r="A1562" s="3">
        <v>9079</v>
      </c>
      <c r="B1562" s="3" t="s">
        <v>19</v>
      </c>
      <c r="C1562" s="4">
        <v>45258</v>
      </c>
      <c r="D1562" s="3" t="s">
        <v>20</v>
      </c>
      <c r="E1562" s="3" t="s">
        <v>47</v>
      </c>
      <c r="F1562" s="5">
        <v>5</v>
      </c>
      <c r="G1562" s="6">
        <v>21.96</v>
      </c>
      <c r="H1562" s="6">
        <v>109.8</v>
      </c>
      <c r="I1562" s="6">
        <v>4.07</v>
      </c>
      <c r="J1562" s="6">
        <v>105.73</v>
      </c>
      <c r="K1562" s="5">
        <v>290</v>
      </c>
    </row>
    <row r="1563" spans="1:11" x14ac:dyDescent="0.3">
      <c r="A1563" s="3">
        <v>2036</v>
      </c>
      <c r="B1563" s="3" t="s">
        <v>30</v>
      </c>
      <c r="C1563" s="4">
        <v>45274</v>
      </c>
      <c r="D1563" s="3" t="s">
        <v>20</v>
      </c>
      <c r="E1563" s="3" t="s">
        <v>37</v>
      </c>
      <c r="F1563" s="5">
        <v>3</v>
      </c>
      <c r="G1563" s="6">
        <v>25.19</v>
      </c>
      <c r="H1563" s="6">
        <v>75.569999999999993</v>
      </c>
      <c r="I1563" s="6">
        <v>0</v>
      </c>
      <c r="J1563" s="6">
        <v>75.569999999999993</v>
      </c>
      <c r="K1563" s="5">
        <v>18</v>
      </c>
    </row>
    <row r="1564" spans="1:11" x14ac:dyDescent="0.3">
      <c r="A1564" s="3">
        <v>8121</v>
      </c>
      <c r="B1564" s="3" t="s">
        <v>24</v>
      </c>
      <c r="C1564" s="4">
        <v>45359</v>
      </c>
      <c r="D1564" s="3" t="s">
        <v>12</v>
      </c>
      <c r="E1564" s="3" t="s">
        <v>13</v>
      </c>
      <c r="F1564" s="5">
        <v>2</v>
      </c>
      <c r="G1564" s="6">
        <v>22.89</v>
      </c>
      <c r="H1564" s="6">
        <v>45.78</v>
      </c>
      <c r="I1564" s="6">
        <v>3</v>
      </c>
      <c r="J1564" s="6">
        <v>42.78</v>
      </c>
      <c r="K1564" s="5">
        <v>406</v>
      </c>
    </row>
    <row r="1565" spans="1:11" x14ac:dyDescent="0.3">
      <c r="A1565" s="3">
        <v>7899</v>
      </c>
      <c r="B1565" s="3" t="s">
        <v>42</v>
      </c>
      <c r="C1565" s="4">
        <v>45377</v>
      </c>
      <c r="D1565" s="3" t="s">
        <v>22</v>
      </c>
      <c r="E1565" s="3" t="s">
        <v>33</v>
      </c>
      <c r="F1565" s="5">
        <v>4</v>
      </c>
      <c r="G1565" s="6">
        <v>15.91</v>
      </c>
      <c r="H1565" s="6">
        <v>63.64</v>
      </c>
      <c r="I1565" s="6">
        <v>2.7</v>
      </c>
      <c r="J1565" s="6">
        <v>60.94</v>
      </c>
      <c r="K1565" s="5">
        <v>439</v>
      </c>
    </row>
    <row r="1566" spans="1:11" x14ac:dyDescent="0.3">
      <c r="A1566" s="3">
        <v>8933</v>
      </c>
      <c r="B1566" s="3" t="s">
        <v>11</v>
      </c>
      <c r="C1566" s="4">
        <v>45752</v>
      </c>
      <c r="D1566" s="3" t="s">
        <v>20</v>
      </c>
      <c r="E1566" s="3" t="s">
        <v>41</v>
      </c>
      <c r="F1566" s="5">
        <v>1</v>
      </c>
      <c r="G1566" s="6">
        <v>5.69</v>
      </c>
      <c r="H1566" s="6">
        <v>5.69</v>
      </c>
      <c r="I1566" s="6">
        <v>1.1399999999999999</v>
      </c>
      <c r="J1566" s="6">
        <v>4.55</v>
      </c>
      <c r="K1566" s="5">
        <v>383</v>
      </c>
    </row>
    <row r="1567" spans="1:11" x14ac:dyDescent="0.3">
      <c r="A1567" s="3">
        <v>2260</v>
      </c>
      <c r="B1567" s="3" t="s">
        <v>42</v>
      </c>
      <c r="C1567" s="4">
        <v>45425</v>
      </c>
      <c r="D1567" s="3" t="s">
        <v>45</v>
      </c>
      <c r="E1567" s="3" t="s">
        <v>48</v>
      </c>
      <c r="F1567" s="5">
        <v>1</v>
      </c>
      <c r="G1567" s="6">
        <v>26.67</v>
      </c>
      <c r="H1567" s="6">
        <v>26.67</v>
      </c>
      <c r="I1567" s="6">
        <v>0</v>
      </c>
      <c r="J1567" s="6">
        <v>26.67</v>
      </c>
      <c r="K1567" s="5">
        <v>253</v>
      </c>
    </row>
    <row r="1568" spans="1:11" x14ac:dyDescent="0.3">
      <c r="A1568" s="3">
        <v>5123</v>
      </c>
      <c r="B1568" s="3" t="s">
        <v>14</v>
      </c>
      <c r="C1568" s="4">
        <v>45336</v>
      </c>
      <c r="D1568" s="3" t="s">
        <v>45</v>
      </c>
      <c r="E1568" s="3" t="s">
        <v>41</v>
      </c>
      <c r="F1568" s="5">
        <v>5</v>
      </c>
      <c r="G1568" s="6">
        <v>13.12</v>
      </c>
      <c r="H1568" s="6">
        <v>65.599999999999994</v>
      </c>
      <c r="I1568" s="6">
        <v>2.74</v>
      </c>
      <c r="J1568" s="6">
        <v>62.86</v>
      </c>
      <c r="K1568" s="5">
        <v>4</v>
      </c>
    </row>
    <row r="1569" spans="1:11" x14ac:dyDescent="0.3">
      <c r="A1569" s="3">
        <v>9123</v>
      </c>
      <c r="B1569" s="3" t="s">
        <v>30</v>
      </c>
      <c r="C1569" s="4">
        <v>45606</v>
      </c>
      <c r="D1569" s="3" t="s">
        <v>27</v>
      </c>
      <c r="E1569" s="3" t="s">
        <v>13</v>
      </c>
      <c r="F1569" s="5">
        <v>5</v>
      </c>
      <c r="G1569" s="6">
        <v>10.34</v>
      </c>
      <c r="H1569" s="6">
        <v>51.7</v>
      </c>
      <c r="I1569" s="6">
        <v>3.6</v>
      </c>
      <c r="J1569" s="6">
        <v>48.1</v>
      </c>
      <c r="K1569" s="5">
        <v>455</v>
      </c>
    </row>
    <row r="1570" spans="1:11" x14ac:dyDescent="0.3">
      <c r="A1570" s="3">
        <v>4203</v>
      </c>
      <c r="B1570" s="3" t="s">
        <v>19</v>
      </c>
      <c r="C1570" s="4">
        <v>45500</v>
      </c>
      <c r="D1570" s="3" t="s">
        <v>35</v>
      </c>
      <c r="E1570" s="3" t="s">
        <v>46</v>
      </c>
      <c r="F1570" s="5">
        <v>2</v>
      </c>
      <c r="G1570" s="6">
        <v>24.27</v>
      </c>
      <c r="H1570" s="6">
        <v>48.54</v>
      </c>
      <c r="I1570" s="6">
        <v>3.42</v>
      </c>
      <c r="J1570" s="6">
        <v>45.12</v>
      </c>
      <c r="K1570" s="5">
        <v>487</v>
      </c>
    </row>
    <row r="1571" spans="1:11" x14ac:dyDescent="0.3">
      <c r="A1571" s="3">
        <v>2752</v>
      </c>
      <c r="B1571" s="3" t="s">
        <v>26</v>
      </c>
      <c r="C1571" s="4">
        <v>45250</v>
      </c>
      <c r="D1571" s="3" t="s">
        <v>45</v>
      </c>
      <c r="E1571" s="3" t="s">
        <v>44</v>
      </c>
      <c r="F1571" s="5">
        <v>3</v>
      </c>
      <c r="G1571" s="6">
        <v>27.88</v>
      </c>
      <c r="H1571" s="6">
        <v>83.64</v>
      </c>
      <c r="I1571" s="6">
        <v>16.73</v>
      </c>
      <c r="J1571" s="6">
        <v>66.91</v>
      </c>
      <c r="K1571" s="5">
        <v>368</v>
      </c>
    </row>
    <row r="1572" spans="1:11" x14ac:dyDescent="0.3">
      <c r="A1572" s="3">
        <v>5991</v>
      </c>
      <c r="B1572" s="3" t="s">
        <v>14</v>
      </c>
      <c r="C1572" s="4">
        <v>45150</v>
      </c>
      <c r="D1572" s="3" t="s">
        <v>45</v>
      </c>
      <c r="E1572" s="3" t="s">
        <v>39</v>
      </c>
      <c r="F1572" s="5">
        <v>3</v>
      </c>
      <c r="G1572" s="6">
        <v>13.06</v>
      </c>
      <c r="H1572" s="6">
        <v>39.18</v>
      </c>
      <c r="I1572" s="6">
        <v>4.97</v>
      </c>
      <c r="J1572" s="6">
        <v>34.21</v>
      </c>
      <c r="K1572" s="5">
        <v>76</v>
      </c>
    </row>
    <row r="1573" spans="1:11" x14ac:dyDescent="0.3">
      <c r="A1573" s="3">
        <v>7483</v>
      </c>
      <c r="B1573" s="3" t="s">
        <v>31</v>
      </c>
      <c r="C1573" s="4">
        <v>45403</v>
      </c>
      <c r="D1573" s="3" t="s">
        <v>35</v>
      </c>
      <c r="E1573" s="3" t="s">
        <v>44</v>
      </c>
      <c r="F1573" s="5">
        <v>2</v>
      </c>
      <c r="G1573" s="6">
        <v>21.12</v>
      </c>
      <c r="H1573" s="6">
        <v>42.24</v>
      </c>
      <c r="I1573" s="6">
        <v>6.34</v>
      </c>
      <c r="J1573" s="6">
        <v>35.9</v>
      </c>
      <c r="K1573" s="5">
        <v>275</v>
      </c>
    </row>
    <row r="1574" spans="1:11" x14ac:dyDescent="0.3">
      <c r="A1574" s="3">
        <v>7224</v>
      </c>
      <c r="B1574" s="3" t="s">
        <v>11</v>
      </c>
      <c r="C1574" s="4">
        <v>45769</v>
      </c>
      <c r="D1574" s="3" t="s">
        <v>12</v>
      </c>
      <c r="E1574" s="3" t="s">
        <v>33</v>
      </c>
      <c r="F1574" s="5">
        <v>5</v>
      </c>
      <c r="G1574" s="6">
        <v>5.53</v>
      </c>
      <c r="H1574" s="6">
        <v>27.65</v>
      </c>
      <c r="I1574" s="6">
        <v>4.1500000000000004</v>
      </c>
      <c r="J1574" s="6">
        <v>23.5</v>
      </c>
      <c r="K1574" s="5">
        <v>179</v>
      </c>
    </row>
    <row r="1575" spans="1:11" x14ac:dyDescent="0.3">
      <c r="A1575" s="3">
        <v>6399</v>
      </c>
      <c r="B1575" s="3"/>
      <c r="C1575" s="4">
        <v>45486</v>
      </c>
      <c r="D1575" s="3" t="s">
        <v>17</v>
      </c>
      <c r="E1575" s="3" t="s">
        <v>13</v>
      </c>
      <c r="F1575" s="5">
        <v>3</v>
      </c>
      <c r="G1575" s="6">
        <v>24.79</v>
      </c>
      <c r="H1575" s="6">
        <v>74.37</v>
      </c>
      <c r="I1575" s="6">
        <v>3.92</v>
      </c>
      <c r="J1575" s="6">
        <v>70.45</v>
      </c>
      <c r="K1575" s="5">
        <v>444</v>
      </c>
    </row>
    <row r="1576" spans="1:11" x14ac:dyDescent="0.3">
      <c r="A1576" s="3">
        <v>6484</v>
      </c>
      <c r="B1576" s="3" t="s">
        <v>36</v>
      </c>
      <c r="C1576" s="4">
        <v>45479</v>
      </c>
      <c r="D1576" s="3" t="s">
        <v>28</v>
      </c>
      <c r="E1576" s="3" t="s">
        <v>32</v>
      </c>
      <c r="F1576" s="5">
        <v>3</v>
      </c>
      <c r="G1576" s="6">
        <v>17.260000000000002</v>
      </c>
      <c r="H1576" s="6">
        <v>51.78</v>
      </c>
      <c r="I1576" s="6">
        <v>3.37</v>
      </c>
      <c r="J1576" s="6">
        <v>48.41</v>
      </c>
      <c r="K1576" s="5">
        <v>328</v>
      </c>
    </row>
    <row r="1577" spans="1:11" x14ac:dyDescent="0.3">
      <c r="A1577" s="3">
        <v>3230</v>
      </c>
      <c r="B1577" s="3" t="s">
        <v>11</v>
      </c>
      <c r="C1577" s="4">
        <v>45378</v>
      </c>
      <c r="D1577" s="3" t="s">
        <v>17</v>
      </c>
      <c r="E1577" s="3" t="s">
        <v>13</v>
      </c>
      <c r="F1577" s="5">
        <v>2</v>
      </c>
      <c r="G1577" s="6">
        <v>8.6199999999999992</v>
      </c>
      <c r="H1577" s="6">
        <v>17.239999999999998</v>
      </c>
      <c r="I1577" s="6">
        <v>3.35</v>
      </c>
      <c r="J1577" s="6">
        <v>13.89</v>
      </c>
      <c r="K1577" s="5">
        <v>52</v>
      </c>
    </row>
    <row r="1578" spans="1:11" x14ac:dyDescent="0.3">
      <c r="A1578" s="3">
        <v>6253</v>
      </c>
      <c r="B1578" s="3"/>
      <c r="C1578" s="4">
        <v>45613</v>
      </c>
      <c r="D1578" s="3" t="s">
        <v>22</v>
      </c>
      <c r="E1578" s="3" t="s">
        <v>13</v>
      </c>
      <c r="F1578" s="5">
        <v>5</v>
      </c>
      <c r="G1578" s="6">
        <v>20.38</v>
      </c>
      <c r="H1578" s="6">
        <v>101.9</v>
      </c>
      <c r="I1578" s="6">
        <v>20.38</v>
      </c>
      <c r="J1578" s="6">
        <v>81.52</v>
      </c>
      <c r="K1578" s="5">
        <v>242</v>
      </c>
    </row>
    <row r="1579" spans="1:11" x14ac:dyDescent="0.3">
      <c r="A1579" s="3">
        <v>4290</v>
      </c>
      <c r="B1579" s="3" t="s">
        <v>31</v>
      </c>
      <c r="C1579" s="4">
        <v>45517</v>
      </c>
      <c r="D1579" s="3" t="s">
        <v>17</v>
      </c>
      <c r="E1579" s="3" t="s">
        <v>44</v>
      </c>
      <c r="F1579" s="5">
        <v>1</v>
      </c>
      <c r="G1579" s="6">
        <v>27.95</v>
      </c>
      <c r="H1579" s="6">
        <v>27.95</v>
      </c>
      <c r="I1579" s="6">
        <v>5.59</v>
      </c>
      <c r="J1579" s="6">
        <v>22.36</v>
      </c>
      <c r="K1579" s="5">
        <v>314</v>
      </c>
    </row>
    <row r="1580" spans="1:11" x14ac:dyDescent="0.3">
      <c r="A1580" s="3">
        <v>6147</v>
      </c>
      <c r="B1580" s="3" t="s">
        <v>19</v>
      </c>
      <c r="C1580" s="4">
        <v>45282</v>
      </c>
      <c r="D1580" s="3" t="s">
        <v>45</v>
      </c>
      <c r="E1580" s="3" t="s">
        <v>39</v>
      </c>
      <c r="F1580" s="5">
        <v>3</v>
      </c>
      <c r="G1580" s="6">
        <v>3.25</v>
      </c>
      <c r="H1580" s="6">
        <v>9.75</v>
      </c>
      <c r="I1580" s="6">
        <v>1.95</v>
      </c>
      <c r="J1580" s="6">
        <v>7.8</v>
      </c>
      <c r="K1580" s="5">
        <v>496</v>
      </c>
    </row>
    <row r="1581" spans="1:11" x14ac:dyDescent="0.3">
      <c r="A1581" s="3">
        <v>7524</v>
      </c>
      <c r="B1581" s="3" t="s">
        <v>14</v>
      </c>
      <c r="C1581" s="4">
        <v>45392</v>
      </c>
      <c r="D1581" s="3" t="s">
        <v>45</v>
      </c>
      <c r="E1581" s="3" t="s">
        <v>16</v>
      </c>
      <c r="F1581" s="5">
        <v>4</v>
      </c>
      <c r="G1581" s="6">
        <v>10.48</v>
      </c>
      <c r="H1581" s="6">
        <v>41.92</v>
      </c>
      <c r="I1581" s="6">
        <v>8.3800000000000008</v>
      </c>
      <c r="J1581" s="6">
        <v>33.54</v>
      </c>
      <c r="K1581" s="5">
        <v>256</v>
      </c>
    </row>
    <row r="1582" spans="1:11" x14ac:dyDescent="0.3">
      <c r="A1582" s="3">
        <v>5775</v>
      </c>
      <c r="B1582" s="3" t="s">
        <v>14</v>
      </c>
      <c r="C1582" s="4">
        <v>45715</v>
      </c>
      <c r="D1582" s="3" t="s">
        <v>20</v>
      </c>
      <c r="E1582" s="3" t="s">
        <v>32</v>
      </c>
      <c r="F1582" s="5">
        <v>4</v>
      </c>
      <c r="G1582" s="6">
        <v>21.47</v>
      </c>
      <c r="H1582" s="6">
        <v>85.88</v>
      </c>
      <c r="I1582" s="6">
        <v>2.27</v>
      </c>
      <c r="J1582" s="6">
        <v>83.61</v>
      </c>
      <c r="K1582" s="5">
        <v>181</v>
      </c>
    </row>
    <row r="1583" spans="1:11" x14ac:dyDescent="0.3">
      <c r="A1583" s="3">
        <v>9044</v>
      </c>
      <c r="B1583" s="3" t="s">
        <v>11</v>
      </c>
      <c r="C1583" s="4">
        <v>45592</v>
      </c>
      <c r="D1583" s="3" t="s">
        <v>28</v>
      </c>
      <c r="E1583" s="3" t="s">
        <v>44</v>
      </c>
      <c r="F1583" s="5">
        <v>2</v>
      </c>
      <c r="G1583" s="6">
        <v>28.41</v>
      </c>
      <c r="H1583" s="6">
        <v>56.82</v>
      </c>
      <c r="I1583" s="6">
        <v>0</v>
      </c>
      <c r="J1583" s="6">
        <v>56.82</v>
      </c>
      <c r="K1583" s="5">
        <v>426</v>
      </c>
    </row>
    <row r="1584" spans="1:11" x14ac:dyDescent="0.3">
      <c r="A1584" s="3">
        <v>4971</v>
      </c>
      <c r="B1584" s="3" t="s">
        <v>19</v>
      </c>
      <c r="C1584" s="4">
        <v>45398</v>
      </c>
      <c r="D1584" s="3" t="s">
        <v>20</v>
      </c>
      <c r="E1584" s="3" t="s">
        <v>18</v>
      </c>
      <c r="F1584" s="5">
        <v>4</v>
      </c>
      <c r="G1584" s="6">
        <v>15.2</v>
      </c>
      <c r="H1584" s="6">
        <v>60.8</v>
      </c>
      <c r="I1584" s="6">
        <v>0</v>
      </c>
      <c r="J1584" s="6">
        <v>60.8</v>
      </c>
      <c r="K1584" s="5">
        <v>403</v>
      </c>
    </row>
    <row r="1585" spans="1:11" x14ac:dyDescent="0.3">
      <c r="A1585" s="3">
        <v>7161</v>
      </c>
      <c r="B1585" s="3" t="s">
        <v>11</v>
      </c>
      <c r="C1585" s="4">
        <v>45362</v>
      </c>
      <c r="D1585" s="3" t="s">
        <v>38</v>
      </c>
      <c r="E1585" s="3" t="s">
        <v>16</v>
      </c>
      <c r="F1585" s="5">
        <v>3</v>
      </c>
      <c r="G1585" s="6">
        <v>6.15</v>
      </c>
      <c r="H1585" s="6">
        <v>18.45</v>
      </c>
      <c r="I1585" s="6">
        <v>1.84</v>
      </c>
      <c r="J1585" s="6">
        <v>16.61</v>
      </c>
      <c r="K1585" s="5">
        <v>443</v>
      </c>
    </row>
    <row r="1586" spans="1:11" x14ac:dyDescent="0.3">
      <c r="A1586" s="3">
        <v>7437</v>
      </c>
      <c r="B1586" s="3" t="s">
        <v>36</v>
      </c>
      <c r="C1586" s="4">
        <v>45428</v>
      </c>
      <c r="D1586" s="3" t="s">
        <v>20</v>
      </c>
      <c r="E1586" s="3" t="s">
        <v>44</v>
      </c>
      <c r="F1586" s="5">
        <v>5</v>
      </c>
      <c r="G1586" s="6">
        <v>17.22</v>
      </c>
      <c r="H1586" s="6">
        <v>86.1</v>
      </c>
      <c r="I1586" s="6">
        <v>8.61</v>
      </c>
      <c r="J1586" s="6">
        <v>77.489999999999995</v>
      </c>
      <c r="K1586" s="5">
        <v>471</v>
      </c>
    </row>
    <row r="1587" spans="1:11" x14ac:dyDescent="0.3">
      <c r="A1587" s="3">
        <v>2865</v>
      </c>
      <c r="B1587" s="3" t="s">
        <v>36</v>
      </c>
      <c r="C1587" s="4">
        <v>45868</v>
      </c>
      <c r="D1587" s="3" t="s">
        <v>34</v>
      </c>
      <c r="E1587" s="3" t="s">
        <v>39</v>
      </c>
      <c r="F1587" s="5">
        <v>2</v>
      </c>
      <c r="G1587" s="6">
        <v>13.81</v>
      </c>
      <c r="H1587" s="6">
        <v>27.62</v>
      </c>
      <c r="I1587" s="6">
        <v>3.34</v>
      </c>
      <c r="J1587" s="6">
        <v>24.28</v>
      </c>
      <c r="K1587" s="5">
        <v>269</v>
      </c>
    </row>
    <row r="1588" spans="1:11" x14ac:dyDescent="0.3">
      <c r="A1588" s="3">
        <v>4273</v>
      </c>
      <c r="B1588" s="3" t="s">
        <v>36</v>
      </c>
      <c r="C1588" s="4">
        <v>45604</v>
      </c>
      <c r="D1588" s="3" t="s">
        <v>15</v>
      </c>
      <c r="E1588" s="3" t="s">
        <v>23</v>
      </c>
      <c r="F1588" s="5">
        <v>3</v>
      </c>
      <c r="G1588" s="6">
        <v>15.57</v>
      </c>
      <c r="H1588" s="6">
        <v>46.71</v>
      </c>
      <c r="I1588" s="6">
        <v>3.59</v>
      </c>
      <c r="J1588" s="6">
        <v>43.12</v>
      </c>
      <c r="K1588" s="5">
        <v>6</v>
      </c>
    </row>
    <row r="1589" spans="1:11" x14ac:dyDescent="0.3">
      <c r="A1589" s="3">
        <v>9939</v>
      </c>
      <c r="B1589" s="3" t="s">
        <v>26</v>
      </c>
      <c r="C1589" s="4">
        <v>45284</v>
      </c>
      <c r="D1589" s="3" t="s">
        <v>20</v>
      </c>
      <c r="E1589" s="3" t="s">
        <v>40</v>
      </c>
      <c r="F1589" s="5">
        <v>3</v>
      </c>
      <c r="G1589" s="6">
        <v>8.94</v>
      </c>
      <c r="H1589" s="6">
        <v>26.82</v>
      </c>
      <c r="I1589" s="6">
        <v>0</v>
      </c>
      <c r="J1589" s="6">
        <v>26.82</v>
      </c>
      <c r="K1589" s="5">
        <v>29</v>
      </c>
    </row>
    <row r="1590" spans="1:11" x14ac:dyDescent="0.3">
      <c r="A1590" s="3">
        <v>1440</v>
      </c>
      <c r="B1590" s="3" t="s">
        <v>26</v>
      </c>
      <c r="C1590" s="4">
        <v>45709</v>
      </c>
      <c r="D1590" s="3" t="s">
        <v>28</v>
      </c>
      <c r="E1590" s="3" t="s">
        <v>33</v>
      </c>
      <c r="F1590" s="5">
        <v>4</v>
      </c>
      <c r="G1590" s="6">
        <v>6.03</v>
      </c>
      <c r="H1590" s="6">
        <v>24.12</v>
      </c>
      <c r="I1590" s="6">
        <v>2.48</v>
      </c>
      <c r="J1590" s="6">
        <v>21.64</v>
      </c>
      <c r="K1590" s="5">
        <v>383</v>
      </c>
    </row>
    <row r="1591" spans="1:11" x14ac:dyDescent="0.3">
      <c r="A1591" s="3">
        <v>8563</v>
      </c>
      <c r="B1591" s="3" t="s">
        <v>19</v>
      </c>
      <c r="C1591" s="4">
        <v>45695</v>
      </c>
      <c r="D1591" s="3" t="s">
        <v>34</v>
      </c>
      <c r="E1591" s="3" t="s">
        <v>41</v>
      </c>
      <c r="F1591" s="5">
        <v>1</v>
      </c>
      <c r="G1591" s="6">
        <v>13.16</v>
      </c>
      <c r="H1591" s="6">
        <v>13.16</v>
      </c>
      <c r="I1591" s="6">
        <v>2.77</v>
      </c>
      <c r="J1591" s="6">
        <v>10.39</v>
      </c>
      <c r="K1591" s="5">
        <v>433</v>
      </c>
    </row>
    <row r="1592" spans="1:11" x14ac:dyDescent="0.3">
      <c r="A1592" s="3">
        <v>4434</v>
      </c>
      <c r="B1592" s="3" t="s">
        <v>31</v>
      </c>
      <c r="C1592" s="4">
        <v>45485</v>
      </c>
      <c r="D1592" s="3" t="s">
        <v>22</v>
      </c>
      <c r="E1592" s="3" t="s">
        <v>48</v>
      </c>
      <c r="F1592" s="5">
        <v>5</v>
      </c>
      <c r="G1592" s="6">
        <v>9.0399999999999991</v>
      </c>
      <c r="H1592" s="6">
        <v>45.2</v>
      </c>
      <c r="I1592" s="6">
        <v>0</v>
      </c>
      <c r="J1592" s="6">
        <v>45.2</v>
      </c>
      <c r="K1592" s="5">
        <v>436</v>
      </c>
    </row>
    <row r="1593" spans="1:11" x14ac:dyDescent="0.3">
      <c r="A1593" s="3">
        <v>5773</v>
      </c>
      <c r="B1593" s="3" t="s">
        <v>31</v>
      </c>
      <c r="C1593" s="4">
        <v>45790</v>
      </c>
      <c r="D1593" s="3" t="s">
        <v>22</v>
      </c>
      <c r="E1593" s="3" t="s">
        <v>21</v>
      </c>
      <c r="F1593" s="5">
        <v>2</v>
      </c>
      <c r="G1593" s="6">
        <v>27.26</v>
      </c>
      <c r="H1593" s="6">
        <v>54.52</v>
      </c>
      <c r="I1593" s="6">
        <v>1.06</v>
      </c>
      <c r="J1593" s="6">
        <v>53.46</v>
      </c>
      <c r="K1593" s="5">
        <v>300</v>
      </c>
    </row>
    <row r="1594" spans="1:11" x14ac:dyDescent="0.3">
      <c r="A1594" s="3">
        <v>2133</v>
      </c>
      <c r="B1594" s="3" t="s">
        <v>24</v>
      </c>
      <c r="C1594" s="4">
        <v>45781</v>
      </c>
      <c r="D1594" s="3" t="s">
        <v>20</v>
      </c>
      <c r="E1594" s="3" t="s">
        <v>40</v>
      </c>
      <c r="F1594" s="5">
        <v>1</v>
      </c>
      <c r="G1594" s="6">
        <v>6.59</v>
      </c>
      <c r="H1594" s="6">
        <v>6.59</v>
      </c>
      <c r="I1594" s="6">
        <v>0</v>
      </c>
      <c r="J1594" s="6">
        <v>6.59</v>
      </c>
      <c r="K1594" s="5">
        <v>389</v>
      </c>
    </row>
    <row r="1595" spans="1:11" x14ac:dyDescent="0.3">
      <c r="A1595" s="3">
        <v>7703</v>
      </c>
      <c r="B1595" s="3" t="s">
        <v>30</v>
      </c>
      <c r="C1595" s="4">
        <v>45667</v>
      </c>
      <c r="D1595" s="3" t="s">
        <v>15</v>
      </c>
      <c r="E1595" s="3" t="s">
        <v>29</v>
      </c>
      <c r="F1595" s="5">
        <v>4</v>
      </c>
      <c r="G1595" s="6">
        <v>2.2799999999999998</v>
      </c>
      <c r="H1595" s="6">
        <v>9.1199999999999992</v>
      </c>
      <c r="I1595" s="6">
        <v>0</v>
      </c>
      <c r="J1595" s="6">
        <v>9.1199999999999992</v>
      </c>
      <c r="K1595" s="5">
        <v>311</v>
      </c>
    </row>
    <row r="1596" spans="1:11" x14ac:dyDescent="0.3">
      <c r="A1596" s="3">
        <v>9180</v>
      </c>
      <c r="B1596" s="3" t="s">
        <v>14</v>
      </c>
      <c r="C1596" s="4">
        <v>45253</v>
      </c>
      <c r="D1596" s="3" t="s">
        <v>20</v>
      </c>
      <c r="E1596" s="3" t="s">
        <v>29</v>
      </c>
      <c r="F1596" s="5">
        <v>1</v>
      </c>
      <c r="G1596" s="6">
        <v>10.01</v>
      </c>
      <c r="H1596" s="6">
        <v>10.01</v>
      </c>
      <c r="I1596" s="6">
        <v>2.37</v>
      </c>
      <c r="J1596" s="6">
        <v>7.64</v>
      </c>
      <c r="K1596" s="5">
        <v>287</v>
      </c>
    </row>
    <row r="1597" spans="1:11" x14ac:dyDescent="0.3">
      <c r="A1597" s="3">
        <v>5961</v>
      </c>
      <c r="B1597" s="3" t="s">
        <v>11</v>
      </c>
      <c r="C1597" s="4">
        <v>45332</v>
      </c>
      <c r="D1597" s="3" t="s">
        <v>28</v>
      </c>
      <c r="E1597" s="3" t="s">
        <v>33</v>
      </c>
      <c r="F1597" s="5">
        <v>1</v>
      </c>
      <c r="G1597" s="6">
        <v>4.3600000000000003</v>
      </c>
      <c r="H1597" s="6">
        <v>4.3600000000000003</v>
      </c>
      <c r="I1597" s="6">
        <v>0</v>
      </c>
      <c r="J1597" s="6">
        <v>4.3600000000000003</v>
      </c>
      <c r="K1597" s="5">
        <v>46</v>
      </c>
    </row>
    <row r="1598" spans="1:11" x14ac:dyDescent="0.3">
      <c r="A1598" s="3">
        <v>5139</v>
      </c>
      <c r="B1598" s="3" t="s">
        <v>11</v>
      </c>
      <c r="C1598" s="4">
        <v>45656</v>
      </c>
      <c r="D1598" s="3" t="s">
        <v>34</v>
      </c>
      <c r="E1598" s="3" t="s">
        <v>21</v>
      </c>
      <c r="F1598" s="5">
        <v>5</v>
      </c>
      <c r="G1598" s="6">
        <v>19.16</v>
      </c>
      <c r="H1598" s="6">
        <v>95.8</v>
      </c>
      <c r="I1598" s="6">
        <v>1.87</v>
      </c>
      <c r="J1598" s="6">
        <v>93.93</v>
      </c>
      <c r="K1598" s="5">
        <v>10</v>
      </c>
    </row>
    <row r="1599" spans="1:11" x14ac:dyDescent="0.3">
      <c r="A1599" s="3">
        <v>3525</v>
      </c>
      <c r="B1599" s="3" t="s">
        <v>36</v>
      </c>
      <c r="C1599" s="4">
        <v>45700</v>
      </c>
      <c r="D1599" s="3" t="s">
        <v>45</v>
      </c>
      <c r="E1599" s="3" t="s">
        <v>43</v>
      </c>
      <c r="F1599" s="5">
        <v>2</v>
      </c>
      <c r="G1599" s="6">
        <v>9.92</v>
      </c>
      <c r="H1599" s="6">
        <v>19.84</v>
      </c>
      <c r="I1599" s="6">
        <v>0</v>
      </c>
      <c r="J1599" s="6">
        <v>19.84</v>
      </c>
      <c r="K1599" s="5">
        <v>348</v>
      </c>
    </row>
    <row r="1600" spans="1:11" x14ac:dyDescent="0.3">
      <c r="A1600" s="3">
        <v>7932</v>
      </c>
      <c r="B1600" s="3" t="s">
        <v>19</v>
      </c>
      <c r="C1600" s="4">
        <v>45757</v>
      </c>
      <c r="D1600" s="3" t="s">
        <v>35</v>
      </c>
      <c r="E1600" s="3" t="s">
        <v>40</v>
      </c>
      <c r="F1600" s="5">
        <v>4</v>
      </c>
      <c r="G1600" s="6">
        <v>21.46</v>
      </c>
      <c r="H1600" s="6">
        <v>85.84</v>
      </c>
      <c r="I1600" s="6">
        <v>17.170000000000002</v>
      </c>
      <c r="J1600" s="6">
        <v>68.67</v>
      </c>
      <c r="K1600" s="5">
        <v>91</v>
      </c>
    </row>
    <row r="1601" spans="1:11" x14ac:dyDescent="0.3">
      <c r="A1601" s="3">
        <v>7176</v>
      </c>
      <c r="B1601" s="3" t="s">
        <v>36</v>
      </c>
      <c r="C1601" s="4">
        <v>45202</v>
      </c>
      <c r="D1601" s="3" t="s">
        <v>20</v>
      </c>
      <c r="E1601" s="3" t="s">
        <v>25</v>
      </c>
      <c r="F1601" s="5">
        <v>2</v>
      </c>
      <c r="G1601" s="6">
        <v>8.9</v>
      </c>
      <c r="H1601" s="6">
        <v>17.8</v>
      </c>
      <c r="I1601" s="6">
        <v>2.67</v>
      </c>
      <c r="J1601" s="6">
        <v>15.13</v>
      </c>
      <c r="K1601" s="5">
        <v>102</v>
      </c>
    </row>
    <row r="1602" spans="1:11" x14ac:dyDescent="0.3">
      <c r="A1602" s="3">
        <v>8357</v>
      </c>
      <c r="B1602" s="3" t="s">
        <v>30</v>
      </c>
      <c r="C1602" s="4">
        <v>45609</v>
      </c>
      <c r="D1602" s="3" t="s">
        <v>45</v>
      </c>
      <c r="E1602" s="3" t="s">
        <v>13</v>
      </c>
      <c r="F1602" s="5">
        <v>1</v>
      </c>
      <c r="G1602" s="6">
        <v>15.2</v>
      </c>
      <c r="H1602" s="6">
        <v>15.2</v>
      </c>
      <c r="I1602" s="6">
        <v>2.2799999999999998</v>
      </c>
      <c r="J1602" s="6">
        <v>12.92</v>
      </c>
      <c r="K1602" s="5">
        <v>296</v>
      </c>
    </row>
    <row r="1603" spans="1:11" x14ac:dyDescent="0.3">
      <c r="A1603" s="3">
        <v>8851</v>
      </c>
      <c r="B1603" s="3" t="s">
        <v>14</v>
      </c>
      <c r="C1603" s="4">
        <v>45597</v>
      </c>
      <c r="D1603" s="3" t="s">
        <v>45</v>
      </c>
      <c r="E1603" s="3" t="s">
        <v>29</v>
      </c>
      <c r="F1603" s="5">
        <v>1</v>
      </c>
      <c r="G1603" s="6">
        <v>28.53</v>
      </c>
      <c r="H1603" s="6">
        <v>28.53</v>
      </c>
      <c r="I1603" s="6">
        <v>5.71</v>
      </c>
      <c r="J1603" s="6">
        <v>22.82</v>
      </c>
      <c r="K1603" s="5">
        <v>299</v>
      </c>
    </row>
    <row r="1604" spans="1:11" x14ac:dyDescent="0.3">
      <c r="A1604" s="3">
        <v>7566</v>
      </c>
      <c r="B1604" s="3" t="s">
        <v>14</v>
      </c>
      <c r="C1604" s="4">
        <v>45560</v>
      </c>
      <c r="D1604" s="3" t="s">
        <v>28</v>
      </c>
      <c r="E1604" s="3" t="s">
        <v>44</v>
      </c>
      <c r="F1604" s="5">
        <v>4</v>
      </c>
      <c r="G1604" s="6">
        <v>11.05</v>
      </c>
      <c r="H1604" s="6">
        <v>44.2</v>
      </c>
      <c r="I1604" s="6">
        <v>8.84</v>
      </c>
      <c r="J1604" s="6">
        <v>35.36</v>
      </c>
      <c r="K1604" s="5">
        <v>415</v>
      </c>
    </row>
    <row r="1605" spans="1:11" x14ac:dyDescent="0.3">
      <c r="A1605" s="3">
        <v>9300</v>
      </c>
      <c r="B1605" s="3" t="s">
        <v>36</v>
      </c>
      <c r="C1605" s="4">
        <v>45862</v>
      </c>
      <c r="D1605" s="3" t="s">
        <v>38</v>
      </c>
      <c r="E1605" s="3" t="s">
        <v>18</v>
      </c>
      <c r="F1605" s="5">
        <v>3</v>
      </c>
      <c r="G1605" s="6">
        <v>3.62</v>
      </c>
      <c r="H1605" s="6">
        <v>10.86</v>
      </c>
      <c r="I1605" s="6">
        <v>1.63</v>
      </c>
      <c r="J1605" s="6">
        <v>9.23</v>
      </c>
      <c r="K1605" s="5">
        <v>395</v>
      </c>
    </row>
    <row r="1606" spans="1:11" x14ac:dyDescent="0.3">
      <c r="A1606" s="3">
        <v>7853</v>
      </c>
      <c r="B1606" s="3" t="s">
        <v>42</v>
      </c>
      <c r="C1606" s="4">
        <v>45567</v>
      </c>
      <c r="D1606" s="3" t="s">
        <v>45</v>
      </c>
      <c r="E1606" s="3" t="s">
        <v>13</v>
      </c>
      <c r="F1606" s="5">
        <v>1</v>
      </c>
      <c r="G1606" s="6">
        <v>27.73</v>
      </c>
      <c r="H1606" s="6">
        <v>27.73</v>
      </c>
      <c r="I1606" s="6">
        <v>2.77</v>
      </c>
      <c r="J1606" s="6">
        <v>24.96</v>
      </c>
      <c r="K1606" s="5">
        <v>264</v>
      </c>
    </row>
    <row r="1607" spans="1:11" x14ac:dyDescent="0.3">
      <c r="A1607" s="3">
        <v>1602</v>
      </c>
      <c r="B1607" s="3" t="s">
        <v>19</v>
      </c>
      <c r="C1607" s="4">
        <v>45759</v>
      </c>
      <c r="D1607" s="3" t="s">
        <v>45</v>
      </c>
      <c r="E1607" s="3" t="s">
        <v>21</v>
      </c>
      <c r="F1607" s="5">
        <v>3</v>
      </c>
      <c r="G1607" s="6">
        <v>17.34</v>
      </c>
      <c r="H1607" s="6">
        <v>52.02</v>
      </c>
      <c r="I1607" s="6">
        <v>7.8</v>
      </c>
      <c r="J1607" s="6">
        <v>44.22</v>
      </c>
      <c r="K1607" s="5">
        <v>337</v>
      </c>
    </row>
    <row r="1608" spans="1:11" x14ac:dyDescent="0.3">
      <c r="A1608" s="3">
        <v>6890</v>
      </c>
      <c r="B1608" s="3" t="s">
        <v>11</v>
      </c>
      <c r="C1608" s="4">
        <v>45689</v>
      </c>
      <c r="D1608" s="3" t="s">
        <v>27</v>
      </c>
      <c r="E1608" s="3" t="s">
        <v>23</v>
      </c>
      <c r="F1608" s="5">
        <v>1</v>
      </c>
      <c r="G1608" s="6">
        <v>5.59</v>
      </c>
      <c r="H1608" s="6">
        <v>5.59</v>
      </c>
      <c r="I1608" s="6">
        <v>0.84</v>
      </c>
      <c r="J1608" s="6">
        <v>4.75</v>
      </c>
      <c r="K1608" s="5">
        <v>243</v>
      </c>
    </row>
    <row r="1609" spans="1:11" x14ac:dyDescent="0.3">
      <c r="A1609" s="3">
        <v>9796</v>
      </c>
      <c r="B1609" s="3" t="s">
        <v>11</v>
      </c>
      <c r="C1609" s="4">
        <v>45606</v>
      </c>
      <c r="D1609" s="3" t="s">
        <v>34</v>
      </c>
      <c r="E1609" s="3" t="s">
        <v>23</v>
      </c>
      <c r="F1609" s="5">
        <v>3</v>
      </c>
      <c r="G1609" s="6">
        <v>5.71</v>
      </c>
      <c r="H1609" s="6">
        <v>17.13</v>
      </c>
      <c r="I1609" s="6">
        <v>2.76</v>
      </c>
      <c r="J1609" s="6">
        <v>14.37</v>
      </c>
      <c r="K1609" s="5">
        <v>279</v>
      </c>
    </row>
    <row r="1610" spans="1:11" x14ac:dyDescent="0.3">
      <c r="A1610" s="3">
        <v>2392</v>
      </c>
      <c r="B1610" s="3" t="s">
        <v>26</v>
      </c>
      <c r="C1610" s="4">
        <v>45229</v>
      </c>
      <c r="D1610" s="3" t="s">
        <v>28</v>
      </c>
      <c r="E1610" s="3" t="s">
        <v>16</v>
      </c>
      <c r="F1610" s="5">
        <v>4</v>
      </c>
      <c r="G1610" s="6">
        <v>14.72</v>
      </c>
      <c r="H1610" s="6">
        <v>58.88</v>
      </c>
      <c r="I1610" s="6">
        <v>0</v>
      </c>
      <c r="J1610" s="6">
        <v>58.88</v>
      </c>
      <c r="K1610" s="5">
        <v>124</v>
      </c>
    </row>
    <row r="1611" spans="1:11" x14ac:dyDescent="0.3">
      <c r="A1611" s="3">
        <v>5067</v>
      </c>
      <c r="B1611" s="3" t="s">
        <v>36</v>
      </c>
      <c r="C1611" s="4">
        <v>45655</v>
      </c>
      <c r="D1611" s="3" t="s">
        <v>28</v>
      </c>
      <c r="E1611" s="3" t="s">
        <v>21</v>
      </c>
      <c r="F1611" s="5">
        <v>4</v>
      </c>
      <c r="G1611" s="6">
        <v>20.67</v>
      </c>
      <c r="H1611" s="6">
        <v>82.68</v>
      </c>
      <c r="I1611" s="6">
        <v>16.54</v>
      </c>
      <c r="J1611" s="6">
        <v>66.14</v>
      </c>
      <c r="K1611" s="5">
        <v>153</v>
      </c>
    </row>
    <row r="1612" spans="1:11" x14ac:dyDescent="0.3">
      <c r="A1612" s="3">
        <v>6816</v>
      </c>
      <c r="B1612" s="3" t="s">
        <v>14</v>
      </c>
      <c r="C1612" s="4">
        <v>45274</v>
      </c>
      <c r="D1612" s="3" t="s">
        <v>15</v>
      </c>
      <c r="E1612" s="3" t="s">
        <v>16</v>
      </c>
      <c r="F1612" s="5">
        <v>4</v>
      </c>
      <c r="G1612" s="6">
        <v>23.44</v>
      </c>
      <c r="H1612" s="6">
        <v>93.76</v>
      </c>
      <c r="I1612" s="6">
        <v>1.1100000000000001</v>
      </c>
      <c r="J1612" s="6">
        <v>92.65</v>
      </c>
      <c r="K1612" s="5">
        <v>488</v>
      </c>
    </row>
    <row r="1613" spans="1:11" x14ac:dyDescent="0.3">
      <c r="A1613" s="3">
        <v>1725</v>
      </c>
      <c r="B1613" s="3"/>
      <c r="C1613" s="4">
        <v>45582</v>
      </c>
      <c r="D1613" s="3" t="s">
        <v>34</v>
      </c>
      <c r="E1613" s="3" t="s">
        <v>37</v>
      </c>
      <c r="F1613" s="5">
        <v>5</v>
      </c>
      <c r="G1613" s="6">
        <v>28.98</v>
      </c>
      <c r="H1613" s="6">
        <v>144.9</v>
      </c>
      <c r="I1613" s="6">
        <v>4.01</v>
      </c>
      <c r="J1613" s="6">
        <v>140.88999999999999</v>
      </c>
      <c r="K1613" s="5">
        <v>482</v>
      </c>
    </row>
    <row r="1614" spans="1:11" x14ac:dyDescent="0.3">
      <c r="A1614" s="3">
        <v>7547</v>
      </c>
      <c r="B1614" s="3" t="s">
        <v>19</v>
      </c>
      <c r="C1614" s="4">
        <v>45729</v>
      </c>
      <c r="D1614" s="3" t="s">
        <v>27</v>
      </c>
      <c r="E1614" s="3" t="s">
        <v>21</v>
      </c>
      <c r="F1614" s="5">
        <v>1</v>
      </c>
      <c r="G1614" s="6">
        <v>29.13</v>
      </c>
      <c r="H1614" s="6">
        <v>29.13</v>
      </c>
      <c r="I1614" s="6">
        <v>4.37</v>
      </c>
      <c r="J1614" s="6">
        <v>24.76</v>
      </c>
      <c r="K1614" s="5">
        <v>158</v>
      </c>
    </row>
    <row r="1615" spans="1:11" x14ac:dyDescent="0.3">
      <c r="A1615" s="3">
        <v>6432</v>
      </c>
      <c r="B1615" s="3" t="s">
        <v>26</v>
      </c>
      <c r="C1615" s="4">
        <v>45763</v>
      </c>
      <c r="D1615" s="3" t="s">
        <v>20</v>
      </c>
      <c r="E1615" s="3" t="s">
        <v>29</v>
      </c>
      <c r="F1615" s="5">
        <v>4</v>
      </c>
      <c r="G1615" s="6">
        <v>1.01</v>
      </c>
      <c r="H1615" s="6">
        <v>4.04</v>
      </c>
      <c r="I1615" s="6">
        <v>0.81</v>
      </c>
      <c r="J1615" s="6">
        <v>3.23</v>
      </c>
      <c r="K1615" s="5">
        <v>75</v>
      </c>
    </row>
    <row r="1616" spans="1:11" x14ac:dyDescent="0.3">
      <c r="A1616" s="3">
        <v>8052</v>
      </c>
      <c r="B1616" s="3" t="s">
        <v>30</v>
      </c>
      <c r="C1616" s="4">
        <v>45227</v>
      </c>
      <c r="D1616" s="3" t="s">
        <v>35</v>
      </c>
      <c r="E1616" s="3" t="s">
        <v>43</v>
      </c>
      <c r="F1616" s="5">
        <v>2</v>
      </c>
      <c r="G1616" s="6">
        <v>7.84</v>
      </c>
      <c r="H1616" s="6">
        <v>15.68</v>
      </c>
      <c r="I1616" s="6">
        <v>3.9</v>
      </c>
      <c r="J1616" s="6">
        <v>11.78</v>
      </c>
      <c r="K1616" s="5">
        <v>104</v>
      </c>
    </row>
    <row r="1617" spans="1:11" x14ac:dyDescent="0.3">
      <c r="A1617" s="3">
        <v>1172</v>
      </c>
      <c r="B1617" s="3" t="s">
        <v>19</v>
      </c>
      <c r="C1617" s="4">
        <v>45221</v>
      </c>
      <c r="D1617" s="3" t="s">
        <v>27</v>
      </c>
      <c r="E1617" s="3" t="s">
        <v>18</v>
      </c>
      <c r="F1617" s="5">
        <v>3</v>
      </c>
      <c r="G1617" s="6">
        <v>1.1299999999999999</v>
      </c>
      <c r="H1617" s="6">
        <v>3.39</v>
      </c>
      <c r="I1617" s="6">
        <v>2.88</v>
      </c>
      <c r="J1617" s="6">
        <v>0.51</v>
      </c>
      <c r="K1617" s="5">
        <v>81</v>
      </c>
    </row>
    <row r="1618" spans="1:11" x14ac:dyDescent="0.3">
      <c r="A1618" s="3">
        <v>5239</v>
      </c>
      <c r="B1618" s="3" t="s">
        <v>24</v>
      </c>
      <c r="C1618" s="4">
        <v>45317</v>
      </c>
      <c r="D1618" s="3" t="s">
        <v>17</v>
      </c>
      <c r="E1618" s="3" t="s">
        <v>47</v>
      </c>
      <c r="F1618" s="5">
        <v>4</v>
      </c>
      <c r="G1618" s="6">
        <v>25.1</v>
      </c>
      <c r="H1618" s="6">
        <v>100.4</v>
      </c>
      <c r="I1618" s="6">
        <v>2.5499999999999998</v>
      </c>
      <c r="J1618" s="6">
        <v>97.85</v>
      </c>
      <c r="K1618" s="5">
        <v>361</v>
      </c>
    </row>
    <row r="1619" spans="1:11" x14ac:dyDescent="0.3">
      <c r="A1619" s="3">
        <v>9366</v>
      </c>
      <c r="B1619" s="3" t="s">
        <v>36</v>
      </c>
      <c r="C1619" s="4">
        <v>45725</v>
      </c>
      <c r="D1619" s="3" t="s">
        <v>34</v>
      </c>
      <c r="E1619" s="3" t="s">
        <v>32</v>
      </c>
      <c r="F1619" s="5">
        <v>3</v>
      </c>
      <c r="G1619" s="6">
        <v>27.03</v>
      </c>
      <c r="H1619" s="6">
        <v>81.09</v>
      </c>
      <c r="I1619" s="6">
        <v>2.58</v>
      </c>
      <c r="J1619" s="6">
        <v>78.510000000000005</v>
      </c>
      <c r="K1619" s="5">
        <v>419</v>
      </c>
    </row>
    <row r="1620" spans="1:11" x14ac:dyDescent="0.3">
      <c r="A1620" s="3">
        <v>9499</v>
      </c>
      <c r="B1620" s="3" t="s">
        <v>11</v>
      </c>
      <c r="C1620" s="4">
        <v>45578</v>
      </c>
      <c r="D1620" s="3" t="s">
        <v>22</v>
      </c>
      <c r="E1620" s="3" t="s">
        <v>47</v>
      </c>
      <c r="F1620" s="5">
        <v>5</v>
      </c>
      <c r="G1620" s="6">
        <v>1.77</v>
      </c>
      <c r="H1620" s="6">
        <v>8.85</v>
      </c>
      <c r="I1620" s="6">
        <v>1.77</v>
      </c>
      <c r="J1620" s="6">
        <v>7.08</v>
      </c>
      <c r="K1620" s="5">
        <v>453</v>
      </c>
    </row>
    <row r="1621" spans="1:11" x14ac:dyDescent="0.3">
      <c r="A1621" s="3">
        <v>4621</v>
      </c>
      <c r="B1621" s="3" t="s">
        <v>36</v>
      </c>
      <c r="C1621" s="4">
        <v>45491</v>
      </c>
      <c r="D1621" s="3" t="s">
        <v>22</v>
      </c>
      <c r="E1621" s="3" t="s">
        <v>21</v>
      </c>
      <c r="F1621" s="5">
        <v>5</v>
      </c>
      <c r="G1621" s="6">
        <v>24.86</v>
      </c>
      <c r="H1621" s="6">
        <v>124.3</v>
      </c>
      <c r="I1621" s="6">
        <v>3.58</v>
      </c>
      <c r="J1621" s="6">
        <v>120.72</v>
      </c>
      <c r="K1621" s="5">
        <v>312</v>
      </c>
    </row>
    <row r="1622" spans="1:11" x14ac:dyDescent="0.3">
      <c r="A1622" s="3">
        <v>7129</v>
      </c>
      <c r="B1622" s="3" t="s">
        <v>19</v>
      </c>
      <c r="C1622" s="4">
        <v>45448</v>
      </c>
      <c r="D1622" s="3" t="s">
        <v>45</v>
      </c>
      <c r="E1622" s="3" t="s">
        <v>44</v>
      </c>
      <c r="F1622" s="5">
        <v>1</v>
      </c>
      <c r="G1622" s="6">
        <v>7.12</v>
      </c>
      <c r="H1622" s="6">
        <v>7.12</v>
      </c>
      <c r="I1622" s="6">
        <v>1.07</v>
      </c>
      <c r="J1622" s="6">
        <v>6.05</v>
      </c>
      <c r="K1622" s="5">
        <v>222</v>
      </c>
    </row>
    <row r="1623" spans="1:11" x14ac:dyDescent="0.3">
      <c r="A1623" s="3">
        <v>8586</v>
      </c>
      <c r="B1623" s="3" t="s">
        <v>24</v>
      </c>
      <c r="C1623" s="4">
        <v>45744</v>
      </c>
      <c r="D1623" s="3" t="s">
        <v>27</v>
      </c>
      <c r="E1623" s="3" t="s">
        <v>29</v>
      </c>
      <c r="F1623" s="5">
        <v>4</v>
      </c>
      <c r="G1623" s="6">
        <v>5.36</v>
      </c>
      <c r="H1623" s="6">
        <v>21.44</v>
      </c>
      <c r="I1623" s="6">
        <v>0</v>
      </c>
      <c r="J1623" s="6">
        <v>21.44</v>
      </c>
      <c r="K1623" s="5">
        <v>159</v>
      </c>
    </row>
    <row r="1624" spans="1:11" x14ac:dyDescent="0.3">
      <c r="A1624" s="3">
        <v>9199</v>
      </c>
      <c r="B1624" s="3" t="s">
        <v>26</v>
      </c>
      <c r="C1624" s="4">
        <v>45262</v>
      </c>
      <c r="D1624" s="3" t="s">
        <v>12</v>
      </c>
      <c r="E1624" s="3" t="s">
        <v>13</v>
      </c>
      <c r="F1624" s="5">
        <v>4</v>
      </c>
      <c r="G1624" s="6">
        <v>6.2</v>
      </c>
      <c r="H1624" s="6">
        <v>24.8</v>
      </c>
      <c r="I1624" s="6">
        <v>2.48</v>
      </c>
      <c r="J1624" s="6">
        <v>22.32</v>
      </c>
      <c r="K1624" s="5">
        <v>203</v>
      </c>
    </row>
    <row r="1625" spans="1:11" x14ac:dyDescent="0.3">
      <c r="A1625" s="3">
        <v>6651</v>
      </c>
      <c r="B1625" s="3" t="s">
        <v>11</v>
      </c>
      <c r="C1625" s="4">
        <v>45164</v>
      </c>
      <c r="D1625" s="3" t="s">
        <v>22</v>
      </c>
      <c r="E1625" s="3" t="s">
        <v>48</v>
      </c>
      <c r="F1625" s="5">
        <v>4</v>
      </c>
      <c r="G1625" s="6">
        <v>24.29</v>
      </c>
      <c r="H1625" s="6">
        <v>97.16</v>
      </c>
      <c r="I1625" s="6">
        <v>14.57</v>
      </c>
      <c r="J1625" s="6">
        <v>82.59</v>
      </c>
      <c r="K1625" s="5">
        <v>6</v>
      </c>
    </row>
    <row r="1626" spans="1:11" x14ac:dyDescent="0.3">
      <c r="A1626" s="3">
        <v>8909</v>
      </c>
      <c r="B1626" s="3" t="s">
        <v>19</v>
      </c>
      <c r="C1626" s="4">
        <v>45226</v>
      </c>
      <c r="D1626" s="3" t="s">
        <v>28</v>
      </c>
      <c r="E1626" s="3" t="s">
        <v>46</v>
      </c>
      <c r="F1626" s="5">
        <v>4</v>
      </c>
      <c r="G1626" s="6">
        <v>20.89</v>
      </c>
      <c r="H1626" s="6">
        <v>83.56</v>
      </c>
      <c r="I1626" s="6">
        <v>0</v>
      </c>
      <c r="J1626" s="6">
        <v>83.56</v>
      </c>
      <c r="K1626" s="5">
        <v>5</v>
      </c>
    </row>
    <row r="1627" spans="1:11" x14ac:dyDescent="0.3">
      <c r="A1627" s="3">
        <v>5840</v>
      </c>
      <c r="B1627" s="3" t="s">
        <v>24</v>
      </c>
      <c r="C1627" s="4">
        <v>45468</v>
      </c>
      <c r="D1627" s="3" t="s">
        <v>20</v>
      </c>
      <c r="E1627" s="3" t="s">
        <v>40</v>
      </c>
      <c r="F1627" s="5">
        <v>3</v>
      </c>
      <c r="G1627" s="6">
        <v>13.31</v>
      </c>
      <c r="H1627" s="6">
        <v>39.93</v>
      </c>
      <c r="I1627" s="6">
        <v>4.2300000000000004</v>
      </c>
      <c r="J1627" s="6">
        <v>35.700000000000003</v>
      </c>
      <c r="K1627" s="5">
        <v>379</v>
      </c>
    </row>
    <row r="1628" spans="1:11" x14ac:dyDescent="0.3">
      <c r="A1628" s="3">
        <v>2406</v>
      </c>
      <c r="B1628" s="3" t="s">
        <v>26</v>
      </c>
      <c r="C1628" s="4">
        <v>45235</v>
      </c>
      <c r="D1628" s="3" t="s">
        <v>38</v>
      </c>
      <c r="E1628" s="3" t="s">
        <v>23</v>
      </c>
      <c r="F1628" s="5">
        <v>4</v>
      </c>
      <c r="G1628" s="6">
        <v>21.64</v>
      </c>
      <c r="H1628" s="6">
        <v>86.56</v>
      </c>
      <c r="I1628" s="6">
        <v>4.1399999999999997</v>
      </c>
      <c r="J1628" s="6">
        <v>82.42</v>
      </c>
      <c r="K1628" s="5">
        <v>432</v>
      </c>
    </row>
    <row r="1629" spans="1:11" x14ac:dyDescent="0.3">
      <c r="A1629" s="3">
        <v>3321</v>
      </c>
      <c r="B1629" s="3" t="s">
        <v>24</v>
      </c>
      <c r="C1629" s="4">
        <v>45415</v>
      </c>
      <c r="D1629" s="3" t="s">
        <v>38</v>
      </c>
      <c r="E1629" s="3" t="s">
        <v>32</v>
      </c>
      <c r="F1629" s="5">
        <v>1</v>
      </c>
      <c r="G1629" s="6">
        <v>5.35</v>
      </c>
      <c r="H1629" s="6">
        <v>5.35</v>
      </c>
      <c r="I1629" s="6">
        <v>1.07</v>
      </c>
      <c r="J1629" s="6">
        <v>4.28</v>
      </c>
      <c r="K1629" s="5">
        <v>172</v>
      </c>
    </row>
    <row r="1630" spans="1:11" x14ac:dyDescent="0.3">
      <c r="A1630" s="3">
        <v>6110</v>
      </c>
      <c r="B1630" s="3" t="s">
        <v>14</v>
      </c>
      <c r="C1630" s="4">
        <v>45411</v>
      </c>
      <c r="D1630" s="3" t="s">
        <v>28</v>
      </c>
      <c r="E1630" s="3" t="s">
        <v>33</v>
      </c>
      <c r="F1630" s="5">
        <v>4</v>
      </c>
      <c r="G1630" s="6">
        <v>2.4</v>
      </c>
      <c r="H1630" s="6">
        <v>9.6</v>
      </c>
      <c r="I1630" s="6">
        <v>4.47</v>
      </c>
      <c r="J1630" s="6">
        <v>5.13</v>
      </c>
      <c r="K1630" s="5">
        <v>144</v>
      </c>
    </row>
    <row r="1631" spans="1:11" x14ac:dyDescent="0.3">
      <c r="A1631" s="3">
        <v>8460</v>
      </c>
      <c r="B1631" s="3" t="s">
        <v>26</v>
      </c>
      <c r="C1631" s="4">
        <v>45754</v>
      </c>
      <c r="D1631" s="3" t="s">
        <v>22</v>
      </c>
      <c r="E1631" s="3" t="s">
        <v>40</v>
      </c>
      <c r="F1631" s="5">
        <v>5</v>
      </c>
      <c r="G1631" s="6">
        <v>20.9</v>
      </c>
      <c r="H1631" s="6">
        <v>104.5</v>
      </c>
      <c r="I1631" s="6">
        <v>15.67</v>
      </c>
      <c r="J1631" s="6">
        <v>88.83</v>
      </c>
      <c r="K1631" s="5">
        <v>129</v>
      </c>
    </row>
    <row r="1632" spans="1:11" x14ac:dyDescent="0.3">
      <c r="A1632" s="3">
        <v>4389</v>
      </c>
      <c r="B1632" s="3" t="s">
        <v>30</v>
      </c>
      <c r="C1632" s="4">
        <v>45549</v>
      </c>
      <c r="D1632" s="3" t="s">
        <v>12</v>
      </c>
      <c r="E1632" s="3" t="s">
        <v>18</v>
      </c>
      <c r="F1632" s="5">
        <v>3</v>
      </c>
      <c r="G1632" s="6">
        <v>6.17</v>
      </c>
      <c r="H1632" s="6">
        <v>18.510000000000002</v>
      </c>
      <c r="I1632" s="6">
        <v>2.79</v>
      </c>
      <c r="J1632" s="6">
        <v>15.72</v>
      </c>
      <c r="K1632" s="5">
        <v>182</v>
      </c>
    </row>
    <row r="1633" spans="1:11" x14ac:dyDescent="0.3">
      <c r="A1633" s="3">
        <v>8912</v>
      </c>
      <c r="B1633" s="3" t="s">
        <v>30</v>
      </c>
      <c r="C1633" s="4">
        <v>45415</v>
      </c>
      <c r="D1633" s="3" t="s">
        <v>27</v>
      </c>
      <c r="E1633" s="3" t="s">
        <v>40</v>
      </c>
      <c r="F1633" s="5">
        <v>5</v>
      </c>
      <c r="G1633" s="6">
        <v>4.2300000000000004</v>
      </c>
      <c r="H1633" s="6">
        <v>21.15</v>
      </c>
      <c r="I1633" s="6">
        <v>3.95</v>
      </c>
      <c r="J1633" s="6">
        <v>17.2</v>
      </c>
      <c r="K1633" s="5">
        <v>374</v>
      </c>
    </row>
    <row r="1634" spans="1:11" x14ac:dyDescent="0.3">
      <c r="A1634" s="3">
        <v>8801</v>
      </c>
      <c r="B1634" s="3" t="s">
        <v>42</v>
      </c>
      <c r="C1634" s="4">
        <v>45220</v>
      </c>
      <c r="D1634" s="3" t="s">
        <v>34</v>
      </c>
      <c r="E1634" s="3" t="s">
        <v>43</v>
      </c>
      <c r="F1634" s="5">
        <v>5</v>
      </c>
      <c r="G1634" s="6">
        <v>3.73</v>
      </c>
      <c r="H1634" s="6">
        <v>18.649999999999999</v>
      </c>
      <c r="I1634" s="6">
        <v>0</v>
      </c>
      <c r="J1634" s="6">
        <v>18.649999999999999</v>
      </c>
      <c r="K1634" s="5">
        <v>372</v>
      </c>
    </row>
    <row r="1635" spans="1:11" x14ac:dyDescent="0.3">
      <c r="A1635" s="3">
        <v>8178</v>
      </c>
      <c r="B1635" s="3" t="s">
        <v>26</v>
      </c>
      <c r="C1635" s="4">
        <v>45705</v>
      </c>
      <c r="D1635" s="3" t="s">
        <v>20</v>
      </c>
      <c r="E1635" s="3" t="s">
        <v>13</v>
      </c>
      <c r="F1635" s="5">
        <v>3</v>
      </c>
      <c r="G1635" s="6">
        <v>29.17</v>
      </c>
      <c r="H1635" s="6">
        <v>87.51</v>
      </c>
      <c r="I1635" s="6">
        <v>0</v>
      </c>
      <c r="J1635" s="6">
        <v>87.51</v>
      </c>
      <c r="K1635" s="5">
        <v>352</v>
      </c>
    </row>
    <row r="1636" spans="1:11" x14ac:dyDescent="0.3">
      <c r="A1636" s="3">
        <v>8412</v>
      </c>
      <c r="B1636" s="3"/>
      <c r="C1636" s="4">
        <v>45392</v>
      </c>
      <c r="D1636" s="3" t="s">
        <v>28</v>
      </c>
      <c r="E1636" s="3" t="s">
        <v>33</v>
      </c>
      <c r="F1636" s="5">
        <v>1</v>
      </c>
      <c r="G1636" s="6">
        <v>3.21</v>
      </c>
      <c r="H1636" s="6">
        <v>3.21</v>
      </c>
      <c r="I1636" s="6">
        <v>0.64</v>
      </c>
      <c r="J1636" s="6">
        <v>2.57</v>
      </c>
      <c r="K1636" s="5">
        <v>190</v>
      </c>
    </row>
    <row r="1637" spans="1:11" x14ac:dyDescent="0.3">
      <c r="A1637" s="3">
        <v>2100</v>
      </c>
      <c r="B1637" s="3" t="s">
        <v>11</v>
      </c>
      <c r="C1637" s="4">
        <v>45378</v>
      </c>
      <c r="D1637" s="3" t="s">
        <v>20</v>
      </c>
      <c r="E1637" s="3" t="s">
        <v>46</v>
      </c>
      <c r="F1637" s="5">
        <v>1</v>
      </c>
      <c r="G1637" s="6">
        <v>10.79</v>
      </c>
      <c r="H1637" s="6">
        <v>10.79</v>
      </c>
      <c r="I1637" s="6">
        <v>1.08</v>
      </c>
      <c r="J1637" s="6">
        <v>9.7100000000000009</v>
      </c>
      <c r="K1637" s="5">
        <v>326</v>
      </c>
    </row>
    <row r="1638" spans="1:11" x14ac:dyDescent="0.3">
      <c r="A1638" s="3">
        <v>1732</v>
      </c>
      <c r="B1638" s="3" t="s">
        <v>24</v>
      </c>
      <c r="C1638" s="4">
        <v>45774</v>
      </c>
      <c r="D1638" s="3" t="s">
        <v>12</v>
      </c>
      <c r="E1638" s="3" t="s">
        <v>29</v>
      </c>
      <c r="F1638" s="5">
        <v>3</v>
      </c>
      <c r="G1638" s="6">
        <v>21.92</v>
      </c>
      <c r="H1638" s="6">
        <v>65.760000000000005</v>
      </c>
      <c r="I1638" s="6">
        <v>6.58</v>
      </c>
      <c r="J1638" s="6">
        <v>59.18</v>
      </c>
      <c r="K1638" s="5">
        <v>380</v>
      </c>
    </row>
    <row r="1639" spans="1:11" x14ac:dyDescent="0.3">
      <c r="A1639" s="3">
        <v>2885</v>
      </c>
      <c r="B1639" s="3" t="s">
        <v>11</v>
      </c>
      <c r="C1639" s="4">
        <v>45162</v>
      </c>
      <c r="D1639" s="3" t="s">
        <v>17</v>
      </c>
      <c r="E1639" s="3" t="s">
        <v>13</v>
      </c>
      <c r="F1639" s="5">
        <v>3</v>
      </c>
      <c r="G1639" s="6">
        <v>18.84</v>
      </c>
      <c r="H1639" s="6">
        <v>56.52</v>
      </c>
      <c r="I1639" s="6">
        <v>0</v>
      </c>
      <c r="J1639" s="6">
        <v>56.52</v>
      </c>
      <c r="K1639" s="5">
        <v>276</v>
      </c>
    </row>
    <row r="1640" spans="1:11" x14ac:dyDescent="0.3">
      <c r="A1640" s="3">
        <v>6620</v>
      </c>
      <c r="B1640" s="3" t="s">
        <v>31</v>
      </c>
      <c r="C1640" s="4">
        <v>45648</v>
      </c>
      <c r="D1640" s="3" t="s">
        <v>22</v>
      </c>
      <c r="E1640" s="3" t="s">
        <v>47</v>
      </c>
      <c r="F1640" s="5">
        <v>2</v>
      </c>
      <c r="G1640" s="6">
        <v>23.05</v>
      </c>
      <c r="H1640" s="6">
        <v>46.1</v>
      </c>
      <c r="I1640" s="6">
        <v>0</v>
      </c>
      <c r="J1640" s="6">
        <v>46.1</v>
      </c>
      <c r="K1640" s="5">
        <v>223</v>
      </c>
    </row>
    <row r="1641" spans="1:11" x14ac:dyDescent="0.3">
      <c r="A1641" s="3">
        <v>2791</v>
      </c>
      <c r="B1641" s="3" t="s">
        <v>19</v>
      </c>
      <c r="C1641" s="4">
        <v>45670</v>
      </c>
      <c r="D1641" s="3" t="s">
        <v>35</v>
      </c>
      <c r="E1641" s="3" t="s">
        <v>46</v>
      </c>
      <c r="F1641" s="5">
        <v>1</v>
      </c>
      <c r="G1641" s="6">
        <v>18.52</v>
      </c>
      <c r="H1641" s="6">
        <v>18.52</v>
      </c>
      <c r="I1641" s="6">
        <v>0</v>
      </c>
      <c r="J1641" s="6">
        <v>18.52</v>
      </c>
      <c r="K1641" s="5">
        <v>465</v>
      </c>
    </row>
    <row r="1642" spans="1:11" x14ac:dyDescent="0.3">
      <c r="A1642" s="3">
        <v>3692</v>
      </c>
      <c r="B1642" s="3" t="s">
        <v>30</v>
      </c>
      <c r="C1642" s="4">
        <v>45867</v>
      </c>
      <c r="D1642" s="3" t="s">
        <v>35</v>
      </c>
      <c r="E1642" s="3" t="s">
        <v>39</v>
      </c>
      <c r="F1642" s="5">
        <v>4</v>
      </c>
      <c r="G1642" s="6">
        <v>7</v>
      </c>
      <c r="H1642" s="6">
        <v>28</v>
      </c>
      <c r="I1642" s="6">
        <v>0</v>
      </c>
      <c r="J1642" s="6">
        <v>28</v>
      </c>
      <c r="K1642" s="5">
        <v>400</v>
      </c>
    </row>
    <row r="1643" spans="1:11" x14ac:dyDescent="0.3">
      <c r="A1643" s="3">
        <v>4996</v>
      </c>
      <c r="B1643" s="3" t="s">
        <v>19</v>
      </c>
      <c r="C1643" s="4">
        <v>45545</v>
      </c>
      <c r="D1643" s="3" t="s">
        <v>35</v>
      </c>
      <c r="E1643" s="3" t="s">
        <v>13</v>
      </c>
      <c r="F1643" s="5">
        <v>4</v>
      </c>
      <c r="G1643" s="6">
        <v>18.36</v>
      </c>
      <c r="H1643" s="6">
        <v>73.44</v>
      </c>
      <c r="I1643" s="6">
        <v>1.89</v>
      </c>
      <c r="J1643" s="6">
        <v>71.55</v>
      </c>
      <c r="K1643" s="5">
        <v>499</v>
      </c>
    </row>
    <row r="1644" spans="1:11" x14ac:dyDescent="0.3">
      <c r="A1644" s="3">
        <v>3858</v>
      </c>
      <c r="B1644" s="3"/>
      <c r="C1644" s="4">
        <v>45573</v>
      </c>
      <c r="D1644" s="3" t="s">
        <v>22</v>
      </c>
      <c r="E1644" s="3" t="s">
        <v>25</v>
      </c>
      <c r="F1644" s="5">
        <v>1</v>
      </c>
      <c r="G1644" s="6">
        <v>18.72</v>
      </c>
      <c r="H1644" s="6">
        <v>18.72</v>
      </c>
      <c r="I1644" s="6">
        <v>2.68</v>
      </c>
      <c r="J1644" s="6">
        <v>16.04</v>
      </c>
      <c r="K1644" s="5">
        <v>372</v>
      </c>
    </row>
    <row r="1645" spans="1:11" x14ac:dyDescent="0.3">
      <c r="A1645" s="3">
        <v>3623</v>
      </c>
      <c r="B1645" s="3" t="s">
        <v>36</v>
      </c>
      <c r="C1645" s="4">
        <v>45402</v>
      </c>
      <c r="D1645" s="3" t="s">
        <v>38</v>
      </c>
      <c r="E1645" s="3" t="s">
        <v>32</v>
      </c>
      <c r="F1645" s="5">
        <v>4</v>
      </c>
      <c r="G1645" s="6">
        <v>27.96</v>
      </c>
      <c r="H1645" s="6">
        <v>111.84</v>
      </c>
      <c r="I1645" s="6">
        <v>16.78</v>
      </c>
      <c r="J1645" s="6">
        <v>95.06</v>
      </c>
      <c r="K1645" s="5">
        <v>6</v>
      </c>
    </row>
    <row r="1646" spans="1:11" x14ac:dyDescent="0.3">
      <c r="A1646" s="3">
        <v>7985</v>
      </c>
      <c r="B1646" s="3" t="s">
        <v>36</v>
      </c>
      <c r="C1646" s="4">
        <v>45503</v>
      </c>
      <c r="D1646" s="3" t="s">
        <v>22</v>
      </c>
      <c r="E1646" s="3" t="s">
        <v>33</v>
      </c>
      <c r="F1646" s="5">
        <v>2</v>
      </c>
      <c r="G1646" s="6">
        <v>14.39</v>
      </c>
      <c r="H1646" s="6">
        <v>28.78</v>
      </c>
      <c r="I1646" s="6">
        <v>5.76</v>
      </c>
      <c r="J1646" s="6">
        <v>23.02</v>
      </c>
      <c r="K1646" s="5">
        <v>380</v>
      </c>
    </row>
    <row r="1647" spans="1:11" x14ac:dyDescent="0.3">
      <c r="A1647" s="3">
        <v>4798</v>
      </c>
      <c r="B1647" s="3" t="s">
        <v>14</v>
      </c>
      <c r="C1647" s="4">
        <v>45764</v>
      </c>
      <c r="D1647" s="3" t="s">
        <v>34</v>
      </c>
      <c r="E1647" s="3" t="s">
        <v>32</v>
      </c>
      <c r="F1647" s="5">
        <v>3</v>
      </c>
      <c r="G1647" s="6">
        <v>12.68</v>
      </c>
      <c r="H1647" s="6">
        <v>38.04</v>
      </c>
      <c r="I1647" s="6">
        <v>0</v>
      </c>
      <c r="J1647" s="6">
        <v>38.04</v>
      </c>
      <c r="K1647" s="5">
        <v>338</v>
      </c>
    </row>
    <row r="1648" spans="1:11" x14ac:dyDescent="0.3">
      <c r="A1648" s="3">
        <v>7636</v>
      </c>
      <c r="B1648" s="3" t="s">
        <v>26</v>
      </c>
      <c r="C1648" s="4">
        <v>45634</v>
      </c>
      <c r="D1648" s="3" t="s">
        <v>38</v>
      </c>
      <c r="E1648" s="3" t="s">
        <v>23</v>
      </c>
      <c r="F1648" s="5">
        <v>1</v>
      </c>
      <c r="G1648" s="6">
        <v>7.01</v>
      </c>
      <c r="H1648" s="6">
        <v>7.01</v>
      </c>
      <c r="I1648" s="6">
        <v>1.05</v>
      </c>
      <c r="J1648" s="6">
        <v>5.96</v>
      </c>
      <c r="K1648" s="5">
        <v>271</v>
      </c>
    </row>
    <row r="1649" spans="1:11" x14ac:dyDescent="0.3">
      <c r="A1649" s="3">
        <v>4022</v>
      </c>
      <c r="B1649" s="3" t="s">
        <v>30</v>
      </c>
      <c r="C1649" s="4">
        <v>45289</v>
      </c>
      <c r="D1649" s="3" t="s">
        <v>22</v>
      </c>
      <c r="E1649" s="3" t="s">
        <v>33</v>
      </c>
      <c r="F1649" s="5">
        <v>4</v>
      </c>
      <c r="G1649" s="6">
        <v>1.85</v>
      </c>
      <c r="H1649" s="6">
        <v>7.4</v>
      </c>
      <c r="I1649" s="6">
        <v>2.41</v>
      </c>
      <c r="J1649" s="6">
        <v>4.99</v>
      </c>
      <c r="K1649" s="5">
        <v>319</v>
      </c>
    </row>
    <row r="1650" spans="1:11" x14ac:dyDescent="0.3">
      <c r="A1650" s="3">
        <v>8080</v>
      </c>
      <c r="B1650" s="3" t="s">
        <v>24</v>
      </c>
      <c r="C1650" s="4">
        <v>45452</v>
      </c>
      <c r="D1650" s="3" t="s">
        <v>20</v>
      </c>
      <c r="E1650" s="3" t="s">
        <v>39</v>
      </c>
      <c r="F1650" s="5">
        <v>3</v>
      </c>
      <c r="G1650" s="6">
        <v>17.13</v>
      </c>
      <c r="H1650" s="6">
        <v>51.39</v>
      </c>
      <c r="I1650" s="6">
        <v>5.14</v>
      </c>
      <c r="J1650" s="6">
        <v>46.25</v>
      </c>
      <c r="K1650" s="5">
        <v>251</v>
      </c>
    </row>
    <row r="1651" spans="1:11" x14ac:dyDescent="0.3">
      <c r="A1651" s="3">
        <v>1478</v>
      </c>
      <c r="B1651" s="3" t="s">
        <v>14</v>
      </c>
      <c r="C1651" s="4">
        <v>45717</v>
      </c>
      <c r="D1651" s="3" t="s">
        <v>34</v>
      </c>
      <c r="E1651" s="3" t="s">
        <v>32</v>
      </c>
      <c r="F1651" s="5">
        <v>5</v>
      </c>
      <c r="G1651" s="6">
        <v>28.51</v>
      </c>
      <c r="H1651" s="6">
        <v>142.55000000000001</v>
      </c>
      <c r="I1651" s="6">
        <v>14.26</v>
      </c>
      <c r="J1651" s="6">
        <v>128.29</v>
      </c>
      <c r="K1651" s="5">
        <v>63</v>
      </c>
    </row>
    <row r="1652" spans="1:11" x14ac:dyDescent="0.3">
      <c r="A1652" s="3">
        <v>4232</v>
      </c>
      <c r="B1652" s="3" t="s">
        <v>42</v>
      </c>
      <c r="C1652" s="4">
        <v>45494</v>
      </c>
      <c r="D1652" s="3" t="s">
        <v>17</v>
      </c>
      <c r="E1652" s="3" t="s">
        <v>48</v>
      </c>
      <c r="F1652" s="5">
        <v>5</v>
      </c>
      <c r="G1652" s="6">
        <v>9.3800000000000008</v>
      </c>
      <c r="H1652" s="6">
        <v>46.9</v>
      </c>
      <c r="I1652" s="6">
        <v>0</v>
      </c>
      <c r="J1652" s="6">
        <v>46.9</v>
      </c>
      <c r="K1652" s="5">
        <v>442</v>
      </c>
    </row>
    <row r="1653" spans="1:11" x14ac:dyDescent="0.3">
      <c r="A1653" s="3">
        <v>8037</v>
      </c>
      <c r="B1653" s="3" t="s">
        <v>24</v>
      </c>
      <c r="C1653" s="4">
        <v>45447</v>
      </c>
      <c r="D1653" s="3" t="s">
        <v>38</v>
      </c>
      <c r="E1653" s="3" t="s">
        <v>16</v>
      </c>
      <c r="F1653" s="5">
        <v>3</v>
      </c>
      <c r="G1653" s="6">
        <v>22.78</v>
      </c>
      <c r="H1653" s="6">
        <v>68.34</v>
      </c>
      <c r="I1653" s="6">
        <v>10.25</v>
      </c>
      <c r="J1653" s="6">
        <v>58.09</v>
      </c>
      <c r="K1653" s="5">
        <v>214</v>
      </c>
    </row>
    <row r="1654" spans="1:11" x14ac:dyDescent="0.3">
      <c r="A1654" s="3">
        <v>1072</v>
      </c>
      <c r="B1654" s="3" t="s">
        <v>36</v>
      </c>
      <c r="C1654" s="4">
        <v>45692</v>
      </c>
      <c r="D1654" s="3" t="s">
        <v>27</v>
      </c>
      <c r="E1654" s="3" t="s">
        <v>48</v>
      </c>
      <c r="F1654" s="5">
        <v>3</v>
      </c>
      <c r="G1654" s="6">
        <v>15.56</v>
      </c>
      <c r="H1654" s="6">
        <v>46.68</v>
      </c>
      <c r="I1654" s="6">
        <v>9.34</v>
      </c>
      <c r="J1654" s="6">
        <v>37.340000000000003</v>
      </c>
      <c r="K1654" s="5">
        <v>272</v>
      </c>
    </row>
    <row r="1655" spans="1:11" x14ac:dyDescent="0.3">
      <c r="A1655" s="3">
        <v>4519</v>
      </c>
      <c r="B1655" s="3" t="s">
        <v>24</v>
      </c>
      <c r="C1655" s="4">
        <v>45304</v>
      </c>
      <c r="D1655" s="3" t="s">
        <v>45</v>
      </c>
      <c r="E1655" s="3" t="s">
        <v>33</v>
      </c>
      <c r="F1655" s="5">
        <v>3</v>
      </c>
      <c r="G1655" s="6">
        <v>24.95</v>
      </c>
      <c r="H1655" s="6">
        <v>74.849999999999994</v>
      </c>
      <c r="I1655" s="6">
        <v>14.97</v>
      </c>
      <c r="J1655" s="6">
        <v>59.88</v>
      </c>
      <c r="K1655" s="5">
        <v>230</v>
      </c>
    </row>
    <row r="1656" spans="1:11" x14ac:dyDescent="0.3">
      <c r="A1656" s="3">
        <v>5560</v>
      </c>
      <c r="B1656" s="3" t="s">
        <v>24</v>
      </c>
      <c r="C1656" s="4">
        <v>45729</v>
      </c>
      <c r="D1656" s="3" t="s">
        <v>35</v>
      </c>
      <c r="E1656" s="3" t="s">
        <v>39</v>
      </c>
      <c r="F1656" s="5">
        <v>5</v>
      </c>
      <c r="G1656" s="6">
        <v>25.06</v>
      </c>
      <c r="H1656" s="6">
        <v>125.3</v>
      </c>
      <c r="I1656" s="6">
        <v>0</v>
      </c>
      <c r="J1656" s="6">
        <v>125.3</v>
      </c>
      <c r="K1656" s="5">
        <v>390</v>
      </c>
    </row>
    <row r="1657" spans="1:11" x14ac:dyDescent="0.3">
      <c r="A1657" s="3">
        <v>2025</v>
      </c>
      <c r="B1657" s="3" t="s">
        <v>19</v>
      </c>
      <c r="C1657" s="4">
        <v>45593</v>
      </c>
      <c r="D1657" s="3" t="s">
        <v>27</v>
      </c>
      <c r="E1657" s="3" t="s">
        <v>48</v>
      </c>
      <c r="F1657" s="5">
        <v>4</v>
      </c>
      <c r="G1657" s="6">
        <v>17.809999999999999</v>
      </c>
      <c r="H1657" s="6">
        <v>71.239999999999995</v>
      </c>
      <c r="I1657" s="6">
        <v>7.12</v>
      </c>
      <c r="J1657" s="6">
        <v>64.12</v>
      </c>
      <c r="K1657" s="5">
        <v>214</v>
      </c>
    </row>
    <row r="1658" spans="1:11" x14ac:dyDescent="0.3">
      <c r="A1658" s="3">
        <v>2667</v>
      </c>
      <c r="B1658" s="3" t="s">
        <v>42</v>
      </c>
      <c r="C1658" s="4">
        <v>45765</v>
      </c>
      <c r="D1658" s="3" t="s">
        <v>27</v>
      </c>
      <c r="E1658" s="3" t="s">
        <v>39</v>
      </c>
      <c r="F1658" s="5">
        <v>5</v>
      </c>
      <c r="G1658" s="6">
        <v>7.49</v>
      </c>
      <c r="H1658" s="6">
        <v>37.450000000000003</v>
      </c>
      <c r="I1658" s="6">
        <v>3.28</v>
      </c>
      <c r="J1658" s="6">
        <v>34.17</v>
      </c>
      <c r="K1658" s="5">
        <v>312</v>
      </c>
    </row>
    <row r="1659" spans="1:11" x14ac:dyDescent="0.3">
      <c r="A1659" s="3">
        <v>9796</v>
      </c>
      <c r="B1659" s="3" t="s">
        <v>24</v>
      </c>
      <c r="C1659" s="4">
        <v>45290</v>
      </c>
      <c r="D1659" s="3" t="s">
        <v>12</v>
      </c>
      <c r="E1659" s="3" t="s">
        <v>21</v>
      </c>
      <c r="F1659" s="5">
        <v>5</v>
      </c>
      <c r="G1659" s="6">
        <v>8.24</v>
      </c>
      <c r="H1659" s="6">
        <v>41.2</v>
      </c>
      <c r="I1659" s="6">
        <v>0</v>
      </c>
      <c r="J1659" s="6">
        <v>41.2</v>
      </c>
      <c r="K1659" s="5">
        <v>291</v>
      </c>
    </row>
    <row r="1660" spans="1:11" x14ac:dyDescent="0.3">
      <c r="A1660" s="3">
        <v>6993</v>
      </c>
      <c r="B1660" s="3" t="s">
        <v>11</v>
      </c>
      <c r="C1660" s="4">
        <v>45398</v>
      </c>
      <c r="D1660" s="3" t="s">
        <v>22</v>
      </c>
      <c r="E1660" s="3" t="s">
        <v>39</v>
      </c>
      <c r="F1660" s="5">
        <v>5</v>
      </c>
      <c r="G1660" s="6">
        <v>26.61</v>
      </c>
      <c r="H1660" s="6">
        <v>133.05000000000001</v>
      </c>
      <c r="I1660" s="6">
        <v>3.05</v>
      </c>
      <c r="J1660" s="6">
        <v>130</v>
      </c>
      <c r="K1660" s="5">
        <v>334</v>
      </c>
    </row>
    <row r="1661" spans="1:11" x14ac:dyDescent="0.3">
      <c r="A1661" s="3">
        <v>4228</v>
      </c>
      <c r="B1661" s="3" t="s">
        <v>42</v>
      </c>
      <c r="C1661" s="4">
        <v>45500</v>
      </c>
      <c r="D1661" s="3" t="s">
        <v>34</v>
      </c>
      <c r="E1661" s="3" t="s">
        <v>33</v>
      </c>
      <c r="F1661" s="5">
        <v>3</v>
      </c>
      <c r="G1661" s="6">
        <v>21.96</v>
      </c>
      <c r="H1661" s="6">
        <v>65.88</v>
      </c>
      <c r="I1661" s="6">
        <v>6.59</v>
      </c>
      <c r="J1661" s="6">
        <v>59.29</v>
      </c>
      <c r="K1661" s="5">
        <v>122</v>
      </c>
    </row>
    <row r="1662" spans="1:11" x14ac:dyDescent="0.3">
      <c r="A1662" s="3">
        <v>2867</v>
      </c>
      <c r="B1662" s="3" t="s">
        <v>42</v>
      </c>
      <c r="C1662" s="4">
        <v>45348</v>
      </c>
      <c r="D1662" s="3" t="s">
        <v>22</v>
      </c>
      <c r="E1662" s="3" t="s">
        <v>41</v>
      </c>
      <c r="F1662" s="5">
        <v>3</v>
      </c>
      <c r="G1662" s="6">
        <v>2.87</v>
      </c>
      <c r="H1662" s="6">
        <v>8.61</v>
      </c>
      <c r="I1662" s="6">
        <v>2.84</v>
      </c>
      <c r="J1662" s="6">
        <v>5.77</v>
      </c>
      <c r="K1662" s="5">
        <v>15</v>
      </c>
    </row>
    <row r="1663" spans="1:11" x14ac:dyDescent="0.3">
      <c r="A1663" s="3">
        <v>9019</v>
      </c>
      <c r="B1663" s="3" t="s">
        <v>42</v>
      </c>
      <c r="C1663" s="4">
        <v>45554</v>
      </c>
      <c r="D1663" s="3" t="s">
        <v>27</v>
      </c>
      <c r="E1663" s="3" t="s">
        <v>33</v>
      </c>
      <c r="F1663" s="5">
        <v>2</v>
      </c>
      <c r="G1663" s="6">
        <v>24.1</v>
      </c>
      <c r="H1663" s="6">
        <v>48.2</v>
      </c>
      <c r="I1663" s="6">
        <v>3.57</v>
      </c>
      <c r="J1663" s="6">
        <v>44.63</v>
      </c>
      <c r="K1663" s="5">
        <v>498</v>
      </c>
    </row>
    <row r="1664" spans="1:11" x14ac:dyDescent="0.3">
      <c r="A1664" s="3">
        <v>6134</v>
      </c>
      <c r="B1664" s="3" t="s">
        <v>36</v>
      </c>
      <c r="C1664" s="4">
        <v>45608</v>
      </c>
      <c r="D1664" s="3" t="s">
        <v>34</v>
      </c>
      <c r="E1664" s="3" t="s">
        <v>25</v>
      </c>
      <c r="F1664" s="5">
        <v>4</v>
      </c>
      <c r="G1664" s="6">
        <v>21.93</v>
      </c>
      <c r="H1664" s="6">
        <v>87.72</v>
      </c>
      <c r="I1664" s="6">
        <v>0</v>
      </c>
      <c r="J1664" s="6">
        <v>87.72</v>
      </c>
      <c r="K1664" s="5">
        <v>35</v>
      </c>
    </row>
    <row r="1665" spans="1:11" x14ac:dyDescent="0.3">
      <c r="A1665" s="3">
        <v>7367</v>
      </c>
      <c r="B1665" s="3" t="s">
        <v>31</v>
      </c>
      <c r="C1665" s="4">
        <v>45619</v>
      </c>
      <c r="D1665" s="3" t="s">
        <v>27</v>
      </c>
      <c r="E1665" s="3" t="s">
        <v>16</v>
      </c>
      <c r="F1665" s="5">
        <v>5</v>
      </c>
      <c r="G1665" s="6">
        <v>29.86</v>
      </c>
      <c r="H1665" s="6">
        <v>149.30000000000001</v>
      </c>
      <c r="I1665" s="6">
        <v>4.13</v>
      </c>
      <c r="J1665" s="6">
        <v>145.16999999999999</v>
      </c>
      <c r="K1665" s="5">
        <v>441</v>
      </c>
    </row>
    <row r="1666" spans="1:11" x14ac:dyDescent="0.3">
      <c r="A1666" s="3">
        <v>7431</v>
      </c>
      <c r="B1666" s="3" t="s">
        <v>30</v>
      </c>
      <c r="C1666" s="4">
        <v>45600</v>
      </c>
      <c r="D1666" s="3" t="s">
        <v>38</v>
      </c>
      <c r="E1666" s="3" t="s">
        <v>48</v>
      </c>
      <c r="F1666" s="5">
        <v>5</v>
      </c>
      <c r="G1666" s="6">
        <v>19.760000000000002</v>
      </c>
      <c r="H1666" s="6">
        <v>98.8</v>
      </c>
      <c r="I1666" s="6">
        <v>9.8800000000000008</v>
      </c>
      <c r="J1666" s="6">
        <v>88.92</v>
      </c>
      <c r="K1666" s="5">
        <v>273</v>
      </c>
    </row>
    <row r="1667" spans="1:11" x14ac:dyDescent="0.3">
      <c r="A1667" s="3">
        <v>2871</v>
      </c>
      <c r="B1667" s="3" t="s">
        <v>26</v>
      </c>
      <c r="C1667" s="4">
        <v>45415</v>
      </c>
      <c r="D1667" s="3" t="s">
        <v>12</v>
      </c>
      <c r="E1667" s="3" t="s">
        <v>37</v>
      </c>
      <c r="F1667" s="5">
        <v>4</v>
      </c>
      <c r="G1667" s="6">
        <v>25.01</v>
      </c>
      <c r="H1667" s="6">
        <v>100.04</v>
      </c>
      <c r="I1667" s="6">
        <v>15.01</v>
      </c>
      <c r="J1667" s="6">
        <v>85.03</v>
      </c>
      <c r="K1667" s="5">
        <v>371</v>
      </c>
    </row>
    <row r="1668" spans="1:11" x14ac:dyDescent="0.3">
      <c r="A1668" s="3">
        <v>6766</v>
      </c>
      <c r="B1668" s="3" t="s">
        <v>24</v>
      </c>
      <c r="C1668" s="4">
        <v>45801</v>
      </c>
      <c r="D1668" s="3" t="s">
        <v>38</v>
      </c>
      <c r="E1668" s="3" t="s">
        <v>33</v>
      </c>
      <c r="F1668" s="5">
        <v>4</v>
      </c>
      <c r="G1668" s="6">
        <v>23.83</v>
      </c>
      <c r="H1668" s="6">
        <v>95.32</v>
      </c>
      <c r="I1668" s="6">
        <v>14.3</v>
      </c>
      <c r="J1668" s="6">
        <v>81.02</v>
      </c>
      <c r="K1668" s="5">
        <v>53</v>
      </c>
    </row>
    <row r="1669" spans="1:11" x14ac:dyDescent="0.3">
      <c r="A1669" s="3">
        <v>8501</v>
      </c>
      <c r="B1669" s="3" t="s">
        <v>11</v>
      </c>
      <c r="C1669" s="4">
        <v>45624</v>
      </c>
      <c r="D1669" s="3" t="s">
        <v>34</v>
      </c>
      <c r="E1669" s="3" t="s">
        <v>23</v>
      </c>
      <c r="F1669" s="5">
        <v>4</v>
      </c>
      <c r="G1669" s="6">
        <v>20.03</v>
      </c>
      <c r="H1669" s="6">
        <v>80.12</v>
      </c>
      <c r="I1669" s="6">
        <v>8.01</v>
      </c>
      <c r="J1669" s="6">
        <v>72.11</v>
      </c>
      <c r="K1669" s="5">
        <v>72</v>
      </c>
    </row>
    <row r="1670" spans="1:11" x14ac:dyDescent="0.3">
      <c r="A1670" s="3">
        <v>3826</v>
      </c>
      <c r="B1670" s="3" t="s">
        <v>42</v>
      </c>
      <c r="C1670" s="4">
        <v>45777</v>
      </c>
      <c r="D1670" s="3" t="s">
        <v>35</v>
      </c>
      <c r="E1670" s="3" t="s">
        <v>48</v>
      </c>
      <c r="F1670" s="5">
        <v>3</v>
      </c>
      <c r="G1670" s="6">
        <v>19.61</v>
      </c>
      <c r="H1670" s="6">
        <v>58.83</v>
      </c>
      <c r="I1670" s="6">
        <v>0</v>
      </c>
      <c r="J1670" s="6">
        <v>58.83</v>
      </c>
      <c r="K1670" s="5">
        <v>37</v>
      </c>
    </row>
    <row r="1671" spans="1:11" x14ac:dyDescent="0.3">
      <c r="A1671" s="3">
        <v>5873</v>
      </c>
      <c r="B1671" s="3" t="s">
        <v>26</v>
      </c>
      <c r="C1671" s="4">
        <v>45858</v>
      </c>
      <c r="D1671" s="3" t="s">
        <v>17</v>
      </c>
      <c r="E1671" s="3" t="s">
        <v>13</v>
      </c>
      <c r="F1671" s="5">
        <v>3</v>
      </c>
      <c r="G1671" s="6">
        <v>9.5500000000000007</v>
      </c>
      <c r="H1671" s="6">
        <v>28.65</v>
      </c>
      <c r="I1671" s="6">
        <v>2.87</v>
      </c>
      <c r="J1671" s="6">
        <v>25.78</v>
      </c>
      <c r="K1671" s="5">
        <v>227</v>
      </c>
    </row>
    <row r="1672" spans="1:11" x14ac:dyDescent="0.3">
      <c r="A1672" s="3">
        <v>2388</v>
      </c>
      <c r="B1672" s="3" t="s">
        <v>30</v>
      </c>
      <c r="C1672" s="4">
        <v>45667</v>
      </c>
      <c r="D1672" s="3" t="s">
        <v>28</v>
      </c>
      <c r="E1672" s="3" t="s">
        <v>13</v>
      </c>
      <c r="F1672" s="5">
        <v>5</v>
      </c>
      <c r="G1672" s="6">
        <v>2.0299999999999998</v>
      </c>
      <c r="H1672" s="6">
        <v>10.15</v>
      </c>
      <c r="I1672" s="6">
        <v>2.15</v>
      </c>
      <c r="J1672" s="6">
        <v>8</v>
      </c>
      <c r="K1672" s="5">
        <v>71</v>
      </c>
    </row>
    <row r="1673" spans="1:11" x14ac:dyDescent="0.3">
      <c r="A1673" s="3">
        <v>3194</v>
      </c>
      <c r="B1673" s="3" t="s">
        <v>42</v>
      </c>
      <c r="C1673" s="4">
        <v>45388</v>
      </c>
      <c r="D1673" s="3" t="s">
        <v>22</v>
      </c>
      <c r="E1673" s="3" t="s">
        <v>23</v>
      </c>
      <c r="F1673" s="5">
        <v>3</v>
      </c>
      <c r="G1673" s="6">
        <v>9.8800000000000008</v>
      </c>
      <c r="H1673" s="6">
        <v>29.64</v>
      </c>
      <c r="I1673" s="6">
        <v>3.54</v>
      </c>
      <c r="J1673" s="6">
        <v>26.1</v>
      </c>
      <c r="K1673" s="5">
        <v>366</v>
      </c>
    </row>
    <row r="1674" spans="1:11" x14ac:dyDescent="0.3">
      <c r="A1674" s="3">
        <v>2931</v>
      </c>
      <c r="B1674" s="3" t="s">
        <v>26</v>
      </c>
      <c r="C1674" s="4">
        <v>45330</v>
      </c>
      <c r="D1674" s="3" t="s">
        <v>45</v>
      </c>
      <c r="E1674" s="3" t="s">
        <v>37</v>
      </c>
      <c r="F1674" s="5">
        <v>2</v>
      </c>
      <c r="G1674" s="6">
        <v>22.56</v>
      </c>
      <c r="H1674" s="6">
        <v>45.12</v>
      </c>
      <c r="I1674" s="6">
        <v>9.02</v>
      </c>
      <c r="J1674" s="6">
        <v>36.1</v>
      </c>
      <c r="K1674" s="5">
        <v>355</v>
      </c>
    </row>
    <row r="1675" spans="1:11" x14ac:dyDescent="0.3">
      <c r="A1675" s="3">
        <v>6003</v>
      </c>
      <c r="B1675" s="3" t="s">
        <v>30</v>
      </c>
      <c r="C1675" s="4">
        <v>45235</v>
      </c>
      <c r="D1675" s="3" t="s">
        <v>20</v>
      </c>
      <c r="E1675" s="3" t="s">
        <v>13</v>
      </c>
      <c r="F1675" s="5">
        <v>2</v>
      </c>
      <c r="G1675" s="6">
        <v>1.8</v>
      </c>
      <c r="H1675" s="6">
        <v>3.6</v>
      </c>
      <c r="I1675" s="6">
        <v>0.72</v>
      </c>
      <c r="J1675" s="6">
        <v>2.88</v>
      </c>
      <c r="K1675" s="5">
        <v>108</v>
      </c>
    </row>
    <row r="1676" spans="1:11" x14ac:dyDescent="0.3">
      <c r="A1676" s="3">
        <v>3999</v>
      </c>
      <c r="B1676" s="3" t="s">
        <v>31</v>
      </c>
      <c r="C1676" s="4">
        <v>45434</v>
      </c>
      <c r="D1676" s="3" t="s">
        <v>35</v>
      </c>
      <c r="E1676" s="3" t="s">
        <v>23</v>
      </c>
      <c r="F1676" s="5">
        <v>5</v>
      </c>
      <c r="G1676" s="6">
        <v>22.61</v>
      </c>
      <c r="H1676" s="6">
        <v>113.05</v>
      </c>
      <c r="I1676" s="6">
        <v>11.3</v>
      </c>
      <c r="J1676" s="6">
        <v>101.75</v>
      </c>
      <c r="K1676" s="5">
        <v>264</v>
      </c>
    </row>
    <row r="1677" spans="1:11" x14ac:dyDescent="0.3">
      <c r="A1677" s="3">
        <v>3316</v>
      </c>
      <c r="B1677" s="3" t="s">
        <v>19</v>
      </c>
      <c r="C1677" s="4">
        <v>45541</v>
      </c>
      <c r="D1677" s="3" t="s">
        <v>22</v>
      </c>
      <c r="E1677" s="3" t="s">
        <v>41</v>
      </c>
      <c r="F1677" s="5">
        <v>5</v>
      </c>
      <c r="G1677" s="6">
        <v>25.72</v>
      </c>
      <c r="H1677" s="6">
        <v>128.6</v>
      </c>
      <c r="I1677" s="6">
        <v>12.86</v>
      </c>
      <c r="J1677" s="6">
        <v>115.74</v>
      </c>
      <c r="K1677" s="5">
        <v>160</v>
      </c>
    </row>
    <row r="1678" spans="1:11" x14ac:dyDescent="0.3">
      <c r="A1678" s="3">
        <v>7364</v>
      </c>
      <c r="B1678" s="3" t="s">
        <v>26</v>
      </c>
      <c r="C1678" s="4">
        <v>45469</v>
      </c>
      <c r="D1678" s="3" t="s">
        <v>27</v>
      </c>
      <c r="E1678" s="3" t="s">
        <v>29</v>
      </c>
      <c r="F1678" s="5">
        <v>5</v>
      </c>
      <c r="G1678" s="6">
        <v>14.97</v>
      </c>
      <c r="H1678" s="6">
        <v>74.849999999999994</v>
      </c>
      <c r="I1678" s="6">
        <v>3.67</v>
      </c>
      <c r="J1678" s="6">
        <v>71.180000000000007</v>
      </c>
      <c r="K1678" s="5">
        <v>247</v>
      </c>
    </row>
    <row r="1679" spans="1:11" x14ac:dyDescent="0.3">
      <c r="A1679" s="3">
        <v>3258</v>
      </c>
      <c r="B1679" s="3" t="s">
        <v>11</v>
      </c>
      <c r="C1679" s="4">
        <v>45591</v>
      </c>
      <c r="D1679" s="3" t="s">
        <v>22</v>
      </c>
      <c r="E1679" s="3" t="s">
        <v>25</v>
      </c>
      <c r="F1679" s="5">
        <v>3</v>
      </c>
      <c r="G1679" s="6">
        <v>6.98</v>
      </c>
      <c r="H1679" s="6">
        <v>20.94</v>
      </c>
      <c r="I1679" s="6">
        <v>4.1100000000000003</v>
      </c>
      <c r="J1679" s="6">
        <v>16.829999999999998</v>
      </c>
      <c r="K1679" s="5">
        <v>76</v>
      </c>
    </row>
    <row r="1680" spans="1:11" x14ac:dyDescent="0.3">
      <c r="A1680" s="3">
        <v>7286</v>
      </c>
      <c r="B1680" s="3" t="s">
        <v>11</v>
      </c>
      <c r="C1680" s="4">
        <v>45473</v>
      </c>
      <c r="D1680" s="3" t="s">
        <v>27</v>
      </c>
      <c r="E1680" s="3" t="s">
        <v>44</v>
      </c>
      <c r="F1680" s="5">
        <v>3</v>
      </c>
      <c r="G1680" s="6">
        <v>15.45</v>
      </c>
      <c r="H1680" s="6">
        <v>46.35</v>
      </c>
      <c r="I1680" s="6">
        <v>0</v>
      </c>
      <c r="J1680" s="6">
        <v>46.35</v>
      </c>
      <c r="K1680" s="5">
        <v>291</v>
      </c>
    </row>
    <row r="1681" spans="1:11" x14ac:dyDescent="0.3">
      <c r="A1681" s="3">
        <v>4043</v>
      </c>
      <c r="B1681" s="3" t="s">
        <v>14</v>
      </c>
      <c r="C1681" s="4">
        <v>45523</v>
      </c>
      <c r="D1681" s="3" t="s">
        <v>17</v>
      </c>
      <c r="E1681" s="3" t="s">
        <v>44</v>
      </c>
      <c r="F1681" s="5">
        <v>3</v>
      </c>
      <c r="G1681" s="6">
        <v>20.25</v>
      </c>
      <c r="H1681" s="6">
        <v>60.75</v>
      </c>
      <c r="I1681" s="6">
        <v>9.11</v>
      </c>
      <c r="J1681" s="6">
        <v>51.64</v>
      </c>
      <c r="K1681" s="5">
        <v>204</v>
      </c>
    </row>
    <row r="1682" spans="1:11" x14ac:dyDescent="0.3">
      <c r="A1682" s="3">
        <v>9804</v>
      </c>
      <c r="B1682" s="3" t="s">
        <v>14</v>
      </c>
      <c r="C1682" s="4">
        <v>45683</v>
      </c>
      <c r="D1682" s="3" t="s">
        <v>15</v>
      </c>
      <c r="E1682" s="3" t="s">
        <v>13</v>
      </c>
      <c r="F1682" s="5">
        <v>5</v>
      </c>
      <c r="G1682" s="6">
        <v>28.88</v>
      </c>
      <c r="H1682" s="6">
        <v>144.4</v>
      </c>
      <c r="I1682" s="6">
        <v>2.79</v>
      </c>
      <c r="J1682" s="6">
        <v>141.61000000000001</v>
      </c>
      <c r="K1682" s="5">
        <v>433</v>
      </c>
    </row>
    <row r="1683" spans="1:11" x14ac:dyDescent="0.3">
      <c r="A1683" s="3">
        <v>3838</v>
      </c>
      <c r="B1683" s="3" t="s">
        <v>14</v>
      </c>
      <c r="C1683" s="4">
        <v>45576</v>
      </c>
      <c r="D1683" s="3" t="s">
        <v>17</v>
      </c>
      <c r="E1683" s="3" t="s">
        <v>25</v>
      </c>
      <c r="F1683" s="5">
        <v>3</v>
      </c>
      <c r="G1683" s="6">
        <v>24.11</v>
      </c>
      <c r="H1683" s="6">
        <v>72.33</v>
      </c>
      <c r="I1683" s="6">
        <v>14.47</v>
      </c>
      <c r="J1683" s="6">
        <v>57.86</v>
      </c>
      <c r="K1683" s="5">
        <v>93</v>
      </c>
    </row>
    <row r="1684" spans="1:11" x14ac:dyDescent="0.3">
      <c r="A1684" s="3">
        <v>3733</v>
      </c>
      <c r="B1684" s="3" t="s">
        <v>26</v>
      </c>
      <c r="C1684" s="4">
        <v>45525</v>
      </c>
      <c r="D1684" s="3" t="s">
        <v>34</v>
      </c>
      <c r="E1684" s="3" t="s">
        <v>40</v>
      </c>
      <c r="F1684" s="5">
        <v>5</v>
      </c>
      <c r="G1684" s="6">
        <v>8.6999999999999993</v>
      </c>
      <c r="H1684" s="6">
        <v>43.5</v>
      </c>
      <c r="I1684" s="6">
        <v>0</v>
      </c>
      <c r="J1684" s="6">
        <v>43.5</v>
      </c>
      <c r="K1684" s="5">
        <v>142</v>
      </c>
    </row>
    <row r="1685" spans="1:11" x14ac:dyDescent="0.3">
      <c r="A1685" s="3">
        <v>5732</v>
      </c>
      <c r="B1685" s="3" t="s">
        <v>42</v>
      </c>
      <c r="C1685" s="4">
        <v>45253</v>
      </c>
      <c r="D1685" s="3" t="s">
        <v>15</v>
      </c>
      <c r="E1685" s="3" t="s">
        <v>41</v>
      </c>
      <c r="F1685" s="5">
        <v>5</v>
      </c>
      <c r="G1685" s="6">
        <v>9.77</v>
      </c>
      <c r="H1685" s="6">
        <v>48.85</v>
      </c>
      <c r="I1685" s="6">
        <v>9.77</v>
      </c>
      <c r="J1685" s="6">
        <v>39.08</v>
      </c>
      <c r="K1685" s="5">
        <v>106</v>
      </c>
    </row>
    <row r="1686" spans="1:11" x14ac:dyDescent="0.3">
      <c r="A1686" s="3">
        <v>4065</v>
      </c>
      <c r="B1686" s="3" t="s">
        <v>26</v>
      </c>
      <c r="C1686" s="4">
        <v>45389</v>
      </c>
      <c r="D1686" s="3" t="s">
        <v>45</v>
      </c>
      <c r="E1686" s="3" t="s">
        <v>48</v>
      </c>
      <c r="F1686" s="5">
        <v>5</v>
      </c>
      <c r="G1686" s="6">
        <v>26.56</v>
      </c>
      <c r="H1686" s="6">
        <v>132.80000000000001</v>
      </c>
      <c r="I1686" s="6">
        <v>0</v>
      </c>
      <c r="J1686" s="6">
        <v>132.80000000000001</v>
      </c>
      <c r="K1686" s="5">
        <v>26</v>
      </c>
    </row>
    <row r="1687" spans="1:11" x14ac:dyDescent="0.3">
      <c r="A1687" s="3">
        <v>8389</v>
      </c>
      <c r="B1687" s="3" t="s">
        <v>11</v>
      </c>
      <c r="C1687" s="4">
        <v>45626</v>
      </c>
      <c r="D1687" s="3" t="s">
        <v>17</v>
      </c>
      <c r="E1687" s="3" t="s">
        <v>47</v>
      </c>
      <c r="F1687" s="5">
        <v>1</v>
      </c>
      <c r="G1687" s="6">
        <v>13.81</v>
      </c>
      <c r="H1687" s="6">
        <v>13.81</v>
      </c>
      <c r="I1687" s="6">
        <v>3.17</v>
      </c>
      <c r="J1687" s="6">
        <v>10.64</v>
      </c>
      <c r="K1687" s="5">
        <v>243</v>
      </c>
    </row>
    <row r="1688" spans="1:11" x14ac:dyDescent="0.3">
      <c r="A1688" s="3">
        <v>1878</v>
      </c>
      <c r="B1688" s="3" t="s">
        <v>42</v>
      </c>
      <c r="C1688" s="4">
        <v>45817</v>
      </c>
      <c r="D1688" s="3" t="s">
        <v>28</v>
      </c>
      <c r="E1688" s="3" t="s">
        <v>47</v>
      </c>
      <c r="F1688" s="5">
        <v>3</v>
      </c>
      <c r="G1688" s="6">
        <v>17.5</v>
      </c>
      <c r="H1688" s="6">
        <v>52.5</v>
      </c>
      <c r="I1688" s="6">
        <v>3.88</v>
      </c>
      <c r="J1688" s="6">
        <v>48.62</v>
      </c>
      <c r="K1688" s="5">
        <v>297</v>
      </c>
    </row>
    <row r="1689" spans="1:11" x14ac:dyDescent="0.3">
      <c r="A1689" s="3">
        <v>6882</v>
      </c>
      <c r="B1689" s="3" t="s">
        <v>26</v>
      </c>
      <c r="C1689" s="4">
        <v>45152</v>
      </c>
      <c r="D1689" s="3" t="s">
        <v>27</v>
      </c>
      <c r="E1689" s="3" t="s">
        <v>44</v>
      </c>
      <c r="F1689" s="5">
        <v>5</v>
      </c>
      <c r="G1689" s="6">
        <v>24.36</v>
      </c>
      <c r="H1689" s="6">
        <v>121.8</v>
      </c>
      <c r="I1689" s="6">
        <v>2.0099999999999998</v>
      </c>
      <c r="J1689" s="6">
        <v>119.79</v>
      </c>
      <c r="K1689" s="5">
        <v>314</v>
      </c>
    </row>
    <row r="1690" spans="1:11" x14ac:dyDescent="0.3">
      <c r="A1690" s="3">
        <v>8939</v>
      </c>
      <c r="B1690" s="3" t="s">
        <v>24</v>
      </c>
      <c r="C1690" s="4">
        <v>45251</v>
      </c>
      <c r="D1690" s="3" t="s">
        <v>28</v>
      </c>
      <c r="E1690" s="3" t="s">
        <v>13</v>
      </c>
      <c r="F1690" s="5">
        <v>4</v>
      </c>
      <c r="G1690" s="6">
        <v>19.29</v>
      </c>
      <c r="H1690" s="6">
        <v>77.16</v>
      </c>
      <c r="I1690" s="6">
        <v>2.14</v>
      </c>
      <c r="J1690" s="6">
        <v>75.02</v>
      </c>
      <c r="K1690" s="5">
        <v>168</v>
      </c>
    </row>
    <row r="1691" spans="1:11" x14ac:dyDescent="0.3">
      <c r="A1691" s="3">
        <v>4196</v>
      </c>
      <c r="B1691" s="3" t="s">
        <v>30</v>
      </c>
      <c r="C1691" s="4">
        <v>45778</v>
      </c>
      <c r="D1691" s="3" t="s">
        <v>35</v>
      </c>
      <c r="E1691" s="3" t="s">
        <v>18</v>
      </c>
      <c r="F1691" s="5">
        <v>2</v>
      </c>
      <c r="G1691" s="6">
        <v>10.88</v>
      </c>
      <c r="H1691" s="6">
        <v>21.76</v>
      </c>
      <c r="I1691" s="6">
        <v>0</v>
      </c>
      <c r="J1691" s="6">
        <v>21.76</v>
      </c>
      <c r="K1691" s="5">
        <v>347</v>
      </c>
    </row>
    <row r="1692" spans="1:11" x14ac:dyDescent="0.3">
      <c r="A1692" s="3">
        <v>7290</v>
      </c>
      <c r="B1692" s="3" t="s">
        <v>26</v>
      </c>
      <c r="C1692" s="4">
        <v>45581</v>
      </c>
      <c r="D1692" s="3" t="s">
        <v>15</v>
      </c>
      <c r="E1692" s="3" t="s">
        <v>29</v>
      </c>
      <c r="F1692" s="5">
        <v>4</v>
      </c>
      <c r="G1692" s="6">
        <v>1.18</v>
      </c>
      <c r="H1692" s="6">
        <v>4.72</v>
      </c>
      <c r="I1692" s="6">
        <v>0.47</v>
      </c>
      <c r="J1692" s="6">
        <v>4.25</v>
      </c>
      <c r="K1692" s="5">
        <v>457</v>
      </c>
    </row>
    <row r="1693" spans="1:11" x14ac:dyDescent="0.3">
      <c r="A1693" s="3">
        <v>9281</v>
      </c>
      <c r="B1693" s="3" t="s">
        <v>19</v>
      </c>
      <c r="C1693" s="4">
        <v>45652</v>
      </c>
      <c r="D1693" s="3" t="s">
        <v>34</v>
      </c>
      <c r="E1693" s="3" t="s">
        <v>43</v>
      </c>
      <c r="F1693" s="5">
        <v>4</v>
      </c>
      <c r="G1693" s="6">
        <v>20.51</v>
      </c>
      <c r="H1693" s="6">
        <v>82.04</v>
      </c>
      <c r="I1693" s="6">
        <v>12.31</v>
      </c>
      <c r="J1693" s="6">
        <v>69.73</v>
      </c>
      <c r="K1693" s="5">
        <v>48</v>
      </c>
    </row>
    <row r="1694" spans="1:11" x14ac:dyDescent="0.3">
      <c r="A1694" s="3">
        <v>9109</v>
      </c>
      <c r="B1694" s="3" t="s">
        <v>14</v>
      </c>
      <c r="C1694" s="4">
        <v>45462</v>
      </c>
      <c r="D1694" s="3" t="s">
        <v>34</v>
      </c>
      <c r="E1694" s="3" t="s">
        <v>44</v>
      </c>
      <c r="F1694" s="5">
        <v>1</v>
      </c>
      <c r="G1694" s="6">
        <v>23.11</v>
      </c>
      <c r="H1694" s="6">
        <v>23.11</v>
      </c>
      <c r="I1694" s="6">
        <v>2.2200000000000002</v>
      </c>
      <c r="J1694" s="6">
        <v>20.89</v>
      </c>
      <c r="K1694" s="5">
        <v>109</v>
      </c>
    </row>
    <row r="1695" spans="1:11" x14ac:dyDescent="0.3">
      <c r="A1695" s="3">
        <v>9056</v>
      </c>
      <c r="B1695" s="3" t="s">
        <v>14</v>
      </c>
      <c r="C1695" s="4">
        <v>45467</v>
      </c>
      <c r="D1695" s="3" t="s">
        <v>45</v>
      </c>
      <c r="E1695" s="3" t="s">
        <v>48</v>
      </c>
      <c r="F1695" s="5">
        <v>3</v>
      </c>
      <c r="G1695" s="6">
        <v>27.89</v>
      </c>
      <c r="H1695" s="6">
        <v>83.67</v>
      </c>
      <c r="I1695" s="6">
        <v>12.55</v>
      </c>
      <c r="J1695" s="6">
        <v>71.12</v>
      </c>
      <c r="K1695" s="5">
        <v>107</v>
      </c>
    </row>
    <row r="1696" spans="1:11" x14ac:dyDescent="0.3">
      <c r="A1696" s="3">
        <v>8272</v>
      </c>
      <c r="B1696" s="3" t="s">
        <v>19</v>
      </c>
      <c r="C1696" s="4">
        <v>45524</v>
      </c>
      <c r="D1696" s="3" t="s">
        <v>17</v>
      </c>
      <c r="E1696" s="3" t="s">
        <v>32</v>
      </c>
      <c r="F1696" s="5">
        <v>2</v>
      </c>
      <c r="G1696" s="6">
        <v>25.71</v>
      </c>
      <c r="H1696" s="6">
        <v>51.42</v>
      </c>
      <c r="I1696" s="6">
        <v>7.71</v>
      </c>
      <c r="J1696" s="6">
        <v>43.71</v>
      </c>
      <c r="K1696" s="5">
        <v>312</v>
      </c>
    </row>
    <row r="1697" spans="1:11" x14ac:dyDescent="0.3">
      <c r="A1697" s="3">
        <v>3740</v>
      </c>
      <c r="B1697" s="3" t="s">
        <v>14</v>
      </c>
      <c r="C1697" s="4">
        <v>45209</v>
      </c>
      <c r="D1697" s="3" t="s">
        <v>45</v>
      </c>
      <c r="E1697" s="3" t="s">
        <v>16</v>
      </c>
      <c r="F1697" s="5">
        <v>3</v>
      </c>
      <c r="G1697" s="6">
        <v>7.62</v>
      </c>
      <c r="H1697" s="6">
        <v>22.86</v>
      </c>
      <c r="I1697" s="6">
        <v>3.43</v>
      </c>
      <c r="J1697" s="6">
        <v>19.43</v>
      </c>
      <c r="K1697" s="5">
        <v>134</v>
      </c>
    </row>
    <row r="1698" spans="1:11" x14ac:dyDescent="0.3">
      <c r="A1698" s="3">
        <v>1505</v>
      </c>
      <c r="B1698" s="3" t="s">
        <v>36</v>
      </c>
      <c r="C1698" s="4">
        <v>45763</v>
      </c>
      <c r="D1698" s="3" t="s">
        <v>34</v>
      </c>
      <c r="E1698" s="3" t="s">
        <v>37</v>
      </c>
      <c r="F1698" s="5">
        <v>3</v>
      </c>
      <c r="G1698" s="6">
        <v>22.06</v>
      </c>
      <c r="H1698" s="6">
        <v>66.180000000000007</v>
      </c>
      <c r="I1698" s="6">
        <v>6.62</v>
      </c>
      <c r="J1698" s="6">
        <v>59.56</v>
      </c>
      <c r="K1698" s="5">
        <v>424</v>
      </c>
    </row>
    <row r="1699" spans="1:11" x14ac:dyDescent="0.3">
      <c r="A1699" s="3">
        <v>4613</v>
      </c>
      <c r="B1699" s="3" t="s">
        <v>30</v>
      </c>
      <c r="C1699" s="4">
        <v>45371</v>
      </c>
      <c r="D1699" s="3" t="s">
        <v>20</v>
      </c>
      <c r="E1699" s="3" t="s">
        <v>32</v>
      </c>
      <c r="F1699" s="5">
        <v>4</v>
      </c>
      <c r="G1699" s="6">
        <v>1.1499999999999999</v>
      </c>
      <c r="H1699" s="6">
        <v>4.5999999999999996</v>
      </c>
      <c r="I1699" s="6">
        <v>4.87</v>
      </c>
      <c r="J1699" s="6">
        <v>-0.27</v>
      </c>
      <c r="K1699" s="5">
        <v>481</v>
      </c>
    </row>
    <row r="1700" spans="1:11" x14ac:dyDescent="0.3">
      <c r="A1700" s="3">
        <v>1535</v>
      </c>
      <c r="B1700" s="3" t="s">
        <v>36</v>
      </c>
      <c r="C1700" s="4">
        <v>45358</v>
      </c>
      <c r="D1700" s="3" t="s">
        <v>27</v>
      </c>
      <c r="E1700" s="3" t="s">
        <v>41</v>
      </c>
      <c r="F1700" s="5">
        <v>4</v>
      </c>
      <c r="G1700" s="6">
        <v>23.23</v>
      </c>
      <c r="H1700" s="6">
        <v>92.92</v>
      </c>
      <c r="I1700" s="6">
        <v>18.579999999999998</v>
      </c>
      <c r="J1700" s="6">
        <v>74.34</v>
      </c>
      <c r="K1700" s="5">
        <v>9</v>
      </c>
    </row>
    <row r="1701" spans="1:11" x14ac:dyDescent="0.3">
      <c r="A1701" s="3">
        <v>4683</v>
      </c>
      <c r="B1701" s="3" t="s">
        <v>30</v>
      </c>
      <c r="C1701" s="4">
        <v>45562</v>
      </c>
      <c r="D1701" s="3" t="s">
        <v>35</v>
      </c>
      <c r="E1701" s="3" t="s">
        <v>23</v>
      </c>
      <c r="F1701" s="5">
        <v>1</v>
      </c>
      <c r="G1701" s="6">
        <v>10.32</v>
      </c>
      <c r="H1701" s="6">
        <v>10.32</v>
      </c>
      <c r="I1701" s="6">
        <v>1.55</v>
      </c>
      <c r="J1701" s="6">
        <v>8.77</v>
      </c>
      <c r="K1701" s="5">
        <v>404</v>
      </c>
    </row>
    <row r="1702" spans="1:11" x14ac:dyDescent="0.3">
      <c r="A1702" s="3">
        <v>5729</v>
      </c>
      <c r="B1702" s="3" t="s">
        <v>14</v>
      </c>
      <c r="C1702" s="4">
        <v>45275</v>
      </c>
      <c r="D1702" s="3" t="s">
        <v>38</v>
      </c>
      <c r="E1702" s="3" t="s">
        <v>44</v>
      </c>
      <c r="F1702" s="5">
        <v>2</v>
      </c>
      <c r="G1702" s="6">
        <v>18.899999999999999</v>
      </c>
      <c r="H1702" s="6">
        <v>37.799999999999997</v>
      </c>
      <c r="I1702" s="6">
        <v>1.3</v>
      </c>
      <c r="J1702" s="6">
        <v>36.5</v>
      </c>
      <c r="K1702" s="5">
        <v>225</v>
      </c>
    </row>
    <row r="1703" spans="1:11" x14ac:dyDescent="0.3">
      <c r="A1703" s="3">
        <v>8492</v>
      </c>
      <c r="B1703" s="3" t="s">
        <v>19</v>
      </c>
      <c r="C1703" s="4">
        <v>45584</v>
      </c>
      <c r="D1703" s="3" t="s">
        <v>22</v>
      </c>
      <c r="E1703" s="3" t="s">
        <v>47</v>
      </c>
      <c r="F1703" s="5">
        <v>5</v>
      </c>
      <c r="G1703" s="6">
        <v>14.62</v>
      </c>
      <c r="H1703" s="6">
        <v>73.099999999999994</v>
      </c>
      <c r="I1703" s="6">
        <v>0</v>
      </c>
      <c r="J1703" s="6">
        <v>73.099999999999994</v>
      </c>
      <c r="K1703" s="5">
        <v>497</v>
      </c>
    </row>
    <row r="1704" spans="1:11" x14ac:dyDescent="0.3">
      <c r="A1704" s="3">
        <v>9115</v>
      </c>
      <c r="B1704" s="3" t="s">
        <v>24</v>
      </c>
      <c r="C1704" s="4">
        <v>45571</v>
      </c>
      <c r="D1704" s="3" t="s">
        <v>45</v>
      </c>
      <c r="E1704" s="3" t="s">
        <v>25</v>
      </c>
      <c r="F1704" s="5">
        <v>3</v>
      </c>
      <c r="G1704" s="6">
        <v>29.61</v>
      </c>
      <c r="H1704" s="6">
        <v>88.83</v>
      </c>
      <c r="I1704" s="6">
        <v>1.41</v>
      </c>
      <c r="J1704" s="6">
        <v>87.42</v>
      </c>
      <c r="K1704" s="5">
        <v>300</v>
      </c>
    </row>
    <row r="1705" spans="1:11" x14ac:dyDescent="0.3">
      <c r="A1705" s="3">
        <v>9369</v>
      </c>
      <c r="B1705" s="3" t="s">
        <v>36</v>
      </c>
      <c r="C1705" s="4">
        <v>45232</v>
      </c>
      <c r="D1705" s="3" t="s">
        <v>35</v>
      </c>
      <c r="E1705" s="3" t="s">
        <v>18</v>
      </c>
      <c r="F1705" s="5">
        <v>3</v>
      </c>
      <c r="G1705" s="6">
        <v>13.7</v>
      </c>
      <c r="H1705" s="6">
        <v>41.1</v>
      </c>
      <c r="I1705" s="6">
        <v>4.1100000000000003</v>
      </c>
      <c r="J1705" s="6">
        <v>36.99</v>
      </c>
      <c r="K1705" s="5">
        <v>145</v>
      </c>
    </row>
    <row r="1706" spans="1:11" x14ac:dyDescent="0.3">
      <c r="A1706" s="3">
        <v>2871</v>
      </c>
      <c r="B1706" s="3" t="s">
        <v>19</v>
      </c>
      <c r="C1706" s="4">
        <v>45353</v>
      </c>
      <c r="D1706" s="3" t="s">
        <v>15</v>
      </c>
      <c r="E1706" s="3" t="s">
        <v>21</v>
      </c>
      <c r="F1706" s="5">
        <v>4</v>
      </c>
      <c r="G1706" s="6">
        <v>24.9</v>
      </c>
      <c r="H1706" s="6">
        <v>99.6</v>
      </c>
      <c r="I1706" s="6">
        <v>2.2000000000000002</v>
      </c>
      <c r="J1706" s="6">
        <v>97.4</v>
      </c>
      <c r="K1706" s="5">
        <v>447</v>
      </c>
    </row>
    <row r="1707" spans="1:11" x14ac:dyDescent="0.3">
      <c r="A1707" s="3">
        <v>9898</v>
      </c>
      <c r="B1707" s="3" t="s">
        <v>42</v>
      </c>
      <c r="C1707" s="4">
        <v>45784</v>
      </c>
      <c r="D1707" s="3" t="s">
        <v>38</v>
      </c>
      <c r="E1707" s="3" t="s">
        <v>43</v>
      </c>
      <c r="F1707" s="5">
        <v>4</v>
      </c>
      <c r="G1707" s="6">
        <v>8.1</v>
      </c>
      <c r="H1707" s="6">
        <v>32.4</v>
      </c>
      <c r="I1707" s="6">
        <v>3.12</v>
      </c>
      <c r="J1707" s="6">
        <v>29.28</v>
      </c>
      <c r="K1707" s="5">
        <v>293</v>
      </c>
    </row>
    <row r="1708" spans="1:11" x14ac:dyDescent="0.3">
      <c r="A1708" s="3">
        <v>7010</v>
      </c>
      <c r="B1708" s="3" t="s">
        <v>30</v>
      </c>
      <c r="C1708" s="4">
        <v>45566</v>
      </c>
      <c r="D1708" s="3" t="s">
        <v>12</v>
      </c>
      <c r="E1708" s="3" t="s">
        <v>41</v>
      </c>
      <c r="F1708" s="5">
        <v>1</v>
      </c>
      <c r="G1708" s="6">
        <v>26.24</v>
      </c>
      <c r="H1708" s="6">
        <v>26.24</v>
      </c>
      <c r="I1708" s="6">
        <v>3.94</v>
      </c>
      <c r="J1708" s="6">
        <v>22.3</v>
      </c>
      <c r="K1708" s="5">
        <v>358</v>
      </c>
    </row>
    <row r="1709" spans="1:11" x14ac:dyDescent="0.3">
      <c r="A1709" s="3">
        <v>1681</v>
      </c>
      <c r="B1709" s="3" t="s">
        <v>26</v>
      </c>
      <c r="C1709" s="4">
        <v>45735</v>
      </c>
      <c r="D1709" s="3" t="s">
        <v>17</v>
      </c>
      <c r="E1709" s="3" t="s">
        <v>29</v>
      </c>
      <c r="F1709" s="5">
        <v>3</v>
      </c>
      <c r="G1709" s="6">
        <v>14.57</v>
      </c>
      <c r="H1709" s="6">
        <v>43.71</v>
      </c>
      <c r="I1709" s="6">
        <v>6.56</v>
      </c>
      <c r="J1709" s="6">
        <v>37.15</v>
      </c>
      <c r="K1709" s="5">
        <v>235</v>
      </c>
    </row>
    <row r="1710" spans="1:11" x14ac:dyDescent="0.3">
      <c r="A1710" s="3">
        <v>8231</v>
      </c>
      <c r="B1710" s="3" t="s">
        <v>42</v>
      </c>
      <c r="C1710" s="4">
        <v>45569</v>
      </c>
      <c r="D1710" s="3" t="s">
        <v>27</v>
      </c>
      <c r="E1710" s="3" t="s">
        <v>13</v>
      </c>
      <c r="F1710" s="5">
        <v>3</v>
      </c>
      <c r="G1710" s="6">
        <v>18.489999999999998</v>
      </c>
      <c r="H1710" s="6">
        <v>55.47</v>
      </c>
      <c r="I1710" s="6">
        <v>11.09</v>
      </c>
      <c r="J1710" s="6">
        <v>44.38</v>
      </c>
      <c r="K1710" s="5">
        <v>477</v>
      </c>
    </row>
    <row r="1711" spans="1:11" x14ac:dyDescent="0.3">
      <c r="A1711" s="3">
        <v>4580</v>
      </c>
      <c r="B1711" s="3" t="s">
        <v>11</v>
      </c>
      <c r="C1711" s="4">
        <v>45475</v>
      </c>
      <c r="D1711" s="3" t="s">
        <v>27</v>
      </c>
      <c r="E1711" s="3" t="s">
        <v>16</v>
      </c>
      <c r="F1711" s="5">
        <v>4</v>
      </c>
      <c r="G1711" s="6">
        <v>12.48</v>
      </c>
      <c r="H1711" s="6">
        <v>49.92</v>
      </c>
      <c r="I1711" s="6">
        <v>1.24</v>
      </c>
      <c r="J1711" s="6">
        <v>48.68</v>
      </c>
      <c r="K1711" s="5">
        <v>249</v>
      </c>
    </row>
    <row r="1712" spans="1:11" x14ac:dyDescent="0.3">
      <c r="A1712" s="3">
        <v>2677</v>
      </c>
      <c r="B1712" s="3" t="s">
        <v>14</v>
      </c>
      <c r="C1712" s="4">
        <v>45716</v>
      </c>
      <c r="D1712" s="3" t="s">
        <v>22</v>
      </c>
      <c r="E1712" s="3" t="s">
        <v>39</v>
      </c>
      <c r="F1712" s="5">
        <v>5</v>
      </c>
      <c r="G1712" s="6">
        <v>13.67</v>
      </c>
      <c r="H1712" s="6">
        <v>68.349999999999994</v>
      </c>
      <c r="I1712" s="6">
        <v>2.97</v>
      </c>
      <c r="J1712" s="6">
        <v>65.38</v>
      </c>
      <c r="K1712" s="5">
        <v>16</v>
      </c>
    </row>
    <row r="1713" spans="1:11" x14ac:dyDescent="0.3">
      <c r="A1713" s="3">
        <v>5055</v>
      </c>
      <c r="B1713" s="3" t="s">
        <v>36</v>
      </c>
      <c r="C1713" s="4">
        <v>45376</v>
      </c>
      <c r="D1713" s="3" t="s">
        <v>27</v>
      </c>
      <c r="E1713" s="3" t="s">
        <v>43</v>
      </c>
      <c r="F1713" s="5">
        <v>1</v>
      </c>
      <c r="G1713" s="6">
        <v>17.38</v>
      </c>
      <c r="H1713" s="6">
        <v>17.38</v>
      </c>
      <c r="I1713" s="6">
        <v>1.63</v>
      </c>
      <c r="J1713" s="6">
        <v>15.75</v>
      </c>
      <c r="K1713" s="5">
        <v>498</v>
      </c>
    </row>
    <row r="1714" spans="1:11" x14ac:dyDescent="0.3">
      <c r="A1714" s="3">
        <v>1528</v>
      </c>
      <c r="B1714" s="3" t="s">
        <v>14</v>
      </c>
      <c r="C1714" s="4">
        <v>45494</v>
      </c>
      <c r="D1714" s="3" t="s">
        <v>15</v>
      </c>
      <c r="E1714" s="3" t="s">
        <v>33</v>
      </c>
      <c r="F1714" s="5">
        <v>5</v>
      </c>
      <c r="G1714" s="6">
        <v>19.850000000000001</v>
      </c>
      <c r="H1714" s="6">
        <v>99.25</v>
      </c>
      <c r="I1714" s="6">
        <v>0</v>
      </c>
      <c r="J1714" s="6">
        <v>99.25</v>
      </c>
      <c r="K1714" s="5">
        <v>97</v>
      </c>
    </row>
    <row r="1715" spans="1:11" x14ac:dyDescent="0.3">
      <c r="A1715" s="3">
        <v>5305</v>
      </c>
      <c r="B1715" s="3" t="s">
        <v>24</v>
      </c>
      <c r="C1715" s="4">
        <v>45415</v>
      </c>
      <c r="D1715" s="3" t="s">
        <v>35</v>
      </c>
      <c r="E1715" s="3" t="s">
        <v>33</v>
      </c>
      <c r="F1715" s="5">
        <v>4</v>
      </c>
      <c r="G1715" s="6">
        <v>26.78</v>
      </c>
      <c r="H1715" s="6">
        <v>107.12</v>
      </c>
      <c r="I1715" s="6">
        <v>0</v>
      </c>
      <c r="J1715" s="6">
        <v>107.12</v>
      </c>
      <c r="K1715" s="5">
        <v>378</v>
      </c>
    </row>
    <row r="1716" spans="1:11" x14ac:dyDescent="0.3">
      <c r="A1716" s="3">
        <v>2425</v>
      </c>
      <c r="B1716" s="3" t="s">
        <v>36</v>
      </c>
      <c r="C1716" s="4">
        <v>45486</v>
      </c>
      <c r="D1716" s="3" t="s">
        <v>15</v>
      </c>
      <c r="E1716" s="3" t="s">
        <v>29</v>
      </c>
      <c r="F1716" s="5">
        <v>5</v>
      </c>
      <c r="G1716" s="6">
        <v>10.84</v>
      </c>
      <c r="H1716" s="6">
        <v>54.2</v>
      </c>
      <c r="I1716" s="6">
        <v>2.61</v>
      </c>
      <c r="J1716" s="6">
        <v>51.59</v>
      </c>
      <c r="K1716" s="5">
        <v>270</v>
      </c>
    </row>
    <row r="1717" spans="1:11" x14ac:dyDescent="0.3">
      <c r="A1717" s="3">
        <v>2923</v>
      </c>
      <c r="B1717" s="3" t="s">
        <v>30</v>
      </c>
      <c r="C1717" s="4">
        <v>45747</v>
      </c>
      <c r="D1717" s="3" t="s">
        <v>12</v>
      </c>
      <c r="E1717" s="3" t="s">
        <v>32</v>
      </c>
      <c r="F1717" s="5">
        <v>1</v>
      </c>
      <c r="G1717" s="6">
        <v>1.24</v>
      </c>
      <c r="H1717" s="6">
        <v>1.24</v>
      </c>
      <c r="I1717" s="6">
        <v>0.25</v>
      </c>
      <c r="J1717" s="6">
        <v>0.99</v>
      </c>
      <c r="K1717" s="5">
        <v>165</v>
      </c>
    </row>
    <row r="1718" spans="1:11" x14ac:dyDescent="0.3">
      <c r="A1718" s="3">
        <v>4882</v>
      </c>
      <c r="B1718" s="3" t="s">
        <v>30</v>
      </c>
      <c r="C1718" s="4">
        <v>45308</v>
      </c>
      <c r="D1718" s="3" t="s">
        <v>17</v>
      </c>
      <c r="E1718" s="3" t="s">
        <v>21</v>
      </c>
      <c r="F1718" s="5">
        <v>5</v>
      </c>
      <c r="G1718" s="6">
        <v>14.26</v>
      </c>
      <c r="H1718" s="6">
        <v>71.3</v>
      </c>
      <c r="I1718" s="6">
        <v>4.7</v>
      </c>
      <c r="J1718" s="6">
        <v>66.599999999999994</v>
      </c>
      <c r="K1718" s="5">
        <v>340</v>
      </c>
    </row>
    <row r="1719" spans="1:11" x14ac:dyDescent="0.3">
      <c r="A1719" s="3">
        <v>6744</v>
      </c>
      <c r="B1719" s="3" t="s">
        <v>19</v>
      </c>
      <c r="C1719" s="4">
        <v>45813</v>
      </c>
      <c r="D1719" s="3" t="s">
        <v>17</v>
      </c>
      <c r="E1719" s="3" t="s">
        <v>41</v>
      </c>
      <c r="F1719" s="5">
        <v>2</v>
      </c>
      <c r="G1719" s="6">
        <v>9.94</v>
      </c>
      <c r="H1719" s="6">
        <v>19.88</v>
      </c>
      <c r="I1719" s="6">
        <v>3.41</v>
      </c>
      <c r="J1719" s="6">
        <v>16.47</v>
      </c>
      <c r="K1719" s="5">
        <v>51</v>
      </c>
    </row>
    <row r="1720" spans="1:11" x14ac:dyDescent="0.3">
      <c r="A1720" s="3">
        <v>8015</v>
      </c>
      <c r="B1720" s="3" t="s">
        <v>31</v>
      </c>
      <c r="C1720" s="4">
        <v>45273</v>
      </c>
      <c r="D1720" s="3" t="s">
        <v>34</v>
      </c>
      <c r="E1720" s="3" t="s">
        <v>18</v>
      </c>
      <c r="F1720" s="5">
        <v>3</v>
      </c>
      <c r="G1720" s="6">
        <v>28.68</v>
      </c>
      <c r="H1720" s="6">
        <v>86.04</v>
      </c>
      <c r="I1720" s="6">
        <v>17.21</v>
      </c>
      <c r="J1720" s="6">
        <v>68.83</v>
      </c>
      <c r="K1720" s="5">
        <v>167</v>
      </c>
    </row>
    <row r="1721" spans="1:11" x14ac:dyDescent="0.3">
      <c r="A1721" s="3">
        <v>3281</v>
      </c>
      <c r="B1721" s="3" t="s">
        <v>42</v>
      </c>
      <c r="C1721" s="4">
        <v>45754</v>
      </c>
      <c r="D1721" s="3" t="s">
        <v>17</v>
      </c>
      <c r="E1721" s="3" t="s">
        <v>37</v>
      </c>
      <c r="F1721" s="5">
        <v>2</v>
      </c>
      <c r="G1721" s="6">
        <v>13.29</v>
      </c>
      <c r="H1721" s="6">
        <v>26.58</v>
      </c>
      <c r="I1721" s="6">
        <v>5.32</v>
      </c>
      <c r="J1721" s="6">
        <v>21.26</v>
      </c>
      <c r="K1721" s="5">
        <v>138</v>
      </c>
    </row>
    <row r="1722" spans="1:11" x14ac:dyDescent="0.3">
      <c r="A1722" s="3">
        <v>4385</v>
      </c>
      <c r="B1722" s="3" t="s">
        <v>36</v>
      </c>
      <c r="C1722" s="4">
        <v>45776</v>
      </c>
      <c r="D1722" s="3" t="s">
        <v>12</v>
      </c>
      <c r="E1722" s="3" t="s">
        <v>41</v>
      </c>
      <c r="F1722" s="5">
        <v>4</v>
      </c>
      <c r="G1722" s="6">
        <v>4.5599999999999996</v>
      </c>
      <c r="H1722" s="6">
        <v>18.239999999999998</v>
      </c>
      <c r="I1722" s="6">
        <v>2.78</v>
      </c>
      <c r="J1722" s="6">
        <v>15.46</v>
      </c>
      <c r="K1722" s="5">
        <v>485</v>
      </c>
    </row>
    <row r="1723" spans="1:11" x14ac:dyDescent="0.3">
      <c r="A1723" s="3">
        <v>4390</v>
      </c>
      <c r="B1723" s="3" t="s">
        <v>42</v>
      </c>
      <c r="C1723" s="4">
        <v>45770</v>
      </c>
      <c r="D1723" s="3" t="s">
        <v>20</v>
      </c>
      <c r="E1723" s="3" t="s">
        <v>40</v>
      </c>
      <c r="F1723" s="5">
        <v>4</v>
      </c>
      <c r="G1723" s="6">
        <v>13.71</v>
      </c>
      <c r="H1723" s="6">
        <v>54.84</v>
      </c>
      <c r="I1723" s="6">
        <v>5.48</v>
      </c>
      <c r="J1723" s="6">
        <v>49.36</v>
      </c>
      <c r="K1723" s="5">
        <v>101</v>
      </c>
    </row>
    <row r="1724" spans="1:11" x14ac:dyDescent="0.3">
      <c r="A1724" s="3">
        <v>1972</v>
      </c>
      <c r="B1724" s="3" t="s">
        <v>11</v>
      </c>
      <c r="C1724" s="4">
        <v>45587</v>
      </c>
      <c r="D1724" s="3" t="s">
        <v>15</v>
      </c>
      <c r="E1724" s="3" t="s">
        <v>29</v>
      </c>
      <c r="F1724" s="5">
        <v>5</v>
      </c>
      <c r="G1724" s="6">
        <v>27.48</v>
      </c>
      <c r="H1724" s="6">
        <v>137.4</v>
      </c>
      <c r="I1724" s="6">
        <v>27.48</v>
      </c>
      <c r="J1724" s="6">
        <v>109.92</v>
      </c>
      <c r="K1724" s="5">
        <v>370</v>
      </c>
    </row>
    <row r="1725" spans="1:11" x14ac:dyDescent="0.3">
      <c r="A1725" s="3">
        <v>6747</v>
      </c>
      <c r="B1725" s="3" t="s">
        <v>42</v>
      </c>
      <c r="C1725" s="4">
        <v>45558</v>
      </c>
      <c r="D1725" s="3" t="s">
        <v>15</v>
      </c>
      <c r="E1725" s="3" t="s">
        <v>47</v>
      </c>
      <c r="F1725" s="5">
        <v>5</v>
      </c>
      <c r="G1725" s="6">
        <v>11.38</v>
      </c>
      <c r="H1725" s="6">
        <v>56.9</v>
      </c>
      <c r="I1725" s="6">
        <v>11.38</v>
      </c>
      <c r="J1725" s="6">
        <v>45.52</v>
      </c>
      <c r="K1725" s="5">
        <v>162</v>
      </c>
    </row>
    <row r="1726" spans="1:11" x14ac:dyDescent="0.3">
      <c r="A1726" s="3">
        <v>5605</v>
      </c>
      <c r="B1726" s="3" t="s">
        <v>42</v>
      </c>
      <c r="C1726" s="4">
        <v>45608</v>
      </c>
      <c r="D1726" s="3" t="s">
        <v>15</v>
      </c>
      <c r="E1726" s="3" t="s">
        <v>46</v>
      </c>
      <c r="F1726" s="5">
        <v>3</v>
      </c>
      <c r="G1726" s="6">
        <v>14.85</v>
      </c>
      <c r="H1726" s="6">
        <v>44.55</v>
      </c>
      <c r="I1726" s="6">
        <v>4.46</v>
      </c>
      <c r="J1726" s="6">
        <v>40.090000000000003</v>
      </c>
      <c r="K1726" s="5">
        <v>260</v>
      </c>
    </row>
    <row r="1727" spans="1:11" x14ac:dyDescent="0.3">
      <c r="A1727" s="3">
        <v>9827</v>
      </c>
      <c r="B1727" s="3" t="s">
        <v>31</v>
      </c>
      <c r="C1727" s="4">
        <v>45275</v>
      </c>
      <c r="D1727" s="3" t="s">
        <v>12</v>
      </c>
      <c r="E1727" s="3" t="s">
        <v>32</v>
      </c>
      <c r="F1727" s="5">
        <v>4</v>
      </c>
      <c r="G1727" s="6">
        <v>12.6</v>
      </c>
      <c r="H1727" s="6">
        <v>50.4</v>
      </c>
      <c r="I1727" s="6">
        <v>7.56</v>
      </c>
      <c r="J1727" s="6">
        <v>42.84</v>
      </c>
      <c r="K1727" s="5">
        <v>439</v>
      </c>
    </row>
    <row r="1728" spans="1:11" x14ac:dyDescent="0.3">
      <c r="A1728" s="3">
        <v>6302</v>
      </c>
      <c r="B1728" s="3" t="s">
        <v>36</v>
      </c>
      <c r="C1728" s="4">
        <v>45691</v>
      </c>
      <c r="D1728" s="3" t="s">
        <v>35</v>
      </c>
      <c r="E1728" s="3" t="s">
        <v>43</v>
      </c>
      <c r="F1728" s="5">
        <v>4</v>
      </c>
      <c r="G1728" s="6">
        <v>28.42</v>
      </c>
      <c r="H1728" s="6">
        <v>113.68</v>
      </c>
      <c r="I1728" s="6">
        <v>22.74</v>
      </c>
      <c r="J1728" s="6">
        <v>90.94</v>
      </c>
      <c r="K1728" s="5">
        <v>333</v>
      </c>
    </row>
    <row r="1729" spans="1:11" x14ac:dyDescent="0.3">
      <c r="A1729" s="3">
        <v>5794</v>
      </c>
      <c r="B1729" s="3" t="s">
        <v>11</v>
      </c>
      <c r="C1729" s="4">
        <v>45369</v>
      </c>
      <c r="D1729" s="3" t="s">
        <v>27</v>
      </c>
      <c r="E1729" s="3" t="s">
        <v>32</v>
      </c>
      <c r="F1729" s="5">
        <v>4</v>
      </c>
      <c r="G1729" s="6">
        <v>1.45</v>
      </c>
      <c r="H1729" s="6">
        <v>5.8</v>
      </c>
      <c r="I1729" s="6">
        <v>0</v>
      </c>
      <c r="J1729" s="6">
        <v>5.8</v>
      </c>
      <c r="K1729" s="5">
        <v>493</v>
      </c>
    </row>
    <row r="1730" spans="1:11" x14ac:dyDescent="0.3">
      <c r="A1730" s="3">
        <v>5380</v>
      </c>
      <c r="B1730" s="3" t="s">
        <v>36</v>
      </c>
      <c r="C1730" s="4">
        <v>45811</v>
      </c>
      <c r="D1730" s="3" t="s">
        <v>12</v>
      </c>
      <c r="E1730" s="3" t="s">
        <v>41</v>
      </c>
      <c r="F1730" s="5">
        <v>2</v>
      </c>
      <c r="G1730" s="6">
        <v>6.13</v>
      </c>
      <c r="H1730" s="6">
        <v>12.26</v>
      </c>
      <c r="I1730" s="6">
        <v>1.62</v>
      </c>
      <c r="J1730" s="6">
        <v>10.64</v>
      </c>
      <c r="K1730" s="5">
        <v>4</v>
      </c>
    </row>
    <row r="1731" spans="1:11" x14ac:dyDescent="0.3">
      <c r="A1731" s="3">
        <v>9428</v>
      </c>
      <c r="B1731" s="3" t="s">
        <v>26</v>
      </c>
      <c r="C1731" s="4">
        <v>45844</v>
      </c>
      <c r="D1731" s="3" t="s">
        <v>12</v>
      </c>
      <c r="E1731" s="3" t="s">
        <v>40</v>
      </c>
      <c r="F1731" s="5">
        <v>5</v>
      </c>
      <c r="G1731" s="6">
        <v>24.26</v>
      </c>
      <c r="H1731" s="6">
        <v>121.3</v>
      </c>
      <c r="I1731" s="6">
        <v>18.2</v>
      </c>
      <c r="J1731" s="6">
        <v>103.1</v>
      </c>
      <c r="K1731" s="5">
        <v>443</v>
      </c>
    </row>
    <row r="1732" spans="1:11" x14ac:dyDescent="0.3">
      <c r="A1732" s="3">
        <v>2560</v>
      </c>
      <c r="B1732" s="3" t="s">
        <v>24</v>
      </c>
      <c r="C1732" s="4">
        <v>45250</v>
      </c>
      <c r="D1732" s="3" t="s">
        <v>34</v>
      </c>
      <c r="E1732" s="3" t="s">
        <v>16</v>
      </c>
      <c r="F1732" s="5">
        <v>2</v>
      </c>
      <c r="G1732" s="6">
        <v>6.05</v>
      </c>
      <c r="H1732" s="6">
        <v>12.1</v>
      </c>
      <c r="I1732" s="6">
        <v>0</v>
      </c>
      <c r="J1732" s="6">
        <v>12.1</v>
      </c>
      <c r="K1732" s="5">
        <v>265</v>
      </c>
    </row>
    <row r="1733" spans="1:11" x14ac:dyDescent="0.3">
      <c r="A1733" s="3">
        <v>7743</v>
      </c>
      <c r="B1733" s="3" t="s">
        <v>19</v>
      </c>
      <c r="C1733" s="4">
        <v>45858</v>
      </c>
      <c r="D1733" s="3" t="s">
        <v>22</v>
      </c>
      <c r="E1733" s="3" t="s">
        <v>48</v>
      </c>
      <c r="F1733" s="5">
        <v>2</v>
      </c>
      <c r="G1733" s="6">
        <v>1.86</v>
      </c>
      <c r="H1733" s="6">
        <v>3.72</v>
      </c>
      <c r="I1733" s="6">
        <v>0.37</v>
      </c>
      <c r="J1733" s="6">
        <v>3.35</v>
      </c>
      <c r="K1733" s="5">
        <v>104</v>
      </c>
    </row>
    <row r="1734" spans="1:11" x14ac:dyDescent="0.3">
      <c r="A1734" s="3">
        <v>1971</v>
      </c>
      <c r="B1734" s="3" t="s">
        <v>36</v>
      </c>
      <c r="C1734" s="4">
        <v>45360</v>
      </c>
      <c r="D1734" s="3" t="s">
        <v>35</v>
      </c>
      <c r="E1734" s="3" t="s">
        <v>21</v>
      </c>
      <c r="F1734" s="5">
        <v>1</v>
      </c>
      <c r="G1734" s="6">
        <v>23.7</v>
      </c>
      <c r="H1734" s="6">
        <v>23.7</v>
      </c>
      <c r="I1734" s="6">
        <v>2.37</v>
      </c>
      <c r="J1734" s="6">
        <v>21.33</v>
      </c>
      <c r="K1734" s="5">
        <v>169</v>
      </c>
    </row>
    <row r="1735" spans="1:11" x14ac:dyDescent="0.3">
      <c r="A1735" s="3">
        <v>3078</v>
      </c>
      <c r="B1735" s="3" t="s">
        <v>31</v>
      </c>
      <c r="C1735" s="4">
        <v>45689</v>
      </c>
      <c r="D1735" s="3" t="s">
        <v>34</v>
      </c>
      <c r="E1735" s="3" t="s">
        <v>16</v>
      </c>
      <c r="F1735" s="5">
        <v>1</v>
      </c>
      <c r="G1735" s="6">
        <v>16.63</v>
      </c>
      <c r="H1735" s="6">
        <v>16.63</v>
      </c>
      <c r="I1735" s="6">
        <v>3.33</v>
      </c>
      <c r="J1735" s="6">
        <v>13.3</v>
      </c>
      <c r="K1735" s="5">
        <v>390</v>
      </c>
    </row>
    <row r="1736" spans="1:11" x14ac:dyDescent="0.3">
      <c r="A1736" s="3">
        <v>3174</v>
      </c>
      <c r="B1736" s="3" t="s">
        <v>11</v>
      </c>
      <c r="C1736" s="4">
        <v>45338</v>
      </c>
      <c r="D1736" s="3" t="s">
        <v>12</v>
      </c>
      <c r="E1736" s="3" t="s">
        <v>23</v>
      </c>
      <c r="F1736" s="5">
        <v>2</v>
      </c>
      <c r="G1736" s="6">
        <v>3.66</v>
      </c>
      <c r="H1736" s="6">
        <v>7.32</v>
      </c>
      <c r="I1736" s="6">
        <v>0.73</v>
      </c>
      <c r="J1736" s="6">
        <v>6.59</v>
      </c>
      <c r="K1736" s="5">
        <v>33</v>
      </c>
    </row>
    <row r="1737" spans="1:11" x14ac:dyDescent="0.3">
      <c r="A1737" s="3">
        <v>3396</v>
      </c>
      <c r="B1737" s="3" t="s">
        <v>26</v>
      </c>
      <c r="C1737" s="4">
        <v>45697</v>
      </c>
      <c r="D1737" s="3" t="s">
        <v>20</v>
      </c>
      <c r="E1737" s="3" t="s">
        <v>18</v>
      </c>
      <c r="F1737" s="5">
        <v>4</v>
      </c>
      <c r="G1737" s="6">
        <v>4.8899999999999997</v>
      </c>
      <c r="H1737" s="6">
        <v>19.559999999999999</v>
      </c>
      <c r="I1737" s="6">
        <v>2.93</v>
      </c>
      <c r="J1737" s="6">
        <v>16.63</v>
      </c>
      <c r="K1737" s="5">
        <v>308</v>
      </c>
    </row>
    <row r="1738" spans="1:11" x14ac:dyDescent="0.3">
      <c r="A1738" s="3">
        <v>6277</v>
      </c>
      <c r="B1738" s="3" t="s">
        <v>26</v>
      </c>
      <c r="C1738" s="4">
        <v>45788</v>
      </c>
      <c r="D1738" s="3" t="s">
        <v>45</v>
      </c>
      <c r="E1738" s="3" t="s">
        <v>13</v>
      </c>
      <c r="F1738" s="5">
        <v>2</v>
      </c>
      <c r="G1738" s="6">
        <v>10.35</v>
      </c>
      <c r="H1738" s="6">
        <v>20.7</v>
      </c>
      <c r="I1738" s="6">
        <v>3.67</v>
      </c>
      <c r="J1738" s="6">
        <v>17.03</v>
      </c>
      <c r="K1738" s="5">
        <v>276</v>
      </c>
    </row>
    <row r="1739" spans="1:11" x14ac:dyDescent="0.3">
      <c r="A1739" s="3">
        <v>5055</v>
      </c>
      <c r="B1739" s="3" t="s">
        <v>11</v>
      </c>
      <c r="C1739" s="4">
        <v>45736</v>
      </c>
      <c r="D1739" s="3" t="s">
        <v>45</v>
      </c>
      <c r="E1739" s="3" t="s">
        <v>47</v>
      </c>
      <c r="F1739" s="5">
        <v>5</v>
      </c>
      <c r="G1739" s="6">
        <v>6.68</v>
      </c>
      <c r="H1739" s="6">
        <v>33.4</v>
      </c>
      <c r="I1739" s="6">
        <v>6.68</v>
      </c>
      <c r="J1739" s="6">
        <v>26.72</v>
      </c>
      <c r="K1739" s="5">
        <v>112</v>
      </c>
    </row>
    <row r="1740" spans="1:11" x14ac:dyDescent="0.3">
      <c r="A1740" s="3">
        <v>7434</v>
      </c>
      <c r="B1740" s="3" t="s">
        <v>42</v>
      </c>
      <c r="C1740" s="4">
        <v>45525</v>
      </c>
      <c r="D1740" s="3" t="s">
        <v>27</v>
      </c>
      <c r="E1740" s="3" t="s">
        <v>43</v>
      </c>
      <c r="F1740" s="5">
        <v>1</v>
      </c>
      <c r="G1740" s="6">
        <v>21.79</v>
      </c>
      <c r="H1740" s="6">
        <v>21.79</v>
      </c>
      <c r="I1740" s="6">
        <v>4.3600000000000003</v>
      </c>
      <c r="J1740" s="6">
        <v>17.43</v>
      </c>
      <c r="K1740" s="5">
        <v>144</v>
      </c>
    </row>
    <row r="1741" spans="1:11" x14ac:dyDescent="0.3">
      <c r="A1741" s="3">
        <v>3329</v>
      </c>
      <c r="B1741" s="3" t="s">
        <v>42</v>
      </c>
      <c r="C1741" s="4">
        <v>45593</v>
      </c>
      <c r="D1741" s="3" t="s">
        <v>35</v>
      </c>
      <c r="E1741" s="3" t="s">
        <v>29</v>
      </c>
      <c r="F1741" s="5">
        <v>3</v>
      </c>
      <c r="G1741" s="6">
        <v>10.52</v>
      </c>
      <c r="H1741" s="6">
        <v>31.56</v>
      </c>
      <c r="I1741" s="6">
        <v>0</v>
      </c>
      <c r="J1741" s="6">
        <v>31.56</v>
      </c>
      <c r="K1741" s="5">
        <v>498</v>
      </c>
    </row>
    <row r="1742" spans="1:11" x14ac:dyDescent="0.3">
      <c r="A1742" s="3">
        <v>5402</v>
      </c>
      <c r="B1742" s="3" t="s">
        <v>14</v>
      </c>
      <c r="C1742" s="4">
        <v>45632</v>
      </c>
      <c r="D1742" s="3" t="s">
        <v>38</v>
      </c>
      <c r="E1742" s="3" t="s">
        <v>13</v>
      </c>
      <c r="F1742" s="5">
        <v>2</v>
      </c>
      <c r="G1742" s="6">
        <v>10.5</v>
      </c>
      <c r="H1742" s="6">
        <v>21</v>
      </c>
      <c r="I1742" s="6">
        <v>3.95</v>
      </c>
      <c r="J1742" s="6">
        <v>17.05</v>
      </c>
      <c r="K1742" s="5">
        <v>191</v>
      </c>
    </row>
    <row r="1743" spans="1:11" x14ac:dyDescent="0.3">
      <c r="A1743" s="3">
        <v>7786</v>
      </c>
      <c r="B1743" s="3" t="s">
        <v>31</v>
      </c>
      <c r="C1743" s="4">
        <v>45436</v>
      </c>
      <c r="D1743" s="3" t="s">
        <v>20</v>
      </c>
      <c r="E1743" s="3" t="s">
        <v>40</v>
      </c>
      <c r="F1743" s="5">
        <v>2</v>
      </c>
      <c r="G1743" s="6">
        <v>29.4</v>
      </c>
      <c r="H1743" s="6">
        <v>58.8</v>
      </c>
      <c r="I1743" s="6">
        <v>0</v>
      </c>
      <c r="J1743" s="6">
        <v>58.8</v>
      </c>
      <c r="K1743" s="5">
        <v>7</v>
      </c>
    </row>
    <row r="1744" spans="1:11" x14ac:dyDescent="0.3">
      <c r="A1744" s="3">
        <v>8405</v>
      </c>
      <c r="B1744" s="3" t="s">
        <v>31</v>
      </c>
      <c r="C1744" s="4">
        <v>45203</v>
      </c>
      <c r="D1744" s="3" t="s">
        <v>17</v>
      </c>
      <c r="E1744" s="3" t="s">
        <v>29</v>
      </c>
      <c r="F1744" s="5">
        <v>4</v>
      </c>
      <c r="G1744" s="6">
        <v>10.34</v>
      </c>
      <c r="H1744" s="6">
        <v>41.36</v>
      </c>
      <c r="I1744" s="6">
        <v>4.1399999999999997</v>
      </c>
      <c r="J1744" s="6">
        <v>37.22</v>
      </c>
      <c r="K1744" s="5">
        <v>292</v>
      </c>
    </row>
    <row r="1745" spans="1:11" x14ac:dyDescent="0.3">
      <c r="A1745" s="3">
        <v>2525</v>
      </c>
      <c r="B1745" s="3" t="s">
        <v>36</v>
      </c>
      <c r="C1745" s="4">
        <v>45457</v>
      </c>
      <c r="D1745" s="3" t="s">
        <v>17</v>
      </c>
      <c r="E1745" s="3" t="s">
        <v>32</v>
      </c>
      <c r="F1745" s="5">
        <v>4</v>
      </c>
      <c r="G1745" s="6">
        <v>29.78</v>
      </c>
      <c r="H1745" s="6">
        <v>119.12</v>
      </c>
      <c r="I1745" s="6">
        <v>2.76</v>
      </c>
      <c r="J1745" s="6">
        <v>116.36</v>
      </c>
      <c r="K1745" s="5">
        <v>232</v>
      </c>
    </row>
    <row r="1746" spans="1:11" x14ac:dyDescent="0.3">
      <c r="A1746" s="3">
        <v>9447</v>
      </c>
      <c r="B1746" s="3" t="s">
        <v>30</v>
      </c>
      <c r="C1746" s="4">
        <v>45727</v>
      </c>
      <c r="D1746" s="3" t="s">
        <v>27</v>
      </c>
      <c r="E1746" s="3" t="s">
        <v>46</v>
      </c>
      <c r="F1746" s="5">
        <v>3</v>
      </c>
      <c r="G1746" s="6">
        <v>10.77</v>
      </c>
      <c r="H1746" s="6">
        <v>32.31</v>
      </c>
      <c r="I1746" s="6">
        <v>4.8499999999999996</v>
      </c>
      <c r="J1746" s="6">
        <v>27.46</v>
      </c>
      <c r="K1746" s="5">
        <v>456</v>
      </c>
    </row>
    <row r="1747" spans="1:11" x14ac:dyDescent="0.3">
      <c r="A1747" s="3">
        <v>5558</v>
      </c>
      <c r="B1747" s="3" t="s">
        <v>36</v>
      </c>
      <c r="C1747" s="4">
        <v>45684</v>
      </c>
      <c r="D1747" s="3" t="s">
        <v>45</v>
      </c>
      <c r="E1747" s="3" t="s">
        <v>18</v>
      </c>
      <c r="F1747" s="5">
        <v>4</v>
      </c>
      <c r="G1747" s="6">
        <v>20.22</v>
      </c>
      <c r="H1747" s="6">
        <v>80.88</v>
      </c>
      <c r="I1747" s="6">
        <v>2.0499999999999998</v>
      </c>
      <c r="J1747" s="6">
        <v>78.83</v>
      </c>
      <c r="K1747" s="5">
        <v>342</v>
      </c>
    </row>
    <row r="1748" spans="1:11" x14ac:dyDescent="0.3">
      <c r="A1748" s="3">
        <v>7046</v>
      </c>
      <c r="B1748" s="3" t="s">
        <v>36</v>
      </c>
      <c r="C1748" s="4">
        <v>45498</v>
      </c>
      <c r="D1748" s="3" t="s">
        <v>20</v>
      </c>
      <c r="E1748" s="3" t="s">
        <v>39</v>
      </c>
      <c r="F1748" s="5">
        <v>5</v>
      </c>
      <c r="G1748" s="6">
        <v>4.6500000000000004</v>
      </c>
      <c r="H1748" s="6">
        <v>23.25</v>
      </c>
      <c r="I1748" s="6">
        <v>1.48</v>
      </c>
      <c r="J1748" s="6">
        <v>21.77</v>
      </c>
      <c r="K1748" s="5">
        <v>116</v>
      </c>
    </row>
    <row r="1749" spans="1:11" x14ac:dyDescent="0.3">
      <c r="A1749" s="3">
        <v>8996</v>
      </c>
      <c r="B1749" s="3" t="s">
        <v>30</v>
      </c>
      <c r="C1749" s="4">
        <v>45399</v>
      </c>
      <c r="D1749" s="3" t="s">
        <v>34</v>
      </c>
      <c r="E1749" s="3" t="s">
        <v>23</v>
      </c>
      <c r="F1749" s="5">
        <v>3</v>
      </c>
      <c r="G1749" s="6">
        <v>14.11</v>
      </c>
      <c r="H1749" s="6">
        <v>42.33</v>
      </c>
      <c r="I1749" s="6">
        <v>1.73</v>
      </c>
      <c r="J1749" s="6">
        <v>40.6</v>
      </c>
      <c r="K1749" s="5">
        <v>283</v>
      </c>
    </row>
    <row r="1750" spans="1:11" x14ac:dyDescent="0.3">
      <c r="A1750" s="3">
        <v>1040</v>
      </c>
      <c r="B1750" s="3" t="s">
        <v>14</v>
      </c>
      <c r="C1750" s="4">
        <v>45819</v>
      </c>
      <c r="D1750" s="3" t="s">
        <v>17</v>
      </c>
      <c r="E1750" s="3" t="s">
        <v>41</v>
      </c>
      <c r="F1750" s="5">
        <v>2</v>
      </c>
      <c r="G1750" s="6">
        <v>23.49</v>
      </c>
      <c r="H1750" s="6">
        <v>46.98</v>
      </c>
      <c r="I1750" s="6">
        <v>3.4</v>
      </c>
      <c r="J1750" s="6">
        <v>43.58</v>
      </c>
      <c r="K1750" s="5">
        <v>101</v>
      </c>
    </row>
    <row r="1751" spans="1:11" x14ac:dyDescent="0.3">
      <c r="A1751" s="3">
        <v>2526</v>
      </c>
      <c r="B1751" s="3" t="s">
        <v>19</v>
      </c>
      <c r="C1751" s="4">
        <v>45712</v>
      </c>
      <c r="D1751" s="3" t="s">
        <v>28</v>
      </c>
      <c r="E1751" s="3" t="s">
        <v>46</v>
      </c>
      <c r="F1751" s="5">
        <v>5</v>
      </c>
      <c r="G1751" s="6">
        <v>2.35</v>
      </c>
      <c r="H1751" s="6">
        <v>11.75</v>
      </c>
      <c r="I1751" s="6">
        <v>1.92</v>
      </c>
      <c r="J1751" s="6">
        <v>9.83</v>
      </c>
      <c r="K1751" s="5">
        <v>272</v>
      </c>
    </row>
    <row r="1752" spans="1:11" x14ac:dyDescent="0.3">
      <c r="A1752" s="3">
        <v>8511</v>
      </c>
      <c r="B1752" s="3" t="s">
        <v>14</v>
      </c>
      <c r="C1752" s="4">
        <v>45638</v>
      </c>
      <c r="D1752" s="3" t="s">
        <v>34</v>
      </c>
      <c r="E1752" s="3" t="s">
        <v>23</v>
      </c>
      <c r="F1752" s="5">
        <v>2</v>
      </c>
      <c r="G1752" s="6">
        <v>3.89</v>
      </c>
      <c r="H1752" s="6">
        <v>7.78</v>
      </c>
      <c r="I1752" s="6">
        <v>0</v>
      </c>
      <c r="J1752" s="6">
        <v>7.78</v>
      </c>
      <c r="K1752" s="5">
        <v>84</v>
      </c>
    </row>
    <row r="1753" spans="1:11" x14ac:dyDescent="0.3">
      <c r="A1753" s="3">
        <v>6869</v>
      </c>
      <c r="B1753" s="3" t="s">
        <v>19</v>
      </c>
      <c r="C1753" s="4">
        <v>45805</v>
      </c>
      <c r="D1753" s="3" t="s">
        <v>38</v>
      </c>
      <c r="E1753" s="3" t="s">
        <v>16</v>
      </c>
      <c r="F1753" s="5">
        <v>2</v>
      </c>
      <c r="G1753" s="6">
        <v>9.06</v>
      </c>
      <c r="H1753" s="6">
        <v>18.12</v>
      </c>
      <c r="I1753" s="6">
        <v>2.72</v>
      </c>
      <c r="J1753" s="6">
        <v>15.4</v>
      </c>
      <c r="K1753" s="5">
        <v>491</v>
      </c>
    </row>
    <row r="1754" spans="1:11" x14ac:dyDescent="0.3">
      <c r="A1754" s="3">
        <v>2037</v>
      </c>
      <c r="B1754" s="3" t="s">
        <v>24</v>
      </c>
      <c r="C1754" s="4">
        <v>45763</v>
      </c>
      <c r="D1754" s="3" t="s">
        <v>38</v>
      </c>
      <c r="E1754" s="3" t="s">
        <v>16</v>
      </c>
      <c r="F1754" s="5">
        <v>4</v>
      </c>
      <c r="G1754" s="6">
        <v>14.56</v>
      </c>
      <c r="H1754" s="6">
        <v>58.24</v>
      </c>
      <c r="I1754" s="6">
        <v>1.3</v>
      </c>
      <c r="J1754" s="6">
        <v>56.94</v>
      </c>
      <c r="K1754" s="5">
        <v>69</v>
      </c>
    </row>
    <row r="1755" spans="1:11" x14ac:dyDescent="0.3">
      <c r="A1755" s="3">
        <v>9756</v>
      </c>
      <c r="B1755" s="3" t="s">
        <v>14</v>
      </c>
      <c r="C1755" s="4">
        <v>45453</v>
      </c>
      <c r="D1755" s="3" t="s">
        <v>27</v>
      </c>
      <c r="E1755" s="3" t="s">
        <v>37</v>
      </c>
      <c r="F1755" s="5">
        <v>2</v>
      </c>
      <c r="G1755" s="6">
        <v>27.76</v>
      </c>
      <c r="H1755" s="6">
        <v>55.52</v>
      </c>
      <c r="I1755" s="6">
        <v>4.0199999999999996</v>
      </c>
      <c r="J1755" s="6">
        <v>51.5</v>
      </c>
      <c r="K1755" s="5">
        <v>313</v>
      </c>
    </row>
    <row r="1756" spans="1:11" x14ac:dyDescent="0.3">
      <c r="A1756" s="3">
        <v>4568</v>
      </c>
      <c r="B1756" s="3" t="s">
        <v>19</v>
      </c>
      <c r="C1756" s="4">
        <v>45478</v>
      </c>
      <c r="D1756" s="3" t="s">
        <v>34</v>
      </c>
      <c r="E1756" s="3" t="s">
        <v>47</v>
      </c>
      <c r="F1756" s="5">
        <v>2</v>
      </c>
      <c r="G1756" s="6">
        <v>23.16</v>
      </c>
      <c r="H1756" s="6">
        <v>46.32</v>
      </c>
      <c r="I1756" s="6">
        <v>4.63</v>
      </c>
      <c r="J1756" s="6">
        <v>41.69</v>
      </c>
      <c r="K1756" s="5">
        <v>413</v>
      </c>
    </row>
    <row r="1757" spans="1:11" x14ac:dyDescent="0.3">
      <c r="A1757" s="3">
        <v>4470</v>
      </c>
      <c r="B1757" s="3" t="s">
        <v>19</v>
      </c>
      <c r="C1757" s="4">
        <v>45529</v>
      </c>
      <c r="D1757" s="3" t="s">
        <v>27</v>
      </c>
      <c r="E1757" s="3" t="s">
        <v>16</v>
      </c>
      <c r="F1757" s="5">
        <v>4</v>
      </c>
      <c r="G1757" s="6">
        <v>18.14</v>
      </c>
      <c r="H1757" s="6">
        <v>72.56</v>
      </c>
      <c r="I1757" s="6">
        <v>1.91</v>
      </c>
      <c r="J1757" s="6">
        <v>70.650000000000006</v>
      </c>
      <c r="K1757" s="5">
        <v>127</v>
      </c>
    </row>
    <row r="1758" spans="1:11" x14ac:dyDescent="0.3">
      <c r="A1758" s="3">
        <v>5399</v>
      </c>
      <c r="B1758" s="3" t="s">
        <v>30</v>
      </c>
      <c r="C1758" s="4">
        <v>45395</v>
      </c>
      <c r="D1758" s="3" t="s">
        <v>34</v>
      </c>
      <c r="E1758" s="3" t="s">
        <v>32</v>
      </c>
      <c r="F1758" s="5">
        <v>1</v>
      </c>
      <c r="G1758" s="6">
        <v>22.04</v>
      </c>
      <c r="H1758" s="6">
        <v>22.04</v>
      </c>
      <c r="I1758" s="6">
        <v>4.41</v>
      </c>
      <c r="J1758" s="6">
        <v>17.63</v>
      </c>
      <c r="K1758" s="5">
        <v>299</v>
      </c>
    </row>
    <row r="1759" spans="1:11" x14ac:dyDescent="0.3">
      <c r="A1759" s="3">
        <v>5646</v>
      </c>
      <c r="B1759" s="3" t="s">
        <v>26</v>
      </c>
      <c r="C1759" s="4">
        <v>45407</v>
      </c>
      <c r="D1759" s="3" t="s">
        <v>34</v>
      </c>
      <c r="E1759" s="3" t="s">
        <v>13</v>
      </c>
      <c r="F1759" s="5">
        <v>3</v>
      </c>
      <c r="G1759" s="6">
        <v>1.3</v>
      </c>
      <c r="H1759" s="6">
        <v>3.9</v>
      </c>
      <c r="I1759" s="6">
        <v>1.41</v>
      </c>
      <c r="J1759" s="6">
        <v>2.4900000000000002</v>
      </c>
      <c r="K1759" s="5">
        <v>60</v>
      </c>
    </row>
    <row r="1760" spans="1:11" x14ac:dyDescent="0.3">
      <c r="A1760" s="3">
        <v>9967</v>
      </c>
      <c r="B1760" s="3" t="s">
        <v>26</v>
      </c>
      <c r="C1760" s="4">
        <v>45593</v>
      </c>
      <c r="D1760" s="3" t="s">
        <v>17</v>
      </c>
      <c r="E1760" s="3" t="s">
        <v>33</v>
      </c>
      <c r="F1760" s="5">
        <v>3</v>
      </c>
      <c r="G1760" s="6">
        <v>24.83</v>
      </c>
      <c r="H1760" s="6">
        <v>74.489999999999995</v>
      </c>
      <c r="I1760" s="6">
        <v>14.9</v>
      </c>
      <c r="J1760" s="6">
        <v>59.59</v>
      </c>
      <c r="K1760" s="5">
        <v>277</v>
      </c>
    </row>
    <row r="1761" spans="1:11" x14ac:dyDescent="0.3">
      <c r="A1761" s="3">
        <v>3139</v>
      </c>
      <c r="B1761" s="3" t="s">
        <v>11</v>
      </c>
      <c r="C1761" s="4">
        <v>45584</v>
      </c>
      <c r="D1761" s="3" t="s">
        <v>22</v>
      </c>
      <c r="E1761" s="3" t="s">
        <v>13</v>
      </c>
      <c r="F1761" s="5">
        <v>1</v>
      </c>
      <c r="G1761" s="6">
        <v>12.05</v>
      </c>
      <c r="H1761" s="6">
        <v>12.05</v>
      </c>
      <c r="I1761" s="6">
        <v>3.51</v>
      </c>
      <c r="J1761" s="6">
        <v>8.5399999999999991</v>
      </c>
      <c r="K1761" s="5">
        <v>456</v>
      </c>
    </row>
    <row r="1762" spans="1:11" x14ac:dyDescent="0.3">
      <c r="A1762" s="3">
        <v>8951</v>
      </c>
      <c r="B1762" s="3" t="s">
        <v>24</v>
      </c>
      <c r="C1762" s="4">
        <v>45757</v>
      </c>
      <c r="D1762" s="3" t="s">
        <v>28</v>
      </c>
      <c r="E1762" s="3" t="s">
        <v>29</v>
      </c>
      <c r="F1762" s="5">
        <v>4</v>
      </c>
      <c r="G1762" s="6">
        <v>22.99</v>
      </c>
      <c r="H1762" s="6">
        <v>91.96</v>
      </c>
      <c r="I1762" s="6">
        <v>4.99</v>
      </c>
      <c r="J1762" s="6">
        <v>86.97</v>
      </c>
      <c r="K1762" s="5">
        <v>115</v>
      </c>
    </row>
    <row r="1763" spans="1:11" x14ac:dyDescent="0.3">
      <c r="A1763" s="3">
        <v>6631</v>
      </c>
      <c r="B1763" s="3" t="s">
        <v>36</v>
      </c>
      <c r="C1763" s="4">
        <v>45839</v>
      </c>
      <c r="D1763" s="3" t="s">
        <v>17</v>
      </c>
      <c r="E1763" s="3" t="s">
        <v>47</v>
      </c>
      <c r="F1763" s="5">
        <v>4</v>
      </c>
      <c r="G1763" s="6">
        <v>13.22</v>
      </c>
      <c r="H1763" s="6">
        <v>52.88</v>
      </c>
      <c r="I1763" s="6">
        <v>7.93</v>
      </c>
      <c r="J1763" s="6">
        <v>44.95</v>
      </c>
      <c r="K1763" s="5">
        <v>326</v>
      </c>
    </row>
    <row r="1764" spans="1:11" x14ac:dyDescent="0.3">
      <c r="A1764" s="3">
        <v>1793</v>
      </c>
      <c r="B1764" s="3" t="s">
        <v>30</v>
      </c>
      <c r="C1764" s="4">
        <v>45180</v>
      </c>
      <c r="D1764" s="3" t="s">
        <v>35</v>
      </c>
      <c r="E1764" s="3" t="s">
        <v>46</v>
      </c>
      <c r="F1764" s="5">
        <v>3</v>
      </c>
      <c r="G1764" s="6">
        <v>13.16</v>
      </c>
      <c r="H1764" s="6">
        <v>39.479999999999997</v>
      </c>
      <c r="I1764" s="6">
        <v>5.92</v>
      </c>
      <c r="J1764" s="6">
        <v>33.56</v>
      </c>
      <c r="K1764" s="5">
        <v>428</v>
      </c>
    </row>
    <row r="1765" spans="1:11" x14ac:dyDescent="0.3">
      <c r="A1765" s="3">
        <v>2631</v>
      </c>
      <c r="B1765" s="3" t="s">
        <v>11</v>
      </c>
      <c r="C1765" s="4">
        <v>45631</v>
      </c>
      <c r="D1765" s="3" t="s">
        <v>12</v>
      </c>
      <c r="E1765" s="3" t="s">
        <v>48</v>
      </c>
      <c r="F1765" s="5">
        <v>4</v>
      </c>
      <c r="G1765" s="6">
        <v>8.0299999999999994</v>
      </c>
      <c r="H1765" s="6">
        <v>32.119999999999997</v>
      </c>
      <c r="I1765" s="6">
        <v>2.74</v>
      </c>
      <c r="J1765" s="6">
        <v>29.38</v>
      </c>
      <c r="K1765" s="5">
        <v>253</v>
      </c>
    </row>
    <row r="1766" spans="1:11" x14ac:dyDescent="0.3">
      <c r="A1766" s="3">
        <v>8529</v>
      </c>
      <c r="B1766" s="3" t="s">
        <v>30</v>
      </c>
      <c r="C1766" s="4">
        <v>45157</v>
      </c>
      <c r="D1766" s="3" t="s">
        <v>15</v>
      </c>
      <c r="E1766" s="3" t="s">
        <v>47</v>
      </c>
      <c r="F1766" s="5">
        <v>5</v>
      </c>
      <c r="G1766" s="6">
        <v>18.579999999999998</v>
      </c>
      <c r="H1766" s="6">
        <v>92.9</v>
      </c>
      <c r="I1766" s="6">
        <v>3.08</v>
      </c>
      <c r="J1766" s="6">
        <v>89.82</v>
      </c>
      <c r="K1766" s="5">
        <v>289</v>
      </c>
    </row>
    <row r="1767" spans="1:11" x14ac:dyDescent="0.3">
      <c r="A1767" s="3">
        <v>3035</v>
      </c>
      <c r="B1767" s="3" t="s">
        <v>24</v>
      </c>
      <c r="C1767" s="4">
        <v>45866</v>
      </c>
      <c r="D1767" s="3" t="s">
        <v>12</v>
      </c>
      <c r="E1767" s="3" t="s">
        <v>48</v>
      </c>
      <c r="F1767" s="5">
        <v>5</v>
      </c>
      <c r="G1767" s="6">
        <v>25.3</v>
      </c>
      <c r="H1767" s="6">
        <v>126.5</v>
      </c>
      <c r="I1767" s="6">
        <v>1.38</v>
      </c>
      <c r="J1767" s="6">
        <v>125.12</v>
      </c>
      <c r="K1767" s="5">
        <v>329</v>
      </c>
    </row>
    <row r="1768" spans="1:11" x14ac:dyDescent="0.3">
      <c r="A1768" s="3">
        <v>3588</v>
      </c>
      <c r="B1768" s="3" t="s">
        <v>42</v>
      </c>
      <c r="C1768" s="4">
        <v>45487</v>
      </c>
      <c r="D1768" s="3" t="s">
        <v>22</v>
      </c>
      <c r="E1768" s="3" t="s">
        <v>16</v>
      </c>
      <c r="F1768" s="5">
        <v>4</v>
      </c>
      <c r="G1768" s="6">
        <v>21.82</v>
      </c>
      <c r="H1768" s="6">
        <v>87.28</v>
      </c>
      <c r="I1768" s="6">
        <v>0</v>
      </c>
      <c r="J1768" s="6">
        <v>87.28</v>
      </c>
      <c r="K1768" s="5">
        <v>20</v>
      </c>
    </row>
    <row r="1769" spans="1:11" x14ac:dyDescent="0.3">
      <c r="A1769" s="3">
        <v>8479</v>
      </c>
      <c r="B1769" s="3" t="s">
        <v>26</v>
      </c>
      <c r="C1769" s="4">
        <v>45145</v>
      </c>
      <c r="D1769" s="3" t="s">
        <v>45</v>
      </c>
      <c r="E1769" s="3" t="s">
        <v>46</v>
      </c>
      <c r="F1769" s="5">
        <v>1</v>
      </c>
      <c r="G1769" s="6">
        <v>28.26</v>
      </c>
      <c r="H1769" s="6">
        <v>28.26</v>
      </c>
      <c r="I1769" s="6">
        <v>0</v>
      </c>
      <c r="J1769" s="6">
        <v>28.26</v>
      </c>
      <c r="K1769" s="5">
        <v>416</v>
      </c>
    </row>
    <row r="1770" spans="1:11" x14ac:dyDescent="0.3">
      <c r="A1770" s="3">
        <v>8009</v>
      </c>
      <c r="B1770" s="3" t="s">
        <v>31</v>
      </c>
      <c r="C1770" s="4">
        <v>45302</v>
      </c>
      <c r="D1770" s="3" t="s">
        <v>17</v>
      </c>
      <c r="E1770" s="3" t="s">
        <v>29</v>
      </c>
      <c r="F1770" s="5">
        <v>1</v>
      </c>
      <c r="G1770" s="6">
        <v>19.28</v>
      </c>
      <c r="H1770" s="6">
        <v>19.28</v>
      </c>
      <c r="I1770" s="6">
        <v>2.89</v>
      </c>
      <c r="J1770" s="6">
        <v>16.39</v>
      </c>
      <c r="K1770" s="5">
        <v>168</v>
      </c>
    </row>
    <row r="1771" spans="1:11" x14ac:dyDescent="0.3">
      <c r="A1771" s="3">
        <v>3161</v>
      </c>
      <c r="B1771" s="3" t="s">
        <v>24</v>
      </c>
      <c r="C1771" s="4">
        <v>45830</v>
      </c>
      <c r="D1771" s="3" t="s">
        <v>12</v>
      </c>
      <c r="E1771" s="3" t="s">
        <v>33</v>
      </c>
      <c r="F1771" s="5">
        <v>3</v>
      </c>
      <c r="G1771" s="6">
        <v>11.39</v>
      </c>
      <c r="H1771" s="6">
        <v>34.17</v>
      </c>
      <c r="I1771" s="6">
        <v>5.13</v>
      </c>
      <c r="J1771" s="6">
        <v>29.04</v>
      </c>
      <c r="K1771" s="5">
        <v>349</v>
      </c>
    </row>
    <row r="1772" spans="1:11" x14ac:dyDescent="0.3">
      <c r="A1772" s="3">
        <v>5945</v>
      </c>
      <c r="B1772" s="3" t="s">
        <v>42</v>
      </c>
      <c r="C1772" s="4">
        <v>45268</v>
      </c>
      <c r="D1772" s="3" t="s">
        <v>35</v>
      </c>
      <c r="E1772" s="3" t="s">
        <v>33</v>
      </c>
      <c r="F1772" s="5">
        <v>1</v>
      </c>
      <c r="G1772" s="6">
        <v>10.4</v>
      </c>
      <c r="H1772" s="6">
        <v>10.4</v>
      </c>
      <c r="I1772" s="6">
        <v>2.08</v>
      </c>
      <c r="J1772" s="6">
        <v>8.32</v>
      </c>
      <c r="K1772" s="5">
        <v>357</v>
      </c>
    </row>
    <row r="1773" spans="1:11" x14ac:dyDescent="0.3">
      <c r="A1773" s="3">
        <v>5489</v>
      </c>
      <c r="B1773" s="3" t="s">
        <v>42</v>
      </c>
      <c r="C1773" s="4">
        <v>45217</v>
      </c>
      <c r="D1773" s="3" t="s">
        <v>38</v>
      </c>
      <c r="E1773" s="3" t="s">
        <v>18</v>
      </c>
      <c r="F1773" s="5">
        <v>3</v>
      </c>
      <c r="G1773" s="6">
        <v>22.47</v>
      </c>
      <c r="H1773" s="6">
        <v>67.41</v>
      </c>
      <c r="I1773" s="6">
        <v>13.48</v>
      </c>
      <c r="J1773" s="6">
        <v>53.93</v>
      </c>
      <c r="K1773" s="5">
        <v>385</v>
      </c>
    </row>
    <row r="1774" spans="1:11" x14ac:dyDescent="0.3">
      <c r="A1774" s="3">
        <v>6905</v>
      </c>
      <c r="B1774" s="3" t="s">
        <v>26</v>
      </c>
      <c r="C1774" s="4">
        <v>45339</v>
      </c>
      <c r="D1774" s="3" t="s">
        <v>15</v>
      </c>
      <c r="E1774" s="3" t="s">
        <v>21</v>
      </c>
      <c r="F1774" s="5">
        <v>3</v>
      </c>
      <c r="G1774" s="6">
        <v>18.87</v>
      </c>
      <c r="H1774" s="6">
        <v>56.61</v>
      </c>
      <c r="I1774" s="6">
        <v>8.49</v>
      </c>
      <c r="J1774" s="6">
        <v>48.12</v>
      </c>
      <c r="K1774" s="5">
        <v>378</v>
      </c>
    </row>
    <row r="1775" spans="1:11" x14ac:dyDescent="0.3">
      <c r="A1775" s="3">
        <v>2350</v>
      </c>
      <c r="B1775" s="3" t="s">
        <v>30</v>
      </c>
      <c r="C1775" s="4">
        <v>45433</v>
      </c>
      <c r="D1775" s="3" t="s">
        <v>15</v>
      </c>
      <c r="E1775" s="3" t="s">
        <v>43</v>
      </c>
      <c r="F1775" s="5">
        <v>4</v>
      </c>
      <c r="G1775" s="6">
        <v>10.06</v>
      </c>
      <c r="H1775" s="6">
        <v>40.24</v>
      </c>
      <c r="I1775" s="6">
        <v>4.0199999999999996</v>
      </c>
      <c r="J1775" s="6">
        <v>36.22</v>
      </c>
      <c r="K1775" s="5">
        <v>254</v>
      </c>
    </row>
    <row r="1776" spans="1:11" x14ac:dyDescent="0.3">
      <c r="A1776" s="3">
        <v>3711</v>
      </c>
      <c r="B1776" s="3" t="s">
        <v>42</v>
      </c>
      <c r="C1776" s="4">
        <v>45185</v>
      </c>
      <c r="D1776" s="3" t="s">
        <v>35</v>
      </c>
      <c r="E1776" s="3" t="s">
        <v>47</v>
      </c>
      <c r="F1776" s="5">
        <v>3</v>
      </c>
      <c r="G1776" s="6">
        <v>10.76</v>
      </c>
      <c r="H1776" s="6">
        <v>32.28</v>
      </c>
      <c r="I1776" s="6">
        <v>6.46</v>
      </c>
      <c r="J1776" s="6">
        <v>25.82</v>
      </c>
      <c r="K1776" s="5">
        <v>224</v>
      </c>
    </row>
    <row r="1777" spans="1:11" x14ac:dyDescent="0.3">
      <c r="A1777" s="3">
        <v>7493</v>
      </c>
      <c r="B1777" s="3" t="s">
        <v>19</v>
      </c>
      <c r="C1777" s="4">
        <v>45630</v>
      </c>
      <c r="D1777" s="3" t="s">
        <v>22</v>
      </c>
      <c r="E1777" s="3" t="s">
        <v>39</v>
      </c>
      <c r="F1777" s="5">
        <v>1</v>
      </c>
      <c r="G1777" s="6">
        <v>6.49</v>
      </c>
      <c r="H1777" s="6">
        <v>6.49</v>
      </c>
      <c r="I1777" s="6">
        <v>3.15</v>
      </c>
      <c r="J1777" s="6">
        <v>3.34</v>
      </c>
      <c r="K1777" s="5">
        <v>158</v>
      </c>
    </row>
    <row r="1778" spans="1:11" x14ac:dyDescent="0.3">
      <c r="A1778" s="3">
        <v>6005</v>
      </c>
      <c r="B1778" s="3" t="s">
        <v>24</v>
      </c>
      <c r="C1778" s="4">
        <v>45708</v>
      </c>
      <c r="D1778" s="3" t="s">
        <v>28</v>
      </c>
      <c r="E1778" s="3" t="s">
        <v>43</v>
      </c>
      <c r="F1778" s="5">
        <v>2</v>
      </c>
      <c r="G1778" s="6">
        <v>3.7</v>
      </c>
      <c r="H1778" s="6">
        <v>7.4</v>
      </c>
      <c r="I1778" s="6">
        <v>1.1100000000000001</v>
      </c>
      <c r="J1778" s="6">
        <v>6.29</v>
      </c>
      <c r="K1778" s="5">
        <v>364</v>
      </c>
    </row>
    <row r="1779" spans="1:11" x14ac:dyDescent="0.3">
      <c r="A1779" s="3">
        <v>4836</v>
      </c>
      <c r="B1779" s="3" t="s">
        <v>19</v>
      </c>
      <c r="C1779" s="4">
        <v>45478</v>
      </c>
      <c r="D1779" s="3" t="s">
        <v>22</v>
      </c>
      <c r="E1779" s="3" t="s">
        <v>18</v>
      </c>
      <c r="F1779" s="5">
        <v>3</v>
      </c>
      <c r="G1779" s="6">
        <v>12.5</v>
      </c>
      <c r="H1779" s="6">
        <v>37.5</v>
      </c>
      <c r="I1779" s="6">
        <v>4.38</v>
      </c>
      <c r="J1779" s="6">
        <v>33.119999999999997</v>
      </c>
      <c r="K1779" s="5">
        <v>471</v>
      </c>
    </row>
    <row r="1780" spans="1:11" x14ac:dyDescent="0.3">
      <c r="A1780" s="3">
        <v>2494</v>
      </c>
      <c r="B1780" s="3" t="s">
        <v>30</v>
      </c>
      <c r="C1780" s="4">
        <v>45691</v>
      </c>
      <c r="D1780" s="3" t="s">
        <v>28</v>
      </c>
      <c r="E1780" s="3" t="s">
        <v>43</v>
      </c>
      <c r="F1780" s="5">
        <v>3</v>
      </c>
      <c r="G1780" s="6">
        <v>29.97</v>
      </c>
      <c r="H1780" s="6">
        <v>89.91</v>
      </c>
      <c r="I1780" s="6">
        <v>17.98</v>
      </c>
      <c r="J1780" s="6">
        <v>71.930000000000007</v>
      </c>
      <c r="K1780" s="5">
        <v>226</v>
      </c>
    </row>
    <row r="1781" spans="1:11" x14ac:dyDescent="0.3">
      <c r="A1781" s="3">
        <v>2559</v>
      </c>
      <c r="B1781" s="3" t="s">
        <v>14</v>
      </c>
      <c r="C1781" s="4">
        <v>45145</v>
      </c>
      <c r="D1781" s="3" t="s">
        <v>34</v>
      </c>
      <c r="E1781" s="3" t="s">
        <v>13</v>
      </c>
      <c r="F1781" s="5">
        <v>1</v>
      </c>
      <c r="G1781" s="6">
        <v>15.33</v>
      </c>
      <c r="H1781" s="6">
        <v>15.33</v>
      </c>
      <c r="I1781" s="6">
        <v>3.07</v>
      </c>
      <c r="J1781" s="6">
        <v>12.26</v>
      </c>
      <c r="K1781" s="5">
        <v>426</v>
      </c>
    </row>
    <row r="1782" spans="1:11" x14ac:dyDescent="0.3">
      <c r="A1782" s="3">
        <v>4496</v>
      </c>
      <c r="B1782" s="3" t="s">
        <v>42</v>
      </c>
      <c r="C1782" s="4">
        <v>45515</v>
      </c>
      <c r="D1782" s="3" t="s">
        <v>45</v>
      </c>
      <c r="E1782" s="3" t="s">
        <v>44</v>
      </c>
      <c r="F1782" s="5">
        <v>2</v>
      </c>
      <c r="G1782" s="6">
        <v>1.35</v>
      </c>
      <c r="H1782" s="6">
        <v>2.7</v>
      </c>
      <c r="I1782" s="6">
        <v>2.93</v>
      </c>
      <c r="J1782" s="6">
        <v>-0.23</v>
      </c>
      <c r="K1782" s="5">
        <v>124</v>
      </c>
    </row>
    <row r="1783" spans="1:11" x14ac:dyDescent="0.3">
      <c r="A1783" s="3">
        <v>2276</v>
      </c>
      <c r="B1783" s="3" t="s">
        <v>26</v>
      </c>
      <c r="C1783" s="4">
        <v>45248</v>
      </c>
      <c r="D1783" s="3" t="s">
        <v>20</v>
      </c>
      <c r="E1783" s="3" t="s">
        <v>18</v>
      </c>
      <c r="F1783" s="5">
        <v>5</v>
      </c>
      <c r="G1783" s="6">
        <v>29.94</v>
      </c>
      <c r="H1783" s="6">
        <v>149.69999999999999</v>
      </c>
      <c r="I1783" s="6">
        <v>29.94</v>
      </c>
      <c r="J1783" s="6">
        <v>119.76</v>
      </c>
      <c r="K1783" s="5">
        <v>98</v>
      </c>
    </row>
    <row r="1784" spans="1:11" x14ac:dyDescent="0.3">
      <c r="A1784" s="3">
        <v>4705</v>
      </c>
      <c r="B1784" s="3" t="s">
        <v>14</v>
      </c>
      <c r="C1784" s="4">
        <v>45548</v>
      </c>
      <c r="D1784" s="3" t="s">
        <v>28</v>
      </c>
      <c r="E1784" s="3" t="s">
        <v>32</v>
      </c>
      <c r="F1784" s="5">
        <v>5</v>
      </c>
      <c r="G1784" s="6">
        <v>26.76</v>
      </c>
      <c r="H1784" s="6">
        <v>133.80000000000001</v>
      </c>
      <c r="I1784" s="6">
        <v>0</v>
      </c>
      <c r="J1784" s="6">
        <v>133.80000000000001</v>
      </c>
      <c r="K1784" s="5">
        <v>198</v>
      </c>
    </row>
    <row r="1785" spans="1:11" x14ac:dyDescent="0.3">
      <c r="A1785" s="3">
        <v>8291</v>
      </c>
      <c r="B1785" s="3" t="s">
        <v>36</v>
      </c>
      <c r="C1785" s="4">
        <v>45152</v>
      </c>
      <c r="D1785" s="3" t="s">
        <v>35</v>
      </c>
      <c r="E1785" s="3" t="s">
        <v>16</v>
      </c>
      <c r="F1785" s="5">
        <v>3</v>
      </c>
      <c r="G1785" s="6">
        <v>11.56</v>
      </c>
      <c r="H1785" s="6">
        <v>34.68</v>
      </c>
      <c r="I1785" s="6">
        <v>5.2</v>
      </c>
      <c r="J1785" s="6">
        <v>29.48</v>
      </c>
      <c r="K1785" s="5">
        <v>473</v>
      </c>
    </row>
    <row r="1786" spans="1:11" x14ac:dyDescent="0.3">
      <c r="A1786" s="3">
        <v>1132</v>
      </c>
      <c r="B1786" s="3" t="s">
        <v>14</v>
      </c>
      <c r="C1786" s="4">
        <v>45685</v>
      </c>
      <c r="D1786" s="3" t="s">
        <v>22</v>
      </c>
      <c r="E1786" s="3" t="s">
        <v>43</v>
      </c>
      <c r="F1786" s="5">
        <v>2</v>
      </c>
      <c r="G1786" s="6">
        <v>10.32</v>
      </c>
      <c r="H1786" s="6">
        <v>20.64</v>
      </c>
      <c r="I1786" s="6">
        <v>3.32</v>
      </c>
      <c r="J1786" s="6">
        <v>17.32</v>
      </c>
      <c r="K1786" s="5">
        <v>423</v>
      </c>
    </row>
    <row r="1787" spans="1:11" x14ac:dyDescent="0.3">
      <c r="A1787" s="3">
        <v>6629</v>
      </c>
      <c r="B1787" s="3" t="s">
        <v>11</v>
      </c>
      <c r="C1787" s="4">
        <v>45779</v>
      </c>
      <c r="D1787" s="3" t="s">
        <v>38</v>
      </c>
      <c r="E1787" s="3" t="s">
        <v>47</v>
      </c>
      <c r="F1787" s="5">
        <v>5</v>
      </c>
      <c r="G1787" s="6">
        <v>10.08</v>
      </c>
      <c r="H1787" s="6">
        <v>50.4</v>
      </c>
      <c r="I1787" s="6">
        <v>0</v>
      </c>
      <c r="J1787" s="6">
        <v>50.4</v>
      </c>
      <c r="K1787" s="5">
        <v>413</v>
      </c>
    </row>
    <row r="1788" spans="1:11" x14ac:dyDescent="0.3">
      <c r="A1788" s="3">
        <v>2975</v>
      </c>
      <c r="B1788" s="3" t="s">
        <v>36</v>
      </c>
      <c r="C1788" s="4">
        <v>45813</v>
      </c>
      <c r="D1788" s="3" t="s">
        <v>27</v>
      </c>
      <c r="E1788" s="3" t="s">
        <v>18</v>
      </c>
      <c r="F1788" s="5">
        <v>2</v>
      </c>
      <c r="G1788" s="6">
        <v>14.48</v>
      </c>
      <c r="H1788" s="6">
        <v>28.96</v>
      </c>
      <c r="I1788" s="6">
        <v>2.9</v>
      </c>
      <c r="J1788" s="6">
        <v>26.06</v>
      </c>
      <c r="K1788" s="5">
        <v>294</v>
      </c>
    </row>
    <row r="1789" spans="1:11" x14ac:dyDescent="0.3">
      <c r="A1789" s="3">
        <v>7919</v>
      </c>
      <c r="B1789" s="3" t="s">
        <v>26</v>
      </c>
      <c r="C1789" s="4">
        <v>45684</v>
      </c>
      <c r="D1789" s="3" t="s">
        <v>45</v>
      </c>
      <c r="E1789" s="3" t="s">
        <v>16</v>
      </c>
      <c r="F1789" s="5">
        <v>1</v>
      </c>
      <c r="G1789" s="6">
        <v>28.63</v>
      </c>
      <c r="H1789" s="6">
        <v>28.63</v>
      </c>
      <c r="I1789" s="6">
        <v>2.79</v>
      </c>
      <c r="J1789" s="6">
        <v>25.84</v>
      </c>
      <c r="K1789" s="5">
        <v>87</v>
      </c>
    </row>
    <row r="1790" spans="1:11" x14ac:dyDescent="0.3">
      <c r="A1790" s="3">
        <v>3165</v>
      </c>
      <c r="B1790" s="3" t="s">
        <v>31</v>
      </c>
      <c r="C1790" s="4">
        <v>45516</v>
      </c>
      <c r="D1790" s="3" t="s">
        <v>22</v>
      </c>
      <c r="E1790" s="3" t="s">
        <v>47</v>
      </c>
      <c r="F1790" s="5">
        <v>2</v>
      </c>
      <c r="G1790" s="6">
        <v>2.84</v>
      </c>
      <c r="H1790" s="6">
        <v>5.68</v>
      </c>
      <c r="I1790" s="6">
        <v>0</v>
      </c>
      <c r="J1790" s="6">
        <v>5.68</v>
      </c>
      <c r="K1790" s="5">
        <v>181</v>
      </c>
    </row>
    <row r="1791" spans="1:11" x14ac:dyDescent="0.3">
      <c r="A1791" s="3">
        <v>2160</v>
      </c>
      <c r="B1791" s="3" t="s">
        <v>30</v>
      </c>
      <c r="C1791" s="4">
        <v>45322</v>
      </c>
      <c r="D1791" s="3" t="s">
        <v>28</v>
      </c>
      <c r="E1791" s="3" t="s">
        <v>13</v>
      </c>
      <c r="F1791" s="5">
        <v>1</v>
      </c>
      <c r="G1791" s="6">
        <v>21.68</v>
      </c>
      <c r="H1791" s="6">
        <v>21.68</v>
      </c>
      <c r="I1791" s="6">
        <v>0</v>
      </c>
      <c r="J1791" s="6">
        <v>21.68</v>
      </c>
      <c r="K1791" s="5">
        <v>251</v>
      </c>
    </row>
    <row r="1792" spans="1:11" x14ac:dyDescent="0.3">
      <c r="A1792" s="3">
        <v>7276</v>
      </c>
      <c r="B1792" s="3" t="s">
        <v>19</v>
      </c>
      <c r="C1792" s="4">
        <v>45214</v>
      </c>
      <c r="D1792" s="3" t="s">
        <v>20</v>
      </c>
      <c r="E1792" s="3" t="s">
        <v>44</v>
      </c>
      <c r="F1792" s="5">
        <v>4</v>
      </c>
      <c r="G1792" s="6">
        <v>9.9700000000000006</v>
      </c>
      <c r="H1792" s="6">
        <v>39.880000000000003</v>
      </c>
      <c r="I1792" s="6">
        <v>5.98</v>
      </c>
      <c r="J1792" s="6">
        <v>33.9</v>
      </c>
      <c r="K1792" s="5">
        <v>356</v>
      </c>
    </row>
    <row r="1793" spans="1:11" x14ac:dyDescent="0.3">
      <c r="A1793" s="3">
        <v>2678</v>
      </c>
      <c r="B1793" s="3" t="s">
        <v>42</v>
      </c>
      <c r="C1793" s="4">
        <v>45225</v>
      </c>
      <c r="D1793" s="3" t="s">
        <v>28</v>
      </c>
      <c r="E1793" s="3" t="s">
        <v>46</v>
      </c>
      <c r="F1793" s="5">
        <v>4</v>
      </c>
      <c r="G1793" s="6">
        <v>5.17</v>
      </c>
      <c r="H1793" s="6">
        <v>20.68</v>
      </c>
      <c r="I1793" s="6">
        <v>4.88</v>
      </c>
      <c r="J1793" s="6">
        <v>15.8</v>
      </c>
      <c r="K1793" s="5">
        <v>276</v>
      </c>
    </row>
    <row r="1794" spans="1:11" x14ac:dyDescent="0.3">
      <c r="A1794" s="3">
        <v>6133</v>
      </c>
      <c r="B1794" s="3" t="s">
        <v>31</v>
      </c>
      <c r="C1794" s="4">
        <v>45430</v>
      </c>
      <c r="D1794" s="3" t="s">
        <v>22</v>
      </c>
      <c r="E1794" s="3" t="s">
        <v>48</v>
      </c>
      <c r="F1794" s="5">
        <v>1</v>
      </c>
      <c r="G1794" s="6">
        <v>18.79</v>
      </c>
      <c r="H1794" s="6">
        <v>18.79</v>
      </c>
      <c r="I1794" s="6">
        <v>0</v>
      </c>
      <c r="J1794" s="6">
        <v>18.79</v>
      </c>
      <c r="K1794" s="5">
        <v>271</v>
      </c>
    </row>
    <row r="1795" spans="1:11" x14ac:dyDescent="0.3">
      <c r="A1795" s="3">
        <v>5902</v>
      </c>
      <c r="B1795" s="3" t="s">
        <v>19</v>
      </c>
      <c r="C1795" s="4">
        <v>45251</v>
      </c>
      <c r="D1795" s="3" t="s">
        <v>17</v>
      </c>
      <c r="E1795" s="3" t="s">
        <v>25</v>
      </c>
      <c r="F1795" s="5">
        <v>5</v>
      </c>
      <c r="G1795" s="6">
        <v>23.43</v>
      </c>
      <c r="H1795" s="6">
        <v>117.15</v>
      </c>
      <c r="I1795" s="6">
        <v>3.6</v>
      </c>
      <c r="J1795" s="6">
        <v>113.55</v>
      </c>
      <c r="K1795" s="5">
        <v>91</v>
      </c>
    </row>
    <row r="1796" spans="1:11" x14ac:dyDescent="0.3">
      <c r="A1796" s="3">
        <v>7270</v>
      </c>
      <c r="B1796" s="3" t="s">
        <v>26</v>
      </c>
      <c r="C1796" s="4">
        <v>45745</v>
      </c>
      <c r="D1796" s="3" t="s">
        <v>15</v>
      </c>
      <c r="E1796" s="3" t="s">
        <v>21</v>
      </c>
      <c r="F1796" s="5">
        <v>1</v>
      </c>
      <c r="G1796" s="6">
        <v>3.72</v>
      </c>
      <c r="H1796" s="6">
        <v>3.72</v>
      </c>
      <c r="I1796" s="6">
        <v>0.37</v>
      </c>
      <c r="J1796" s="6">
        <v>3.35</v>
      </c>
      <c r="K1796" s="5">
        <v>206</v>
      </c>
    </row>
    <row r="1797" spans="1:11" x14ac:dyDescent="0.3">
      <c r="A1797" s="3">
        <v>3181</v>
      </c>
      <c r="B1797" s="3" t="s">
        <v>24</v>
      </c>
      <c r="C1797" s="4">
        <v>45643</v>
      </c>
      <c r="D1797" s="3" t="s">
        <v>45</v>
      </c>
      <c r="E1797" s="3" t="s">
        <v>41</v>
      </c>
      <c r="F1797" s="5">
        <v>3</v>
      </c>
      <c r="G1797" s="6">
        <v>6.3</v>
      </c>
      <c r="H1797" s="6">
        <v>18.899999999999999</v>
      </c>
      <c r="I1797" s="6">
        <v>3.78</v>
      </c>
      <c r="J1797" s="6">
        <v>15.12</v>
      </c>
      <c r="K1797" s="5">
        <v>159</v>
      </c>
    </row>
    <row r="1798" spans="1:11" x14ac:dyDescent="0.3">
      <c r="A1798" s="3">
        <v>3340</v>
      </c>
      <c r="B1798" s="3" t="s">
        <v>24</v>
      </c>
      <c r="C1798" s="4">
        <v>45198</v>
      </c>
      <c r="D1798" s="3" t="s">
        <v>35</v>
      </c>
      <c r="E1798" s="3" t="s">
        <v>47</v>
      </c>
      <c r="F1798" s="5">
        <v>1</v>
      </c>
      <c r="G1798" s="6">
        <v>6.34</v>
      </c>
      <c r="H1798" s="6">
        <v>6.34</v>
      </c>
      <c r="I1798" s="6">
        <v>1.27</v>
      </c>
      <c r="J1798" s="6">
        <v>5.07</v>
      </c>
      <c r="K1798" s="5">
        <v>205</v>
      </c>
    </row>
    <row r="1799" spans="1:11" x14ac:dyDescent="0.3">
      <c r="A1799" s="3">
        <v>9691</v>
      </c>
      <c r="B1799" s="3" t="s">
        <v>36</v>
      </c>
      <c r="C1799" s="4">
        <v>45582</v>
      </c>
      <c r="D1799" s="3" t="s">
        <v>27</v>
      </c>
      <c r="E1799" s="3" t="s">
        <v>43</v>
      </c>
      <c r="F1799" s="5">
        <v>3</v>
      </c>
      <c r="G1799" s="6">
        <v>14.09</v>
      </c>
      <c r="H1799" s="6">
        <v>42.27</v>
      </c>
      <c r="I1799" s="6">
        <v>4.5199999999999996</v>
      </c>
      <c r="J1799" s="6">
        <v>37.75</v>
      </c>
      <c r="K1799" s="5">
        <v>48</v>
      </c>
    </row>
    <row r="1800" spans="1:11" x14ac:dyDescent="0.3">
      <c r="A1800" s="3">
        <v>1138</v>
      </c>
      <c r="B1800" s="3" t="s">
        <v>31</v>
      </c>
      <c r="C1800" s="4">
        <v>45619</v>
      </c>
      <c r="D1800" s="3" t="s">
        <v>38</v>
      </c>
      <c r="E1800" s="3" t="s">
        <v>40</v>
      </c>
      <c r="F1800" s="5">
        <v>3</v>
      </c>
      <c r="G1800" s="6">
        <v>3.76</v>
      </c>
      <c r="H1800" s="6">
        <v>11.28</v>
      </c>
      <c r="I1800" s="6">
        <v>2.31</v>
      </c>
      <c r="J1800" s="6">
        <v>8.9700000000000006</v>
      </c>
      <c r="K1800" s="5">
        <v>0</v>
      </c>
    </row>
    <row r="1801" spans="1:11" x14ac:dyDescent="0.3">
      <c r="A1801" s="3">
        <v>3688</v>
      </c>
      <c r="B1801" s="3" t="s">
        <v>30</v>
      </c>
      <c r="C1801" s="4">
        <v>45486</v>
      </c>
      <c r="D1801" s="3" t="s">
        <v>12</v>
      </c>
      <c r="E1801" s="3" t="s">
        <v>23</v>
      </c>
      <c r="F1801" s="5">
        <v>1</v>
      </c>
      <c r="G1801" s="6">
        <v>28.71</v>
      </c>
      <c r="H1801" s="6">
        <v>28.71</v>
      </c>
      <c r="I1801" s="6">
        <v>5.74</v>
      </c>
      <c r="J1801" s="6">
        <v>22.97</v>
      </c>
      <c r="K1801" s="5">
        <v>96</v>
      </c>
    </row>
    <row r="1802" spans="1:11" x14ac:dyDescent="0.3">
      <c r="A1802" s="3">
        <v>6753</v>
      </c>
      <c r="B1802" s="3" t="s">
        <v>14</v>
      </c>
      <c r="C1802" s="4">
        <v>45706</v>
      </c>
      <c r="D1802" s="3" t="s">
        <v>17</v>
      </c>
      <c r="E1802" s="3" t="s">
        <v>23</v>
      </c>
      <c r="F1802" s="5">
        <v>1</v>
      </c>
      <c r="G1802" s="6">
        <v>26.28</v>
      </c>
      <c r="H1802" s="6">
        <v>26.28</v>
      </c>
      <c r="I1802" s="6">
        <v>2.5</v>
      </c>
      <c r="J1802" s="6">
        <v>23.78</v>
      </c>
      <c r="K1802" s="5">
        <v>467</v>
      </c>
    </row>
    <row r="1803" spans="1:11" x14ac:dyDescent="0.3">
      <c r="A1803" s="3">
        <v>4490</v>
      </c>
      <c r="B1803" s="3" t="s">
        <v>19</v>
      </c>
      <c r="C1803" s="4">
        <v>45632</v>
      </c>
      <c r="D1803" s="3" t="s">
        <v>45</v>
      </c>
      <c r="E1803" s="3" t="s">
        <v>29</v>
      </c>
      <c r="F1803" s="5">
        <v>5</v>
      </c>
      <c r="G1803" s="6">
        <v>5.31</v>
      </c>
      <c r="H1803" s="6">
        <v>26.55</v>
      </c>
      <c r="I1803" s="6">
        <v>3.49</v>
      </c>
      <c r="J1803" s="6">
        <v>23.06</v>
      </c>
      <c r="K1803" s="5">
        <v>419</v>
      </c>
    </row>
    <row r="1804" spans="1:11" x14ac:dyDescent="0.3">
      <c r="A1804" s="3">
        <v>3480</v>
      </c>
      <c r="B1804" s="3" t="s">
        <v>14</v>
      </c>
      <c r="C1804" s="4">
        <v>45859</v>
      </c>
      <c r="D1804" s="3" t="s">
        <v>15</v>
      </c>
      <c r="E1804" s="3" t="s">
        <v>37</v>
      </c>
      <c r="F1804" s="5">
        <v>3</v>
      </c>
      <c r="G1804" s="6">
        <v>4.12</v>
      </c>
      <c r="H1804" s="6">
        <v>12.36</v>
      </c>
      <c r="I1804" s="6">
        <v>3.07</v>
      </c>
      <c r="J1804" s="6">
        <v>9.2899999999999991</v>
      </c>
      <c r="K1804" s="5">
        <v>349</v>
      </c>
    </row>
    <row r="1805" spans="1:11" x14ac:dyDescent="0.3">
      <c r="A1805" s="3">
        <v>7745</v>
      </c>
      <c r="B1805" s="3" t="s">
        <v>11</v>
      </c>
      <c r="C1805" s="4">
        <v>45623</v>
      </c>
      <c r="D1805" s="3" t="s">
        <v>45</v>
      </c>
      <c r="E1805" s="3" t="s">
        <v>44</v>
      </c>
      <c r="F1805" s="5">
        <v>5</v>
      </c>
      <c r="G1805" s="6">
        <v>5.49</v>
      </c>
      <c r="H1805" s="6">
        <v>27.45</v>
      </c>
      <c r="I1805" s="6">
        <v>2.75</v>
      </c>
      <c r="J1805" s="6">
        <v>24.7</v>
      </c>
      <c r="K1805" s="5">
        <v>313</v>
      </c>
    </row>
    <row r="1806" spans="1:11" x14ac:dyDescent="0.3">
      <c r="A1806" s="3">
        <v>8248</v>
      </c>
      <c r="B1806" s="3" t="s">
        <v>14</v>
      </c>
      <c r="C1806" s="4">
        <v>45812</v>
      </c>
      <c r="D1806" s="3" t="s">
        <v>20</v>
      </c>
      <c r="E1806" s="3" t="s">
        <v>33</v>
      </c>
      <c r="F1806" s="5">
        <v>1</v>
      </c>
      <c r="G1806" s="6">
        <v>20.38</v>
      </c>
      <c r="H1806" s="6">
        <v>20.38</v>
      </c>
      <c r="I1806" s="6">
        <v>4.08</v>
      </c>
      <c r="J1806" s="6">
        <v>16.3</v>
      </c>
      <c r="K1806" s="5">
        <v>33</v>
      </c>
    </row>
    <row r="1807" spans="1:11" x14ac:dyDescent="0.3">
      <c r="A1807" s="3">
        <v>4559</v>
      </c>
      <c r="B1807" s="3" t="s">
        <v>36</v>
      </c>
      <c r="C1807" s="4">
        <v>45212</v>
      </c>
      <c r="D1807" s="3" t="s">
        <v>34</v>
      </c>
      <c r="E1807" s="3" t="s">
        <v>25</v>
      </c>
      <c r="F1807" s="5">
        <v>4</v>
      </c>
      <c r="G1807" s="6">
        <v>6.45</v>
      </c>
      <c r="H1807" s="6">
        <v>25.8</v>
      </c>
      <c r="I1807" s="6">
        <v>3.87</v>
      </c>
      <c r="J1807" s="6">
        <v>21.93</v>
      </c>
      <c r="K1807" s="5">
        <v>206</v>
      </c>
    </row>
    <row r="1808" spans="1:11" x14ac:dyDescent="0.3">
      <c r="A1808" s="3">
        <v>2646</v>
      </c>
      <c r="B1808" s="3" t="s">
        <v>31</v>
      </c>
      <c r="C1808" s="4">
        <v>45253</v>
      </c>
      <c r="D1808" s="3" t="s">
        <v>45</v>
      </c>
      <c r="E1808" s="3" t="s">
        <v>48</v>
      </c>
      <c r="F1808" s="5">
        <v>5</v>
      </c>
      <c r="G1808" s="6">
        <v>3.63</v>
      </c>
      <c r="H1808" s="6">
        <v>18.149999999999999</v>
      </c>
      <c r="I1808" s="6">
        <v>3.25</v>
      </c>
      <c r="J1808" s="6">
        <v>14.9</v>
      </c>
      <c r="K1808" s="5">
        <v>335</v>
      </c>
    </row>
    <row r="1809" spans="1:11" x14ac:dyDescent="0.3">
      <c r="A1809" s="3">
        <v>3017</v>
      </c>
      <c r="B1809" s="3" t="s">
        <v>14</v>
      </c>
      <c r="C1809" s="4">
        <v>45602</v>
      </c>
      <c r="D1809" s="3" t="s">
        <v>38</v>
      </c>
      <c r="E1809" s="3" t="s">
        <v>32</v>
      </c>
      <c r="F1809" s="5">
        <v>5</v>
      </c>
      <c r="G1809" s="6">
        <v>19.64</v>
      </c>
      <c r="H1809" s="6">
        <v>98.2</v>
      </c>
      <c r="I1809" s="6">
        <v>19.64</v>
      </c>
      <c r="J1809" s="6">
        <v>78.56</v>
      </c>
      <c r="K1809" s="5">
        <v>144</v>
      </c>
    </row>
    <row r="1810" spans="1:11" x14ac:dyDescent="0.3">
      <c r="A1810" s="3">
        <v>7291</v>
      </c>
      <c r="B1810" s="3" t="s">
        <v>26</v>
      </c>
      <c r="C1810" s="4">
        <v>45418</v>
      </c>
      <c r="D1810" s="3" t="s">
        <v>17</v>
      </c>
      <c r="E1810" s="3" t="s">
        <v>37</v>
      </c>
      <c r="F1810" s="5">
        <v>4</v>
      </c>
      <c r="G1810" s="6">
        <v>12.71</v>
      </c>
      <c r="H1810" s="6">
        <v>50.84</v>
      </c>
      <c r="I1810" s="6">
        <v>5.08</v>
      </c>
      <c r="J1810" s="6">
        <v>45.76</v>
      </c>
      <c r="K1810" s="5">
        <v>193</v>
      </c>
    </row>
    <row r="1811" spans="1:11" x14ac:dyDescent="0.3">
      <c r="A1811" s="3">
        <v>8035</v>
      </c>
      <c r="B1811" s="3" t="s">
        <v>31</v>
      </c>
      <c r="C1811" s="4">
        <v>45389</v>
      </c>
      <c r="D1811" s="3" t="s">
        <v>45</v>
      </c>
      <c r="E1811" s="3" t="s">
        <v>48</v>
      </c>
      <c r="F1811" s="5">
        <v>3</v>
      </c>
      <c r="G1811" s="6">
        <v>17.27</v>
      </c>
      <c r="H1811" s="6">
        <v>51.81</v>
      </c>
      <c r="I1811" s="6">
        <v>7.77</v>
      </c>
      <c r="J1811" s="6">
        <v>44.04</v>
      </c>
      <c r="K1811" s="5">
        <v>312</v>
      </c>
    </row>
    <row r="1812" spans="1:11" x14ac:dyDescent="0.3">
      <c r="A1812" s="3">
        <v>3290</v>
      </c>
      <c r="B1812" s="3" t="s">
        <v>26</v>
      </c>
      <c r="C1812" s="4">
        <v>45337</v>
      </c>
      <c r="D1812" s="3" t="s">
        <v>35</v>
      </c>
      <c r="E1812" s="3" t="s">
        <v>40</v>
      </c>
      <c r="F1812" s="5">
        <v>5</v>
      </c>
      <c r="G1812" s="6">
        <v>25.1</v>
      </c>
      <c r="H1812" s="6">
        <v>125.5</v>
      </c>
      <c r="I1812" s="6">
        <v>18.82</v>
      </c>
      <c r="J1812" s="6">
        <v>106.68</v>
      </c>
      <c r="K1812" s="5">
        <v>96</v>
      </c>
    </row>
    <row r="1813" spans="1:11" x14ac:dyDescent="0.3">
      <c r="A1813" s="3">
        <v>5537</v>
      </c>
      <c r="B1813" s="3" t="s">
        <v>14</v>
      </c>
      <c r="C1813" s="4">
        <v>45645</v>
      </c>
      <c r="D1813" s="3" t="s">
        <v>34</v>
      </c>
      <c r="E1813" s="3" t="s">
        <v>21</v>
      </c>
      <c r="F1813" s="5">
        <v>1</v>
      </c>
      <c r="G1813" s="6">
        <v>16.48</v>
      </c>
      <c r="H1813" s="6">
        <v>16.48</v>
      </c>
      <c r="I1813" s="6">
        <v>1.65</v>
      </c>
      <c r="J1813" s="6">
        <v>14.83</v>
      </c>
      <c r="K1813" s="5">
        <v>24</v>
      </c>
    </row>
    <row r="1814" spans="1:11" x14ac:dyDescent="0.3">
      <c r="A1814" s="3">
        <v>2380</v>
      </c>
      <c r="B1814" s="3" t="s">
        <v>42</v>
      </c>
      <c r="C1814" s="4">
        <v>45337</v>
      </c>
      <c r="D1814" s="3" t="s">
        <v>22</v>
      </c>
      <c r="E1814" s="3" t="s">
        <v>18</v>
      </c>
      <c r="F1814" s="5">
        <v>1</v>
      </c>
      <c r="G1814" s="6">
        <v>24.88</v>
      </c>
      <c r="H1814" s="6">
        <v>24.88</v>
      </c>
      <c r="I1814" s="6">
        <v>0</v>
      </c>
      <c r="J1814" s="6">
        <v>24.88</v>
      </c>
      <c r="K1814" s="5">
        <v>350</v>
      </c>
    </row>
    <row r="1815" spans="1:11" x14ac:dyDescent="0.3">
      <c r="A1815" s="3">
        <v>5668</v>
      </c>
      <c r="B1815" s="3" t="s">
        <v>14</v>
      </c>
      <c r="C1815" s="4">
        <v>45750</v>
      </c>
      <c r="D1815" s="3" t="s">
        <v>38</v>
      </c>
      <c r="E1815" s="3" t="s">
        <v>29</v>
      </c>
      <c r="F1815" s="5">
        <v>5</v>
      </c>
      <c r="G1815" s="6">
        <v>11.74</v>
      </c>
      <c r="H1815" s="6">
        <v>58.7</v>
      </c>
      <c r="I1815" s="6">
        <v>11.74</v>
      </c>
      <c r="J1815" s="6">
        <v>46.96</v>
      </c>
      <c r="K1815" s="5">
        <v>357</v>
      </c>
    </row>
    <row r="1816" spans="1:11" x14ac:dyDescent="0.3">
      <c r="A1816" s="3">
        <v>1439</v>
      </c>
      <c r="B1816" s="3" t="s">
        <v>11</v>
      </c>
      <c r="C1816" s="4">
        <v>45803</v>
      </c>
      <c r="D1816" s="3" t="s">
        <v>45</v>
      </c>
      <c r="E1816" s="3" t="s">
        <v>29</v>
      </c>
      <c r="F1816" s="5">
        <v>2</v>
      </c>
      <c r="G1816" s="6">
        <v>21.65</v>
      </c>
      <c r="H1816" s="6">
        <v>43.3</v>
      </c>
      <c r="I1816" s="6">
        <v>4.33</v>
      </c>
      <c r="J1816" s="6">
        <v>38.97</v>
      </c>
      <c r="K1816" s="5">
        <v>37</v>
      </c>
    </row>
    <row r="1817" spans="1:11" x14ac:dyDescent="0.3">
      <c r="A1817" s="3">
        <v>5942</v>
      </c>
      <c r="B1817" s="3" t="s">
        <v>42</v>
      </c>
      <c r="C1817" s="4">
        <v>45304</v>
      </c>
      <c r="D1817" s="3" t="s">
        <v>28</v>
      </c>
      <c r="E1817" s="3" t="s">
        <v>39</v>
      </c>
      <c r="F1817" s="5">
        <v>1</v>
      </c>
      <c r="G1817" s="6">
        <v>27.73</v>
      </c>
      <c r="H1817" s="6">
        <v>27.73</v>
      </c>
      <c r="I1817" s="6">
        <v>4.16</v>
      </c>
      <c r="J1817" s="6">
        <v>23.57</v>
      </c>
      <c r="K1817" s="5">
        <v>105</v>
      </c>
    </row>
    <row r="1818" spans="1:11" x14ac:dyDescent="0.3">
      <c r="A1818" s="3">
        <v>9482</v>
      </c>
      <c r="B1818" s="3" t="s">
        <v>31</v>
      </c>
      <c r="C1818" s="4">
        <v>45616</v>
      </c>
      <c r="D1818" s="3" t="s">
        <v>17</v>
      </c>
      <c r="E1818" s="3" t="s">
        <v>21</v>
      </c>
      <c r="F1818" s="5">
        <v>2</v>
      </c>
      <c r="G1818" s="6">
        <v>29.62</v>
      </c>
      <c r="H1818" s="6">
        <v>59.24</v>
      </c>
      <c r="I1818" s="6">
        <v>8.89</v>
      </c>
      <c r="J1818" s="6">
        <v>50.35</v>
      </c>
      <c r="K1818" s="5">
        <v>423</v>
      </c>
    </row>
    <row r="1819" spans="1:11" x14ac:dyDescent="0.3">
      <c r="A1819" s="3">
        <v>9348</v>
      </c>
      <c r="B1819" s="3" t="s">
        <v>24</v>
      </c>
      <c r="C1819" s="4">
        <v>45291</v>
      </c>
      <c r="D1819" s="3" t="s">
        <v>12</v>
      </c>
      <c r="E1819" s="3" t="s">
        <v>41</v>
      </c>
      <c r="F1819" s="5">
        <v>2</v>
      </c>
      <c r="G1819" s="6">
        <v>18.350000000000001</v>
      </c>
      <c r="H1819" s="6">
        <v>36.700000000000003</v>
      </c>
      <c r="I1819" s="6">
        <v>3.67</v>
      </c>
      <c r="J1819" s="6">
        <v>33.03</v>
      </c>
      <c r="K1819" s="5">
        <v>318</v>
      </c>
    </row>
    <row r="1820" spans="1:11" x14ac:dyDescent="0.3">
      <c r="A1820" s="3">
        <v>7418</v>
      </c>
      <c r="B1820" s="3" t="s">
        <v>30</v>
      </c>
      <c r="C1820" s="4">
        <v>45374</v>
      </c>
      <c r="D1820" s="3" t="s">
        <v>17</v>
      </c>
      <c r="E1820" s="3" t="s">
        <v>13</v>
      </c>
      <c r="F1820" s="5">
        <v>4</v>
      </c>
      <c r="G1820" s="6">
        <v>21.01</v>
      </c>
      <c r="H1820" s="6">
        <v>84.04</v>
      </c>
      <c r="I1820" s="6">
        <v>8.4</v>
      </c>
      <c r="J1820" s="6">
        <v>75.64</v>
      </c>
      <c r="K1820" s="5">
        <v>212</v>
      </c>
    </row>
    <row r="1821" spans="1:11" x14ac:dyDescent="0.3">
      <c r="A1821" s="3">
        <v>1894</v>
      </c>
      <c r="B1821" s="3" t="s">
        <v>30</v>
      </c>
      <c r="C1821" s="4">
        <v>45753</v>
      </c>
      <c r="D1821" s="3" t="s">
        <v>17</v>
      </c>
      <c r="E1821" s="3" t="s">
        <v>47</v>
      </c>
      <c r="F1821" s="5">
        <v>3</v>
      </c>
      <c r="G1821" s="6">
        <v>18.39</v>
      </c>
      <c r="H1821" s="6">
        <v>55.17</v>
      </c>
      <c r="I1821" s="6">
        <v>3.78</v>
      </c>
      <c r="J1821" s="6">
        <v>51.39</v>
      </c>
      <c r="K1821" s="5">
        <v>320</v>
      </c>
    </row>
    <row r="1822" spans="1:11" x14ac:dyDescent="0.3">
      <c r="A1822" s="3">
        <v>4921</v>
      </c>
      <c r="B1822" s="3" t="s">
        <v>26</v>
      </c>
      <c r="C1822" s="4">
        <v>45529</v>
      </c>
      <c r="D1822" s="3" t="s">
        <v>34</v>
      </c>
      <c r="E1822" s="3" t="s">
        <v>25</v>
      </c>
      <c r="F1822" s="5">
        <v>1</v>
      </c>
      <c r="G1822" s="6">
        <v>19.48</v>
      </c>
      <c r="H1822" s="6">
        <v>19.48</v>
      </c>
      <c r="I1822" s="6">
        <v>1.95</v>
      </c>
      <c r="J1822" s="6">
        <v>17.53</v>
      </c>
      <c r="K1822" s="5">
        <v>59</v>
      </c>
    </row>
    <row r="1823" spans="1:11" x14ac:dyDescent="0.3">
      <c r="A1823" s="3">
        <v>7322</v>
      </c>
      <c r="B1823" s="3" t="s">
        <v>11</v>
      </c>
      <c r="C1823" s="4">
        <v>45232</v>
      </c>
      <c r="D1823" s="3" t="s">
        <v>34</v>
      </c>
      <c r="E1823" s="3" t="s">
        <v>18</v>
      </c>
      <c r="F1823" s="5">
        <v>3</v>
      </c>
      <c r="G1823" s="6">
        <v>5.84</v>
      </c>
      <c r="H1823" s="6">
        <v>17.52</v>
      </c>
      <c r="I1823" s="6">
        <v>0</v>
      </c>
      <c r="J1823" s="6">
        <v>17.52</v>
      </c>
      <c r="K1823" s="5">
        <v>378</v>
      </c>
    </row>
    <row r="1824" spans="1:11" x14ac:dyDescent="0.3">
      <c r="A1824" s="3">
        <v>4949</v>
      </c>
      <c r="B1824" s="3" t="s">
        <v>24</v>
      </c>
      <c r="C1824" s="4">
        <v>45533</v>
      </c>
      <c r="D1824" s="3" t="s">
        <v>35</v>
      </c>
      <c r="E1824" s="3" t="s">
        <v>18</v>
      </c>
      <c r="F1824" s="5">
        <v>3</v>
      </c>
      <c r="G1824" s="6">
        <v>9.25</v>
      </c>
      <c r="H1824" s="6">
        <v>27.75</v>
      </c>
      <c r="I1824" s="6">
        <v>4.04</v>
      </c>
      <c r="J1824" s="6">
        <v>23.71</v>
      </c>
      <c r="K1824" s="5">
        <v>291</v>
      </c>
    </row>
    <row r="1825" spans="1:11" x14ac:dyDescent="0.3">
      <c r="A1825" s="3">
        <v>2163</v>
      </c>
      <c r="B1825" s="3"/>
      <c r="C1825" s="4">
        <v>45555</v>
      </c>
      <c r="D1825" s="3" t="s">
        <v>17</v>
      </c>
      <c r="E1825" s="3" t="s">
        <v>43</v>
      </c>
      <c r="F1825" s="5">
        <v>5</v>
      </c>
      <c r="G1825" s="6">
        <v>25.54</v>
      </c>
      <c r="H1825" s="6">
        <v>127.7</v>
      </c>
      <c r="I1825" s="6">
        <v>4.9800000000000004</v>
      </c>
      <c r="J1825" s="6">
        <v>122.72</v>
      </c>
      <c r="K1825" s="5">
        <v>102</v>
      </c>
    </row>
    <row r="1826" spans="1:11" x14ac:dyDescent="0.3">
      <c r="A1826" s="3">
        <v>1197</v>
      </c>
      <c r="B1826" s="3" t="s">
        <v>26</v>
      </c>
      <c r="C1826" s="4">
        <v>45425</v>
      </c>
      <c r="D1826" s="3" t="s">
        <v>45</v>
      </c>
      <c r="E1826" s="3" t="s">
        <v>48</v>
      </c>
      <c r="F1826" s="5">
        <v>1</v>
      </c>
      <c r="G1826" s="6">
        <v>7.62</v>
      </c>
      <c r="H1826" s="6">
        <v>7.62</v>
      </c>
      <c r="I1826" s="6">
        <v>1.52</v>
      </c>
      <c r="J1826" s="6">
        <v>6.1</v>
      </c>
      <c r="K1826" s="5">
        <v>426</v>
      </c>
    </row>
    <row r="1827" spans="1:11" x14ac:dyDescent="0.3">
      <c r="A1827" s="3">
        <v>6185</v>
      </c>
      <c r="B1827" s="3" t="s">
        <v>11</v>
      </c>
      <c r="C1827" s="4">
        <v>45247</v>
      </c>
      <c r="D1827" s="3" t="s">
        <v>15</v>
      </c>
      <c r="E1827" s="3" t="s">
        <v>25</v>
      </c>
      <c r="F1827" s="5">
        <v>4</v>
      </c>
      <c r="G1827" s="6">
        <v>18.829999999999998</v>
      </c>
      <c r="H1827" s="6">
        <v>75.319999999999993</v>
      </c>
      <c r="I1827" s="6">
        <v>7.53</v>
      </c>
      <c r="J1827" s="6">
        <v>67.790000000000006</v>
      </c>
      <c r="K1827" s="5">
        <v>224</v>
      </c>
    </row>
    <row r="1828" spans="1:11" x14ac:dyDescent="0.3">
      <c r="A1828" s="3">
        <v>7337</v>
      </c>
      <c r="B1828" s="3" t="s">
        <v>31</v>
      </c>
      <c r="C1828" s="4">
        <v>45813</v>
      </c>
      <c r="D1828" s="3" t="s">
        <v>27</v>
      </c>
      <c r="E1828" s="3" t="s">
        <v>46</v>
      </c>
      <c r="F1828" s="5">
        <v>2</v>
      </c>
      <c r="G1828" s="6">
        <v>23.28</v>
      </c>
      <c r="H1828" s="6">
        <v>46.56</v>
      </c>
      <c r="I1828" s="6">
        <v>3.28</v>
      </c>
      <c r="J1828" s="6">
        <v>43.28</v>
      </c>
      <c r="K1828" s="5">
        <v>371</v>
      </c>
    </row>
    <row r="1829" spans="1:11" x14ac:dyDescent="0.3">
      <c r="A1829" s="3">
        <v>7895</v>
      </c>
      <c r="B1829" s="3" t="s">
        <v>19</v>
      </c>
      <c r="C1829" s="4">
        <v>45428</v>
      </c>
      <c r="D1829" s="3" t="s">
        <v>22</v>
      </c>
      <c r="E1829" s="3" t="s">
        <v>13</v>
      </c>
      <c r="F1829" s="5">
        <v>2</v>
      </c>
      <c r="G1829" s="6">
        <v>11.14</v>
      </c>
      <c r="H1829" s="6">
        <v>22.28</v>
      </c>
      <c r="I1829" s="6">
        <v>2.23</v>
      </c>
      <c r="J1829" s="6">
        <v>20.05</v>
      </c>
      <c r="K1829" s="5">
        <v>102</v>
      </c>
    </row>
    <row r="1830" spans="1:11" x14ac:dyDescent="0.3">
      <c r="A1830" s="3">
        <v>9951</v>
      </c>
      <c r="B1830" s="3" t="s">
        <v>24</v>
      </c>
      <c r="C1830" s="4">
        <v>45675</v>
      </c>
      <c r="D1830" s="3" t="s">
        <v>34</v>
      </c>
      <c r="E1830" s="3" t="s">
        <v>37</v>
      </c>
      <c r="F1830" s="5">
        <v>5</v>
      </c>
      <c r="G1830" s="6">
        <v>2.84</v>
      </c>
      <c r="H1830" s="6">
        <v>14.2</v>
      </c>
      <c r="I1830" s="6">
        <v>2.13</v>
      </c>
      <c r="J1830" s="6">
        <v>12.07</v>
      </c>
      <c r="K1830" s="5">
        <v>94</v>
      </c>
    </row>
    <row r="1831" spans="1:11" x14ac:dyDescent="0.3">
      <c r="A1831" s="3">
        <v>3830</v>
      </c>
      <c r="B1831" s="3" t="s">
        <v>26</v>
      </c>
      <c r="C1831" s="4">
        <v>45737</v>
      </c>
      <c r="D1831" s="3" t="s">
        <v>12</v>
      </c>
      <c r="E1831" s="3" t="s">
        <v>33</v>
      </c>
      <c r="F1831" s="5">
        <v>1</v>
      </c>
      <c r="G1831" s="6">
        <v>25.45</v>
      </c>
      <c r="H1831" s="6">
        <v>25.45</v>
      </c>
      <c r="I1831" s="6">
        <v>1.64</v>
      </c>
      <c r="J1831" s="6">
        <v>23.81</v>
      </c>
      <c r="K1831" s="5">
        <v>308</v>
      </c>
    </row>
    <row r="1832" spans="1:11" x14ac:dyDescent="0.3">
      <c r="A1832" s="3">
        <v>8717</v>
      </c>
      <c r="B1832" s="3" t="s">
        <v>14</v>
      </c>
      <c r="C1832" s="4">
        <v>45743</v>
      </c>
      <c r="D1832" s="3" t="s">
        <v>22</v>
      </c>
      <c r="E1832" s="3" t="s">
        <v>40</v>
      </c>
      <c r="F1832" s="5">
        <v>1</v>
      </c>
      <c r="G1832" s="6">
        <v>20.85</v>
      </c>
      <c r="H1832" s="6">
        <v>20.85</v>
      </c>
      <c r="I1832" s="6">
        <v>3.88</v>
      </c>
      <c r="J1832" s="6">
        <v>16.97</v>
      </c>
      <c r="K1832" s="5">
        <v>209</v>
      </c>
    </row>
    <row r="1833" spans="1:11" x14ac:dyDescent="0.3">
      <c r="A1833" s="3">
        <v>2195</v>
      </c>
      <c r="B1833" s="3" t="s">
        <v>36</v>
      </c>
      <c r="C1833" s="4">
        <v>45157</v>
      </c>
      <c r="D1833" s="3" t="s">
        <v>22</v>
      </c>
      <c r="E1833" s="3" t="s">
        <v>40</v>
      </c>
      <c r="F1833" s="5">
        <v>2</v>
      </c>
      <c r="G1833" s="6">
        <v>27.13</v>
      </c>
      <c r="H1833" s="6">
        <v>54.26</v>
      </c>
      <c r="I1833" s="6">
        <v>2.52</v>
      </c>
      <c r="J1833" s="6">
        <v>51.74</v>
      </c>
      <c r="K1833" s="5">
        <v>350</v>
      </c>
    </row>
    <row r="1834" spans="1:11" x14ac:dyDescent="0.3">
      <c r="A1834" s="3">
        <v>2106</v>
      </c>
      <c r="B1834" s="3" t="s">
        <v>31</v>
      </c>
      <c r="C1834" s="4">
        <v>45155</v>
      </c>
      <c r="D1834" s="3" t="s">
        <v>20</v>
      </c>
      <c r="E1834" s="3" t="s">
        <v>48</v>
      </c>
      <c r="F1834" s="5">
        <v>2</v>
      </c>
      <c r="G1834" s="6">
        <v>23.09</v>
      </c>
      <c r="H1834" s="6">
        <v>46.18</v>
      </c>
      <c r="I1834" s="6">
        <v>3.6</v>
      </c>
      <c r="J1834" s="6">
        <v>42.58</v>
      </c>
      <c r="K1834" s="5">
        <v>18</v>
      </c>
    </row>
    <row r="1835" spans="1:11" x14ac:dyDescent="0.3">
      <c r="A1835" s="3">
        <v>5295</v>
      </c>
      <c r="B1835" s="3" t="s">
        <v>26</v>
      </c>
      <c r="C1835" s="4">
        <v>45312</v>
      </c>
      <c r="D1835" s="3" t="s">
        <v>28</v>
      </c>
      <c r="E1835" s="3" t="s">
        <v>32</v>
      </c>
      <c r="F1835" s="5">
        <v>3</v>
      </c>
      <c r="G1835" s="6">
        <v>20.87</v>
      </c>
      <c r="H1835" s="6">
        <v>62.61</v>
      </c>
      <c r="I1835" s="6">
        <v>0</v>
      </c>
      <c r="J1835" s="6">
        <v>62.61</v>
      </c>
      <c r="K1835" s="5">
        <v>198</v>
      </c>
    </row>
    <row r="1836" spans="1:11" x14ac:dyDescent="0.3">
      <c r="A1836" s="3">
        <v>1652</v>
      </c>
      <c r="B1836" s="3" t="s">
        <v>42</v>
      </c>
      <c r="C1836" s="4">
        <v>45861</v>
      </c>
      <c r="D1836" s="3" t="s">
        <v>27</v>
      </c>
      <c r="E1836" s="3" t="s">
        <v>47</v>
      </c>
      <c r="F1836" s="5">
        <v>5</v>
      </c>
      <c r="G1836" s="6">
        <v>8.24</v>
      </c>
      <c r="H1836" s="6">
        <v>41.2</v>
      </c>
      <c r="I1836" s="6">
        <v>4.12</v>
      </c>
      <c r="J1836" s="6">
        <v>37.08</v>
      </c>
      <c r="K1836" s="5">
        <v>325</v>
      </c>
    </row>
    <row r="1837" spans="1:11" x14ac:dyDescent="0.3">
      <c r="A1837" s="3">
        <v>1990</v>
      </c>
      <c r="B1837" s="3" t="s">
        <v>19</v>
      </c>
      <c r="C1837" s="4">
        <v>45758</v>
      </c>
      <c r="D1837" s="3" t="s">
        <v>45</v>
      </c>
      <c r="E1837" s="3" t="s">
        <v>18</v>
      </c>
      <c r="F1837" s="5">
        <v>3</v>
      </c>
      <c r="G1837" s="6">
        <v>7.48</v>
      </c>
      <c r="H1837" s="6">
        <v>22.44</v>
      </c>
      <c r="I1837" s="6">
        <v>2.2400000000000002</v>
      </c>
      <c r="J1837" s="6">
        <v>20.2</v>
      </c>
      <c r="K1837" s="5">
        <v>146</v>
      </c>
    </row>
    <row r="1838" spans="1:11" x14ac:dyDescent="0.3">
      <c r="A1838" s="3">
        <v>7520</v>
      </c>
      <c r="B1838" s="3" t="s">
        <v>30</v>
      </c>
      <c r="C1838" s="4">
        <v>45538</v>
      </c>
      <c r="D1838" s="3" t="s">
        <v>34</v>
      </c>
      <c r="E1838" s="3" t="s">
        <v>23</v>
      </c>
      <c r="F1838" s="5">
        <v>1</v>
      </c>
      <c r="G1838" s="6">
        <v>13.51</v>
      </c>
      <c r="H1838" s="6">
        <v>13.51</v>
      </c>
      <c r="I1838" s="6">
        <v>2.84</v>
      </c>
      <c r="J1838" s="6">
        <v>10.67</v>
      </c>
      <c r="K1838" s="5">
        <v>153</v>
      </c>
    </row>
    <row r="1839" spans="1:11" x14ac:dyDescent="0.3">
      <c r="A1839" s="3">
        <v>5693</v>
      </c>
      <c r="B1839" s="3" t="s">
        <v>14</v>
      </c>
      <c r="C1839" s="4">
        <v>45633</v>
      </c>
      <c r="D1839" s="3" t="s">
        <v>17</v>
      </c>
      <c r="E1839" s="3" t="s">
        <v>32</v>
      </c>
      <c r="F1839" s="5">
        <v>2</v>
      </c>
      <c r="G1839" s="6">
        <v>25.35</v>
      </c>
      <c r="H1839" s="6">
        <v>50.7</v>
      </c>
      <c r="I1839" s="6">
        <v>5.07</v>
      </c>
      <c r="J1839" s="6">
        <v>45.63</v>
      </c>
      <c r="K1839" s="5">
        <v>180</v>
      </c>
    </row>
    <row r="1840" spans="1:11" x14ac:dyDescent="0.3">
      <c r="A1840" s="3">
        <v>9209</v>
      </c>
      <c r="B1840" s="3" t="s">
        <v>24</v>
      </c>
      <c r="C1840" s="4">
        <v>45740</v>
      </c>
      <c r="D1840" s="3" t="s">
        <v>20</v>
      </c>
      <c r="E1840" s="3" t="s">
        <v>33</v>
      </c>
      <c r="F1840" s="5">
        <v>4</v>
      </c>
      <c r="G1840" s="6">
        <v>13.86</v>
      </c>
      <c r="H1840" s="6">
        <v>55.44</v>
      </c>
      <c r="I1840" s="6">
        <v>8.32</v>
      </c>
      <c r="J1840" s="6">
        <v>47.12</v>
      </c>
      <c r="K1840" s="5">
        <v>198</v>
      </c>
    </row>
    <row r="1841" spans="1:11" x14ac:dyDescent="0.3">
      <c r="A1841" s="3">
        <v>7806</v>
      </c>
      <c r="B1841" s="3" t="s">
        <v>36</v>
      </c>
      <c r="C1841" s="4">
        <v>45474</v>
      </c>
      <c r="D1841" s="3" t="s">
        <v>22</v>
      </c>
      <c r="E1841" s="3" t="s">
        <v>32</v>
      </c>
      <c r="F1841" s="5">
        <v>2</v>
      </c>
      <c r="G1841" s="6">
        <v>21.97</v>
      </c>
      <c r="H1841" s="6">
        <v>43.94</v>
      </c>
      <c r="I1841" s="6">
        <v>8.7899999999999991</v>
      </c>
      <c r="J1841" s="6">
        <v>35.15</v>
      </c>
      <c r="K1841" s="5">
        <v>105</v>
      </c>
    </row>
    <row r="1842" spans="1:11" x14ac:dyDescent="0.3">
      <c r="A1842" s="3">
        <v>7590</v>
      </c>
      <c r="B1842" s="3" t="s">
        <v>42</v>
      </c>
      <c r="C1842" s="4">
        <v>45209</v>
      </c>
      <c r="D1842" s="3" t="s">
        <v>28</v>
      </c>
      <c r="E1842" s="3" t="s">
        <v>44</v>
      </c>
      <c r="F1842" s="5">
        <v>5</v>
      </c>
      <c r="G1842" s="6">
        <v>11.53</v>
      </c>
      <c r="H1842" s="6">
        <v>57.65</v>
      </c>
      <c r="I1842" s="6">
        <v>8.65</v>
      </c>
      <c r="J1842" s="6">
        <v>49</v>
      </c>
      <c r="K1842" s="5">
        <v>237</v>
      </c>
    </row>
    <row r="1843" spans="1:11" x14ac:dyDescent="0.3">
      <c r="A1843" s="3">
        <v>9791</v>
      </c>
      <c r="B1843" s="3" t="s">
        <v>30</v>
      </c>
      <c r="C1843" s="4">
        <v>45562</v>
      </c>
      <c r="D1843" s="3" t="s">
        <v>17</v>
      </c>
      <c r="E1843" s="3" t="s">
        <v>32</v>
      </c>
      <c r="F1843" s="5">
        <v>2</v>
      </c>
      <c r="G1843" s="6">
        <v>14.63</v>
      </c>
      <c r="H1843" s="6">
        <v>29.26</v>
      </c>
      <c r="I1843" s="6">
        <v>4.3899999999999997</v>
      </c>
      <c r="J1843" s="6">
        <v>24.87</v>
      </c>
      <c r="K1843" s="5">
        <v>277</v>
      </c>
    </row>
    <row r="1844" spans="1:11" x14ac:dyDescent="0.3">
      <c r="A1844" s="3">
        <v>3501</v>
      </c>
      <c r="B1844" s="3" t="s">
        <v>24</v>
      </c>
      <c r="C1844" s="4">
        <v>45360</v>
      </c>
      <c r="D1844" s="3" t="s">
        <v>12</v>
      </c>
      <c r="E1844" s="3" t="s">
        <v>44</v>
      </c>
      <c r="F1844" s="5">
        <v>2</v>
      </c>
      <c r="G1844" s="6">
        <v>10.78</v>
      </c>
      <c r="H1844" s="6">
        <v>21.56</v>
      </c>
      <c r="I1844" s="6">
        <v>0</v>
      </c>
      <c r="J1844" s="6">
        <v>21.56</v>
      </c>
      <c r="K1844" s="5">
        <v>455</v>
      </c>
    </row>
    <row r="1845" spans="1:11" x14ac:dyDescent="0.3">
      <c r="A1845" s="3">
        <v>2369</v>
      </c>
      <c r="B1845" s="3" t="s">
        <v>24</v>
      </c>
      <c r="C1845" s="4">
        <v>45385</v>
      </c>
      <c r="D1845" s="3" t="s">
        <v>38</v>
      </c>
      <c r="E1845" s="3" t="s">
        <v>16</v>
      </c>
      <c r="F1845" s="5">
        <v>2</v>
      </c>
      <c r="G1845" s="6">
        <v>28.34</v>
      </c>
      <c r="H1845" s="6">
        <v>56.68</v>
      </c>
      <c r="I1845" s="6">
        <v>5.67</v>
      </c>
      <c r="J1845" s="6">
        <v>51.01</v>
      </c>
      <c r="K1845" s="5">
        <v>12</v>
      </c>
    </row>
    <row r="1846" spans="1:11" x14ac:dyDescent="0.3">
      <c r="A1846" s="3">
        <v>2294</v>
      </c>
      <c r="B1846" s="3" t="s">
        <v>19</v>
      </c>
      <c r="C1846" s="4">
        <v>45542</v>
      </c>
      <c r="D1846" s="3" t="s">
        <v>35</v>
      </c>
      <c r="E1846" s="3" t="s">
        <v>41</v>
      </c>
      <c r="F1846" s="5">
        <v>4</v>
      </c>
      <c r="G1846" s="6">
        <v>17.670000000000002</v>
      </c>
      <c r="H1846" s="6">
        <v>70.680000000000007</v>
      </c>
      <c r="I1846" s="6">
        <v>14.14</v>
      </c>
      <c r="J1846" s="6">
        <v>56.54</v>
      </c>
      <c r="K1846" s="5">
        <v>410</v>
      </c>
    </row>
    <row r="1847" spans="1:11" x14ac:dyDescent="0.3">
      <c r="A1847" s="3">
        <v>4329</v>
      </c>
      <c r="B1847" s="3" t="s">
        <v>24</v>
      </c>
      <c r="C1847" s="4">
        <v>45772</v>
      </c>
      <c r="D1847" s="3" t="s">
        <v>22</v>
      </c>
      <c r="E1847" s="3" t="s">
        <v>33</v>
      </c>
      <c r="F1847" s="5">
        <v>2</v>
      </c>
      <c r="G1847" s="6">
        <v>26.16</v>
      </c>
      <c r="H1847" s="6">
        <v>52.32</v>
      </c>
      <c r="I1847" s="6">
        <v>7.85</v>
      </c>
      <c r="J1847" s="6">
        <v>44.47</v>
      </c>
      <c r="K1847" s="5">
        <v>66</v>
      </c>
    </row>
    <row r="1848" spans="1:11" x14ac:dyDescent="0.3">
      <c r="A1848" s="3">
        <v>3545</v>
      </c>
      <c r="B1848" s="3" t="s">
        <v>14</v>
      </c>
      <c r="C1848" s="4">
        <v>45561</v>
      </c>
      <c r="D1848" s="3" t="s">
        <v>27</v>
      </c>
      <c r="E1848" s="3" t="s">
        <v>40</v>
      </c>
      <c r="F1848" s="5">
        <v>1</v>
      </c>
      <c r="G1848" s="6">
        <v>23.81</v>
      </c>
      <c r="H1848" s="6">
        <v>23.81</v>
      </c>
      <c r="I1848" s="6">
        <v>4.68</v>
      </c>
      <c r="J1848" s="6">
        <v>19.13</v>
      </c>
      <c r="K1848" s="5">
        <v>43</v>
      </c>
    </row>
    <row r="1849" spans="1:11" x14ac:dyDescent="0.3">
      <c r="A1849" s="3">
        <v>6353</v>
      </c>
      <c r="B1849" s="3" t="s">
        <v>31</v>
      </c>
      <c r="C1849" s="4">
        <v>45448</v>
      </c>
      <c r="D1849" s="3" t="s">
        <v>22</v>
      </c>
      <c r="E1849" s="3" t="s">
        <v>43</v>
      </c>
      <c r="F1849" s="5">
        <v>3</v>
      </c>
      <c r="G1849" s="6">
        <v>28.01</v>
      </c>
      <c r="H1849" s="6">
        <v>84.03</v>
      </c>
      <c r="I1849" s="6">
        <v>0</v>
      </c>
      <c r="J1849" s="6">
        <v>84.03</v>
      </c>
      <c r="K1849" s="5">
        <v>182</v>
      </c>
    </row>
    <row r="1850" spans="1:11" x14ac:dyDescent="0.3">
      <c r="A1850" s="3">
        <v>2083</v>
      </c>
      <c r="B1850" s="3" t="s">
        <v>19</v>
      </c>
      <c r="C1850" s="4">
        <v>45385</v>
      </c>
      <c r="D1850" s="3" t="s">
        <v>17</v>
      </c>
      <c r="E1850" s="3" t="s">
        <v>37</v>
      </c>
      <c r="F1850" s="5">
        <v>1</v>
      </c>
      <c r="G1850" s="6">
        <v>11.52</v>
      </c>
      <c r="H1850" s="6">
        <v>11.52</v>
      </c>
      <c r="I1850" s="6">
        <v>4.62</v>
      </c>
      <c r="J1850" s="6">
        <v>6.9</v>
      </c>
      <c r="K1850" s="5">
        <v>465</v>
      </c>
    </row>
    <row r="1851" spans="1:11" x14ac:dyDescent="0.3">
      <c r="A1851" s="3">
        <v>8167</v>
      </c>
      <c r="B1851" s="3" t="s">
        <v>26</v>
      </c>
      <c r="C1851" s="4">
        <v>45711</v>
      </c>
      <c r="D1851" s="3" t="s">
        <v>45</v>
      </c>
      <c r="E1851" s="3" t="s">
        <v>21</v>
      </c>
      <c r="F1851" s="5">
        <v>2</v>
      </c>
      <c r="G1851" s="6">
        <v>9.39</v>
      </c>
      <c r="H1851" s="6">
        <v>18.78</v>
      </c>
      <c r="I1851" s="6">
        <v>3.76</v>
      </c>
      <c r="J1851" s="6">
        <v>15.02</v>
      </c>
      <c r="K1851" s="5">
        <v>51</v>
      </c>
    </row>
    <row r="1852" spans="1:11" x14ac:dyDescent="0.3">
      <c r="A1852" s="3">
        <v>4909</v>
      </c>
      <c r="B1852" s="3" t="s">
        <v>19</v>
      </c>
      <c r="C1852" s="4">
        <v>45189</v>
      </c>
      <c r="D1852" s="3" t="s">
        <v>20</v>
      </c>
      <c r="E1852" s="3" t="s">
        <v>48</v>
      </c>
      <c r="F1852" s="5">
        <v>5</v>
      </c>
      <c r="G1852" s="6">
        <v>27.39</v>
      </c>
      <c r="H1852" s="6">
        <v>136.94999999999999</v>
      </c>
      <c r="I1852" s="6">
        <v>3.21</v>
      </c>
      <c r="J1852" s="6">
        <v>133.74</v>
      </c>
      <c r="K1852" s="5">
        <v>209</v>
      </c>
    </row>
    <row r="1853" spans="1:11" x14ac:dyDescent="0.3">
      <c r="A1853" s="3">
        <v>5005</v>
      </c>
      <c r="B1853" s="3" t="s">
        <v>26</v>
      </c>
      <c r="C1853" s="4">
        <v>45211</v>
      </c>
      <c r="D1853" s="3" t="s">
        <v>35</v>
      </c>
      <c r="E1853" s="3" t="s">
        <v>25</v>
      </c>
      <c r="F1853" s="5">
        <v>1</v>
      </c>
      <c r="G1853" s="6">
        <v>20.239999999999998</v>
      </c>
      <c r="H1853" s="6">
        <v>20.239999999999998</v>
      </c>
      <c r="I1853" s="6">
        <v>4.0199999999999996</v>
      </c>
      <c r="J1853" s="6">
        <v>16.22</v>
      </c>
      <c r="K1853" s="5">
        <v>75</v>
      </c>
    </row>
    <row r="1854" spans="1:11" x14ac:dyDescent="0.3">
      <c r="A1854" s="3">
        <v>8118</v>
      </c>
      <c r="B1854" s="3" t="s">
        <v>19</v>
      </c>
      <c r="C1854" s="4">
        <v>45235</v>
      </c>
      <c r="D1854" s="3" t="s">
        <v>20</v>
      </c>
      <c r="E1854" s="3" t="s">
        <v>47</v>
      </c>
      <c r="F1854" s="5">
        <v>4</v>
      </c>
      <c r="G1854" s="6">
        <v>14.82</v>
      </c>
      <c r="H1854" s="6">
        <v>59.28</v>
      </c>
      <c r="I1854" s="6">
        <v>3.75</v>
      </c>
      <c r="J1854" s="6">
        <v>55.53</v>
      </c>
      <c r="K1854" s="5">
        <v>392</v>
      </c>
    </row>
    <row r="1855" spans="1:11" x14ac:dyDescent="0.3">
      <c r="A1855" s="3">
        <v>8428</v>
      </c>
      <c r="B1855" s="3" t="s">
        <v>36</v>
      </c>
      <c r="C1855" s="4">
        <v>45620</v>
      </c>
      <c r="D1855" s="3" t="s">
        <v>45</v>
      </c>
      <c r="E1855" s="3" t="s">
        <v>29</v>
      </c>
      <c r="F1855" s="5">
        <v>4</v>
      </c>
      <c r="G1855" s="6">
        <v>26.92</v>
      </c>
      <c r="H1855" s="6">
        <v>107.68</v>
      </c>
      <c r="I1855" s="6">
        <v>0</v>
      </c>
      <c r="J1855" s="6">
        <v>107.68</v>
      </c>
      <c r="K1855" s="5">
        <v>496</v>
      </c>
    </row>
    <row r="1856" spans="1:11" x14ac:dyDescent="0.3">
      <c r="A1856" s="3">
        <v>1901</v>
      </c>
      <c r="B1856" s="3" t="s">
        <v>36</v>
      </c>
      <c r="C1856" s="4">
        <v>45385</v>
      </c>
      <c r="D1856" s="3" t="s">
        <v>22</v>
      </c>
      <c r="E1856" s="3" t="s">
        <v>43</v>
      </c>
      <c r="F1856" s="5">
        <v>3</v>
      </c>
      <c r="G1856" s="6">
        <v>2.99</v>
      </c>
      <c r="H1856" s="6">
        <v>8.9700000000000006</v>
      </c>
      <c r="I1856" s="6">
        <v>0</v>
      </c>
      <c r="J1856" s="6">
        <v>8.9700000000000006</v>
      </c>
      <c r="K1856" s="5">
        <v>69</v>
      </c>
    </row>
    <row r="1857" spans="1:11" x14ac:dyDescent="0.3">
      <c r="A1857" s="3">
        <v>3877</v>
      </c>
      <c r="B1857" s="3" t="s">
        <v>24</v>
      </c>
      <c r="C1857" s="4">
        <v>45237</v>
      </c>
      <c r="D1857" s="3" t="s">
        <v>34</v>
      </c>
      <c r="E1857" s="3" t="s">
        <v>48</v>
      </c>
      <c r="F1857" s="5">
        <v>2</v>
      </c>
      <c r="G1857" s="6">
        <v>28.88</v>
      </c>
      <c r="H1857" s="6">
        <v>57.76</v>
      </c>
      <c r="I1857" s="6">
        <v>0</v>
      </c>
      <c r="J1857" s="6">
        <v>57.76</v>
      </c>
      <c r="K1857" s="5">
        <v>164</v>
      </c>
    </row>
    <row r="1858" spans="1:11" x14ac:dyDescent="0.3">
      <c r="A1858" s="3">
        <v>1207</v>
      </c>
      <c r="B1858" s="3" t="s">
        <v>11</v>
      </c>
      <c r="C1858" s="4">
        <v>45694</v>
      </c>
      <c r="D1858" s="3" t="s">
        <v>22</v>
      </c>
      <c r="E1858" s="3" t="s">
        <v>47</v>
      </c>
      <c r="F1858" s="5">
        <v>1</v>
      </c>
      <c r="G1858" s="6">
        <v>19.02</v>
      </c>
      <c r="H1858" s="6">
        <v>19.02</v>
      </c>
      <c r="I1858" s="6">
        <v>3.8</v>
      </c>
      <c r="J1858" s="6">
        <v>15.22</v>
      </c>
      <c r="K1858" s="5">
        <v>302</v>
      </c>
    </row>
    <row r="1859" spans="1:11" x14ac:dyDescent="0.3">
      <c r="A1859" s="3">
        <v>3248</v>
      </c>
      <c r="B1859" s="3" t="s">
        <v>36</v>
      </c>
      <c r="C1859" s="4">
        <v>45689</v>
      </c>
      <c r="D1859" s="3" t="s">
        <v>35</v>
      </c>
      <c r="E1859" s="3" t="s">
        <v>44</v>
      </c>
      <c r="F1859" s="5">
        <v>5</v>
      </c>
      <c r="G1859" s="6">
        <v>9.1199999999999992</v>
      </c>
      <c r="H1859" s="6">
        <v>45.6</v>
      </c>
      <c r="I1859" s="6">
        <v>4.5599999999999996</v>
      </c>
      <c r="J1859" s="6">
        <v>41.04</v>
      </c>
      <c r="K1859" s="5">
        <v>266</v>
      </c>
    </row>
    <row r="1860" spans="1:11" x14ac:dyDescent="0.3">
      <c r="A1860" s="3">
        <v>1185</v>
      </c>
      <c r="B1860" s="3" t="s">
        <v>36</v>
      </c>
      <c r="C1860" s="4">
        <v>45272</v>
      </c>
      <c r="D1860" s="3" t="s">
        <v>34</v>
      </c>
      <c r="E1860" s="3" t="s">
        <v>40</v>
      </c>
      <c r="F1860" s="5">
        <v>2</v>
      </c>
      <c r="G1860" s="6">
        <v>21.3</v>
      </c>
      <c r="H1860" s="6">
        <v>42.6</v>
      </c>
      <c r="I1860" s="6">
        <v>4.26</v>
      </c>
      <c r="J1860" s="6">
        <v>38.340000000000003</v>
      </c>
      <c r="K1860" s="5">
        <v>134</v>
      </c>
    </row>
    <row r="1861" spans="1:11" x14ac:dyDescent="0.3">
      <c r="A1861" s="3">
        <v>9133</v>
      </c>
      <c r="B1861" s="3" t="s">
        <v>36</v>
      </c>
      <c r="C1861" s="4">
        <v>45414</v>
      </c>
      <c r="D1861" s="3" t="s">
        <v>12</v>
      </c>
      <c r="E1861" s="3" t="s">
        <v>13</v>
      </c>
      <c r="F1861" s="5">
        <v>4</v>
      </c>
      <c r="G1861" s="6">
        <v>20.11</v>
      </c>
      <c r="H1861" s="6">
        <v>80.44</v>
      </c>
      <c r="I1861" s="6">
        <v>16.09</v>
      </c>
      <c r="J1861" s="6">
        <v>64.349999999999994</v>
      </c>
      <c r="K1861" s="5">
        <v>170</v>
      </c>
    </row>
    <row r="1862" spans="1:11" x14ac:dyDescent="0.3">
      <c r="A1862" s="3">
        <v>9568</v>
      </c>
      <c r="B1862" s="3" t="s">
        <v>31</v>
      </c>
      <c r="C1862" s="4">
        <v>45546</v>
      </c>
      <c r="D1862" s="3" t="s">
        <v>28</v>
      </c>
      <c r="E1862" s="3" t="s">
        <v>39</v>
      </c>
      <c r="F1862" s="5">
        <v>3</v>
      </c>
      <c r="G1862" s="6">
        <v>12.03</v>
      </c>
      <c r="H1862" s="6">
        <v>36.090000000000003</v>
      </c>
      <c r="I1862" s="6">
        <v>3.61</v>
      </c>
      <c r="J1862" s="6">
        <v>32.479999999999997</v>
      </c>
      <c r="K1862" s="5">
        <v>463</v>
      </c>
    </row>
    <row r="1863" spans="1:11" x14ac:dyDescent="0.3">
      <c r="A1863" s="3">
        <v>5247</v>
      </c>
      <c r="B1863" s="3" t="s">
        <v>24</v>
      </c>
      <c r="C1863" s="4">
        <v>45274</v>
      </c>
      <c r="D1863" s="3" t="s">
        <v>12</v>
      </c>
      <c r="E1863" s="3" t="s">
        <v>13</v>
      </c>
      <c r="F1863" s="5">
        <v>4</v>
      </c>
      <c r="G1863" s="6">
        <v>10.72</v>
      </c>
      <c r="H1863" s="6">
        <v>42.88</v>
      </c>
      <c r="I1863" s="6">
        <v>4.29</v>
      </c>
      <c r="J1863" s="6">
        <v>38.590000000000003</v>
      </c>
      <c r="K1863" s="5">
        <v>411</v>
      </c>
    </row>
    <row r="1864" spans="1:11" x14ac:dyDescent="0.3">
      <c r="A1864" s="3">
        <v>7092</v>
      </c>
      <c r="B1864" s="3" t="s">
        <v>36</v>
      </c>
      <c r="C1864" s="4">
        <v>45243</v>
      </c>
      <c r="D1864" s="3" t="s">
        <v>34</v>
      </c>
      <c r="E1864" s="3" t="s">
        <v>23</v>
      </c>
      <c r="F1864" s="5">
        <v>3</v>
      </c>
      <c r="G1864" s="6">
        <v>17.010000000000002</v>
      </c>
      <c r="H1864" s="6">
        <v>51.03</v>
      </c>
      <c r="I1864" s="6">
        <v>7.65</v>
      </c>
      <c r="J1864" s="6">
        <v>43.38</v>
      </c>
      <c r="K1864" s="5">
        <v>250</v>
      </c>
    </row>
    <row r="1865" spans="1:11" x14ac:dyDescent="0.3">
      <c r="A1865" s="3">
        <v>5403</v>
      </c>
      <c r="B1865" s="3" t="s">
        <v>11</v>
      </c>
      <c r="C1865" s="4">
        <v>45714</v>
      </c>
      <c r="D1865" s="3" t="s">
        <v>45</v>
      </c>
      <c r="E1865" s="3" t="s">
        <v>43</v>
      </c>
      <c r="F1865" s="5">
        <v>3</v>
      </c>
      <c r="G1865" s="6">
        <v>25.97</v>
      </c>
      <c r="H1865" s="6">
        <v>77.91</v>
      </c>
      <c r="I1865" s="6">
        <v>4.24</v>
      </c>
      <c r="J1865" s="6">
        <v>73.67</v>
      </c>
      <c r="K1865" s="5">
        <v>458</v>
      </c>
    </row>
    <row r="1866" spans="1:11" x14ac:dyDescent="0.3">
      <c r="A1866" s="3">
        <v>2934</v>
      </c>
      <c r="B1866" s="3" t="s">
        <v>11</v>
      </c>
      <c r="C1866" s="4">
        <v>45744</v>
      </c>
      <c r="D1866" s="3" t="s">
        <v>17</v>
      </c>
      <c r="E1866" s="3" t="s">
        <v>43</v>
      </c>
      <c r="F1866" s="5">
        <v>2</v>
      </c>
      <c r="G1866" s="6">
        <v>11.82</v>
      </c>
      <c r="H1866" s="6">
        <v>23.64</v>
      </c>
      <c r="I1866" s="6">
        <v>4.45</v>
      </c>
      <c r="J1866" s="6">
        <v>19.190000000000001</v>
      </c>
      <c r="K1866" s="5">
        <v>78</v>
      </c>
    </row>
    <row r="1867" spans="1:11" x14ac:dyDescent="0.3">
      <c r="A1867" s="3">
        <v>1480</v>
      </c>
      <c r="B1867" s="3" t="s">
        <v>31</v>
      </c>
      <c r="C1867" s="4">
        <v>45405</v>
      </c>
      <c r="D1867" s="3" t="s">
        <v>12</v>
      </c>
      <c r="E1867" s="3" t="s">
        <v>21</v>
      </c>
      <c r="F1867" s="5">
        <v>5</v>
      </c>
      <c r="G1867" s="6">
        <v>3.03</v>
      </c>
      <c r="H1867" s="6">
        <v>15.15</v>
      </c>
      <c r="I1867" s="6">
        <v>0</v>
      </c>
      <c r="J1867" s="6">
        <v>15.15</v>
      </c>
      <c r="K1867" s="5">
        <v>298</v>
      </c>
    </row>
    <row r="1868" spans="1:11" x14ac:dyDescent="0.3">
      <c r="A1868" s="3">
        <v>8034</v>
      </c>
      <c r="B1868" s="3" t="s">
        <v>36</v>
      </c>
      <c r="C1868" s="4">
        <v>45356</v>
      </c>
      <c r="D1868" s="3" t="s">
        <v>27</v>
      </c>
      <c r="E1868" s="3" t="s">
        <v>48</v>
      </c>
      <c r="F1868" s="5">
        <v>5</v>
      </c>
      <c r="G1868" s="6">
        <v>4.53</v>
      </c>
      <c r="H1868" s="6">
        <v>22.65</v>
      </c>
      <c r="I1868" s="6">
        <v>4.53</v>
      </c>
      <c r="J1868" s="6">
        <v>18.12</v>
      </c>
      <c r="K1868" s="5">
        <v>360</v>
      </c>
    </row>
    <row r="1869" spans="1:11" x14ac:dyDescent="0.3">
      <c r="A1869" s="3">
        <v>9582</v>
      </c>
      <c r="B1869" s="3" t="s">
        <v>11</v>
      </c>
      <c r="C1869" s="4">
        <v>45194</v>
      </c>
      <c r="D1869" s="3" t="s">
        <v>34</v>
      </c>
      <c r="E1869" s="3" t="s">
        <v>43</v>
      </c>
      <c r="F1869" s="5">
        <v>1</v>
      </c>
      <c r="G1869" s="6">
        <v>1.1000000000000001</v>
      </c>
      <c r="H1869" s="6">
        <v>1.1000000000000001</v>
      </c>
      <c r="I1869" s="6">
        <v>0.22</v>
      </c>
      <c r="J1869" s="6">
        <v>0.88</v>
      </c>
      <c r="K1869" s="5">
        <v>405</v>
      </c>
    </row>
    <row r="1870" spans="1:11" x14ac:dyDescent="0.3">
      <c r="A1870" s="3">
        <v>5308</v>
      </c>
      <c r="B1870" s="3" t="s">
        <v>31</v>
      </c>
      <c r="C1870" s="4">
        <v>45698</v>
      </c>
      <c r="D1870" s="3" t="s">
        <v>15</v>
      </c>
      <c r="E1870" s="3" t="s">
        <v>32</v>
      </c>
      <c r="F1870" s="5">
        <v>3</v>
      </c>
      <c r="G1870" s="6">
        <v>19.13</v>
      </c>
      <c r="H1870" s="6">
        <v>57.39</v>
      </c>
      <c r="I1870" s="6">
        <v>11.48</v>
      </c>
      <c r="J1870" s="6">
        <v>45.91</v>
      </c>
      <c r="K1870" s="5">
        <v>98</v>
      </c>
    </row>
    <row r="1871" spans="1:11" x14ac:dyDescent="0.3">
      <c r="A1871" s="3">
        <v>2262</v>
      </c>
      <c r="B1871" s="3" t="s">
        <v>26</v>
      </c>
      <c r="C1871" s="4">
        <v>45530</v>
      </c>
      <c r="D1871" s="3" t="s">
        <v>28</v>
      </c>
      <c r="E1871" s="3" t="s">
        <v>29</v>
      </c>
      <c r="F1871" s="5">
        <v>4</v>
      </c>
      <c r="G1871" s="6">
        <v>9.34</v>
      </c>
      <c r="H1871" s="6">
        <v>37.36</v>
      </c>
      <c r="I1871" s="6">
        <v>3.74</v>
      </c>
      <c r="J1871" s="6">
        <v>33.619999999999997</v>
      </c>
      <c r="K1871" s="5">
        <v>346</v>
      </c>
    </row>
    <row r="1872" spans="1:11" x14ac:dyDescent="0.3">
      <c r="A1872" s="3">
        <v>8457</v>
      </c>
      <c r="B1872" s="3" t="s">
        <v>19</v>
      </c>
      <c r="C1872" s="4">
        <v>45541</v>
      </c>
      <c r="D1872" s="3" t="s">
        <v>38</v>
      </c>
      <c r="E1872" s="3" t="s">
        <v>39</v>
      </c>
      <c r="F1872" s="5">
        <v>1</v>
      </c>
      <c r="G1872" s="6">
        <v>6.09</v>
      </c>
      <c r="H1872" s="6">
        <v>6.09</v>
      </c>
      <c r="I1872" s="6">
        <v>1.22</v>
      </c>
      <c r="J1872" s="6">
        <v>4.87</v>
      </c>
      <c r="K1872" s="5">
        <v>101</v>
      </c>
    </row>
    <row r="1873" spans="1:11" x14ac:dyDescent="0.3">
      <c r="A1873" s="3">
        <v>6900</v>
      </c>
      <c r="B1873" s="3" t="s">
        <v>14</v>
      </c>
      <c r="C1873" s="4">
        <v>45188</v>
      </c>
      <c r="D1873" s="3" t="s">
        <v>28</v>
      </c>
      <c r="E1873" s="3" t="s">
        <v>44</v>
      </c>
      <c r="F1873" s="5">
        <v>1</v>
      </c>
      <c r="G1873" s="6">
        <v>21.37</v>
      </c>
      <c r="H1873" s="6">
        <v>21.37</v>
      </c>
      <c r="I1873" s="6">
        <v>4.2699999999999996</v>
      </c>
      <c r="J1873" s="6">
        <v>17.100000000000001</v>
      </c>
      <c r="K1873" s="5">
        <v>38</v>
      </c>
    </row>
    <row r="1874" spans="1:11" x14ac:dyDescent="0.3">
      <c r="A1874" s="3">
        <v>9185</v>
      </c>
      <c r="B1874" s="3" t="s">
        <v>36</v>
      </c>
      <c r="C1874" s="4">
        <v>45812</v>
      </c>
      <c r="D1874" s="3" t="s">
        <v>17</v>
      </c>
      <c r="E1874" s="3" t="s">
        <v>29</v>
      </c>
      <c r="F1874" s="5">
        <v>4</v>
      </c>
      <c r="G1874" s="6">
        <v>19.41</v>
      </c>
      <c r="H1874" s="6">
        <v>77.64</v>
      </c>
      <c r="I1874" s="6">
        <v>2.65</v>
      </c>
      <c r="J1874" s="6">
        <v>74.989999999999995</v>
      </c>
      <c r="K1874" s="5">
        <v>303</v>
      </c>
    </row>
    <row r="1875" spans="1:11" x14ac:dyDescent="0.3">
      <c r="A1875" s="3">
        <v>3734</v>
      </c>
      <c r="B1875" s="3" t="s">
        <v>30</v>
      </c>
      <c r="C1875" s="4">
        <v>45430</v>
      </c>
      <c r="D1875" s="3" t="s">
        <v>17</v>
      </c>
      <c r="E1875" s="3" t="s">
        <v>16</v>
      </c>
      <c r="F1875" s="5">
        <v>3</v>
      </c>
      <c r="G1875" s="6">
        <v>24.9</v>
      </c>
      <c r="H1875" s="6">
        <v>74.7</v>
      </c>
      <c r="I1875" s="6">
        <v>1.03</v>
      </c>
      <c r="J1875" s="6">
        <v>73.67</v>
      </c>
      <c r="K1875" s="5">
        <v>376</v>
      </c>
    </row>
    <row r="1876" spans="1:11" x14ac:dyDescent="0.3">
      <c r="A1876" s="3">
        <v>3577</v>
      </c>
      <c r="B1876" s="3" t="s">
        <v>30</v>
      </c>
      <c r="C1876" s="4">
        <v>45343</v>
      </c>
      <c r="D1876" s="3" t="s">
        <v>35</v>
      </c>
      <c r="E1876" s="3" t="s">
        <v>29</v>
      </c>
      <c r="F1876" s="5">
        <v>1</v>
      </c>
      <c r="G1876" s="6">
        <v>2.78</v>
      </c>
      <c r="H1876" s="6">
        <v>2.78</v>
      </c>
      <c r="I1876" s="6">
        <v>0</v>
      </c>
      <c r="J1876" s="6">
        <v>2.78</v>
      </c>
      <c r="K1876" s="5">
        <v>252</v>
      </c>
    </row>
    <row r="1877" spans="1:11" x14ac:dyDescent="0.3">
      <c r="A1877" s="3">
        <v>2685</v>
      </c>
      <c r="B1877" s="3" t="s">
        <v>31</v>
      </c>
      <c r="C1877" s="4">
        <v>45839</v>
      </c>
      <c r="D1877" s="3" t="s">
        <v>28</v>
      </c>
      <c r="E1877" s="3" t="s">
        <v>16</v>
      </c>
      <c r="F1877" s="5">
        <v>1</v>
      </c>
      <c r="G1877" s="6">
        <v>20.54</v>
      </c>
      <c r="H1877" s="6">
        <v>20.54</v>
      </c>
      <c r="I1877" s="6">
        <v>4.91</v>
      </c>
      <c r="J1877" s="6">
        <v>15.63</v>
      </c>
      <c r="K1877" s="5">
        <v>460</v>
      </c>
    </row>
    <row r="1878" spans="1:11" x14ac:dyDescent="0.3">
      <c r="A1878" s="3">
        <v>2889</v>
      </c>
      <c r="B1878" s="3" t="s">
        <v>11</v>
      </c>
      <c r="C1878" s="4">
        <v>45322</v>
      </c>
      <c r="D1878" s="3" t="s">
        <v>22</v>
      </c>
      <c r="E1878" s="3" t="s">
        <v>23</v>
      </c>
      <c r="F1878" s="5">
        <v>5</v>
      </c>
      <c r="G1878" s="6">
        <v>20.66</v>
      </c>
      <c r="H1878" s="6">
        <v>103.3</v>
      </c>
      <c r="I1878" s="6">
        <v>0</v>
      </c>
      <c r="J1878" s="6">
        <v>103.3</v>
      </c>
      <c r="K1878" s="5">
        <v>33</v>
      </c>
    </row>
    <row r="1879" spans="1:11" x14ac:dyDescent="0.3">
      <c r="A1879" s="3">
        <v>9336</v>
      </c>
      <c r="B1879" s="3" t="s">
        <v>36</v>
      </c>
      <c r="C1879" s="4">
        <v>45146</v>
      </c>
      <c r="D1879" s="3" t="s">
        <v>45</v>
      </c>
      <c r="E1879" s="3" t="s">
        <v>23</v>
      </c>
      <c r="F1879" s="5">
        <v>4</v>
      </c>
      <c r="G1879" s="6">
        <v>11.73</v>
      </c>
      <c r="H1879" s="6">
        <v>46.92</v>
      </c>
      <c r="I1879" s="6">
        <v>7.04</v>
      </c>
      <c r="J1879" s="6">
        <v>39.880000000000003</v>
      </c>
      <c r="K1879" s="5">
        <v>153</v>
      </c>
    </row>
    <row r="1880" spans="1:11" x14ac:dyDescent="0.3">
      <c r="A1880" s="3">
        <v>1721</v>
      </c>
      <c r="B1880" s="3" t="s">
        <v>14</v>
      </c>
      <c r="C1880" s="4">
        <v>45811</v>
      </c>
      <c r="D1880" s="3" t="s">
        <v>17</v>
      </c>
      <c r="E1880" s="3" t="s">
        <v>25</v>
      </c>
      <c r="F1880" s="5">
        <v>5</v>
      </c>
      <c r="G1880" s="6">
        <v>5.94</v>
      </c>
      <c r="H1880" s="6">
        <v>29.7</v>
      </c>
      <c r="I1880" s="6">
        <v>2.97</v>
      </c>
      <c r="J1880" s="6">
        <v>26.73</v>
      </c>
      <c r="K1880" s="5">
        <v>353</v>
      </c>
    </row>
    <row r="1881" spans="1:11" x14ac:dyDescent="0.3">
      <c r="A1881" s="3">
        <v>1201</v>
      </c>
      <c r="B1881" s="3" t="s">
        <v>26</v>
      </c>
      <c r="C1881" s="4">
        <v>45334</v>
      </c>
      <c r="D1881" s="3" t="s">
        <v>45</v>
      </c>
      <c r="E1881" s="3" t="s">
        <v>21</v>
      </c>
      <c r="F1881" s="5">
        <v>4</v>
      </c>
      <c r="G1881" s="6">
        <v>14.44</v>
      </c>
      <c r="H1881" s="6">
        <v>57.76</v>
      </c>
      <c r="I1881" s="6">
        <v>5.78</v>
      </c>
      <c r="J1881" s="6">
        <v>51.98</v>
      </c>
      <c r="K1881" s="5">
        <v>460</v>
      </c>
    </row>
    <row r="1882" spans="1:11" x14ac:dyDescent="0.3">
      <c r="A1882" s="3">
        <v>1753</v>
      </c>
      <c r="B1882" s="3" t="s">
        <v>19</v>
      </c>
      <c r="C1882" s="4">
        <v>45511</v>
      </c>
      <c r="D1882" s="3" t="s">
        <v>34</v>
      </c>
      <c r="E1882" s="3" t="s">
        <v>32</v>
      </c>
      <c r="F1882" s="5">
        <v>4</v>
      </c>
      <c r="G1882" s="6">
        <v>28.53</v>
      </c>
      <c r="H1882" s="6">
        <v>114.12</v>
      </c>
      <c r="I1882" s="6">
        <v>17.12</v>
      </c>
      <c r="J1882" s="6">
        <v>97</v>
      </c>
      <c r="K1882" s="5">
        <v>447</v>
      </c>
    </row>
    <row r="1883" spans="1:11" x14ac:dyDescent="0.3">
      <c r="A1883" s="3">
        <v>6963</v>
      </c>
      <c r="B1883" s="3" t="s">
        <v>24</v>
      </c>
      <c r="C1883" s="4">
        <v>45442</v>
      </c>
      <c r="D1883" s="3" t="s">
        <v>27</v>
      </c>
      <c r="E1883" s="3" t="s">
        <v>41</v>
      </c>
      <c r="F1883" s="5">
        <v>4</v>
      </c>
      <c r="G1883" s="6">
        <v>11.6</v>
      </c>
      <c r="H1883" s="6">
        <v>46.4</v>
      </c>
      <c r="I1883" s="6">
        <v>9.2799999999999994</v>
      </c>
      <c r="J1883" s="6">
        <v>37.119999999999997</v>
      </c>
      <c r="K1883" s="5">
        <v>222</v>
      </c>
    </row>
    <row r="1884" spans="1:11" x14ac:dyDescent="0.3">
      <c r="A1884" s="3">
        <v>3458</v>
      </c>
      <c r="B1884" s="3" t="s">
        <v>19</v>
      </c>
      <c r="C1884" s="4">
        <v>45284</v>
      </c>
      <c r="D1884" s="3" t="s">
        <v>17</v>
      </c>
      <c r="E1884" s="3" t="s">
        <v>48</v>
      </c>
      <c r="F1884" s="5">
        <v>1</v>
      </c>
      <c r="G1884" s="6">
        <v>12.34</v>
      </c>
      <c r="H1884" s="6">
        <v>12.34</v>
      </c>
      <c r="I1884" s="6">
        <v>1.85</v>
      </c>
      <c r="J1884" s="6">
        <v>10.49</v>
      </c>
      <c r="K1884" s="5">
        <v>76</v>
      </c>
    </row>
    <row r="1885" spans="1:11" x14ac:dyDescent="0.3">
      <c r="A1885" s="3">
        <v>1579</v>
      </c>
      <c r="B1885" s="3" t="s">
        <v>42</v>
      </c>
      <c r="C1885" s="4">
        <v>45574</v>
      </c>
      <c r="D1885" s="3" t="s">
        <v>12</v>
      </c>
      <c r="E1885" s="3" t="s">
        <v>47</v>
      </c>
      <c r="F1885" s="5">
        <v>4</v>
      </c>
      <c r="G1885" s="6">
        <v>5.58</v>
      </c>
      <c r="H1885" s="6">
        <v>22.32</v>
      </c>
      <c r="I1885" s="6">
        <v>4.46</v>
      </c>
      <c r="J1885" s="6">
        <v>17.86</v>
      </c>
      <c r="K1885" s="5">
        <v>424</v>
      </c>
    </row>
    <row r="1886" spans="1:11" x14ac:dyDescent="0.3">
      <c r="A1886" s="3">
        <v>7870</v>
      </c>
      <c r="B1886" s="3" t="s">
        <v>42</v>
      </c>
      <c r="C1886" s="4">
        <v>45319</v>
      </c>
      <c r="D1886" s="3" t="s">
        <v>45</v>
      </c>
      <c r="E1886" s="3" t="s">
        <v>47</v>
      </c>
      <c r="F1886" s="5">
        <v>4</v>
      </c>
      <c r="G1886" s="6">
        <v>13.61</v>
      </c>
      <c r="H1886" s="6">
        <v>54.44</v>
      </c>
      <c r="I1886" s="6">
        <v>5.44</v>
      </c>
      <c r="J1886" s="6">
        <v>49</v>
      </c>
      <c r="K1886" s="5">
        <v>436</v>
      </c>
    </row>
    <row r="1887" spans="1:11" x14ac:dyDescent="0.3">
      <c r="A1887" s="3">
        <v>6272</v>
      </c>
      <c r="B1887" s="3" t="s">
        <v>31</v>
      </c>
      <c r="C1887" s="4">
        <v>45337</v>
      </c>
      <c r="D1887" s="3" t="s">
        <v>22</v>
      </c>
      <c r="E1887" s="3" t="s">
        <v>48</v>
      </c>
      <c r="F1887" s="5">
        <v>1</v>
      </c>
      <c r="G1887" s="6">
        <v>28.63</v>
      </c>
      <c r="H1887" s="6">
        <v>28.63</v>
      </c>
      <c r="I1887" s="6">
        <v>2.16</v>
      </c>
      <c r="J1887" s="6">
        <v>26.47</v>
      </c>
      <c r="K1887" s="5">
        <v>361</v>
      </c>
    </row>
    <row r="1888" spans="1:11" x14ac:dyDescent="0.3">
      <c r="A1888" s="3">
        <v>7819</v>
      </c>
      <c r="B1888" s="3" t="s">
        <v>42</v>
      </c>
      <c r="C1888" s="4">
        <v>45856</v>
      </c>
      <c r="D1888" s="3" t="s">
        <v>38</v>
      </c>
      <c r="E1888" s="3" t="s">
        <v>47</v>
      </c>
      <c r="F1888" s="5">
        <v>2</v>
      </c>
      <c r="G1888" s="6">
        <v>13.06</v>
      </c>
      <c r="H1888" s="6">
        <v>26.12</v>
      </c>
      <c r="I1888" s="6">
        <v>0</v>
      </c>
      <c r="J1888" s="6">
        <v>26.12</v>
      </c>
      <c r="K1888" s="5">
        <v>6</v>
      </c>
    </row>
    <row r="1889" spans="1:11" x14ac:dyDescent="0.3">
      <c r="A1889" s="3">
        <v>6241</v>
      </c>
      <c r="B1889" s="3" t="s">
        <v>19</v>
      </c>
      <c r="C1889" s="4">
        <v>45355</v>
      </c>
      <c r="D1889" s="3" t="s">
        <v>22</v>
      </c>
      <c r="E1889" s="3" t="s">
        <v>37</v>
      </c>
      <c r="F1889" s="5">
        <v>5</v>
      </c>
      <c r="G1889" s="6">
        <v>13.43</v>
      </c>
      <c r="H1889" s="6">
        <v>67.150000000000006</v>
      </c>
      <c r="I1889" s="6">
        <v>2.13</v>
      </c>
      <c r="J1889" s="6">
        <v>65.02</v>
      </c>
      <c r="K1889" s="5">
        <v>62</v>
      </c>
    </row>
    <row r="1890" spans="1:11" x14ac:dyDescent="0.3">
      <c r="A1890" s="3">
        <v>2276</v>
      </c>
      <c r="B1890" s="3" t="s">
        <v>36</v>
      </c>
      <c r="C1890" s="4">
        <v>45588</v>
      </c>
      <c r="D1890" s="3" t="s">
        <v>34</v>
      </c>
      <c r="E1890" s="3" t="s">
        <v>23</v>
      </c>
      <c r="F1890" s="5">
        <v>5</v>
      </c>
      <c r="G1890" s="6">
        <v>29.13</v>
      </c>
      <c r="H1890" s="6">
        <v>145.65</v>
      </c>
      <c r="I1890" s="6">
        <v>14.57</v>
      </c>
      <c r="J1890" s="6">
        <v>131.08000000000001</v>
      </c>
      <c r="K1890" s="5">
        <v>32</v>
      </c>
    </row>
    <row r="1891" spans="1:11" x14ac:dyDescent="0.3">
      <c r="A1891" s="3">
        <v>7108</v>
      </c>
      <c r="B1891" s="3" t="s">
        <v>36</v>
      </c>
      <c r="C1891" s="4">
        <v>45237</v>
      </c>
      <c r="D1891" s="3" t="s">
        <v>20</v>
      </c>
      <c r="E1891" s="3" t="s">
        <v>25</v>
      </c>
      <c r="F1891" s="5">
        <v>2</v>
      </c>
      <c r="G1891" s="6">
        <v>28.38</v>
      </c>
      <c r="H1891" s="6">
        <v>56.76</v>
      </c>
      <c r="I1891" s="6">
        <v>8.51</v>
      </c>
      <c r="J1891" s="6">
        <v>48.25</v>
      </c>
      <c r="K1891" s="5">
        <v>352</v>
      </c>
    </row>
    <row r="1892" spans="1:11" x14ac:dyDescent="0.3">
      <c r="A1892" s="3">
        <v>9225</v>
      </c>
      <c r="B1892" s="3" t="s">
        <v>26</v>
      </c>
      <c r="C1892" s="4">
        <v>45667</v>
      </c>
      <c r="D1892" s="3" t="s">
        <v>35</v>
      </c>
      <c r="E1892" s="3" t="s">
        <v>18</v>
      </c>
      <c r="F1892" s="5">
        <v>3</v>
      </c>
      <c r="G1892" s="6">
        <v>17.73</v>
      </c>
      <c r="H1892" s="6">
        <v>53.19</v>
      </c>
      <c r="I1892" s="6">
        <v>10.64</v>
      </c>
      <c r="J1892" s="6">
        <v>42.55</v>
      </c>
      <c r="K1892" s="5">
        <v>169</v>
      </c>
    </row>
    <row r="1893" spans="1:11" x14ac:dyDescent="0.3">
      <c r="A1893" s="3">
        <v>1862</v>
      </c>
      <c r="B1893" s="3" t="s">
        <v>36</v>
      </c>
      <c r="C1893" s="4">
        <v>45284</v>
      </c>
      <c r="D1893" s="3" t="s">
        <v>27</v>
      </c>
      <c r="E1893" s="3" t="s">
        <v>25</v>
      </c>
      <c r="F1893" s="5">
        <v>5</v>
      </c>
      <c r="G1893" s="6">
        <v>18.66</v>
      </c>
      <c r="H1893" s="6">
        <v>93.3</v>
      </c>
      <c r="I1893" s="6">
        <v>9.33</v>
      </c>
      <c r="J1893" s="6">
        <v>83.97</v>
      </c>
      <c r="K1893" s="5">
        <v>416</v>
      </c>
    </row>
    <row r="1894" spans="1:11" x14ac:dyDescent="0.3">
      <c r="A1894" s="3">
        <v>4656</v>
      </c>
      <c r="B1894" s="3" t="s">
        <v>26</v>
      </c>
      <c r="C1894" s="4">
        <v>45769</v>
      </c>
      <c r="D1894" s="3" t="s">
        <v>12</v>
      </c>
      <c r="E1894" s="3" t="s">
        <v>21</v>
      </c>
      <c r="F1894" s="5">
        <v>5</v>
      </c>
      <c r="G1894" s="6">
        <v>26.53</v>
      </c>
      <c r="H1894" s="6">
        <v>132.65</v>
      </c>
      <c r="I1894" s="6">
        <v>2.29</v>
      </c>
      <c r="J1894" s="6">
        <v>130.36000000000001</v>
      </c>
      <c r="K1894" s="5">
        <v>196</v>
      </c>
    </row>
    <row r="1895" spans="1:11" x14ac:dyDescent="0.3">
      <c r="A1895" s="3">
        <v>9450</v>
      </c>
      <c r="B1895" s="3" t="s">
        <v>14</v>
      </c>
      <c r="C1895" s="4">
        <v>45180</v>
      </c>
      <c r="D1895" s="3" t="s">
        <v>45</v>
      </c>
      <c r="E1895" s="3" t="s">
        <v>33</v>
      </c>
      <c r="F1895" s="5">
        <v>5</v>
      </c>
      <c r="G1895" s="6">
        <v>27.1</v>
      </c>
      <c r="H1895" s="6">
        <v>135.5</v>
      </c>
      <c r="I1895" s="6">
        <v>2.8</v>
      </c>
      <c r="J1895" s="6">
        <v>132.69999999999999</v>
      </c>
      <c r="K1895" s="5">
        <v>484</v>
      </c>
    </row>
    <row r="1896" spans="1:11" x14ac:dyDescent="0.3">
      <c r="A1896" s="3">
        <v>7568</v>
      </c>
      <c r="B1896" s="3" t="s">
        <v>42</v>
      </c>
      <c r="C1896" s="4">
        <v>45198</v>
      </c>
      <c r="D1896" s="3" t="s">
        <v>35</v>
      </c>
      <c r="E1896" s="3" t="s">
        <v>41</v>
      </c>
      <c r="F1896" s="5">
        <v>3</v>
      </c>
      <c r="G1896" s="6">
        <v>25.58</v>
      </c>
      <c r="H1896" s="6">
        <v>76.739999999999995</v>
      </c>
      <c r="I1896" s="6">
        <v>15.35</v>
      </c>
      <c r="J1896" s="6">
        <v>61.39</v>
      </c>
      <c r="K1896" s="5">
        <v>30</v>
      </c>
    </row>
    <row r="1897" spans="1:11" x14ac:dyDescent="0.3">
      <c r="A1897" s="3">
        <v>8620</v>
      </c>
      <c r="B1897" s="3" t="s">
        <v>42</v>
      </c>
      <c r="C1897" s="4">
        <v>45817</v>
      </c>
      <c r="D1897" s="3" t="s">
        <v>27</v>
      </c>
      <c r="E1897" s="3" t="s">
        <v>39</v>
      </c>
      <c r="F1897" s="5">
        <v>3</v>
      </c>
      <c r="G1897" s="6">
        <v>11.32</v>
      </c>
      <c r="H1897" s="6">
        <v>33.96</v>
      </c>
      <c r="I1897" s="6">
        <v>1.58</v>
      </c>
      <c r="J1897" s="6">
        <v>32.380000000000003</v>
      </c>
      <c r="K1897" s="5">
        <v>317</v>
      </c>
    </row>
    <row r="1898" spans="1:11" x14ac:dyDescent="0.3">
      <c r="A1898" s="3">
        <v>5625</v>
      </c>
      <c r="B1898" s="3" t="s">
        <v>30</v>
      </c>
      <c r="C1898" s="4">
        <v>45745</v>
      </c>
      <c r="D1898" s="3" t="s">
        <v>22</v>
      </c>
      <c r="E1898" s="3" t="s">
        <v>47</v>
      </c>
      <c r="F1898" s="5">
        <v>3</v>
      </c>
      <c r="G1898" s="6">
        <v>18.53</v>
      </c>
      <c r="H1898" s="6">
        <v>55.59</v>
      </c>
      <c r="I1898" s="6">
        <v>0</v>
      </c>
      <c r="J1898" s="6">
        <v>55.59</v>
      </c>
      <c r="K1898" s="5">
        <v>274</v>
      </c>
    </row>
    <row r="1899" spans="1:11" x14ac:dyDescent="0.3">
      <c r="A1899" s="3">
        <v>6090</v>
      </c>
      <c r="B1899" s="3" t="s">
        <v>42</v>
      </c>
      <c r="C1899" s="4">
        <v>45399</v>
      </c>
      <c r="D1899" s="3" t="s">
        <v>28</v>
      </c>
      <c r="E1899" s="3" t="s">
        <v>48</v>
      </c>
      <c r="F1899" s="5">
        <v>3</v>
      </c>
      <c r="G1899" s="6">
        <v>22.26</v>
      </c>
      <c r="H1899" s="6">
        <v>66.78</v>
      </c>
      <c r="I1899" s="6">
        <v>4.2</v>
      </c>
      <c r="J1899" s="6">
        <v>62.58</v>
      </c>
      <c r="K1899" s="5">
        <v>376</v>
      </c>
    </row>
    <row r="1900" spans="1:11" x14ac:dyDescent="0.3">
      <c r="A1900" s="3">
        <v>2415</v>
      </c>
      <c r="B1900" s="3" t="s">
        <v>30</v>
      </c>
      <c r="C1900" s="4">
        <v>45574</v>
      </c>
      <c r="D1900" s="3" t="s">
        <v>17</v>
      </c>
      <c r="E1900" s="3" t="s">
        <v>32</v>
      </c>
      <c r="F1900" s="5">
        <v>4</v>
      </c>
      <c r="G1900" s="6">
        <v>21.31</v>
      </c>
      <c r="H1900" s="6">
        <v>85.24</v>
      </c>
      <c r="I1900" s="6">
        <v>12.79</v>
      </c>
      <c r="J1900" s="6">
        <v>72.45</v>
      </c>
      <c r="K1900" s="5">
        <v>436</v>
      </c>
    </row>
    <row r="1901" spans="1:11" x14ac:dyDescent="0.3">
      <c r="A1901" s="3">
        <v>8483</v>
      </c>
      <c r="B1901" s="3" t="s">
        <v>30</v>
      </c>
      <c r="C1901" s="4">
        <v>45151</v>
      </c>
      <c r="D1901" s="3" t="s">
        <v>17</v>
      </c>
      <c r="E1901" s="3" t="s">
        <v>41</v>
      </c>
      <c r="F1901" s="5">
        <v>3</v>
      </c>
      <c r="G1901" s="6">
        <v>1.72</v>
      </c>
      <c r="H1901" s="6">
        <v>5.16</v>
      </c>
      <c r="I1901" s="6">
        <v>2.4700000000000002</v>
      </c>
      <c r="J1901" s="6">
        <v>2.69</v>
      </c>
      <c r="K1901" s="5">
        <v>333</v>
      </c>
    </row>
    <row r="1902" spans="1:11" x14ac:dyDescent="0.3">
      <c r="A1902" s="3">
        <v>7044</v>
      </c>
      <c r="B1902" s="3" t="s">
        <v>19</v>
      </c>
      <c r="C1902" s="4">
        <v>45300</v>
      </c>
      <c r="D1902" s="3" t="s">
        <v>45</v>
      </c>
      <c r="E1902" s="3" t="s">
        <v>32</v>
      </c>
      <c r="F1902" s="5">
        <v>5</v>
      </c>
      <c r="G1902" s="6">
        <v>5.54</v>
      </c>
      <c r="H1902" s="6">
        <v>27.7</v>
      </c>
      <c r="I1902" s="6">
        <v>4.75</v>
      </c>
      <c r="J1902" s="6">
        <v>22.95</v>
      </c>
      <c r="K1902" s="5">
        <v>227</v>
      </c>
    </row>
    <row r="1903" spans="1:11" x14ac:dyDescent="0.3">
      <c r="A1903" s="3">
        <v>5777</v>
      </c>
      <c r="B1903" s="3" t="s">
        <v>26</v>
      </c>
      <c r="C1903" s="4">
        <v>45582</v>
      </c>
      <c r="D1903" s="3" t="s">
        <v>35</v>
      </c>
      <c r="E1903" s="3" t="s">
        <v>44</v>
      </c>
      <c r="F1903" s="5">
        <v>5</v>
      </c>
      <c r="G1903" s="6">
        <v>14.14</v>
      </c>
      <c r="H1903" s="6">
        <v>70.7</v>
      </c>
      <c r="I1903" s="6">
        <v>10.61</v>
      </c>
      <c r="J1903" s="6">
        <v>60.09</v>
      </c>
      <c r="K1903" s="5">
        <v>83</v>
      </c>
    </row>
    <row r="1904" spans="1:11" x14ac:dyDescent="0.3">
      <c r="A1904" s="3">
        <v>5979</v>
      </c>
      <c r="B1904" s="3" t="s">
        <v>31</v>
      </c>
      <c r="C1904" s="4">
        <v>45719</v>
      </c>
      <c r="D1904" s="3" t="s">
        <v>15</v>
      </c>
      <c r="E1904" s="3" t="s">
        <v>40</v>
      </c>
      <c r="F1904" s="5">
        <v>3</v>
      </c>
      <c r="G1904" s="6">
        <v>17.010000000000002</v>
      </c>
      <c r="H1904" s="6">
        <v>51.03</v>
      </c>
      <c r="I1904" s="6">
        <v>7.65</v>
      </c>
      <c r="J1904" s="6">
        <v>43.38</v>
      </c>
      <c r="K1904" s="5">
        <v>188</v>
      </c>
    </row>
    <row r="1905" spans="1:11" x14ac:dyDescent="0.3">
      <c r="A1905" s="3">
        <v>4974</v>
      </c>
      <c r="B1905" s="3" t="s">
        <v>24</v>
      </c>
      <c r="C1905" s="4">
        <v>45505</v>
      </c>
      <c r="D1905" s="3" t="s">
        <v>38</v>
      </c>
      <c r="E1905" s="3" t="s">
        <v>39</v>
      </c>
      <c r="F1905" s="5">
        <v>4</v>
      </c>
      <c r="G1905" s="6">
        <v>19.73</v>
      </c>
      <c r="H1905" s="6">
        <v>78.92</v>
      </c>
      <c r="I1905" s="6">
        <v>11.84</v>
      </c>
      <c r="J1905" s="6">
        <v>67.08</v>
      </c>
      <c r="K1905" s="5">
        <v>202</v>
      </c>
    </row>
    <row r="1906" spans="1:11" x14ac:dyDescent="0.3">
      <c r="A1906" s="3">
        <v>7033</v>
      </c>
      <c r="B1906" s="3" t="s">
        <v>31</v>
      </c>
      <c r="C1906" s="4">
        <v>45604</v>
      </c>
      <c r="D1906" s="3" t="s">
        <v>27</v>
      </c>
      <c r="E1906" s="3" t="s">
        <v>37</v>
      </c>
      <c r="F1906" s="5">
        <v>3</v>
      </c>
      <c r="G1906" s="6">
        <v>17.39</v>
      </c>
      <c r="H1906" s="6">
        <v>52.17</v>
      </c>
      <c r="I1906" s="6">
        <v>1.22</v>
      </c>
      <c r="J1906" s="6">
        <v>50.95</v>
      </c>
      <c r="K1906" s="5">
        <v>291</v>
      </c>
    </row>
    <row r="1907" spans="1:11" x14ac:dyDescent="0.3">
      <c r="A1907" s="3">
        <v>9083</v>
      </c>
      <c r="B1907" s="3" t="s">
        <v>19</v>
      </c>
      <c r="C1907" s="4">
        <v>45745</v>
      </c>
      <c r="D1907" s="3" t="s">
        <v>45</v>
      </c>
      <c r="E1907" s="3" t="s">
        <v>43</v>
      </c>
      <c r="F1907" s="5">
        <v>1</v>
      </c>
      <c r="G1907" s="6">
        <v>5.05</v>
      </c>
      <c r="H1907" s="6">
        <v>5.05</v>
      </c>
      <c r="I1907" s="6">
        <v>0</v>
      </c>
      <c r="J1907" s="6">
        <v>5.05</v>
      </c>
      <c r="K1907" s="5">
        <v>52</v>
      </c>
    </row>
    <row r="1908" spans="1:11" x14ac:dyDescent="0.3">
      <c r="A1908" s="3">
        <v>4201</v>
      </c>
      <c r="B1908" s="3" t="s">
        <v>42</v>
      </c>
      <c r="C1908" s="4">
        <v>45713</v>
      </c>
      <c r="D1908" s="3" t="s">
        <v>15</v>
      </c>
      <c r="E1908" s="3" t="s">
        <v>23</v>
      </c>
      <c r="F1908" s="5">
        <v>3</v>
      </c>
      <c r="G1908" s="6">
        <v>10.8</v>
      </c>
      <c r="H1908" s="6">
        <v>32.4</v>
      </c>
      <c r="I1908" s="6">
        <v>2.97</v>
      </c>
      <c r="J1908" s="6">
        <v>29.43</v>
      </c>
      <c r="K1908" s="5">
        <v>211</v>
      </c>
    </row>
    <row r="1909" spans="1:11" x14ac:dyDescent="0.3">
      <c r="A1909" s="3">
        <v>9954</v>
      </c>
      <c r="B1909" s="3" t="s">
        <v>14</v>
      </c>
      <c r="C1909" s="4">
        <v>45735</v>
      </c>
      <c r="D1909" s="3" t="s">
        <v>12</v>
      </c>
      <c r="E1909" s="3" t="s">
        <v>46</v>
      </c>
      <c r="F1909" s="5">
        <v>4</v>
      </c>
      <c r="G1909" s="6">
        <v>19.600000000000001</v>
      </c>
      <c r="H1909" s="6">
        <v>78.400000000000006</v>
      </c>
      <c r="I1909" s="6">
        <v>4.29</v>
      </c>
      <c r="J1909" s="6">
        <v>74.11</v>
      </c>
      <c r="K1909" s="5">
        <v>202</v>
      </c>
    </row>
    <row r="1910" spans="1:11" x14ac:dyDescent="0.3">
      <c r="A1910" s="3">
        <v>5016</v>
      </c>
      <c r="B1910" s="3" t="s">
        <v>42</v>
      </c>
      <c r="C1910" s="4">
        <v>45261</v>
      </c>
      <c r="D1910" s="3" t="s">
        <v>45</v>
      </c>
      <c r="E1910" s="3" t="s">
        <v>29</v>
      </c>
      <c r="F1910" s="5">
        <v>1</v>
      </c>
      <c r="G1910" s="6">
        <v>23.11</v>
      </c>
      <c r="H1910" s="6">
        <v>23.11</v>
      </c>
      <c r="I1910" s="6">
        <v>4.62</v>
      </c>
      <c r="J1910" s="6">
        <v>18.489999999999998</v>
      </c>
      <c r="K1910" s="5">
        <v>444</v>
      </c>
    </row>
    <row r="1911" spans="1:11" x14ac:dyDescent="0.3">
      <c r="A1911" s="3">
        <v>1104</v>
      </c>
      <c r="B1911" s="3" t="s">
        <v>42</v>
      </c>
      <c r="C1911" s="4">
        <v>45869</v>
      </c>
      <c r="D1911" s="3" t="s">
        <v>12</v>
      </c>
      <c r="E1911" s="3" t="s">
        <v>18</v>
      </c>
      <c r="F1911" s="5">
        <v>1</v>
      </c>
      <c r="G1911" s="6">
        <v>2.5099999999999998</v>
      </c>
      <c r="H1911" s="6">
        <v>2.5099999999999998</v>
      </c>
      <c r="I1911" s="6">
        <v>0.25</v>
      </c>
      <c r="J1911" s="6">
        <v>2.2599999999999998</v>
      </c>
      <c r="K1911" s="5">
        <v>431</v>
      </c>
    </row>
    <row r="1912" spans="1:11" x14ac:dyDescent="0.3">
      <c r="A1912" s="3">
        <v>7718</v>
      </c>
      <c r="B1912" s="3" t="s">
        <v>31</v>
      </c>
      <c r="C1912" s="4">
        <v>45163</v>
      </c>
      <c r="D1912" s="3" t="s">
        <v>12</v>
      </c>
      <c r="E1912" s="3" t="s">
        <v>25</v>
      </c>
      <c r="F1912" s="5">
        <v>2</v>
      </c>
      <c r="G1912" s="6">
        <v>28.54</v>
      </c>
      <c r="H1912" s="6">
        <v>57.08</v>
      </c>
      <c r="I1912" s="6">
        <v>2.2799999999999998</v>
      </c>
      <c r="J1912" s="6">
        <v>54.8</v>
      </c>
      <c r="K1912" s="5">
        <v>488</v>
      </c>
    </row>
    <row r="1913" spans="1:11" x14ac:dyDescent="0.3">
      <c r="A1913" s="3">
        <v>4817</v>
      </c>
      <c r="B1913" s="3" t="s">
        <v>24</v>
      </c>
      <c r="C1913" s="4">
        <v>45565</v>
      </c>
      <c r="D1913" s="3" t="s">
        <v>27</v>
      </c>
      <c r="E1913" s="3" t="s">
        <v>32</v>
      </c>
      <c r="F1913" s="5">
        <v>1</v>
      </c>
      <c r="G1913" s="6">
        <v>15.79</v>
      </c>
      <c r="H1913" s="6">
        <v>15.79</v>
      </c>
      <c r="I1913" s="6">
        <v>3.68</v>
      </c>
      <c r="J1913" s="6">
        <v>12.11</v>
      </c>
      <c r="K1913" s="5">
        <v>148</v>
      </c>
    </row>
    <row r="1914" spans="1:11" x14ac:dyDescent="0.3">
      <c r="A1914" s="3">
        <v>6675</v>
      </c>
      <c r="B1914" s="3" t="s">
        <v>24</v>
      </c>
      <c r="C1914" s="4">
        <v>45638</v>
      </c>
      <c r="D1914" s="3" t="s">
        <v>38</v>
      </c>
      <c r="E1914" s="3" t="s">
        <v>43</v>
      </c>
      <c r="F1914" s="5">
        <v>1</v>
      </c>
      <c r="G1914" s="6">
        <v>6.79</v>
      </c>
      <c r="H1914" s="6">
        <v>6.79</v>
      </c>
      <c r="I1914" s="6">
        <v>1.36</v>
      </c>
      <c r="J1914" s="6">
        <v>5.43</v>
      </c>
      <c r="K1914" s="5">
        <v>18</v>
      </c>
    </row>
    <row r="1915" spans="1:11" x14ac:dyDescent="0.3">
      <c r="A1915" s="3">
        <v>1157</v>
      </c>
      <c r="B1915" s="3" t="s">
        <v>26</v>
      </c>
      <c r="C1915" s="4">
        <v>45405</v>
      </c>
      <c r="D1915" s="3" t="s">
        <v>12</v>
      </c>
      <c r="E1915" s="3" t="s">
        <v>23</v>
      </c>
      <c r="F1915" s="5">
        <v>1</v>
      </c>
      <c r="G1915" s="6">
        <v>17.86</v>
      </c>
      <c r="H1915" s="6">
        <v>17.86</v>
      </c>
      <c r="I1915" s="6">
        <v>1.79</v>
      </c>
      <c r="J1915" s="6">
        <v>16.07</v>
      </c>
      <c r="K1915" s="5">
        <v>188</v>
      </c>
    </row>
    <row r="1916" spans="1:11" x14ac:dyDescent="0.3">
      <c r="A1916" s="3">
        <v>1023</v>
      </c>
      <c r="B1916" s="3" t="s">
        <v>42</v>
      </c>
      <c r="C1916" s="4">
        <v>45734</v>
      </c>
      <c r="D1916" s="3" t="s">
        <v>34</v>
      </c>
      <c r="E1916" s="3" t="s">
        <v>18</v>
      </c>
      <c r="F1916" s="5">
        <v>1</v>
      </c>
      <c r="G1916" s="6">
        <v>27.53</v>
      </c>
      <c r="H1916" s="6">
        <v>27.53</v>
      </c>
      <c r="I1916" s="6">
        <v>4.13</v>
      </c>
      <c r="J1916" s="6">
        <v>23.4</v>
      </c>
      <c r="K1916" s="5">
        <v>381</v>
      </c>
    </row>
    <row r="1917" spans="1:11" x14ac:dyDescent="0.3">
      <c r="A1917" s="3">
        <v>7164</v>
      </c>
      <c r="B1917" s="3" t="s">
        <v>14</v>
      </c>
      <c r="C1917" s="4">
        <v>45804</v>
      </c>
      <c r="D1917" s="3" t="s">
        <v>22</v>
      </c>
      <c r="E1917" s="3" t="s">
        <v>46</v>
      </c>
      <c r="F1917" s="5">
        <v>4</v>
      </c>
      <c r="G1917" s="6">
        <v>5.63</v>
      </c>
      <c r="H1917" s="6">
        <v>22.52</v>
      </c>
      <c r="I1917" s="6">
        <v>3.38</v>
      </c>
      <c r="J1917" s="6">
        <v>19.14</v>
      </c>
      <c r="K1917" s="5">
        <v>103</v>
      </c>
    </row>
    <row r="1918" spans="1:11" x14ac:dyDescent="0.3">
      <c r="A1918" s="3">
        <v>6038</v>
      </c>
      <c r="B1918" s="3" t="s">
        <v>42</v>
      </c>
      <c r="C1918" s="4">
        <v>45225</v>
      </c>
      <c r="D1918" s="3" t="s">
        <v>22</v>
      </c>
      <c r="E1918" s="3" t="s">
        <v>13</v>
      </c>
      <c r="F1918" s="5">
        <v>4</v>
      </c>
      <c r="G1918" s="6">
        <v>4.45</v>
      </c>
      <c r="H1918" s="6">
        <v>17.8</v>
      </c>
      <c r="I1918" s="6">
        <v>2.78</v>
      </c>
      <c r="J1918" s="6">
        <v>15.02</v>
      </c>
      <c r="K1918" s="5">
        <v>146</v>
      </c>
    </row>
    <row r="1919" spans="1:11" x14ac:dyDescent="0.3">
      <c r="A1919" s="3">
        <v>4361</v>
      </c>
      <c r="B1919" s="3" t="s">
        <v>14</v>
      </c>
      <c r="C1919" s="4">
        <v>45556</v>
      </c>
      <c r="D1919" s="3" t="s">
        <v>20</v>
      </c>
      <c r="E1919" s="3" t="s">
        <v>44</v>
      </c>
      <c r="F1919" s="5">
        <v>2</v>
      </c>
      <c r="G1919" s="6">
        <v>4.26</v>
      </c>
      <c r="H1919" s="6">
        <v>8.52</v>
      </c>
      <c r="I1919" s="6">
        <v>0</v>
      </c>
      <c r="J1919" s="6">
        <v>8.52</v>
      </c>
      <c r="K1919" s="5">
        <v>198</v>
      </c>
    </row>
    <row r="1920" spans="1:11" x14ac:dyDescent="0.3">
      <c r="A1920" s="3">
        <v>4902</v>
      </c>
      <c r="B1920" s="3" t="s">
        <v>42</v>
      </c>
      <c r="C1920" s="4">
        <v>45471</v>
      </c>
      <c r="D1920" s="3" t="s">
        <v>17</v>
      </c>
      <c r="E1920" s="3" t="s">
        <v>37</v>
      </c>
      <c r="F1920" s="5">
        <v>2</v>
      </c>
      <c r="G1920" s="6">
        <v>26.7</v>
      </c>
      <c r="H1920" s="6">
        <v>53.4</v>
      </c>
      <c r="I1920" s="6">
        <v>8.01</v>
      </c>
      <c r="J1920" s="6">
        <v>45.39</v>
      </c>
      <c r="K1920" s="5">
        <v>418</v>
      </c>
    </row>
    <row r="1921" spans="1:11" x14ac:dyDescent="0.3">
      <c r="A1921" s="3">
        <v>9061</v>
      </c>
      <c r="B1921" s="3" t="s">
        <v>26</v>
      </c>
      <c r="C1921" s="4">
        <v>45191</v>
      </c>
      <c r="D1921" s="3" t="s">
        <v>12</v>
      </c>
      <c r="E1921" s="3" t="s">
        <v>25</v>
      </c>
      <c r="F1921" s="5">
        <v>5</v>
      </c>
      <c r="G1921" s="6">
        <v>26.81</v>
      </c>
      <c r="H1921" s="6">
        <v>134.05000000000001</v>
      </c>
      <c r="I1921" s="6">
        <v>26.81</v>
      </c>
      <c r="J1921" s="6">
        <v>107.24</v>
      </c>
      <c r="K1921" s="5">
        <v>431</v>
      </c>
    </row>
    <row r="1922" spans="1:11" x14ac:dyDescent="0.3">
      <c r="A1922" s="3">
        <v>3332</v>
      </c>
      <c r="B1922" s="3" t="s">
        <v>14</v>
      </c>
      <c r="C1922" s="4">
        <v>45697</v>
      </c>
      <c r="D1922" s="3" t="s">
        <v>12</v>
      </c>
      <c r="E1922" s="3" t="s">
        <v>37</v>
      </c>
      <c r="F1922" s="5">
        <v>1</v>
      </c>
      <c r="G1922" s="6">
        <v>7.27</v>
      </c>
      <c r="H1922" s="6">
        <v>7.27</v>
      </c>
      <c r="I1922" s="6">
        <v>1.45</v>
      </c>
      <c r="J1922" s="6">
        <v>5.82</v>
      </c>
      <c r="K1922" s="5">
        <v>92</v>
      </c>
    </row>
    <row r="1923" spans="1:11" x14ac:dyDescent="0.3">
      <c r="A1923" s="3">
        <v>5584</v>
      </c>
      <c r="B1923" s="3" t="s">
        <v>26</v>
      </c>
      <c r="C1923" s="4">
        <v>45217</v>
      </c>
      <c r="D1923" s="3" t="s">
        <v>20</v>
      </c>
      <c r="E1923" s="3" t="s">
        <v>21</v>
      </c>
      <c r="F1923" s="5">
        <v>4</v>
      </c>
      <c r="G1923" s="6">
        <v>29.53</v>
      </c>
      <c r="H1923" s="6">
        <v>118.12</v>
      </c>
      <c r="I1923" s="6">
        <v>11.81</v>
      </c>
      <c r="J1923" s="6">
        <v>106.31</v>
      </c>
      <c r="K1923" s="5">
        <v>308</v>
      </c>
    </row>
    <row r="1924" spans="1:11" x14ac:dyDescent="0.3">
      <c r="A1924" s="3">
        <v>1719</v>
      </c>
      <c r="B1924" s="3" t="s">
        <v>26</v>
      </c>
      <c r="C1924" s="4">
        <v>45860</v>
      </c>
      <c r="D1924" s="3" t="s">
        <v>38</v>
      </c>
      <c r="E1924" s="3" t="s">
        <v>37</v>
      </c>
      <c r="F1924" s="5">
        <v>2</v>
      </c>
      <c r="G1924" s="6">
        <v>3.24</v>
      </c>
      <c r="H1924" s="6">
        <v>6.48</v>
      </c>
      <c r="I1924" s="6">
        <v>3.48</v>
      </c>
      <c r="J1924" s="6">
        <v>3</v>
      </c>
      <c r="K1924" s="5">
        <v>54</v>
      </c>
    </row>
    <row r="1925" spans="1:11" x14ac:dyDescent="0.3">
      <c r="A1925" s="3">
        <v>4792</v>
      </c>
      <c r="B1925" s="3" t="s">
        <v>31</v>
      </c>
      <c r="C1925" s="4">
        <v>45841</v>
      </c>
      <c r="D1925" s="3" t="s">
        <v>35</v>
      </c>
      <c r="E1925" s="3" t="s">
        <v>39</v>
      </c>
      <c r="F1925" s="5">
        <v>3</v>
      </c>
      <c r="G1925" s="6">
        <v>13.9</v>
      </c>
      <c r="H1925" s="6">
        <v>41.7</v>
      </c>
      <c r="I1925" s="6">
        <v>1.21</v>
      </c>
      <c r="J1925" s="6">
        <v>40.49</v>
      </c>
      <c r="K1925" s="5">
        <v>373</v>
      </c>
    </row>
    <row r="1926" spans="1:11" x14ac:dyDescent="0.3">
      <c r="A1926" s="3">
        <v>9515</v>
      </c>
      <c r="B1926" s="3" t="s">
        <v>42</v>
      </c>
      <c r="C1926" s="4">
        <v>45465</v>
      </c>
      <c r="D1926" s="3" t="s">
        <v>27</v>
      </c>
      <c r="E1926" s="3" t="s">
        <v>44</v>
      </c>
      <c r="F1926" s="5">
        <v>4</v>
      </c>
      <c r="G1926" s="6">
        <v>22.5</v>
      </c>
      <c r="H1926" s="6">
        <v>90</v>
      </c>
      <c r="I1926" s="6">
        <v>13.5</v>
      </c>
      <c r="J1926" s="6">
        <v>76.5</v>
      </c>
      <c r="K1926" s="5">
        <v>190</v>
      </c>
    </row>
    <row r="1927" spans="1:11" x14ac:dyDescent="0.3">
      <c r="A1927" s="3">
        <v>7102</v>
      </c>
      <c r="B1927" s="3" t="s">
        <v>24</v>
      </c>
      <c r="C1927" s="4">
        <v>45501</v>
      </c>
      <c r="D1927" s="3" t="s">
        <v>27</v>
      </c>
      <c r="E1927" s="3" t="s">
        <v>39</v>
      </c>
      <c r="F1927" s="5">
        <v>3</v>
      </c>
      <c r="G1927" s="6">
        <v>23.33</v>
      </c>
      <c r="H1927" s="6">
        <v>69.989999999999995</v>
      </c>
      <c r="I1927" s="6">
        <v>10.5</v>
      </c>
      <c r="J1927" s="6">
        <v>59.49</v>
      </c>
      <c r="K1927" s="5">
        <v>460</v>
      </c>
    </row>
    <row r="1928" spans="1:11" x14ac:dyDescent="0.3">
      <c r="A1928" s="3">
        <v>2391</v>
      </c>
      <c r="B1928" s="3" t="s">
        <v>19</v>
      </c>
      <c r="C1928" s="4">
        <v>45596</v>
      </c>
      <c r="D1928" s="3" t="s">
        <v>35</v>
      </c>
      <c r="E1928" s="3" t="s">
        <v>33</v>
      </c>
      <c r="F1928" s="5">
        <v>2</v>
      </c>
      <c r="G1928" s="6">
        <v>4.4800000000000004</v>
      </c>
      <c r="H1928" s="6">
        <v>8.9600000000000009</v>
      </c>
      <c r="I1928" s="6">
        <v>0.9</v>
      </c>
      <c r="J1928" s="6">
        <v>8.06</v>
      </c>
      <c r="K1928" s="5">
        <v>325</v>
      </c>
    </row>
    <row r="1929" spans="1:11" x14ac:dyDescent="0.3">
      <c r="A1929" s="3">
        <v>2565</v>
      </c>
      <c r="B1929" s="3" t="s">
        <v>19</v>
      </c>
      <c r="C1929" s="4">
        <v>45537</v>
      </c>
      <c r="D1929" s="3" t="s">
        <v>12</v>
      </c>
      <c r="E1929" s="3" t="s">
        <v>48</v>
      </c>
      <c r="F1929" s="5">
        <v>1</v>
      </c>
      <c r="G1929" s="6">
        <v>22.01</v>
      </c>
      <c r="H1929" s="6">
        <v>22.01</v>
      </c>
      <c r="I1929" s="6">
        <v>3.3</v>
      </c>
      <c r="J1929" s="6">
        <v>18.71</v>
      </c>
      <c r="K1929" s="5">
        <v>233</v>
      </c>
    </row>
    <row r="1930" spans="1:11" x14ac:dyDescent="0.3">
      <c r="A1930" s="3">
        <v>3187</v>
      </c>
      <c r="B1930" s="3" t="s">
        <v>31</v>
      </c>
      <c r="C1930" s="4">
        <v>45639</v>
      </c>
      <c r="D1930" s="3" t="s">
        <v>28</v>
      </c>
      <c r="E1930" s="3" t="s">
        <v>47</v>
      </c>
      <c r="F1930" s="5">
        <v>1</v>
      </c>
      <c r="G1930" s="6">
        <v>22.2</v>
      </c>
      <c r="H1930" s="6">
        <v>22.2</v>
      </c>
      <c r="I1930" s="6">
        <v>2.59</v>
      </c>
      <c r="J1930" s="6">
        <v>19.61</v>
      </c>
      <c r="K1930" s="5">
        <v>78</v>
      </c>
    </row>
    <row r="1931" spans="1:11" x14ac:dyDescent="0.3">
      <c r="A1931" s="3">
        <v>7461</v>
      </c>
      <c r="B1931" s="3" t="s">
        <v>24</v>
      </c>
      <c r="C1931" s="4">
        <v>45203</v>
      </c>
      <c r="D1931" s="3" t="s">
        <v>12</v>
      </c>
      <c r="E1931" s="3" t="s">
        <v>40</v>
      </c>
      <c r="F1931" s="5">
        <v>4</v>
      </c>
      <c r="G1931" s="6">
        <v>13.53</v>
      </c>
      <c r="H1931" s="6">
        <v>54.12</v>
      </c>
      <c r="I1931" s="6">
        <v>10.82</v>
      </c>
      <c r="J1931" s="6">
        <v>43.3</v>
      </c>
      <c r="K1931" s="5">
        <v>238</v>
      </c>
    </row>
    <row r="1932" spans="1:11" x14ac:dyDescent="0.3">
      <c r="A1932" s="3">
        <v>2020</v>
      </c>
      <c r="B1932" s="3" t="s">
        <v>31</v>
      </c>
      <c r="C1932" s="4">
        <v>45482</v>
      </c>
      <c r="D1932" s="3" t="s">
        <v>28</v>
      </c>
      <c r="E1932" s="3" t="s">
        <v>40</v>
      </c>
      <c r="F1932" s="5">
        <v>1</v>
      </c>
      <c r="G1932" s="6">
        <v>28.81</v>
      </c>
      <c r="H1932" s="6">
        <v>28.81</v>
      </c>
      <c r="I1932" s="6">
        <v>0</v>
      </c>
      <c r="J1932" s="6">
        <v>28.81</v>
      </c>
      <c r="K1932" s="5">
        <v>448</v>
      </c>
    </row>
    <row r="1933" spans="1:11" x14ac:dyDescent="0.3">
      <c r="A1933" s="3">
        <v>3141</v>
      </c>
      <c r="B1933" s="3" t="s">
        <v>30</v>
      </c>
      <c r="C1933" s="4">
        <v>45328</v>
      </c>
      <c r="D1933" s="3" t="s">
        <v>45</v>
      </c>
      <c r="E1933" s="3" t="s">
        <v>44</v>
      </c>
      <c r="F1933" s="5">
        <v>3</v>
      </c>
      <c r="G1933" s="6">
        <v>1.7</v>
      </c>
      <c r="H1933" s="6">
        <v>5.0999999999999996</v>
      </c>
      <c r="I1933" s="6">
        <v>1.02</v>
      </c>
      <c r="J1933" s="6">
        <v>4.08</v>
      </c>
      <c r="K1933" s="5">
        <v>139</v>
      </c>
    </row>
    <row r="1934" spans="1:11" x14ac:dyDescent="0.3">
      <c r="A1934" s="3">
        <v>5778</v>
      </c>
      <c r="B1934" s="3" t="s">
        <v>26</v>
      </c>
      <c r="C1934" s="4">
        <v>45347</v>
      </c>
      <c r="D1934" s="3" t="s">
        <v>12</v>
      </c>
      <c r="E1934" s="3" t="s">
        <v>40</v>
      </c>
      <c r="F1934" s="5">
        <v>5</v>
      </c>
      <c r="G1934" s="6">
        <v>25.22</v>
      </c>
      <c r="H1934" s="6">
        <v>126.1</v>
      </c>
      <c r="I1934" s="6">
        <v>25.22</v>
      </c>
      <c r="J1934" s="6">
        <v>100.88</v>
      </c>
      <c r="K1934" s="5">
        <v>222</v>
      </c>
    </row>
    <row r="1935" spans="1:11" x14ac:dyDescent="0.3">
      <c r="A1935" s="3">
        <v>6161</v>
      </c>
      <c r="B1935" s="3" t="s">
        <v>31</v>
      </c>
      <c r="C1935" s="4">
        <v>45864</v>
      </c>
      <c r="D1935" s="3" t="s">
        <v>35</v>
      </c>
      <c r="E1935" s="3" t="s">
        <v>23</v>
      </c>
      <c r="F1935" s="5">
        <v>1</v>
      </c>
      <c r="G1935" s="6">
        <v>18.329999999999998</v>
      </c>
      <c r="H1935" s="6">
        <v>18.329999999999998</v>
      </c>
      <c r="I1935" s="6">
        <v>1.66</v>
      </c>
      <c r="J1935" s="6">
        <v>16.670000000000002</v>
      </c>
      <c r="K1935" s="5">
        <v>233</v>
      </c>
    </row>
    <row r="1936" spans="1:11" x14ac:dyDescent="0.3">
      <c r="A1936" s="3">
        <v>7438</v>
      </c>
      <c r="B1936" s="3" t="s">
        <v>36</v>
      </c>
      <c r="C1936" s="4">
        <v>45689</v>
      </c>
      <c r="D1936" s="3" t="s">
        <v>38</v>
      </c>
      <c r="E1936" s="3" t="s">
        <v>18</v>
      </c>
      <c r="F1936" s="5">
        <v>2</v>
      </c>
      <c r="G1936" s="6">
        <v>10.29</v>
      </c>
      <c r="H1936" s="6">
        <v>20.58</v>
      </c>
      <c r="I1936" s="6">
        <v>2.06</v>
      </c>
      <c r="J1936" s="6">
        <v>18.52</v>
      </c>
      <c r="K1936" s="5">
        <v>327</v>
      </c>
    </row>
    <row r="1937" spans="1:11" x14ac:dyDescent="0.3">
      <c r="A1937" s="3">
        <v>6345</v>
      </c>
      <c r="B1937" s="3" t="s">
        <v>19</v>
      </c>
      <c r="C1937" s="4">
        <v>45392</v>
      </c>
      <c r="D1937" s="3" t="s">
        <v>28</v>
      </c>
      <c r="E1937" s="3" t="s">
        <v>32</v>
      </c>
      <c r="F1937" s="5">
        <v>3</v>
      </c>
      <c r="G1937" s="6">
        <v>14.55</v>
      </c>
      <c r="H1937" s="6">
        <v>43.65</v>
      </c>
      <c r="I1937" s="6">
        <v>8.73</v>
      </c>
      <c r="J1937" s="6">
        <v>34.92</v>
      </c>
      <c r="K1937" s="5">
        <v>177</v>
      </c>
    </row>
    <row r="1938" spans="1:11" x14ac:dyDescent="0.3">
      <c r="A1938" s="3">
        <v>8417</v>
      </c>
      <c r="B1938" s="3" t="s">
        <v>26</v>
      </c>
      <c r="C1938" s="4">
        <v>45356</v>
      </c>
      <c r="D1938" s="3" t="s">
        <v>27</v>
      </c>
      <c r="E1938" s="3" t="s">
        <v>18</v>
      </c>
      <c r="F1938" s="5">
        <v>4</v>
      </c>
      <c r="G1938" s="6">
        <v>11.44</v>
      </c>
      <c r="H1938" s="6">
        <v>45.76</v>
      </c>
      <c r="I1938" s="6">
        <v>2.0099999999999998</v>
      </c>
      <c r="J1938" s="6">
        <v>43.75</v>
      </c>
      <c r="K1938" s="5">
        <v>221</v>
      </c>
    </row>
    <row r="1939" spans="1:11" x14ac:dyDescent="0.3">
      <c r="A1939" s="3">
        <v>4827</v>
      </c>
      <c r="B1939" s="3" t="s">
        <v>19</v>
      </c>
      <c r="C1939" s="4">
        <v>45203</v>
      </c>
      <c r="D1939" s="3" t="s">
        <v>22</v>
      </c>
      <c r="E1939" s="3" t="s">
        <v>23</v>
      </c>
      <c r="F1939" s="5">
        <v>4</v>
      </c>
      <c r="G1939" s="6">
        <v>14.06</v>
      </c>
      <c r="H1939" s="6">
        <v>56.24</v>
      </c>
      <c r="I1939" s="6">
        <v>2.37</v>
      </c>
      <c r="J1939" s="6">
        <v>53.87</v>
      </c>
      <c r="K1939" s="5">
        <v>276</v>
      </c>
    </row>
    <row r="1940" spans="1:11" x14ac:dyDescent="0.3">
      <c r="A1940" s="3">
        <v>4321</v>
      </c>
      <c r="B1940" s="3" t="s">
        <v>19</v>
      </c>
      <c r="C1940" s="4">
        <v>45250</v>
      </c>
      <c r="D1940" s="3" t="s">
        <v>28</v>
      </c>
      <c r="E1940" s="3" t="s">
        <v>21</v>
      </c>
      <c r="F1940" s="5">
        <v>5</v>
      </c>
      <c r="G1940" s="6">
        <v>19.34</v>
      </c>
      <c r="H1940" s="6">
        <v>96.7</v>
      </c>
      <c r="I1940" s="6">
        <v>1.56</v>
      </c>
      <c r="J1940" s="6">
        <v>95.14</v>
      </c>
      <c r="K1940" s="5">
        <v>381</v>
      </c>
    </row>
    <row r="1941" spans="1:11" x14ac:dyDescent="0.3">
      <c r="A1941" s="3">
        <v>2785</v>
      </c>
      <c r="B1941" s="3" t="s">
        <v>42</v>
      </c>
      <c r="C1941" s="4">
        <v>45265</v>
      </c>
      <c r="D1941" s="3" t="s">
        <v>20</v>
      </c>
      <c r="E1941" s="3" t="s">
        <v>43</v>
      </c>
      <c r="F1941" s="5">
        <v>4</v>
      </c>
      <c r="G1941" s="6">
        <v>26.53</v>
      </c>
      <c r="H1941" s="6">
        <v>106.12</v>
      </c>
      <c r="I1941" s="6">
        <v>1.42</v>
      </c>
      <c r="J1941" s="6">
        <v>104.7</v>
      </c>
      <c r="K1941" s="5">
        <v>256</v>
      </c>
    </row>
    <row r="1942" spans="1:11" x14ac:dyDescent="0.3">
      <c r="A1942" s="3">
        <v>2731</v>
      </c>
      <c r="B1942" s="3" t="s">
        <v>31</v>
      </c>
      <c r="C1942" s="4">
        <v>45272</v>
      </c>
      <c r="D1942" s="3" t="s">
        <v>35</v>
      </c>
      <c r="E1942" s="3" t="s">
        <v>18</v>
      </c>
      <c r="F1942" s="5">
        <v>2</v>
      </c>
      <c r="G1942" s="6">
        <v>22.44</v>
      </c>
      <c r="H1942" s="6">
        <v>44.88</v>
      </c>
      <c r="I1942" s="6">
        <v>4.49</v>
      </c>
      <c r="J1942" s="6">
        <v>40.39</v>
      </c>
      <c r="K1942" s="5">
        <v>350</v>
      </c>
    </row>
    <row r="1943" spans="1:11" x14ac:dyDescent="0.3">
      <c r="A1943" s="3">
        <v>8365</v>
      </c>
      <c r="B1943" s="3" t="s">
        <v>11</v>
      </c>
      <c r="C1943" s="4">
        <v>45506</v>
      </c>
      <c r="D1943" s="3" t="s">
        <v>22</v>
      </c>
      <c r="E1943" s="3" t="s">
        <v>23</v>
      </c>
      <c r="F1943" s="5">
        <v>5</v>
      </c>
      <c r="G1943" s="6">
        <v>28.16</v>
      </c>
      <c r="H1943" s="6">
        <v>140.80000000000001</v>
      </c>
      <c r="I1943" s="6">
        <v>28.16</v>
      </c>
      <c r="J1943" s="6">
        <v>112.64</v>
      </c>
      <c r="K1943" s="5">
        <v>267</v>
      </c>
    </row>
    <row r="1944" spans="1:11" x14ac:dyDescent="0.3">
      <c r="A1944" s="3">
        <v>6145</v>
      </c>
      <c r="B1944" s="3" t="s">
        <v>36</v>
      </c>
      <c r="C1944" s="4">
        <v>45460</v>
      </c>
      <c r="D1944" s="3" t="s">
        <v>20</v>
      </c>
      <c r="E1944" s="3" t="s">
        <v>48</v>
      </c>
      <c r="F1944" s="5">
        <v>2</v>
      </c>
      <c r="G1944" s="6">
        <v>19.559999999999999</v>
      </c>
      <c r="H1944" s="6">
        <v>39.119999999999997</v>
      </c>
      <c r="I1944" s="6">
        <v>0</v>
      </c>
      <c r="J1944" s="6">
        <v>39.119999999999997</v>
      </c>
      <c r="K1944" s="5">
        <v>232</v>
      </c>
    </row>
    <row r="1945" spans="1:11" x14ac:dyDescent="0.3">
      <c r="A1945" s="3">
        <v>2978</v>
      </c>
      <c r="B1945" s="3" t="s">
        <v>42</v>
      </c>
      <c r="C1945" s="4">
        <v>45561</v>
      </c>
      <c r="D1945" s="3" t="s">
        <v>12</v>
      </c>
      <c r="E1945" s="3" t="s">
        <v>46</v>
      </c>
      <c r="F1945" s="5">
        <v>1</v>
      </c>
      <c r="G1945" s="6">
        <v>15.35</v>
      </c>
      <c r="H1945" s="6">
        <v>15.35</v>
      </c>
      <c r="I1945" s="6">
        <v>0</v>
      </c>
      <c r="J1945" s="6">
        <v>15.35</v>
      </c>
      <c r="K1945" s="5">
        <v>468</v>
      </c>
    </row>
    <row r="1946" spans="1:11" x14ac:dyDescent="0.3">
      <c r="A1946" s="3">
        <v>6870</v>
      </c>
      <c r="B1946" s="3" t="s">
        <v>30</v>
      </c>
      <c r="C1946" s="4">
        <v>45743</v>
      </c>
      <c r="D1946" s="3" t="s">
        <v>17</v>
      </c>
      <c r="E1946" s="3" t="s">
        <v>32</v>
      </c>
      <c r="F1946" s="5">
        <v>3</v>
      </c>
      <c r="G1946" s="6">
        <v>24.92</v>
      </c>
      <c r="H1946" s="6">
        <v>74.760000000000005</v>
      </c>
      <c r="I1946" s="6">
        <v>14.95</v>
      </c>
      <c r="J1946" s="6">
        <v>59.81</v>
      </c>
      <c r="K1946" s="5">
        <v>277</v>
      </c>
    </row>
    <row r="1947" spans="1:11" x14ac:dyDescent="0.3">
      <c r="A1947" s="3">
        <v>4401</v>
      </c>
      <c r="B1947" s="3" t="s">
        <v>31</v>
      </c>
      <c r="C1947" s="4">
        <v>45496</v>
      </c>
      <c r="D1947" s="3" t="s">
        <v>12</v>
      </c>
      <c r="E1947" s="3" t="s">
        <v>39</v>
      </c>
      <c r="F1947" s="5">
        <v>3</v>
      </c>
      <c r="G1947" s="6">
        <v>4.5</v>
      </c>
      <c r="H1947" s="6">
        <v>13.5</v>
      </c>
      <c r="I1947" s="6">
        <v>2.0099999999999998</v>
      </c>
      <c r="J1947" s="6">
        <v>11.49</v>
      </c>
      <c r="K1947" s="5">
        <v>95</v>
      </c>
    </row>
    <row r="1948" spans="1:11" x14ac:dyDescent="0.3">
      <c r="A1948" s="3">
        <v>6051</v>
      </c>
      <c r="B1948" s="3" t="s">
        <v>11</v>
      </c>
      <c r="C1948" s="4">
        <v>45504</v>
      </c>
      <c r="D1948" s="3" t="s">
        <v>20</v>
      </c>
      <c r="E1948" s="3" t="s">
        <v>23</v>
      </c>
      <c r="F1948" s="5">
        <v>4</v>
      </c>
      <c r="G1948" s="6">
        <v>1.3</v>
      </c>
      <c r="H1948" s="6">
        <v>5.2</v>
      </c>
      <c r="I1948" s="6">
        <v>0.78</v>
      </c>
      <c r="J1948" s="6">
        <v>4.42</v>
      </c>
      <c r="K1948" s="5">
        <v>305</v>
      </c>
    </row>
    <row r="1949" spans="1:11" x14ac:dyDescent="0.3">
      <c r="A1949" s="3">
        <v>5341</v>
      </c>
      <c r="B1949" s="3" t="s">
        <v>24</v>
      </c>
      <c r="C1949" s="4">
        <v>45807</v>
      </c>
      <c r="D1949" s="3" t="s">
        <v>22</v>
      </c>
      <c r="E1949" s="3" t="s">
        <v>44</v>
      </c>
      <c r="F1949" s="5">
        <v>3</v>
      </c>
      <c r="G1949" s="6">
        <v>13.42</v>
      </c>
      <c r="H1949" s="6">
        <v>40.26</v>
      </c>
      <c r="I1949" s="6">
        <v>0</v>
      </c>
      <c r="J1949" s="6">
        <v>40.26</v>
      </c>
      <c r="K1949" s="5">
        <v>301</v>
      </c>
    </row>
    <row r="1950" spans="1:11" x14ac:dyDescent="0.3">
      <c r="A1950" s="3">
        <v>2964</v>
      </c>
      <c r="B1950" s="3" t="s">
        <v>31</v>
      </c>
      <c r="C1950" s="4">
        <v>45215</v>
      </c>
      <c r="D1950" s="3" t="s">
        <v>27</v>
      </c>
      <c r="E1950" s="3" t="s">
        <v>47</v>
      </c>
      <c r="F1950" s="5">
        <v>1</v>
      </c>
      <c r="G1950" s="6">
        <v>15.49</v>
      </c>
      <c r="H1950" s="6">
        <v>15.49</v>
      </c>
      <c r="I1950" s="6">
        <v>2.3199999999999998</v>
      </c>
      <c r="J1950" s="6">
        <v>13.17</v>
      </c>
      <c r="K1950" s="5">
        <v>179</v>
      </c>
    </row>
    <row r="1951" spans="1:11" x14ac:dyDescent="0.3">
      <c r="A1951" s="3">
        <v>3582</v>
      </c>
      <c r="B1951" s="3" t="s">
        <v>26</v>
      </c>
      <c r="C1951" s="4">
        <v>45772</v>
      </c>
      <c r="D1951" s="3" t="s">
        <v>20</v>
      </c>
      <c r="E1951" s="3" t="s">
        <v>18</v>
      </c>
      <c r="F1951" s="5">
        <v>1</v>
      </c>
      <c r="G1951" s="6">
        <v>13.25</v>
      </c>
      <c r="H1951" s="6">
        <v>13.25</v>
      </c>
      <c r="I1951" s="6">
        <v>0</v>
      </c>
      <c r="J1951" s="6">
        <v>13.25</v>
      </c>
      <c r="K1951" s="5">
        <v>300</v>
      </c>
    </row>
    <row r="1952" spans="1:11" x14ac:dyDescent="0.3">
      <c r="A1952" s="3">
        <v>5984</v>
      </c>
      <c r="B1952" s="3" t="s">
        <v>26</v>
      </c>
      <c r="C1952" s="4">
        <v>45786</v>
      </c>
      <c r="D1952" s="3" t="s">
        <v>12</v>
      </c>
      <c r="E1952" s="3" t="s">
        <v>32</v>
      </c>
      <c r="F1952" s="5">
        <v>1</v>
      </c>
      <c r="G1952" s="6">
        <v>28.91</v>
      </c>
      <c r="H1952" s="6">
        <v>28.91</v>
      </c>
      <c r="I1952" s="6">
        <v>2.89</v>
      </c>
      <c r="J1952" s="6">
        <v>26.02</v>
      </c>
      <c r="K1952" s="5">
        <v>388</v>
      </c>
    </row>
    <row r="1953" spans="1:11" x14ac:dyDescent="0.3">
      <c r="A1953" s="3">
        <v>1660</v>
      </c>
      <c r="B1953" s="3" t="s">
        <v>30</v>
      </c>
      <c r="C1953" s="4">
        <v>45312</v>
      </c>
      <c r="D1953" s="3" t="s">
        <v>38</v>
      </c>
      <c r="E1953" s="3" t="s">
        <v>43</v>
      </c>
      <c r="F1953" s="5">
        <v>1</v>
      </c>
      <c r="G1953" s="6">
        <v>8.11</v>
      </c>
      <c r="H1953" s="6">
        <v>8.11</v>
      </c>
      <c r="I1953" s="6">
        <v>0.81</v>
      </c>
      <c r="J1953" s="6">
        <v>7.3</v>
      </c>
      <c r="K1953" s="5">
        <v>425</v>
      </c>
    </row>
    <row r="1954" spans="1:11" x14ac:dyDescent="0.3">
      <c r="A1954" s="3">
        <v>6370</v>
      </c>
      <c r="B1954" s="3" t="s">
        <v>24</v>
      </c>
      <c r="C1954" s="4">
        <v>45260</v>
      </c>
      <c r="D1954" s="3" t="s">
        <v>22</v>
      </c>
      <c r="E1954" s="3" t="s">
        <v>25</v>
      </c>
      <c r="F1954" s="5">
        <v>5</v>
      </c>
      <c r="G1954" s="6">
        <v>29.53</v>
      </c>
      <c r="H1954" s="6">
        <v>147.65</v>
      </c>
      <c r="I1954" s="6">
        <v>22.15</v>
      </c>
      <c r="J1954" s="6">
        <v>125.5</v>
      </c>
      <c r="K1954" s="5">
        <v>17</v>
      </c>
    </row>
    <row r="1955" spans="1:11" x14ac:dyDescent="0.3">
      <c r="A1955" s="3">
        <v>2494</v>
      </c>
      <c r="B1955" s="3" t="s">
        <v>14</v>
      </c>
      <c r="C1955" s="4">
        <v>45697</v>
      </c>
      <c r="D1955" s="3" t="s">
        <v>45</v>
      </c>
      <c r="E1955" s="3" t="s">
        <v>44</v>
      </c>
      <c r="F1955" s="5">
        <v>5</v>
      </c>
      <c r="G1955" s="6">
        <v>12.9</v>
      </c>
      <c r="H1955" s="6">
        <v>64.5</v>
      </c>
      <c r="I1955" s="6">
        <v>4.45</v>
      </c>
      <c r="J1955" s="6">
        <v>60.05</v>
      </c>
      <c r="K1955" s="5">
        <v>5</v>
      </c>
    </row>
    <row r="1956" spans="1:11" x14ac:dyDescent="0.3">
      <c r="A1956" s="3">
        <v>5066</v>
      </c>
      <c r="B1956" s="3" t="s">
        <v>31</v>
      </c>
      <c r="C1956" s="4">
        <v>45421</v>
      </c>
      <c r="D1956" s="3" t="s">
        <v>38</v>
      </c>
      <c r="E1956" s="3" t="s">
        <v>33</v>
      </c>
      <c r="F1956" s="5">
        <v>1</v>
      </c>
      <c r="G1956" s="6">
        <v>15.55</v>
      </c>
      <c r="H1956" s="6">
        <v>15.55</v>
      </c>
      <c r="I1956" s="6">
        <v>0</v>
      </c>
      <c r="J1956" s="6">
        <v>15.55</v>
      </c>
      <c r="K1956" s="5">
        <v>237</v>
      </c>
    </row>
    <row r="1957" spans="1:11" x14ac:dyDescent="0.3">
      <c r="A1957" s="3">
        <v>7492</v>
      </c>
      <c r="B1957" s="3" t="s">
        <v>24</v>
      </c>
      <c r="C1957" s="4">
        <v>45543</v>
      </c>
      <c r="D1957" s="3" t="s">
        <v>38</v>
      </c>
      <c r="E1957" s="3" t="s">
        <v>40</v>
      </c>
      <c r="F1957" s="5">
        <v>3</v>
      </c>
      <c r="G1957" s="6">
        <v>17.97</v>
      </c>
      <c r="H1957" s="6">
        <v>53.91</v>
      </c>
      <c r="I1957" s="6">
        <v>10.78</v>
      </c>
      <c r="J1957" s="6">
        <v>43.13</v>
      </c>
      <c r="K1957" s="5">
        <v>357</v>
      </c>
    </row>
    <row r="1958" spans="1:11" x14ac:dyDescent="0.3">
      <c r="A1958" s="3">
        <v>1802</v>
      </c>
      <c r="B1958" s="3" t="s">
        <v>26</v>
      </c>
      <c r="C1958" s="4">
        <v>45670</v>
      </c>
      <c r="D1958" s="3" t="s">
        <v>35</v>
      </c>
      <c r="E1958" s="3" t="s">
        <v>29</v>
      </c>
      <c r="F1958" s="5">
        <v>1</v>
      </c>
      <c r="G1958" s="6">
        <v>9.41</v>
      </c>
      <c r="H1958" s="6">
        <v>9.41</v>
      </c>
      <c r="I1958" s="6">
        <v>3.75</v>
      </c>
      <c r="J1958" s="6">
        <v>5.66</v>
      </c>
      <c r="K1958" s="5">
        <v>169</v>
      </c>
    </row>
    <row r="1959" spans="1:11" x14ac:dyDescent="0.3">
      <c r="A1959" s="3">
        <v>5896</v>
      </c>
      <c r="B1959" s="3" t="s">
        <v>11</v>
      </c>
      <c r="C1959" s="4">
        <v>45347</v>
      </c>
      <c r="D1959" s="3" t="s">
        <v>17</v>
      </c>
      <c r="E1959" s="3" t="s">
        <v>47</v>
      </c>
      <c r="F1959" s="5">
        <v>4</v>
      </c>
      <c r="G1959" s="6">
        <v>8.2100000000000009</v>
      </c>
      <c r="H1959" s="6">
        <v>32.840000000000003</v>
      </c>
      <c r="I1959" s="6">
        <v>3.28</v>
      </c>
      <c r="J1959" s="6">
        <v>29.56</v>
      </c>
      <c r="K1959" s="5">
        <v>198</v>
      </c>
    </row>
    <row r="1960" spans="1:11" x14ac:dyDescent="0.3">
      <c r="A1960" s="3">
        <v>3848</v>
      </c>
      <c r="B1960" s="3" t="s">
        <v>31</v>
      </c>
      <c r="C1960" s="4">
        <v>45169</v>
      </c>
      <c r="D1960" s="3" t="s">
        <v>35</v>
      </c>
      <c r="E1960" s="3" t="s">
        <v>29</v>
      </c>
      <c r="F1960" s="5">
        <v>2</v>
      </c>
      <c r="G1960" s="6">
        <v>10.85</v>
      </c>
      <c r="H1960" s="6">
        <v>21.7</v>
      </c>
      <c r="I1960" s="6">
        <v>4.34</v>
      </c>
      <c r="J1960" s="6">
        <v>17.36</v>
      </c>
      <c r="K1960" s="5">
        <v>349</v>
      </c>
    </row>
    <row r="1961" spans="1:11" x14ac:dyDescent="0.3">
      <c r="A1961" s="3">
        <v>7625</v>
      </c>
      <c r="B1961" s="3" t="s">
        <v>26</v>
      </c>
      <c r="C1961" s="4">
        <v>45808</v>
      </c>
      <c r="D1961" s="3" t="s">
        <v>15</v>
      </c>
      <c r="E1961" s="3" t="s">
        <v>48</v>
      </c>
      <c r="F1961" s="5">
        <v>2</v>
      </c>
      <c r="G1961" s="6">
        <v>5.03</v>
      </c>
      <c r="H1961" s="6">
        <v>10.06</v>
      </c>
      <c r="I1961" s="6">
        <v>1.01</v>
      </c>
      <c r="J1961" s="6">
        <v>9.0500000000000007</v>
      </c>
      <c r="K1961" s="5">
        <v>379</v>
      </c>
    </row>
    <row r="1962" spans="1:11" x14ac:dyDescent="0.3">
      <c r="A1962" s="3">
        <v>8408</v>
      </c>
      <c r="B1962" s="3" t="s">
        <v>26</v>
      </c>
      <c r="C1962" s="4">
        <v>45576</v>
      </c>
      <c r="D1962" s="3" t="s">
        <v>22</v>
      </c>
      <c r="E1962" s="3" t="s">
        <v>16</v>
      </c>
      <c r="F1962" s="5">
        <v>1</v>
      </c>
      <c r="G1962" s="6">
        <v>21.53</v>
      </c>
      <c r="H1962" s="6">
        <v>21.53</v>
      </c>
      <c r="I1962" s="6">
        <v>0</v>
      </c>
      <c r="J1962" s="6">
        <v>21.53</v>
      </c>
      <c r="K1962" s="5">
        <v>459</v>
      </c>
    </row>
    <row r="1963" spans="1:11" x14ac:dyDescent="0.3">
      <c r="A1963" s="3">
        <v>5093</v>
      </c>
      <c r="B1963" s="3" t="s">
        <v>14</v>
      </c>
      <c r="C1963" s="4">
        <v>45218</v>
      </c>
      <c r="D1963" s="3" t="s">
        <v>15</v>
      </c>
      <c r="E1963" s="3" t="s">
        <v>16</v>
      </c>
      <c r="F1963" s="5">
        <v>4</v>
      </c>
      <c r="G1963" s="6">
        <v>1.96</v>
      </c>
      <c r="H1963" s="6">
        <v>7.84</v>
      </c>
      <c r="I1963" s="6">
        <v>1.26</v>
      </c>
      <c r="J1963" s="6">
        <v>6.58</v>
      </c>
      <c r="K1963" s="5">
        <v>223</v>
      </c>
    </row>
    <row r="1964" spans="1:11" x14ac:dyDescent="0.3">
      <c r="A1964" s="3">
        <v>8570</v>
      </c>
      <c r="B1964" s="3" t="s">
        <v>30</v>
      </c>
      <c r="C1964" s="4">
        <v>45224</v>
      </c>
      <c r="D1964" s="3" t="s">
        <v>27</v>
      </c>
      <c r="E1964" s="3" t="s">
        <v>23</v>
      </c>
      <c r="F1964" s="5">
        <v>4</v>
      </c>
      <c r="G1964" s="6">
        <v>12.63</v>
      </c>
      <c r="H1964" s="6">
        <v>50.52</v>
      </c>
      <c r="I1964" s="6">
        <v>10.1</v>
      </c>
      <c r="J1964" s="6">
        <v>40.42</v>
      </c>
      <c r="K1964" s="5">
        <v>470</v>
      </c>
    </row>
    <row r="1965" spans="1:11" x14ac:dyDescent="0.3">
      <c r="A1965" s="3">
        <v>3290</v>
      </c>
      <c r="B1965" s="3" t="s">
        <v>11</v>
      </c>
      <c r="C1965" s="4">
        <v>45239</v>
      </c>
      <c r="D1965" s="3" t="s">
        <v>12</v>
      </c>
      <c r="E1965" s="3" t="s">
        <v>29</v>
      </c>
      <c r="F1965" s="5">
        <v>1</v>
      </c>
      <c r="G1965" s="6">
        <v>17.53</v>
      </c>
      <c r="H1965" s="6">
        <v>17.53</v>
      </c>
      <c r="I1965" s="6">
        <v>1.75</v>
      </c>
      <c r="J1965" s="6">
        <v>15.78</v>
      </c>
      <c r="K1965" s="5">
        <v>340</v>
      </c>
    </row>
    <row r="1966" spans="1:11" x14ac:dyDescent="0.3">
      <c r="A1966" s="3">
        <v>1195</v>
      </c>
      <c r="B1966" s="3" t="s">
        <v>14</v>
      </c>
      <c r="C1966" s="4">
        <v>45192</v>
      </c>
      <c r="D1966" s="3" t="s">
        <v>22</v>
      </c>
      <c r="E1966" s="3" t="s">
        <v>18</v>
      </c>
      <c r="F1966" s="5">
        <v>3</v>
      </c>
      <c r="G1966" s="6">
        <v>14.85</v>
      </c>
      <c r="H1966" s="6">
        <v>44.55</v>
      </c>
      <c r="I1966" s="6">
        <v>2.65</v>
      </c>
      <c r="J1966" s="6">
        <v>41.9</v>
      </c>
      <c r="K1966" s="5">
        <v>497</v>
      </c>
    </row>
    <row r="1967" spans="1:11" x14ac:dyDescent="0.3">
      <c r="A1967" s="3">
        <v>4641</v>
      </c>
      <c r="B1967" s="3" t="s">
        <v>14</v>
      </c>
      <c r="C1967" s="4">
        <v>45246</v>
      </c>
      <c r="D1967" s="3" t="s">
        <v>12</v>
      </c>
      <c r="E1967" s="3" t="s">
        <v>25</v>
      </c>
      <c r="F1967" s="5">
        <v>2</v>
      </c>
      <c r="G1967" s="6">
        <v>5.26</v>
      </c>
      <c r="H1967" s="6">
        <v>10.52</v>
      </c>
      <c r="I1967" s="6">
        <v>2.4900000000000002</v>
      </c>
      <c r="J1967" s="6">
        <v>8.0299999999999994</v>
      </c>
      <c r="K1967" s="5">
        <v>68</v>
      </c>
    </row>
    <row r="1968" spans="1:11" x14ac:dyDescent="0.3">
      <c r="A1968" s="3">
        <v>4246</v>
      </c>
      <c r="B1968" s="3" t="s">
        <v>14</v>
      </c>
      <c r="C1968" s="4">
        <v>45784</v>
      </c>
      <c r="D1968" s="3" t="s">
        <v>12</v>
      </c>
      <c r="E1968" s="3" t="s">
        <v>48</v>
      </c>
      <c r="F1968" s="5">
        <v>5</v>
      </c>
      <c r="G1968" s="6">
        <v>20.3</v>
      </c>
      <c r="H1968" s="6">
        <v>101.5</v>
      </c>
      <c r="I1968" s="6">
        <v>15.22</v>
      </c>
      <c r="J1968" s="6">
        <v>86.28</v>
      </c>
      <c r="K1968" s="5">
        <v>299</v>
      </c>
    </row>
    <row r="1969" spans="1:11" x14ac:dyDescent="0.3">
      <c r="A1969" s="3">
        <v>7563</v>
      </c>
      <c r="B1969" s="3" t="s">
        <v>19</v>
      </c>
      <c r="C1969" s="4">
        <v>45434</v>
      </c>
      <c r="D1969" s="3" t="s">
        <v>22</v>
      </c>
      <c r="E1969" s="3" t="s">
        <v>25</v>
      </c>
      <c r="F1969" s="5">
        <v>4</v>
      </c>
      <c r="G1969" s="6">
        <v>24.23</v>
      </c>
      <c r="H1969" s="6">
        <v>96.92</v>
      </c>
      <c r="I1969" s="6">
        <v>9.69</v>
      </c>
      <c r="J1969" s="6">
        <v>87.23</v>
      </c>
      <c r="K1969" s="5">
        <v>96</v>
      </c>
    </row>
    <row r="1970" spans="1:11" x14ac:dyDescent="0.3">
      <c r="A1970" s="3">
        <v>2376</v>
      </c>
      <c r="B1970" s="3" t="s">
        <v>26</v>
      </c>
      <c r="C1970" s="4">
        <v>45597</v>
      </c>
      <c r="D1970" s="3" t="s">
        <v>17</v>
      </c>
      <c r="E1970" s="3" t="s">
        <v>48</v>
      </c>
      <c r="F1970" s="5">
        <v>2</v>
      </c>
      <c r="G1970" s="6">
        <v>12.24</v>
      </c>
      <c r="H1970" s="6">
        <v>24.48</v>
      </c>
      <c r="I1970" s="6">
        <v>4.9000000000000004</v>
      </c>
      <c r="J1970" s="6">
        <v>19.579999999999998</v>
      </c>
      <c r="K1970" s="5">
        <v>324</v>
      </c>
    </row>
    <row r="1971" spans="1:11" x14ac:dyDescent="0.3">
      <c r="A1971" s="3">
        <v>5240</v>
      </c>
      <c r="B1971" s="3" t="s">
        <v>19</v>
      </c>
      <c r="C1971" s="4">
        <v>45857</v>
      </c>
      <c r="D1971" s="3" t="s">
        <v>38</v>
      </c>
      <c r="E1971" s="3" t="s">
        <v>41</v>
      </c>
      <c r="F1971" s="5">
        <v>1</v>
      </c>
      <c r="G1971" s="6">
        <v>14.84</v>
      </c>
      <c r="H1971" s="6">
        <v>14.84</v>
      </c>
      <c r="I1971" s="6">
        <v>2.97</v>
      </c>
      <c r="J1971" s="6">
        <v>11.87</v>
      </c>
      <c r="K1971" s="5">
        <v>37</v>
      </c>
    </row>
    <row r="1972" spans="1:11" x14ac:dyDescent="0.3">
      <c r="A1972" s="3">
        <v>2228</v>
      </c>
      <c r="B1972" s="3" t="s">
        <v>24</v>
      </c>
      <c r="C1972" s="4">
        <v>45161</v>
      </c>
      <c r="D1972" s="3" t="s">
        <v>27</v>
      </c>
      <c r="E1972" s="3" t="s">
        <v>23</v>
      </c>
      <c r="F1972" s="5">
        <v>2</v>
      </c>
      <c r="G1972" s="6">
        <v>25</v>
      </c>
      <c r="H1972" s="6">
        <v>50</v>
      </c>
      <c r="I1972" s="6">
        <v>5</v>
      </c>
      <c r="J1972" s="6">
        <v>45</v>
      </c>
      <c r="K1972" s="5">
        <v>208</v>
      </c>
    </row>
    <row r="1973" spans="1:11" x14ac:dyDescent="0.3">
      <c r="A1973" s="3">
        <v>2056</v>
      </c>
      <c r="B1973" s="3" t="s">
        <v>31</v>
      </c>
      <c r="C1973" s="4">
        <v>45298</v>
      </c>
      <c r="D1973" s="3" t="s">
        <v>22</v>
      </c>
      <c r="E1973" s="3" t="s">
        <v>32</v>
      </c>
      <c r="F1973" s="5">
        <v>1</v>
      </c>
      <c r="G1973" s="6">
        <v>6.58</v>
      </c>
      <c r="H1973" s="6">
        <v>6.58</v>
      </c>
      <c r="I1973" s="6">
        <v>0.66</v>
      </c>
      <c r="J1973" s="6">
        <v>5.92</v>
      </c>
      <c r="K1973" s="5">
        <v>371</v>
      </c>
    </row>
    <row r="1974" spans="1:11" x14ac:dyDescent="0.3">
      <c r="A1974" s="3">
        <v>8265</v>
      </c>
      <c r="B1974" s="3" t="s">
        <v>26</v>
      </c>
      <c r="C1974" s="4">
        <v>45773</v>
      </c>
      <c r="D1974" s="3" t="s">
        <v>28</v>
      </c>
      <c r="E1974" s="3" t="s">
        <v>25</v>
      </c>
      <c r="F1974" s="5">
        <v>2</v>
      </c>
      <c r="G1974" s="6">
        <v>14.89</v>
      </c>
      <c r="H1974" s="6">
        <v>29.78</v>
      </c>
      <c r="I1974" s="6">
        <v>0</v>
      </c>
      <c r="J1974" s="6">
        <v>29.78</v>
      </c>
      <c r="K1974" s="5">
        <v>486</v>
      </c>
    </row>
    <row r="1975" spans="1:11" x14ac:dyDescent="0.3">
      <c r="A1975" s="3">
        <v>3110</v>
      </c>
      <c r="B1975" s="3" t="s">
        <v>19</v>
      </c>
      <c r="C1975" s="4">
        <v>45216</v>
      </c>
      <c r="D1975" s="3" t="s">
        <v>17</v>
      </c>
      <c r="E1975" s="3" t="s">
        <v>46</v>
      </c>
      <c r="F1975" s="5">
        <v>3</v>
      </c>
      <c r="G1975" s="6">
        <v>15.41</v>
      </c>
      <c r="H1975" s="6">
        <v>46.23</v>
      </c>
      <c r="I1975" s="6">
        <v>1.1200000000000001</v>
      </c>
      <c r="J1975" s="6">
        <v>45.11</v>
      </c>
      <c r="K1975" s="5">
        <v>38</v>
      </c>
    </row>
    <row r="1976" spans="1:11" x14ac:dyDescent="0.3">
      <c r="A1976" s="3">
        <v>6432</v>
      </c>
      <c r="B1976" s="3" t="s">
        <v>11</v>
      </c>
      <c r="C1976" s="4">
        <v>45240</v>
      </c>
      <c r="D1976" s="3" t="s">
        <v>38</v>
      </c>
      <c r="E1976" s="3" t="s">
        <v>43</v>
      </c>
      <c r="F1976" s="5">
        <v>2</v>
      </c>
      <c r="G1976" s="6">
        <v>23.4</v>
      </c>
      <c r="H1976" s="6">
        <v>46.8</v>
      </c>
      <c r="I1976" s="6">
        <v>7.02</v>
      </c>
      <c r="J1976" s="6">
        <v>39.78</v>
      </c>
      <c r="K1976" s="5">
        <v>20</v>
      </c>
    </row>
    <row r="1977" spans="1:11" x14ac:dyDescent="0.3">
      <c r="A1977" s="3">
        <v>1699</v>
      </c>
      <c r="B1977" s="3" t="s">
        <v>24</v>
      </c>
      <c r="C1977" s="4">
        <v>45503</v>
      </c>
      <c r="D1977" s="3" t="s">
        <v>35</v>
      </c>
      <c r="E1977" s="3" t="s">
        <v>33</v>
      </c>
      <c r="F1977" s="5">
        <v>3</v>
      </c>
      <c r="G1977" s="6">
        <v>9.7899999999999991</v>
      </c>
      <c r="H1977" s="6">
        <v>29.37</v>
      </c>
      <c r="I1977" s="6">
        <v>4.41</v>
      </c>
      <c r="J1977" s="6">
        <v>24.96</v>
      </c>
      <c r="K1977" s="5">
        <v>274</v>
      </c>
    </row>
    <row r="1978" spans="1:11" x14ac:dyDescent="0.3">
      <c r="A1978" s="3">
        <v>1829</v>
      </c>
      <c r="B1978" s="3" t="s">
        <v>26</v>
      </c>
      <c r="C1978" s="4">
        <v>45275</v>
      </c>
      <c r="D1978" s="3" t="s">
        <v>38</v>
      </c>
      <c r="E1978" s="3" t="s">
        <v>47</v>
      </c>
      <c r="F1978" s="5">
        <v>4</v>
      </c>
      <c r="G1978" s="6">
        <v>22.96</v>
      </c>
      <c r="H1978" s="6">
        <v>91.84</v>
      </c>
      <c r="I1978" s="6">
        <v>9.18</v>
      </c>
      <c r="J1978" s="6">
        <v>82.66</v>
      </c>
      <c r="K1978" s="5">
        <v>429</v>
      </c>
    </row>
    <row r="1979" spans="1:11" x14ac:dyDescent="0.3">
      <c r="A1979" s="3">
        <v>8096</v>
      </c>
      <c r="B1979" s="3" t="s">
        <v>36</v>
      </c>
      <c r="C1979" s="4">
        <v>45783</v>
      </c>
      <c r="D1979" s="3" t="s">
        <v>15</v>
      </c>
      <c r="E1979" s="3" t="s">
        <v>47</v>
      </c>
      <c r="F1979" s="5">
        <v>3</v>
      </c>
      <c r="G1979" s="6">
        <v>16.440000000000001</v>
      </c>
      <c r="H1979" s="6">
        <v>49.32</v>
      </c>
      <c r="I1979" s="6">
        <v>7.4</v>
      </c>
      <c r="J1979" s="6">
        <v>41.92</v>
      </c>
      <c r="K1979" s="5">
        <v>315</v>
      </c>
    </row>
    <row r="1980" spans="1:11" x14ac:dyDescent="0.3">
      <c r="A1980" s="3">
        <v>7471</v>
      </c>
      <c r="B1980" s="3" t="s">
        <v>30</v>
      </c>
      <c r="C1980" s="4">
        <v>45530</v>
      </c>
      <c r="D1980" s="3" t="s">
        <v>35</v>
      </c>
      <c r="E1980" s="3" t="s">
        <v>37</v>
      </c>
      <c r="F1980" s="5">
        <v>5</v>
      </c>
      <c r="G1980" s="6">
        <v>15.88</v>
      </c>
      <c r="H1980" s="6">
        <v>79.400000000000006</v>
      </c>
      <c r="I1980" s="6">
        <v>15.88</v>
      </c>
      <c r="J1980" s="6">
        <v>63.52</v>
      </c>
      <c r="K1980" s="5">
        <v>160</v>
      </c>
    </row>
    <row r="1981" spans="1:11" x14ac:dyDescent="0.3">
      <c r="A1981" s="3">
        <v>1483</v>
      </c>
      <c r="B1981" s="3" t="s">
        <v>42</v>
      </c>
      <c r="C1981" s="4">
        <v>45442</v>
      </c>
      <c r="D1981" s="3" t="s">
        <v>22</v>
      </c>
      <c r="E1981" s="3" t="s">
        <v>37</v>
      </c>
      <c r="F1981" s="5">
        <v>2</v>
      </c>
      <c r="G1981" s="6">
        <v>24.94</v>
      </c>
      <c r="H1981" s="6">
        <v>49.88</v>
      </c>
      <c r="I1981" s="6">
        <v>7.48</v>
      </c>
      <c r="J1981" s="6">
        <v>42.4</v>
      </c>
      <c r="K1981" s="5">
        <v>265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C1828-61ED-4415-8F2A-D1AF3976243C}">
  <dimension ref="A1:S1981"/>
  <sheetViews>
    <sheetView topLeftCell="I1" workbookViewId="0">
      <selection activeCell="O13" sqref="O13"/>
    </sheetView>
  </sheetViews>
  <sheetFormatPr defaultRowHeight="14.4" x14ac:dyDescent="0.3"/>
  <cols>
    <col min="1" max="1" width="11.109375" bestFit="1" customWidth="1"/>
    <col min="2" max="2" width="19" bestFit="1" customWidth="1"/>
    <col min="3" max="3" width="15.21875" bestFit="1" customWidth="1"/>
    <col min="8" max="8" width="12.5546875" bestFit="1" customWidth="1"/>
    <col min="9" max="9" width="15.77734375" bestFit="1" customWidth="1"/>
    <col min="12" max="12" width="16.33203125" bestFit="1" customWidth="1"/>
    <col min="13" max="13" width="19.88671875" bestFit="1" customWidth="1"/>
    <col min="14" max="14" width="19.88671875" customWidth="1"/>
    <col min="15" max="15" width="10.109375" bestFit="1" customWidth="1"/>
    <col min="16" max="16" width="23.21875" bestFit="1" customWidth="1"/>
    <col min="17" max="17" width="11.88671875" customWidth="1"/>
    <col min="18" max="18" width="10.109375" bestFit="1" customWidth="1"/>
    <col min="19" max="19" width="23.6640625" bestFit="1" customWidth="1"/>
  </cols>
  <sheetData>
    <row r="1" spans="1:19" x14ac:dyDescent="0.3">
      <c r="A1" s="2" t="s">
        <v>49</v>
      </c>
      <c r="B1" s="2" t="s">
        <v>50</v>
      </c>
      <c r="C1" s="2" t="s">
        <v>51</v>
      </c>
      <c r="D1" s="2" t="s">
        <v>52</v>
      </c>
      <c r="E1" s="2" t="s">
        <v>53</v>
      </c>
      <c r="F1" s="2" t="s">
        <v>54</v>
      </c>
      <c r="G1" s="2" t="s">
        <v>55</v>
      </c>
      <c r="H1" s="2" t="s">
        <v>56</v>
      </c>
      <c r="I1" s="2" t="s">
        <v>57</v>
      </c>
      <c r="J1" s="2" t="s">
        <v>58</v>
      </c>
      <c r="K1" s="2" t="s">
        <v>59</v>
      </c>
      <c r="L1" s="12" t="s">
        <v>82</v>
      </c>
      <c r="M1" s="12" t="s">
        <v>83</v>
      </c>
      <c r="N1" s="12"/>
    </row>
    <row r="2" spans="1:19" x14ac:dyDescent="0.3">
      <c r="A2" s="3">
        <v>2824</v>
      </c>
      <c r="B2" s="3" t="s">
        <v>11</v>
      </c>
      <c r="C2" s="4">
        <v>45164</v>
      </c>
      <c r="D2" s="3" t="s">
        <v>12</v>
      </c>
      <c r="E2" s="3" t="s">
        <v>13</v>
      </c>
      <c r="F2" s="5">
        <v>2</v>
      </c>
      <c r="G2" s="6">
        <v>7.46</v>
      </c>
      <c r="H2" s="6">
        <v>14.92</v>
      </c>
      <c r="I2" s="6">
        <v>0</v>
      </c>
      <c r="J2" s="6">
        <v>14.92</v>
      </c>
      <c r="K2" s="5">
        <v>377</v>
      </c>
      <c r="L2" s="13" t="str">
        <f>IF(I2&gt;0,"Discount Applied","No Discount")</f>
        <v>No Discount</v>
      </c>
      <c r="M2" s="13" t="str">
        <f>IF(J2 &gt;= 70, "Platinum",
   IF(J2 &gt;= 50, "Gold",
      IF(J2 &gt;= 20, "Silver", "Bronze")))</f>
        <v>Bronze</v>
      </c>
      <c r="N2" s="13"/>
    </row>
    <row r="3" spans="1:19" x14ac:dyDescent="0.3">
      <c r="A3" s="3">
        <v>5506</v>
      </c>
      <c r="B3" s="3" t="s">
        <v>14</v>
      </c>
      <c r="C3" s="4">
        <v>45335</v>
      </c>
      <c r="D3" s="3" t="s">
        <v>15</v>
      </c>
      <c r="E3" s="3" t="s">
        <v>16</v>
      </c>
      <c r="F3" s="5">
        <v>1</v>
      </c>
      <c r="G3" s="6">
        <v>1.85</v>
      </c>
      <c r="H3" s="6">
        <v>1.85</v>
      </c>
      <c r="I3" s="6">
        <v>3.41</v>
      </c>
      <c r="J3" s="6">
        <v>-1.56</v>
      </c>
      <c r="K3" s="5">
        <v>111</v>
      </c>
      <c r="L3" s="13" t="str">
        <f t="shared" ref="L3:L66" si="0">IF(I3&gt;0,"Discount Applied","No Discount")</f>
        <v>Discount Applied</v>
      </c>
      <c r="M3" s="13" t="str">
        <f t="shared" ref="M3:M66" si="1">IF(J3 &gt;= 70, "Platinum",
   IF(J3 &gt;= 50, "Gold",
      IF(J3 &gt;= 20, "Silver", "Bronze")))</f>
        <v>Bronze</v>
      </c>
      <c r="N3" s="13"/>
      <c r="O3" s="15" t="s">
        <v>81</v>
      </c>
      <c r="P3" s="15"/>
      <c r="R3" s="15" t="s">
        <v>88</v>
      </c>
      <c r="S3" s="15"/>
    </row>
    <row r="4" spans="1:19" x14ac:dyDescent="0.3">
      <c r="A4" s="3">
        <v>4657</v>
      </c>
      <c r="B4" s="3" t="s">
        <v>14</v>
      </c>
      <c r="C4" s="4">
        <v>45253</v>
      </c>
      <c r="D4" s="3" t="s">
        <v>17</v>
      </c>
      <c r="E4" s="3" t="s">
        <v>18</v>
      </c>
      <c r="F4" s="5">
        <v>4</v>
      </c>
      <c r="G4" s="6">
        <v>7.38</v>
      </c>
      <c r="H4" s="6">
        <v>29.52</v>
      </c>
      <c r="I4" s="6">
        <v>4.04</v>
      </c>
      <c r="J4" s="6">
        <v>25.48</v>
      </c>
      <c r="K4" s="5">
        <v>301</v>
      </c>
      <c r="L4" s="13" t="str">
        <f t="shared" si="0"/>
        <v>Discount Applied</v>
      </c>
      <c r="M4" s="13" t="str">
        <f t="shared" si="1"/>
        <v>Silver</v>
      </c>
      <c r="N4" s="13"/>
      <c r="O4" s="16" t="s">
        <v>84</v>
      </c>
      <c r="P4" s="16" t="s">
        <v>86</v>
      </c>
      <c r="Q4" s="14"/>
      <c r="R4" s="16" t="s">
        <v>84</v>
      </c>
      <c r="S4" s="16" t="s">
        <v>85</v>
      </c>
    </row>
    <row r="5" spans="1:19" x14ac:dyDescent="0.3">
      <c r="A5" s="3">
        <v>2679</v>
      </c>
      <c r="B5" s="3" t="s">
        <v>19</v>
      </c>
      <c r="C5" s="4">
        <v>45670</v>
      </c>
      <c r="D5" s="3" t="s">
        <v>20</v>
      </c>
      <c r="E5" s="3" t="s">
        <v>21</v>
      </c>
      <c r="F5" s="5">
        <v>3</v>
      </c>
      <c r="G5" s="6">
        <v>5.5</v>
      </c>
      <c r="H5" s="6">
        <v>16.5</v>
      </c>
      <c r="I5" s="6">
        <v>1.37</v>
      </c>
      <c r="J5" s="6">
        <v>15.13</v>
      </c>
      <c r="K5" s="5">
        <v>490</v>
      </c>
      <c r="L5" s="13" t="str">
        <f t="shared" si="0"/>
        <v>Discount Applied</v>
      </c>
      <c r="M5" s="13" t="str">
        <f t="shared" si="1"/>
        <v>Bronze</v>
      </c>
      <c r="N5" s="13"/>
      <c r="O5" s="3">
        <v>5506</v>
      </c>
      <c r="P5" s="3" t="str">
        <f>VLOOKUP(O5,A3:K3,2,FALSE)</f>
        <v>ValuePlus Market</v>
      </c>
      <c r="R5" s="3">
        <v>4657</v>
      </c>
      <c r="S5" s="3">
        <f>INDEX(J2:J1981,MATCH(R5,A2:A1799,0))</f>
        <v>25.48</v>
      </c>
    </row>
    <row r="6" spans="1:19" x14ac:dyDescent="0.3">
      <c r="A6" s="3">
        <v>9935</v>
      </c>
      <c r="B6" s="3" t="s">
        <v>11</v>
      </c>
      <c r="C6" s="4">
        <v>45212</v>
      </c>
      <c r="D6" s="3" t="s">
        <v>22</v>
      </c>
      <c r="E6" s="3" t="s">
        <v>23</v>
      </c>
      <c r="F6" s="5">
        <v>5</v>
      </c>
      <c r="G6" s="6">
        <v>8.66</v>
      </c>
      <c r="H6" s="6">
        <v>43.3</v>
      </c>
      <c r="I6" s="6">
        <v>1.5</v>
      </c>
      <c r="J6" s="6">
        <v>41.8</v>
      </c>
      <c r="K6" s="5">
        <v>22</v>
      </c>
      <c r="L6" s="13" t="str">
        <f t="shared" si="0"/>
        <v>Discount Applied</v>
      </c>
      <c r="M6" s="13" t="str">
        <f t="shared" si="1"/>
        <v>Silver</v>
      </c>
      <c r="N6" s="13"/>
    </row>
    <row r="7" spans="1:19" x14ac:dyDescent="0.3">
      <c r="A7" s="3">
        <v>7912</v>
      </c>
      <c r="B7" s="3" t="s">
        <v>24</v>
      </c>
      <c r="C7" s="4">
        <v>45169</v>
      </c>
      <c r="D7" s="3" t="s">
        <v>15</v>
      </c>
      <c r="E7" s="3" t="s">
        <v>18</v>
      </c>
      <c r="F7" s="5">
        <v>3</v>
      </c>
      <c r="G7" s="6">
        <v>25.04</v>
      </c>
      <c r="H7" s="6">
        <v>75.12</v>
      </c>
      <c r="I7" s="6">
        <v>1.77</v>
      </c>
      <c r="J7" s="6">
        <v>73.349999999999994</v>
      </c>
      <c r="K7" s="5">
        <v>316</v>
      </c>
      <c r="L7" s="13" t="str">
        <f t="shared" si="0"/>
        <v>Discount Applied</v>
      </c>
      <c r="M7" s="13" t="str">
        <f t="shared" si="1"/>
        <v>Platinum</v>
      </c>
      <c r="N7" s="13"/>
    </row>
    <row r="8" spans="1:19" x14ac:dyDescent="0.3">
      <c r="A8" s="3">
        <v>1488</v>
      </c>
      <c r="B8" s="3" t="s">
        <v>11</v>
      </c>
      <c r="C8" s="4">
        <v>45217</v>
      </c>
      <c r="D8" s="3" t="s">
        <v>12</v>
      </c>
      <c r="E8" s="3" t="s">
        <v>25</v>
      </c>
      <c r="F8" s="5">
        <v>3</v>
      </c>
      <c r="G8" s="6">
        <v>29.56</v>
      </c>
      <c r="H8" s="6">
        <v>88.68</v>
      </c>
      <c r="I8" s="6">
        <v>2.52</v>
      </c>
      <c r="J8" s="6">
        <v>86.16</v>
      </c>
      <c r="K8" s="5">
        <v>437</v>
      </c>
      <c r="L8" s="13" t="str">
        <f t="shared" si="0"/>
        <v>Discount Applied</v>
      </c>
      <c r="M8" s="13" t="str">
        <f t="shared" si="1"/>
        <v>Platinum</v>
      </c>
      <c r="N8" s="13"/>
    </row>
    <row r="9" spans="1:19" x14ac:dyDescent="0.3">
      <c r="A9" s="3">
        <v>4582</v>
      </c>
      <c r="B9" s="3" t="s">
        <v>26</v>
      </c>
      <c r="C9" s="4">
        <v>45325</v>
      </c>
      <c r="D9" s="3" t="s">
        <v>27</v>
      </c>
      <c r="E9" s="3" t="s">
        <v>23</v>
      </c>
      <c r="F9" s="5">
        <v>2</v>
      </c>
      <c r="G9" s="6">
        <v>11.73</v>
      </c>
      <c r="H9" s="6">
        <v>23.46</v>
      </c>
      <c r="I9" s="6">
        <v>0</v>
      </c>
      <c r="J9" s="6">
        <v>23.46</v>
      </c>
      <c r="K9" s="5">
        <v>107</v>
      </c>
      <c r="L9" s="13" t="str">
        <f t="shared" si="0"/>
        <v>No Discount</v>
      </c>
      <c r="M9" s="13" t="str">
        <f t="shared" si="1"/>
        <v>Silver</v>
      </c>
      <c r="N9" s="13"/>
    </row>
    <row r="10" spans="1:19" x14ac:dyDescent="0.3">
      <c r="A10" s="3">
        <v>9279</v>
      </c>
      <c r="B10" s="3" t="s">
        <v>11</v>
      </c>
      <c r="C10" s="4">
        <v>45612</v>
      </c>
      <c r="D10" s="3" t="s">
        <v>28</v>
      </c>
      <c r="E10" s="3" t="s">
        <v>29</v>
      </c>
      <c r="F10" s="5">
        <v>5</v>
      </c>
      <c r="G10" s="6">
        <v>22.13</v>
      </c>
      <c r="H10" s="6">
        <v>110.65</v>
      </c>
      <c r="I10" s="6">
        <v>11.07</v>
      </c>
      <c r="J10" s="6">
        <v>99.58</v>
      </c>
      <c r="K10" s="5">
        <v>83</v>
      </c>
      <c r="L10" s="13" t="str">
        <f t="shared" si="0"/>
        <v>Discount Applied</v>
      </c>
      <c r="M10" s="13" t="str">
        <f t="shared" si="1"/>
        <v>Platinum</v>
      </c>
      <c r="N10" s="13"/>
    </row>
    <row r="11" spans="1:19" x14ac:dyDescent="0.3">
      <c r="A11" s="3">
        <v>1434</v>
      </c>
      <c r="B11" s="3" t="s">
        <v>30</v>
      </c>
      <c r="C11" s="4">
        <v>45580</v>
      </c>
      <c r="D11" s="3" t="s">
        <v>27</v>
      </c>
      <c r="E11" s="3" t="s">
        <v>18</v>
      </c>
      <c r="F11" s="5">
        <v>2</v>
      </c>
      <c r="G11" s="6">
        <v>20.84</v>
      </c>
      <c r="H11" s="6">
        <v>41.68</v>
      </c>
      <c r="I11" s="6">
        <v>8.34</v>
      </c>
      <c r="J11" s="6">
        <v>33.340000000000003</v>
      </c>
      <c r="K11" s="5">
        <v>431</v>
      </c>
      <c r="L11" s="13" t="str">
        <f t="shared" si="0"/>
        <v>Discount Applied</v>
      </c>
      <c r="M11" s="13" t="str">
        <f t="shared" si="1"/>
        <v>Silver</v>
      </c>
      <c r="N11" s="13"/>
    </row>
    <row r="12" spans="1:19" x14ac:dyDescent="0.3">
      <c r="A12" s="3">
        <v>4257</v>
      </c>
      <c r="B12" s="3" t="s">
        <v>31</v>
      </c>
      <c r="C12" s="4">
        <v>45701</v>
      </c>
      <c r="D12" s="3" t="s">
        <v>22</v>
      </c>
      <c r="E12" s="3" t="s">
        <v>32</v>
      </c>
      <c r="F12" s="5">
        <v>3</v>
      </c>
      <c r="G12" s="6">
        <v>2.91</v>
      </c>
      <c r="H12" s="6">
        <v>8.73</v>
      </c>
      <c r="I12" s="6">
        <v>1.75</v>
      </c>
      <c r="J12" s="6">
        <v>6.98</v>
      </c>
      <c r="K12" s="5">
        <v>467</v>
      </c>
      <c r="L12" s="13" t="str">
        <f t="shared" si="0"/>
        <v>Discount Applied</v>
      </c>
      <c r="M12" s="13" t="str">
        <f t="shared" si="1"/>
        <v>Bronze</v>
      </c>
      <c r="N12" s="13"/>
    </row>
    <row r="13" spans="1:19" x14ac:dyDescent="0.3">
      <c r="A13" s="3">
        <v>9928</v>
      </c>
      <c r="B13" s="3" t="s">
        <v>26</v>
      </c>
      <c r="C13" s="4">
        <v>45470</v>
      </c>
      <c r="D13" s="3" t="s">
        <v>20</v>
      </c>
      <c r="E13" s="3" t="s">
        <v>33</v>
      </c>
      <c r="F13" s="5">
        <v>2</v>
      </c>
      <c r="G13" s="6">
        <v>8.67</v>
      </c>
      <c r="H13" s="6">
        <v>17.34</v>
      </c>
      <c r="I13" s="6">
        <v>0</v>
      </c>
      <c r="J13" s="6">
        <v>17.34</v>
      </c>
      <c r="K13" s="5">
        <v>126</v>
      </c>
      <c r="L13" s="13" t="str">
        <f t="shared" si="0"/>
        <v>No Discount</v>
      </c>
      <c r="M13" s="13" t="str">
        <f t="shared" si="1"/>
        <v>Bronze</v>
      </c>
      <c r="N13" s="13"/>
    </row>
    <row r="14" spans="1:19" x14ac:dyDescent="0.3">
      <c r="A14" s="3">
        <v>4611</v>
      </c>
      <c r="B14" s="3" t="s">
        <v>24</v>
      </c>
      <c r="C14" s="4">
        <v>45493</v>
      </c>
      <c r="D14" s="3" t="s">
        <v>28</v>
      </c>
      <c r="E14" s="3" t="s">
        <v>32</v>
      </c>
      <c r="F14" s="5">
        <v>3</v>
      </c>
      <c r="G14" s="6">
        <v>7.35</v>
      </c>
      <c r="H14" s="6">
        <v>22.05</v>
      </c>
      <c r="I14" s="6">
        <v>4.0199999999999996</v>
      </c>
      <c r="J14" s="6">
        <v>18.03</v>
      </c>
      <c r="K14" s="5">
        <v>70</v>
      </c>
      <c r="L14" s="13" t="str">
        <f t="shared" si="0"/>
        <v>Discount Applied</v>
      </c>
      <c r="M14" s="13" t="str">
        <f t="shared" si="1"/>
        <v>Bronze</v>
      </c>
      <c r="N14" s="13"/>
    </row>
    <row r="15" spans="1:19" x14ac:dyDescent="0.3">
      <c r="A15" s="3">
        <v>5557</v>
      </c>
      <c r="B15" s="3" t="s">
        <v>11</v>
      </c>
      <c r="C15" s="4">
        <v>45773</v>
      </c>
      <c r="D15" s="3" t="s">
        <v>34</v>
      </c>
      <c r="E15" s="3" t="s">
        <v>29</v>
      </c>
      <c r="F15" s="5">
        <v>4</v>
      </c>
      <c r="G15" s="6">
        <v>18.29</v>
      </c>
      <c r="H15" s="6">
        <v>73.16</v>
      </c>
      <c r="I15" s="6">
        <v>4.9800000000000004</v>
      </c>
      <c r="J15" s="6">
        <v>68.180000000000007</v>
      </c>
      <c r="K15" s="5">
        <v>197</v>
      </c>
      <c r="L15" s="13" t="str">
        <f t="shared" si="0"/>
        <v>Discount Applied</v>
      </c>
      <c r="M15" s="13" t="str">
        <f t="shared" si="1"/>
        <v>Gold</v>
      </c>
      <c r="N15" s="13"/>
    </row>
    <row r="16" spans="1:19" x14ac:dyDescent="0.3">
      <c r="A16" s="3">
        <v>1106</v>
      </c>
      <c r="B16" s="3" t="s">
        <v>14</v>
      </c>
      <c r="C16" s="4">
        <v>45734</v>
      </c>
      <c r="D16" s="3" t="s">
        <v>35</v>
      </c>
      <c r="E16" s="3" t="s">
        <v>18</v>
      </c>
      <c r="F16" s="5">
        <v>1</v>
      </c>
      <c r="G16" s="6">
        <v>20.72</v>
      </c>
      <c r="H16" s="6">
        <v>20.72</v>
      </c>
      <c r="I16" s="6">
        <v>0</v>
      </c>
      <c r="J16" s="6">
        <v>20.72</v>
      </c>
      <c r="K16" s="5">
        <v>58</v>
      </c>
      <c r="L16" s="13" t="str">
        <f t="shared" si="0"/>
        <v>No Discount</v>
      </c>
      <c r="M16" s="13" t="str">
        <f t="shared" si="1"/>
        <v>Silver</v>
      </c>
      <c r="N16" s="13"/>
    </row>
    <row r="17" spans="1:14" x14ac:dyDescent="0.3">
      <c r="A17" s="3">
        <v>3615</v>
      </c>
      <c r="B17" s="3" t="s">
        <v>36</v>
      </c>
      <c r="C17" s="4">
        <v>45687</v>
      </c>
      <c r="D17" s="3" t="s">
        <v>15</v>
      </c>
      <c r="E17" s="3" t="s">
        <v>37</v>
      </c>
      <c r="F17" s="5">
        <v>4</v>
      </c>
      <c r="G17" s="6">
        <v>5.58</v>
      </c>
      <c r="H17" s="6">
        <v>22.32</v>
      </c>
      <c r="I17" s="6">
        <v>4.05</v>
      </c>
      <c r="J17" s="6">
        <v>18.27</v>
      </c>
      <c r="K17" s="5">
        <v>1</v>
      </c>
      <c r="L17" s="13" t="str">
        <f t="shared" si="0"/>
        <v>Discount Applied</v>
      </c>
      <c r="M17" s="13" t="str">
        <f t="shared" si="1"/>
        <v>Bronze</v>
      </c>
      <c r="N17" s="13"/>
    </row>
    <row r="18" spans="1:14" x14ac:dyDescent="0.3">
      <c r="A18" s="3">
        <v>7924</v>
      </c>
      <c r="B18" s="3" t="s">
        <v>14</v>
      </c>
      <c r="C18" s="4">
        <v>45409</v>
      </c>
      <c r="D18" s="3" t="s">
        <v>15</v>
      </c>
      <c r="E18" s="3" t="s">
        <v>37</v>
      </c>
      <c r="F18" s="5">
        <v>5</v>
      </c>
      <c r="G18" s="6">
        <v>18.649999999999999</v>
      </c>
      <c r="H18" s="6">
        <v>93.25</v>
      </c>
      <c r="I18" s="6">
        <v>18.649999999999999</v>
      </c>
      <c r="J18" s="6">
        <v>74.599999999999994</v>
      </c>
      <c r="K18" s="5">
        <v>78</v>
      </c>
      <c r="L18" s="13" t="str">
        <f t="shared" si="0"/>
        <v>Discount Applied</v>
      </c>
      <c r="M18" s="13" t="str">
        <f t="shared" si="1"/>
        <v>Platinum</v>
      </c>
      <c r="N18" s="13"/>
    </row>
    <row r="19" spans="1:14" x14ac:dyDescent="0.3">
      <c r="A19" s="3">
        <v>5552</v>
      </c>
      <c r="B19" s="3" t="s">
        <v>14</v>
      </c>
      <c r="C19" s="4">
        <v>45265</v>
      </c>
      <c r="D19" s="3" t="s">
        <v>38</v>
      </c>
      <c r="E19" s="3" t="s">
        <v>39</v>
      </c>
      <c r="F19" s="5">
        <v>5</v>
      </c>
      <c r="G19" s="6">
        <v>10.39</v>
      </c>
      <c r="H19" s="6">
        <v>51.95</v>
      </c>
      <c r="I19" s="6">
        <v>7.79</v>
      </c>
      <c r="J19" s="6">
        <v>44.16</v>
      </c>
      <c r="K19" s="5">
        <v>9</v>
      </c>
      <c r="L19" s="13" t="str">
        <f t="shared" si="0"/>
        <v>Discount Applied</v>
      </c>
      <c r="M19" s="13" t="str">
        <f t="shared" si="1"/>
        <v>Silver</v>
      </c>
      <c r="N19" s="13"/>
    </row>
    <row r="20" spans="1:14" x14ac:dyDescent="0.3">
      <c r="A20" s="3">
        <v>4527</v>
      </c>
      <c r="B20" s="3" t="s">
        <v>30</v>
      </c>
      <c r="C20" s="4">
        <v>45738</v>
      </c>
      <c r="D20" s="3" t="s">
        <v>17</v>
      </c>
      <c r="E20" s="3" t="s">
        <v>40</v>
      </c>
      <c r="F20" s="5">
        <v>2</v>
      </c>
      <c r="G20" s="6">
        <v>26.45</v>
      </c>
      <c r="H20" s="6">
        <v>52.9</v>
      </c>
      <c r="I20" s="6">
        <v>3.93</v>
      </c>
      <c r="J20" s="6">
        <v>48.97</v>
      </c>
      <c r="K20" s="5">
        <v>484</v>
      </c>
      <c r="L20" s="13" t="str">
        <f t="shared" si="0"/>
        <v>Discount Applied</v>
      </c>
      <c r="M20" s="13" t="str">
        <f t="shared" si="1"/>
        <v>Silver</v>
      </c>
      <c r="N20" s="13"/>
    </row>
    <row r="21" spans="1:14" x14ac:dyDescent="0.3">
      <c r="A21" s="3">
        <v>6514</v>
      </c>
      <c r="B21" s="3" t="s">
        <v>11</v>
      </c>
      <c r="C21" s="4">
        <v>45224</v>
      </c>
      <c r="D21" s="3" t="s">
        <v>38</v>
      </c>
      <c r="E21" s="3" t="s">
        <v>41</v>
      </c>
      <c r="F21" s="5">
        <v>2</v>
      </c>
      <c r="G21" s="6">
        <v>20.12</v>
      </c>
      <c r="H21" s="6">
        <v>40.24</v>
      </c>
      <c r="I21" s="6">
        <v>6.04</v>
      </c>
      <c r="J21" s="6">
        <v>34.200000000000003</v>
      </c>
      <c r="K21" s="5">
        <v>484</v>
      </c>
      <c r="L21" s="13" t="str">
        <f t="shared" si="0"/>
        <v>Discount Applied</v>
      </c>
      <c r="M21" s="13" t="str">
        <f t="shared" si="1"/>
        <v>Silver</v>
      </c>
      <c r="N21" s="13"/>
    </row>
    <row r="22" spans="1:14" x14ac:dyDescent="0.3">
      <c r="A22" s="3">
        <v>2519</v>
      </c>
      <c r="B22" s="3" t="s">
        <v>14</v>
      </c>
      <c r="C22" s="4">
        <v>45440</v>
      </c>
      <c r="D22" s="3" t="s">
        <v>28</v>
      </c>
      <c r="E22" s="3" t="s">
        <v>16</v>
      </c>
      <c r="F22" s="5">
        <v>2</v>
      </c>
      <c r="G22" s="6">
        <v>27.93</v>
      </c>
      <c r="H22" s="6">
        <v>55.86</v>
      </c>
      <c r="I22" s="6">
        <v>0</v>
      </c>
      <c r="J22" s="6">
        <v>55.86</v>
      </c>
      <c r="K22" s="5">
        <v>386</v>
      </c>
      <c r="L22" s="13" t="str">
        <f t="shared" si="0"/>
        <v>No Discount</v>
      </c>
      <c r="M22" s="13" t="str">
        <f t="shared" si="1"/>
        <v>Gold</v>
      </c>
      <c r="N22" s="13"/>
    </row>
    <row r="23" spans="1:14" x14ac:dyDescent="0.3">
      <c r="A23" s="3">
        <v>2584</v>
      </c>
      <c r="B23" s="3" t="s">
        <v>30</v>
      </c>
      <c r="C23" s="4">
        <v>45423</v>
      </c>
      <c r="D23" s="3" t="s">
        <v>20</v>
      </c>
      <c r="E23" s="3" t="s">
        <v>23</v>
      </c>
      <c r="F23" s="5">
        <v>4</v>
      </c>
      <c r="G23" s="6">
        <v>27.08</v>
      </c>
      <c r="H23" s="6">
        <v>108.32</v>
      </c>
      <c r="I23" s="6">
        <v>21.66</v>
      </c>
      <c r="J23" s="6">
        <v>86.66</v>
      </c>
      <c r="K23" s="5">
        <v>231</v>
      </c>
      <c r="L23" s="13" t="str">
        <f t="shared" si="0"/>
        <v>Discount Applied</v>
      </c>
      <c r="M23" s="13" t="str">
        <f t="shared" si="1"/>
        <v>Platinum</v>
      </c>
      <c r="N23" s="13"/>
    </row>
    <row r="24" spans="1:14" x14ac:dyDescent="0.3">
      <c r="A24" s="3">
        <v>6635</v>
      </c>
      <c r="B24" s="3" t="s">
        <v>42</v>
      </c>
      <c r="C24" s="4">
        <v>45613</v>
      </c>
      <c r="D24" s="3" t="s">
        <v>15</v>
      </c>
      <c r="E24" s="3" t="s">
        <v>21</v>
      </c>
      <c r="F24" s="5">
        <v>1</v>
      </c>
      <c r="G24" s="6">
        <v>18.05</v>
      </c>
      <c r="H24" s="6">
        <v>18.05</v>
      </c>
      <c r="I24" s="6">
        <v>1.28</v>
      </c>
      <c r="J24" s="6">
        <v>16.77</v>
      </c>
      <c r="K24" s="5">
        <v>117</v>
      </c>
      <c r="L24" s="13" t="str">
        <f t="shared" si="0"/>
        <v>Discount Applied</v>
      </c>
      <c r="M24" s="13" t="str">
        <f t="shared" si="1"/>
        <v>Bronze</v>
      </c>
      <c r="N24" s="13"/>
    </row>
    <row r="25" spans="1:14" x14ac:dyDescent="0.3">
      <c r="A25" s="3">
        <v>5333</v>
      </c>
      <c r="B25" s="3" t="s">
        <v>31</v>
      </c>
      <c r="C25" s="4">
        <v>45771</v>
      </c>
      <c r="D25" s="3" t="s">
        <v>17</v>
      </c>
      <c r="E25" s="3" t="s">
        <v>43</v>
      </c>
      <c r="F25" s="5">
        <v>1</v>
      </c>
      <c r="G25" s="6">
        <v>25.92</v>
      </c>
      <c r="H25" s="6">
        <v>25.92</v>
      </c>
      <c r="I25" s="6">
        <v>3.89</v>
      </c>
      <c r="J25" s="6">
        <v>22.03</v>
      </c>
      <c r="K25" s="5">
        <v>36</v>
      </c>
      <c r="L25" s="13" t="str">
        <f t="shared" si="0"/>
        <v>Discount Applied</v>
      </c>
      <c r="M25" s="13" t="str">
        <f t="shared" si="1"/>
        <v>Silver</v>
      </c>
      <c r="N25" s="13"/>
    </row>
    <row r="26" spans="1:14" x14ac:dyDescent="0.3">
      <c r="A26" s="3">
        <v>1711</v>
      </c>
      <c r="B26" s="3" t="s">
        <v>26</v>
      </c>
      <c r="C26" s="4">
        <v>45711</v>
      </c>
      <c r="D26" s="3" t="s">
        <v>17</v>
      </c>
      <c r="E26" s="3" t="s">
        <v>18</v>
      </c>
      <c r="F26" s="5">
        <v>2</v>
      </c>
      <c r="G26" s="6">
        <v>21.97</v>
      </c>
      <c r="H26" s="6">
        <v>43.94</v>
      </c>
      <c r="I26" s="6">
        <v>8.7899999999999991</v>
      </c>
      <c r="J26" s="6">
        <v>35.15</v>
      </c>
      <c r="K26" s="5">
        <v>451</v>
      </c>
      <c r="L26" s="13" t="str">
        <f t="shared" si="0"/>
        <v>Discount Applied</v>
      </c>
      <c r="M26" s="13" t="str">
        <f t="shared" si="1"/>
        <v>Silver</v>
      </c>
      <c r="N26" s="13"/>
    </row>
    <row r="27" spans="1:14" x14ac:dyDescent="0.3">
      <c r="A27" s="3">
        <v>8527</v>
      </c>
      <c r="B27" s="3" t="s">
        <v>26</v>
      </c>
      <c r="C27" s="4">
        <v>45561</v>
      </c>
      <c r="D27" s="3" t="s">
        <v>20</v>
      </c>
      <c r="E27" s="3" t="s">
        <v>44</v>
      </c>
      <c r="F27" s="5">
        <v>1</v>
      </c>
      <c r="G27" s="6">
        <v>3.8</v>
      </c>
      <c r="H27" s="6">
        <v>3.8</v>
      </c>
      <c r="I27" s="6">
        <v>0.38</v>
      </c>
      <c r="J27" s="6">
        <v>3.42</v>
      </c>
      <c r="K27" s="5">
        <v>220</v>
      </c>
      <c r="L27" s="13" t="str">
        <f t="shared" si="0"/>
        <v>Discount Applied</v>
      </c>
      <c r="M27" s="13" t="str">
        <f t="shared" si="1"/>
        <v>Bronze</v>
      </c>
      <c r="N27" s="13"/>
    </row>
    <row r="28" spans="1:14" x14ac:dyDescent="0.3">
      <c r="A28" s="3">
        <v>3045</v>
      </c>
      <c r="B28" s="3" t="s">
        <v>24</v>
      </c>
      <c r="C28" s="4">
        <v>45861</v>
      </c>
      <c r="D28" s="3" t="s">
        <v>45</v>
      </c>
      <c r="E28" s="3" t="s">
        <v>40</v>
      </c>
      <c r="F28" s="5">
        <v>1</v>
      </c>
      <c r="G28" s="6">
        <v>2.75</v>
      </c>
      <c r="H28" s="6">
        <v>2.75</v>
      </c>
      <c r="I28" s="6">
        <v>1.99</v>
      </c>
      <c r="J28" s="6">
        <v>0.76</v>
      </c>
      <c r="K28" s="5">
        <v>372</v>
      </c>
      <c r="L28" s="13" t="str">
        <f t="shared" si="0"/>
        <v>Discount Applied</v>
      </c>
      <c r="M28" s="13" t="str">
        <f t="shared" si="1"/>
        <v>Bronze</v>
      </c>
      <c r="N28" s="13"/>
    </row>
    <row r="29" spans="1:14" x14ac:dyDescent="0.3">
      <c r="A29" s="3">
        <v>7201</v>
      </c>
      <c r="B29" s="3" t="s">
        <v>42</v>
      </c>
      <c r="C29" s="4">
        <v>45206</v>
      </c>
      <c r="D29" s="3" t="s">
        <v>38</v>
      </c>
      <c r="E29" s="3" t="s">
        <v>33</v>
      </c>
      <c r="F29" s="5">
        <v>2</v>
      </c>
      <c r="G29" s="6">
        <v>13.22</v>
      </c>
      <c r="H29" s="6">
        <v>26.44</v>
      </c>
      <c r="I29" s="6">
        <v>5.29</v>
      </c>
      <c r="J29" s="6">
        <v>21.15</v>
      </c>
      <c r="K29" s="5">
        <v>142</v>
      </c>
      <c r="L29" s="13" t="str">
        <f t="shared" si="0"/>
        <v>Discount Applied</v>
      </c>
      <c r="M29" s="13" t="str">
        <f t="shared" si="1"/>
        <v>Silver</v>
      </c>
      <c r="N29" s="13"/>
    </row>
    <row r="30" spans="1:14" x14ac:dyDescent="0.3">
      <c r="A30" s="3">
        <v>5803</v>
      </c>
      <c r="B30" s="3" t="s">
        <v>11</v>
      </c>
      <c r="C30" s="4">
        <v>45789</v>
      </c>
      <c r="D30" s="3" t="s">
        <v>45</v>
      </c>
      <c r="E30" s="3" t="s">
        <v>18</v>
      </c>
      <c r="F30" s="5">
        <v>1</v>
      </c>
      <c r="G30" s="6">
        <v>2.46</v>
      </c>
      <c r="H30" s="6">
        <v>2.46</v>
      </c>
      <c r="I30" s="6">
        <v>4.71</v>
      </c>
      <c r="J30" s="6">
        <v>-2.25</v>
      </c>
      <c r="K30" s="5">
        <v>276</v>
      </c>
      <c r="L30" s="13" t="str">
        <f t="shared" si="0"/>
        <v>Discount Applied</v>
      </c>
      <c r="M30" s="13" t="str">
        <f t="shared" si="1"/>
        <v>Bronze</v>
      </c>
      <c r="N30" s="13"/>
    </row>
    <row r="31" spans="1:14" x14ac:dyDescent="0.3">
      <c r="A31" s="3">
        <v>6925</v>
      </c>
      <c r="B31" s="3" t="s">
        <v>42</v>
      </c>
      <c r="C31" s="4">
        <v>45593</v>
      </c>
      <c r="D31" s="3" t="s">
        <v>34</v>
      </c>
      <c r="E31" s="3" t="s">
        <v>16</v>
      </c>
      <c r="F31" s="5">
        <v>4</v>
      </c>
      <c r="G31" s="6">
        <v>14.95</v>
      </c>
      <c r="H31" s="6">
        <v>59.8</v>
      </c>
      <c r="I31" s="6">
        <v>1.66</v>
      </c>
      <c r="J31" s="6">
        <v>58.14</v>
      </c>
      <c r="K31" s="5">
        <v>442</v>
      </c>
      <c r="L31" s="13" t="str">
        <f t="shared" si="0"/>
        <v>Discount Applied</v>
      </c>
      <c r="M31" s="13" t="str">
        <f t="shared" si="1"/>
        <v>Gold</v>
      </c>
      <c r="N31" s="13"/>
    </row>
    <row r="32" spans="1:14" x14ac:dyDescent="0.3">
      <c r="A32" s="3">
        <v>4150</v>
      </c>
      <c r="B32" s="3" t="s">
        <v>31</v>
      </c>
      <c r="C32" s="4">
        <v>45692</v>
      </c>
      <c r="D32" s="3" t="s">
        <v>20</v>
      </c>
      <c r="E32" s="3" t="s">
        <v>13</v>
      </c>
      <c r="F32" s="5">
        <v>4</v>
      </c>
      <c r="G32" s="6">
        <v>9.26</v>
      </c>
      <c r="H32" s="6">
        <v>37.04</v>
      </c>
      <c r="I32" s="6">
        <v>7.41</v>
      </c>
      <c r="J32" s="6">
        <v>29.63</v>
      </c>
      <c r="K32" s="5">
        <v>356</v>
      </c>
      <c r="L32" s="13" t="str">
        <f t="shared" si="0"/>
        <v>Discount Applied</v>
      </c>
      <c r="M32" s="13" t="str">
        <f t="shared" si="1"/>
        <v>Silver</v>
      </c>
      <c r="N32" s="13"/>
    </row>
    <row r="33" spans="1:14" x14ac:dyDescent="0.3">
      <c r="A33" s="3">
        <v>2139</v>
      </c>
      <c r="B33" s="3" t="s">
        <v>42</v>
      </c>
      <c r="C33" s="4">
        <v>45180</v>
      </c>
      <c r="D33" s="3" t="s">
        <v>35</v>
      </c>
      <c r="E33" s="3" t="s">
        <v>44</v>
      </c>
      <c r="F33" s="5">
        <v>1</v>
      </c>
      <c r="G33" s="6">
        <v>17.79</v>
      </c>
      <c r="H33" s="6">
        <v>17.79</v>
      </c>
      <c r="I33" s="6">
        <v>0</v>
      </c>
      <c r="J33" s="6">
        <v>17.79</v>
      </c>
      <c r="K33" s="5">
        <v>277</v>
      </c>
      <c r="L33" s="13" t="str">
        <f t="shared" si="0"/>
        <v>No Discount</v>
      </c>
      <c r="M33" s="13" t="str">
        <f t="shared" si="1"/>
        <v>Bronze</v>
      </c>
      <c r="N33" s="13"/>
    </row>
    <row r="34" spans="1:14" x14ac:dyDescent="0.3">
      <c r="A34" s="3">
        <v>4733</v>
      </c>
      <c r="B34" s="3" t="s">
        <v>36</v>
      </c>
      <c r="C34" s="4">
        <v>45745</v>
      </c>
      <c r="D34" s="3" t="s">
        <v>12</v>
      </c>
      <c r="E34" s="3" t="s">
        <v>40</v>
      </c>
      <c r="F34" s="5">
        <v>5</v>
      </c>
      <c r="G34" s="6">
        <v>14.82</v>
      </c>
      <c r="H34" s="6">
        <v>74.099999999999994</v>
      </c>
      <c r="I34" s="6">
        <v>4.84</v>
      </c>
      <c r="J34" s="6">
        <v>69.260000000000005</v>
      </c>
      <c r="K34" s="5">
        <v>470</v>
      </c>
      <c r="L34" s="13" t="str">
        <f t="shared" si="0"/>
        <v>Discount Applied</v>
      </c>
      <c r="M34" s="13" t="str">
        <f t="shared" si="1"/>
        <v>Gold</v>
      </c>
      <c r="N34" s="13"/>
    </row>
    <row r="35" spans="1:14" x14ac:dyDescent="0.3">
      <c r="A35" s="3">
        <v>5741</v>
      </c>
      <c r="B35" s="3" t="s">
        <v>11</v>
      </c>
      <c r="C35" s="4">
        <v>45206</v>
      </c>
      <c r="D35" s="3" t="s">
        <v>34</v>
      </c>
      <c r="E35" s="3" t="s">
        <v>43</v>
      </c>
      <c r="F35" s="5">
        <v>5</v>
      </c>
      <c r="G35" s="6">
        <v>2.96</v>
      </c>
      <c r="H35" s="6">
        <v>14.8</v>
      </c>
      <c r="I35" s="6">
        <v>1.48</v>
      </c>
      <c r="J35" s="6">
        <v>13.32</v>
      </c>
      <c r="K35" s="5">
        <v>441</v>
      </c>
      <c r="L35" s="13" t="str">
        <f t="shared" si="0"/>
        <v>Discount Applied</v>
      </c>
      <c r="M35" s="13" t="str">
        <f t="shared" si="1"/>
        <v>Bronze</v>
      </c>
      <c r="N35" s="13"/>
    </row>
    <row r="36" spans="1:14" x14ac:dyDescent="0.3">
      <c r="A36" s="3">
        <v>4814</v>
      </c>
      <c r="B36" s="3" t="s">
        <v>11</v>
      </c>
      <c r="C36" s="4">
        <v>45818</v>
      </c>
      <c r="D36" s="3" t="s">
        <v>28</v>
      </c>
      <c r="E36" s="3" t="s">
        <v>25</v>
      </c>
      <c r="F36" s="5">
        <v>5</v>
      </c>
      <c r="G36" s="6">
        <v>18.23</v>
      </c>
      <c r="H36" s="6">
        <v>91.15</v>
      </c>
      <c r="I36" s="6">
        <v>9.1199999999999992</v>
      </c>
      <c r="J36" s="6">
        <v>82.03</v>
      </c>
      <c r="K36" s="5">
        <v>317</v>
      </c>
      <c r="L36" s="13" t="str">
        <f t="shared" si="0"/>
        <v>Discount Applied</v>
      </c>
      <c r="M36" s="13" t="str">
        <f t="shared" si="1"/>
        <v>Platinum</v>
      </c>
      <c r="N36" s="13"/>
    </row>
    <row r="37" spans="1:14" x14ac:dyDescent="0.3">
      <c r="A37" s="3">
        <v>2654</v>
      </c>
      <c r="B37" s="3" t="s">
        <v>14</v>
      </c>
      <c r="C37" s="4">
        <v>45440</v>
      </c>
      <c r="D37" s="3" t="s">
        <v>22</v>
      </c>
      <c r="E37" s="3" t="s">
        <v>13</v>
      </c>
      <c r="F37" s="5">
        <v>2</v>
      </c>
      <c r="G37" s="6">
        <v>20.41</v>
      </c>
      <c r="H37" s="6">
        <v>40.82</v>
      </c>
      <c r="I37" s="6">
        <v>6.12</v>
      </c>
      <c r="J37" s="6">
        <v>34.700000000000003</v>
      </c>
      <c r="K37" s="5">
        <v>160</v>
      </c>
      <c r="L37" s="13" t="str">
        <f t="shared" si="0"/>
        <v>Discount Applied</v>
      </c>
      <c r="M37" s="13" t="str">
        <f t="shared" si="1"/>
        <v>Silver</v>
      </c>
      <c r="N37" s="13"/>
    </row>
    <row r="38" spans="1:14" x14ac:dyDescent="0.3">
      <c r="A38" s="3">
        <v>5554</v>
      </c>
      <c r="B38" s="3" t="s">
        <v>24</v>
      </c>
      <c r="C38" s="4">
        <v>45497</v>
      </c>
      <c r="D38" s="3" t="s">
        <v>34</v>
      </c>
      <c r="E38" s="3" t="s">
        <v>37</v>
      </c>
      <c r="F38" s="5">
        <v>4</v>
      </c>
      <c r="G38" s="6">
        <v>10.16</v>
      </c>
      <c r="H38" s="6">
        <v>40.64</v>
      </c>
      <c r="I38" s="6">
        <v>2.83</v>
      </c>
      <c r="J38" s="6">
        <v>37.81</v>
      </c>
      <c r="K38" s="5">
        <v>384</v>
      </c>
      <c r="L38" s="13" t="str">
        <f t="shared" si="0"/>
        <v>Discount Applied</v>
      </c>
      <c r="M38" s="13" t="str">
        <f t="shared" si="1"/>
        <v>Silver</v>
      </c>
      <c r="N38" s="13"/>
    </row>
    <row r="39" spans="1:14" x14ac:dyDescent="0.3">
      <c r="A39" s="3">
        <v>6977</v>
      </c>
      <c r="B39" s="3" t="s">
        <v>11</v>
      </c>
      <c r="C39" s="4">
        <v>45271</v>
      </c>
      <c r="D39" s="3" t="s">
        <v>15</v>
      </c>
      <c r="E39" s="3" t="s">
        <v>18</v>
      </c>
      <c r="F39" s="5">
        <v>2</v>
      </c>
      <c r="G39" s="6">
        <v>15.66</v>
      </c>
      <c r="H39" s="6">
        <v>31.32</v>
      </c>
      <c r="I39" s="6">
        <v>4.5199999999999996</v>
      </c>
      <c r="J39" s="6">
        <v>26.8</v>
      </c>
      <c r="K39" s="5">
        <v>67</v>
      </c>
      <c r="L39" s="13" t="str">
        <f t="shared" si="0"/>
        <v>Discount Applied</v>
      </c>
      <c r="M39" s="13" t="str">
        <f t="shared" si="1"/>
        <v>Silver</v>
      </c>
      <c r="N39" s="13"/>
    </row>
    <row r="40" spans="1:14" x14ac:dyDescent="0.3">
      <c r="A40" s="3">
        <v>7065</v>
      </c>
      <c r="B40" s="3" t="s">
        <v>36</v>
      </c>
      <c r="C40" s="4">
        <v>45420</v>
      </c>
      <c r="D40" s="3" t="s">
        <v>35</v>
      </c>
      <c r="E40" s="3" t="s">
        <v>29</v>
      </c>
      <c r="F40" s="5">
        <v>4</v>
      </c>
      <c r="G40" s="6">
        <v>25.17</v>
      </c>
      <c r="H40" s="6">
        <v>100.68</v>
      </c>
      <c r="I40" s="6">
        <v>4.9400000000000004</v>
      </c>
      <c r="J40" s="6">
        <v>95.74</v>
      </c>
      <c r="K40" s="5">
        <v>360</v>
      </c>
      <c r="L40" s="13" t="str">
        <f t="shared" si="0"/>
        <v>Discount Applied</v>
      </c>
      <c r="M40" s="13" t="str">
        <f t="shared" si="1"/>
        <v>Platinum</v>
      </c>
      <c r="N40" s="13"/>
    </row>
    <row r="41" spans="1:14" x14ac:dyDescent="0.3">
      <c r="A41" s="3">
        <v>4432</v>
      </c>
      <c r="B41" s="3" t="s">
        <v>14</v>
      </c>
      <c r="C41" s="4">
        <v>45665</v>
      </c>
      <c r="D41" s="3" t="s">
        <v>12</v>
      </c>
      <c r="E41" s="3" t="s">
        <v>18</v>
      </c>
      <c r="F41" s="5">
        <v>3</v>
      </c>
      <c r="G41" s="6">
        <v>28.01</v>
      </c>
      <c r="H41" s="6">
        <v>84.03</v>
      </c>
      <c r="I41" s="6">
        <v>12.6</v>
      </c>
      <c r="J41" s="6">
        <v>71.430000000000007</v>
      </c>
      <c r="K41" s="5">
        <v>53</v>
      </c>
      <c r="L41" s="13" t="str">
        <f t="shared" si="0"/>
        <v>Discount Applied</v>
      </c>
      <c r="M41" s="13" t="str">
        <f t="shared" si="1"/>
        <v>Platinum</v>
      </c>
      <c r="N41" s="13"/>
    </row>
    <row r="42" spans="1:14" x14ac:dyDescent="0.3">
      <c r="A42" s="3">
        <v>5374</v>
      </c>
      <c r="B42" s="3" t="s">
        <v>11</v>
      </c>
      <c r="C42" s="4">
        <v>45690</v>
      </c>
      <c r="D42" s="3" t="s">
        <v>15</v>
      </c>
      <c r="E42" s="3" t="s">
        <v>18</v>
      </c>
      <c r="F42" s="5">
        <v>2</v>
      </c>
      <c r="G42" s="6">
        <v>8.89</v>
      </c>
      <c r="H42" s="6">
        <v>17.78</v>
      </c>
      <c r="I42" s="6">
        <v>0</v>
      </c>
      <c r="J42" s="6">
        <v>17.78</v>
      </c>
      <c r="K42" s="5">
        <v>309</v>
      </c>
      <c r="L42" s="13" t="str">
        <f t="shared" si="0"/>
        <v>No Discount</v>
      </c>
      <c r="M42" s="13" t="str">
        <f t="shared" si="1"/>
        <v>Bronze</v>
      </c>
      <c r="N42" s="13"/>
    </row>
    <row r="43" spans="1:14" x14ac:dyDescent="0.3">
      <c r="A43" s="3">
        <v>2169</v>
      </c>
      <c r="B43" s="3" t="s">
        <v>36</v>
      </c>
      <c r="C43" s="4">
        <v>45618</v>
      </c>
      <c r="D43" s="3" t="s">
        <v>17</v>
      </c>
      <c r="E43" s="3" t="s">
        <v>13</v>
      </c>
      <c r="F43" s="5">
        <v>5</v>
      </c>
      <c r="G43" s="6">
        <v>15.16</v>
      </c>
      <c r="H43" s="6">
        <v>75.8</v>
      </c>
      <c r="I43" s="6">
        <v>3.54</v>
      </c>
      <c r="J43" s="6">
        <v>72.260000000000005</v>
      </c>
      <c r="K43" s="5">
        <v>463</v>
      </c>
      <c r="L43" s="13" t="str">
        <f t="shared" si="0"/>
        <v>Discount Applied</v>
      </c>
      <c r="M43" s="13" t="str">
        <f t="shared" si="1"/>
        <v>Platinum</v>
      </c>
      <c r="N43" s="13"/>
    </row>
    <row r="44" spans="1:14" x14ac:dyDescent="0.3">
      <c r="A44" s="3">
        <v>3803</v>
      </c>
      <c r="B44" s="3" t="s">
        <v>30</v>
      </c>
      <c r="C44" s="4">
        <v>45559</v>
      </c>
      <c r="D44" s="3" t="s">
        <v>12</v>
      </c>
      <c r="E44" s="3" t="s">
        <v>39</v>
      </c>
      <c r="F44" s="5">
        <v>3</v>
      </c>
      <c r="G44" s="6">
        <v>23.35</v>
      </c>
      <c r="H44" s="6">
        <v>70.05</v>
      </c>
      <c r="I44" s="6">
        <v>14.01</v>
      </c>
      <c r="J44" s="6">
        <v>56.04</v>
      </c>
      <c r="K44" s="5">
        <v>326</v>
      </c>
      <c r="L44" s="13" t="str">
        <f t="shared" si="0"/>
        <v>Discount Applied</v>
      </c>
      <c r="M44" s="13" t="str">
        <f t="shared" si="1"/>
        <v>Gold</v>
      </c>
      <c r="N44" s="13"/>
    </row>
    <row r="45" spans="1:14" x14ac:dyDescent="0.3">
      <c r="A45" s="3">
        <v>5010</v>
      </c>
      <c r="B45" s="3" t="s">
        <v>26</v>
      </c>
      <c r="C45" s="4">
        <v>45271</v>
      </c>
      <c r="D45" s="3" t="s">
        <v>38</v>
      </c>
      <c r="E45" s="3" t="s">
        <v>16</v>
      </c>
      <c r="F45" s="5">
        <v>5</v>
      </c>
      <c r="G45" s="6">
        <v>1.27</v>
      </c>
      <c r="H45" s="6">
        <v>6.35</v>
      </c>
      <c r="I45" s="6">
        <v>1.1399999999999999</v>
      </c>
      <c r="J45" s="6">
        <v>5.21</v>
      </c>
      <c r="K45" s="5">
        <v>38</v>
      </c>
      <c r="L45" s="13" t="str">
        <f t="shared" si="0"/>
        <v>Discount Applied</v>
      </c>
      <c r="M45" s="13" t="str">
        <f t="shared" si="1"/>
        <v>Bronze</v>
      </c>
      <c r="N45" s="13"/>
    </row>
    <row r="46" spans="1:14" x14ac:dyDescent="0.3">
      <c r="A46" s="3">
        <v>8573</v>
      </c>
      <c r="B46" s="3" t="s">
        <v>36</v>
      </c>
      <c r="C46" s="4">
        <v>45439</v>
      </c>
      <c r="D46" s="3" t="s">
        <v>28</v>
      </c>
      <c r="E46" s="3" t="s">
        <v>18</v>
      </c>
      <c r="F46" s="5">
        <v>2</v>
      </c>
      <c r="G46" s="6">
        <v>13.45</v>
      </c>
      <c r="H46" s="6">
        <v>26.9</v>
      </c>
      <c r="I46" s="6">
        <v>4.03</v>
      </c>
      <c r="J46" s="6">
        <v>22.87</v>
      </c>
      <c r="K46" s="5">
        <v>21</v>
      </c>
      <c r="L46" s="13" t="str">
        <f t="shared" si="0"/>
        <v>Discount Applied</v>
      </c>
      <c r="M46" s="13" t="str">
        <f t="shared" si="1"/>
        <v>Silver</v>
      </c>
      <c r="N46" s="13"/>
    </row>
    <row r="47" spans="1:14" x14ac:dyDescent="0.3">
      <c r="A47" s="3">
        <v>5422</v>
      </c>
      <c r="B47" s="3" t="s">
        <v>31</v>
      </c>
      <c r="C47" s="4">
        <v>45863</v>
      </c>
      <c r="D47" s="3" t="s">
        <v>22</v>
      </c>
      <c r="E47" s="3" t="s">
        <v>44</v>
      </c>
      <c r="F47" s="5">
        <v>2</v>
      </c>
      <c r="G47" s="6">
        <v>20.329999999999998</v>
      </c>
      <c r="H47" s="6">
        <v>40.659999999999997</v>
      </c>
      <c r="I47" s="6">
        <v>4</v>
      </c>
      <c r="J47" s="6">
        <v>36.659999999999997</v>
      </c>
      <c r="K47" s="5">
        <v>181</v>
      </c>
      <c r="L47" s="13" t="str">
        <f t="shared" si="0"/>
        <v>Discount Applied</v>
      </c>
      <c r="M47" s="13" t="str">
        <f t="shared" si="1"/>
        <v>Silver</v>
      </c>
      <c r="N47" s="13"/>
    </row>
    <row r="48" spans="1:14" x14ac:dyDescent="0.3">
      <c r="A48" s="3">
        <v>4598</v>
      </c>
      <c r="B48" s="3" t="s">
        <v>42</v>
      </c>
      <c r="C48" s="4">
        <v>45676</v>
      </c>
      <c r="D48" s="3" t="s">
        <v>34</v>
      </c>
      <c r="E48" s="3" t="s">
        <v>29</v>
      </c>
      <c r="F48" s="5">
        <v>4</v>
      </c>
      <c r="G48" s="6">
        <v>1.71</v>
      </c>
      <c r="H48" s="6">
        <v>6.84</v>
      </c>
      <c r="I48" s="6">
        <v>0.68</v>
      </c>
      <c r="J48" s="6">
        <v>6.16</v>
      </c>
      <c r="K48" s="5">
        <v>377</v>
      </c>
      <c r="L48" s="13" t="str">
        <f t="shared" si="0"/>
        <v>Discount Applied</v>
      </c>
      <c r="M48" s="13" t="str">
        <f t="shared" si="1"/>
        <v>Bronze</v>
      </c>
      <c r="N48" s="13"/>
    </row>
    <row r="49" spans="1:14" x14ac:dyDescent="0.3">
      <c r="A49" s="3">
        <v>6313</v>
      </c>
      <c r="B49" s="3" t="s">
        <v>42</v>
      </c>
      <c r="C49" s="4">
        <v>45799</v>
      </c>
      <c r="D49" s="3" t="s">
        <v>35</v>
      </c>
      <c r="E49" s="3" t="s">
        <v>29</v>
      </c>
      <c r="F49" s="5">
        <v>1</v>
      </c>
      <c r="G49" s="6">
        <v>12.08</v>
      </c>
      <c r="H49" s="6">
        <v>12.08</v>
      </c>
      <c r="I49" s="6">
        <v>2.42</v>
      </c>
      <c r="J49" s="6">
        <v>9.66</v>
      </c>
      <c r="K49" s="5">
        <v>19</v>
      </c>
      <c r="L49" s="13" t="str">
        <f t="shared" si="0"/>
        <v>Discount Applied</v>
      </c>
      <c r="M49" s="13" t="str">
        <f t="shared" si="1"/>
        <v>Bronze</v>
      </c>
      <c r="N49" s="13"/>
    </row>
    <row r="50" spans="1:14" x14ac:dyDescent="0.3">
      <c r="A50" s="3">
        <v>1916</v>
      </c>
      <c r="B50" s="3" t="s">
        <v>42</v>
      </c>
      <c r="C50" s="4">
        <v>45322</v>
      </c>
      <c r="D50" s="3" t="s">
        <v>45</v>
      </c>
      <c r="E50" s="3" t="s">
        <v>23</v>
      </c>
      <c r="F50" s="5">
        <v>3</v>
      </c>
      <c r="G50" s="6">
        <v>24.79</v>
      </c>
      <c r="H50" s="6">
        <v>74.37</v>
      </c>
      <c r="I50" s="6">
        <v>14.87</v>
      </c>
      <c r="J50" s="6">
        <v>59.5</v>
      </c>
      <c r="K50" s="5">
        <v>446</v>
      </c>
      <c r="L50" s="13" t="str">
        <f t="shared" si="0"/>
        <v>Discount Applied</v>
      </c>
      <c r="M50" s="13" t="str">
        <f t="shared" si="1"/>
        <v>Gold</v>
      </c>
      <c r="N50" s="13"/>
    </row>
    <row r="51" spans="1:14" x14ac:dyDescent="0.3">
      <c r="A51" s="3">
        <v>1525</v>
      </c>
      <c r="B51" s="3" t="s">
        <v>31</v>
      </c>
      <c r="C51" s="4">
        <v>45770</v>
      </c>
      <c r="D51" s="3" t="s">
        <v>27</v>
      </c>
      <c r="E51" s="3" t="s">
        <v>44</v>
      </c>
      <c r="F51" s="5">
        <v>4</v>
      </c>
      <c r="G51" s="6">
        <v>10.51</v>
      </c>
      <c r="H51" s="6">
        <v>42.04</v>
      </c>
      <c r="I51" s="6">
        <v>6.31</v>
      </c>
      <c r="J51" s="6">
        <v>35.729999999999997</v>
      </c>
      <c r="K51" s="5">
        <v>442</v>
      </c>
      <c r="L51" s="13" t="str">
        <f t="shared" si="0"/>
        <v>Discount Applied</v>
      </c>
      <c r="M51" s="13" t="str">
        <f t="shared" si="1"/>
        <v>Silver</v>
      </c>
      <c r="N51" s="13"/>
    </row>
    <row r="52" spans="1:14" x14ac:dyDescent="0.3">
      <c r="A52" s="3">
        <v>6168</v>
      </c>
      <c r="B52" s="3" t="s">
        <v>36</v>
      </c>
      <c r="C52" s="4">
        <v>45456</v>
      </c>
      <c r="D52" s="3" t="s">
        <v>27</v>
      </c>
      <c r="E52" s="3" t="s">
        <v>46</v>
      </c>
      <c r="F52" s="5">
        <v>4</v>
      </c>
      <c r="G52" s="6">
        <v>20.7</v>
      </c>
      <c r="H52" s="6">
        <v>82.8</v>
      </c>
      <c r="I52" s="6">
        <v>1.46</v>
      </c>
      <c r="J52" s="6">
        <v>81.34</v>
      </c>
      <c r="K52" s="5">
        <v>431</v>
      </c>
      <c r="L52" s="13" t="str">
        <f t="shared" si="0"/>
        <v>Discount Applied</v>
      </c>
      <c r="M52" s="13" t="str">
        <f t="shared" si="1"/>
        <v>Platinum</v>
      </c>
      <c r="N52" s="13"/>
    </row>
    <row r="53" spans="1:14" x14ac:dyDescent="0.3">
      <c r="A53" s="3">
        <v>5386</v>
      </c>
      <c r="B53" s="3" t="s">
        <v>30</v>
      </c>
      <c r="C53" s="4">
        <v>45196</v>
      </c>
      <c r="D53" s="3" t="s">
        <v>34</v>
      </c>
      <c r="E53" s="3" t="s">
        <v>13</v>
      </c>
      <c r="F53" s="5">
        <v>1</v>
      </c>
      <c r="G53" s="6">
        <v>4.13</v>
      </c>
      <c r="H53" s="6">
        <v>4.13</v>
      </c>
      <c r="I53" s="6">
        <v>0</v>
      </c>
      <c r="J53" s="6">
        <v>4.13</v>
      </c>
      <c r="K53" s="5">
        <v>222</v>
      </c>
      <c r="L53" s="13" t="str">
        <f t="shared" si="0"/>
        <v>No Discount</v>
      </c>
      <c r="M53" s="13" t="str">
        <f t="shared" si="1"/>
        <v>Bronze</v>
      </c>
      <c r="N53" s="13"/>
    </row>
    <row r="54" spans="1:14" x14ac:dyDescent="0.3">
      <c r="A54" s="3">
        <v>4456</v>
      </c>
      <c r="B54" s="3" t="s">
        <v>36</v>
      </c>
      <c r="C54" s="4">
        <v>45854</v>
      </c>
      <c r="D54" s="3" t="s">
        <v>20</v>
      </c>
      <c r="E54" s="3" t="s">
        <v>46</v>
      </c>
      <c r="F54" s="5">
        <v>1</v>
      </c>
      <c r="G54" s="6">
        <v>12.16</v>
      </c>
      <c r="H54" s="6">
        <v>12.16</v>
      </c>
      <c r="I54" s="6">
        <v>1.82</v>
      </c>
      <c r="J54" s="6">
        <v>10.34</v>
      </c>
      <c r="K54" s="5">
        <v>295</v>
      </c>
      <c r="L54" s="13" t="str">
        <f t="shared" si="0"/>
        <v>Discount Applied</v>
      </c>
      <c r="M54" s="13" t="str">
        <f t="shared" si="1"/>
        <v>Bronze</v>
      </c>
      <c r="N54" s="13"/>
    </row>
    <row r="55" spans="1:14" x14ac:dyDescent="0.3">
      <c r="A55" s="3">
        <v>6155</v>
      </c>
      <c r="B55" s="3" t="s">
        <v>31</v>
      </c>
      <c r="C55" s="4">
        <v>45310</v>
      </c>
      <c r="D55" s="3" t="s">
        <v>20</v>
      </c>
      <c r="E55" s="3" t="s">
        <v>39</v>
      </c>
      <c r="F55" s="5">
        <v>5</v>
      </c>
      <c r="G55" s="6">
        <v>27.83</v>
      </c>
      <c r="H55" s="6">
        <v>139.15</v>
      </c>
      <c r="I55" s="6">
        <v>20.87</v>
      </c>
      <c r="J55" s="6">
        <v>118.28</v>
      </c>
      <c r="K55" s="5">
        <v>275</v>
      </c>
      <c r="L55" s="13" t="str">
        <f t="shared" si="0"/>
        <v>Discount Applied</v>
      </c>
      <c r="M55" s="13" t="str">
        <f t="shared" si="1"/>
        <v>Platinum</v>
      </c>
      <c r="N55" s="13"/>
    </row>
    <row r="56" spans="1:14" x14ac:dyDescent="0.3">
      <c r="A56" s="3">
        <v>9179</v>
      </c>
      <c r="B56" s="3" t="s">
        <v>24</v>
      </c>
      <c r="C56" s="4">
        <v>45452</v>
      </c>
      <c r="D56" s="3" t="s">
        <v>15</v>
      </c>
      <c r="E56" s="3" t="s">
        <v>21</v>
      </c>
      <c r="F56" s="5">
        <v>5</v>
      </c>
      <c r="G56" s="6">
        <v>10.09</v>
      </c>
      <c r="H56" s="6">
        <v>50.45</v>
      </c>
      <c r="I56" s="6">
        <v>0</v>
      </c>
      <c r="J56" s="6">
        <v>50.45</v>
      </c>
      <c r="K56" s="5">
        <v>434</v>
      </c>
      <c r="L56" s="13" t="str">
        <f t="shared" si="0"/>
        <v>No Discount</v>
      </c>
      <c r="M56" s="13" t="str">
        <f t="shared" si="1"/>
        <v>Gold</v>
      </c>
      <c r="N56" s="13"/>
    </row>
    <row r="57" spans="1:14" x14ac:dyDescent="0.3">
      <c r="A57" s="3">
        <v>8517</v>
      </c>
      <c r="B57" s="3" t="s">
        <v>30</v>
      </c>
      <c r="C57" s="4">
        <v>45255</v>
      </c>
      <c r="D57" s="3" t="s">
        <v>38</v>
      </c>
      <c r="E57" s="3" t="s">
        <v>37</v>
      </c>
      <c r="F57" s="5">
        <v>4</v>
      </c>
      <c r="G57" s="6">
        <v>10.45</v>
      </c>
      <c r="H57" s="6">
        <v>41.8</v>
      </c>
      <c r="I57" s="6">
        <v>1.51</v>
      </c>
      <c r="J57" s="6">
        <v>40.29</v>
      </c>
      <c r="K57" s="5">
        <v>356</v>
      </c>
      <c r="L57" s="13" t="str">
        <f t="shared" si="0"/>
        <v>Discount Applied</v>
      </c>
      <c r="M57" s="13" t="str">
        <f t="shared" si="1"/>
        <v>Silver</v>
      </c>
      <c r="N57" s="13"/>
    </row>
    <row r="58" spans="1:14" x14ac:dyDescent="0.3">
      <c r="A58" s="3">
        <v>5339</v>
      </c>
      <c r="B58" s="3" t="s">
        <v>24</v>
      </c>
      <c r="C58" s="4">
        <v>45253</v>
      </c>
      <c r="D58" s="3" t="s">
        <v>27</v>
      </c>
      <c r="E58" s="3" t="s">
        <v>32</v>
      </c>
      <c r="F58" s="5">
        <v>2</v>
      </c>
      <c r="G58" s="6">
        <v>18.84</v>
      </c>
      <c r="H58" s="6">
        <v>37.68</v>
      </c>
      <c r="I58" s="6">
        <v>4.33</v>
      </c>
      <c r="J58" s="6">
        <v>33.35</v>
      </c>
      <c r="K58" s="5">
        <v>154</v>
      </c>
      <c r="L58" s="13" t="str">
        <f t="shared" si="0"/>
        <v>Discount Applied</v>
      </c>
      <c r="M58" s="13" t="str">
        <f t="shared" si="1"/>
        <v>Silver</v>
      </c>
      <c r="N58" s="13"/>
    </row>
    <row r="59" spans="1:14" x14ac:dyDescent="0.3">
      <c r="A59" s="3">
        <v>5040</v>
      </c>
      <c r="B59" s="3" t="s">
        <v>30</v>
      </c>
      <c r="C59" s="4">
        <v>45723</v>
      </c>
      <c r="D59" s="3" t="s">
        <v>35</v>
      </c>
      <c r="E59" s="3" t="s">
        <v>44</v>
      </c>
      <c r="F59" s="5">
        <v>4</v>
      </c>
      <c r="G59" s="6">
        <v>23.78</v>
      </c>
      <c r="H59" s="6">
        <v>95.12</v>
      </c>
      <c r="I59" s="6">
        <v>9.51</v>
      </c>
      <c r="J59" s="6">
        <v>85.61</v>
      </c>
      <c r="K59" s="5">
        <v>310</v>
      </c>
      <c r="L59" s="13" t="str">
        <f t="shared" si="0"/>
        <v>Discount Applied</v>
      </c>
      <c r="M59" s="13" t="str">
        <f t="shared" si="1"/>
        <v>Platinum</v>
      </c>
      <c r="N59" s="13"/>
    </row>
    <row r="60" spans="1:14" x14ac:dyDescent="0.3">
      <c r="A60" s="3">
        <v>9830</v>
      </c>
      <c r="B60" s="3" t="s">
        <v>26</v>
      </c>
      <c r="C60" s="4">
        <v>45349</v>
      </c>
      <c r="D60" s="3" t="s">
        <v>45</v>
      </c>
      <c r="E60" s="3" t="s">
        <v>44</v>
      </c>
      <c r="F60" s="5">
        <v>5</v>
      </c>
      <c r="G60" s="6">
        <v>14.71</v>
      </c>
      <c r="H60" s="6">
        <v>73.55</v>
      </c>
      <c r="I60" s="6">
        <v>0</v>
      </c>
      <c r="J60" s="6">
        <v>73.55</v>
      </c>
      <c r="K60" s="5">
        <v>461</v>
      </c>
      <c r="L60" s="13" t="str">
        <f t="shared" si="0"/>
        <v>No Discount</v>
      </c>
      <c r="M60" s="13" t="str">
        <f t="shared" si="1"/>
        <v>Platinum</v>
      </c>
      <c r="N60" s="13"/>
    </row>
    <row r="61" spans="1:14" x14ac:dyDescent="0.3">
      <c r="A61" s="3">
        <v>8019</v>
      </c>
      <c r="B61" s="3" t="s">
        <v>11</v>
      </c>
      <c r="C61" s="4">
        <v>45842</v>
      </c>
      <c r="D61" s="3" t="s">
        <v>35</v>
      </c>
      <c r="E61" s="3" t="s">
        <v>46</v>
      </c>
      <c r="F61" s="5">
        <v>5</v>
      </c>
      <c r="G61" s="6">
        <v>10.71</v>
      </c>
      <c r="H61" s="6">
        <v>53.55</v>
      </c>
      <c r="I61" s="6">
        <v>0</v>
      </c>
      <c r="J61" s="6">
        <v>53.55</v>
      </c>
      <c r="K61" s="5">
        <v>419</v>
      </c>
      <c r="L61" s="13" t="str">
        <f t="shared" si="0"/>
        <v>No Discount</v>
      </c>
      <c r="M61" s="13" t="str">
        <f t="shared" si="1"/>
        <v>Gold</v>
      </c>
      <c r="N61" s="13"/>
    </row>
    <row r="62" spans="1:14" x14ac:dyDescent="0.3">
      <c r="A62" s="3">
        <v>7543</v>
      </c>
      <c r="B62" s="3" t="s">
        <v>30</v>
      </c>
      <c r="C62" s="4">
        <v>45426</v>
      </c>
      <c r="D62" s="3" t="s">
        <v>17</v>
      </c>
      <c r="E62" s="3" t="s">
        <v>44</v>
      </c>
      <c r="F62" s="5">
        <v>2</v>
      </c>
      <c r="G62" s="6">
        <v>1.7</v>
      </c>
      <c r="H62" s="6">
        <v>3.4</v>
      </c>
      <c r="I62" s="6">
        <v>4.4000000000000004</v>
      </c>
      <c r="J62" s="6">
        <v>-1</v>
      </c>
      <c r="K62" s="5">
        <v>125</v>
      </c>
      <c r="L62" s="13" t="str">
        <f t="shared" si="0"/>
        <v>Discount Applied</v>
      </c>
      <c r="M62" s="13" t="str">
        <f t="shared" si="1"/>
        <v>Bronze</v>
      </c>
      <c r="N62" s="13"/>
    </row>
    <row r="63" spans="1:14" x14ac:dyDescent="0.3">
      <c r="A63" s="3">
        <v>4593</v>
      </c>
      <c r="B63" s="3" t="s">
        <v>11</v>
      </c>
      <c r="C63" s="4">
        <v>45252</v>
      </c>
      <c r="D63" s="3" t="s">
        <v>45</v>
      </c>
      <c r="E63" s="3" t="s">
        <v>16</v>
      </c>
      <c r="F63" s="5">
        <v>5</v>
      </c>
      <c r="G63" s="6">
        <v>6.63</v>
      </c>
      <c r="H63" s="6">
        <v>33.15</v>
      </c>
      <c r="I63" s="6">
        <v>3.31</v>
      </c>
      <c r="J63" s="6">
        <v>29.84</v>
      </c>
      <c r="K63" s="5">
        <v>356</v>
      </c>
      <c r="L63" s="13" t="str">
        <f t="shared" si="0"/>
        <v>Discount Applied</v>
      </c>
      <c r="M63" s="13" t="str">
        <f t="shared" si="1"/>
        <v>Silver</v>
      </c>
      <c r="N63" s="13"/>
    </row>
    <row r="64" spans="1:14" x14ac:dyDescent="0.3">
      <c r="A64" s="3">
        <v>9348</v>
      </c>
      <c r="B64" s="3" t="s">
        <v>24</v>
      </c>
      <c r="C64" s="4">
        <v>45528</v>
      </c>
      <c r="D64" s="3" t="s">
        <v>17</v>
      </c>
      <c r="E64" s="3" t="s">
        <v>41</v>
      </c>
      <c r="F64" s="5">
        <v>1</v>
      </c>
      <c r="G64" s="6">
        <v>26.88</v>
      </c>
      <c r="H64" s="6">
        <v>26.88</v>
      </c>
      <c r="I64" s="6">
        <v>2.69</v>
      </c>
      <c r="J64" s="6">
        <v>24.19</v>
      </c>
      <c r="K64" s="5">
        <v>440</v>
      </c>
      <c r="L64" s="13" t="str">
        <f t="shared" si="0"/>
        <v>Discount Applied</v>
      </c>
      <c r="M64" s="13" t="str">
        <f t="shared" si="1"/>
        <v>Silver</v>
      </c>
      <c r="N64" s="13"/>
    </row>
    <row r="65" spans="1:14" x14ac:dyDescent="0.3">
      <c r="A65" s="3">
        <v>2489</v>
      </c>
      <c r="B65" s="3" t="s">
        <v>42</v>
      </c>
      <c r="C65" s="4">
        <v>45732</v>
      </c>
      <c r="D65" s="3" t="s">
        <v>34</v>
      </c>
      <c r="E65" s="3" t="s">
        <v>46</v>
      </c>
      <c r="F65" s="5">
        <v>4</v>
      </c>
      <c r="G65" s="6">
        <v>2.4500000000000002</v>
      </c>
      <c r="H65" s="6">
        <v>9.8000000000000007</v>
      </c>
      <c r="I65" s="6">
        <v>0.98</v>
      </c>
      <c r="J65" s="6">
        <v>8.82</v>
      </c>
      <c r="K65" s="5">
        <v>127</v>
      </c>
      <c r="L65" s="13" t="str">
        <f t="shared" si="0"/>
        <v>Discount Applied</v>
      </c>
      <c r="M65" s="13" t="str">
        <f t="shared" si="1"/>
        <v>Bronze</v>
      </c>
      <c r="N65" s="13"/>
    </row>
    <row r="66" spans="1:14" x14ac:dyDescent="0.3">
      <c r="A66" s="3">
        <v>1771</v>
      </c>
      <c r="B66" s="3" t="s">
        <v>19</v>
      </c>
      <c r="C66" s="4">
        <v>45813</v>
      </c>
      <c r="D66" s="3" t="s">
        <v>45</v>
      </c>
      <c r="E66" s="3" t="s">
        <v>46</v>
      </c>
      <c r="F66" s="5">
        <v>5</v>
      </c>
      <c r="G66" s="6">
        <v>18.260000000000002</v>
      </c>
      <c r="H66" s="6">
        <v>91.3</v>
      </c>
      <c r="I66" s="6">
        <v>4.26</v>
      </c>
      <c r="J66" s="6">
        <v>87.04</v>
      </c>
      <c r="K66" s="5">
        <v>486</v>
      </c>
      <c r="L66" s="13" t="str">
        <f t="shared" si="0"/>
        <v>Discount Applied</v>
      </c>
      <c r="M66" s="13" t="str">
        <f t="shared" si="1"/>
        <v>Platinum</v>
      </c>
      <c r="N66" s="13"/>
    </row>
    <row r="67" spans="1:14" x14ac:dyDescent="0.3">
      <c r="A67" s="3">
        <v>2796</v>
      </c>
      <c r="B67" s="3" t="s">
        <v>14</v>
      </c>
      <c r="C67" s="4">
        <v>45263</v>
      </c>
      <c r="D67" s="3" t="s">
        <v>20</v>
      </c>
      <c r="E67" s="3" t="s">
        <v>18</v>
      </c>
      <c r="F67" s="5">
        <v>4</v>
      </c>
      <c r="G67" s="6">
        <v>27.01</v>
      </c>
      <c r="H67" s="6">
        <v>108.04</v>
      </c>
      <c r="I67" s="6">
        <v>10.8</v>
      </c>
      <c r="J67" s="6">
        <v>97.24</v>
      </c>
      <c r="K67" s="5">
        <v>380</v>
      </c>
      <c r="L67" s="13" t="str">
        <f t="shared" ref="L67:L130" si="2">IF(I67&gt;0,"Discount Applied","No Discount")</f>
        <v>Discount Applied</v>
      </c>
      <c r="M67" s="13" t="str">
        <f t="shared" ref="M67:M130" si="3">IF(J67 &gt;= 70, "Platinum",
   IF(J67 &gt;= 50, "Gold",
      IF(J67 &gt;= 20, "Silver", "Bronze")))</f>
        <v>Platinum</v>
      </c>
      <c r="N67" s="13"/>
    </row>
    <row r="68" spans="1:14" x14ac:dyDescent="0.3">
      <c r="A68" s="3">
        <v>3621</v>
      </c>
      <c r="B68" s="3" t="s">
        <v>30</v>
      </c>
      <c r="C68" s="4">
        <v>45760</v>
      </c>
      <c r="D68" s="3" t="s">
        <v>17</v>
      </c>
      <c r="E68" s="3" t="s">
        <v>13</v>
      </c>
      <c r="F68" s="5">
        <v>5</v>
      </c>
      <c r="G68" s="6">
        <v>15.04</v>
      </c>
      <c r="H68" s="6">
        <v>75.2</v>
      </c>
      <c r="I68" s="6">
        <v>7.52</v>
      </c>
      <c r="J68" s="6">
        <v>67.680000000000007</v>
      </c>
      <c r="K68" s="5">
        <v>122</v>
      </c>
      <c r="L68" s="13" t="str">
        <f t="shared" si="2"/>
        <v>Discount Applied</v>
      </c>
      <c r="M68" s="13" t="str">
        <f t="shared" si="3"/>
        <v>Gold</v>
      </c>
      <c r="N68" s="13"/>
    </row>
    <row r="69" spans="1:14" x14ac:dyDescent="0.3">
      <c r="A69" s="3">
        <v>7916</v>
      </c>
      <c r="B69" s="3" t="s">
        <v>11</v>
      </c>
      <c r="C69" s="4">
        <v>45608</v>
      </c>
      <c r="D69" s="3" t="s">
        <v>35</v>
      </c>
      <c r="E69" s="3" t="s">
        <v>25</v>
      </c>
      <c r="F69" s="5">
        <v>3</v>
      </c>
      <c r="G69" s="6">
        <v>10.73</v>
      </c>
      <c r="H69" s="6">
        <v>32.19</v>
      </c>
      <c r="I69" s="6">
        <v>6.44</v>
      </c>
      <c r="J69" s="6">
        <v>25.75</v>
      </c>
      <c r="K69" s="5">
        <v>457</v>
      </c>
      <c r="L69" s="13" t="str">
        <f t="shared" si="2"/>
        <v>Discount Applied</v>
      </c>
      <c r="M69" s="13" t="str">
        <f t="shared" si="3"/>
        <v>Silver</v>
      </c>
      <c r="N69" s="13"/>
    </row>
    <row r="70" spans="1:14" x14ac:dyDescent="0.3">
      <c r="A70" s="3">
        <v>2040</v>
      </c>
      <c r="B70" s="3" t="s">
        <v>19</v>
      </c>
      <c r="C70" s="4">
        <v>45443</v>
      </c>
      <c r="D70" s="3" t="s">
        <v>17</v>
      </c>
      <c r="E70" s="3" t="s">
        <v>32</v>
      </c>
      <c r="F70" s="5">
        <v>2</v>
      </c>
      <c r="G70" s="6">
        <v>21.48</v>
      </c>
      <c r="H70" s="6">
        <v>42.96</v>
      </c>
      <c r="I70" s="6">
        <v>4.3</v>
      </c>
      <c r="J70" s="6">
        <v>38.659999999999997</v>
      </c>
      <c r="K70" s="5">
        <v>32</v>
      </c>
      <c r="L70" s="13" t="str">
        <f t="shared" si="2"/>
        <v>Discount Applied</v>
      </c>
      <c r="M70" s="13" t="str">
        <f t="shared" si="3"/>
        <v>Silver</v>
      </c>
      <c r="N70" s="13"/>
    </row>
    <row r="71" spans="1:14" x14ac:dyDescent="0.3">
      <c r="A71" s="3">
        <v>7252</v>
      </c>
      <c r="B71" s="3" t="s">
        <v>36</v>
      </c>
      <c r="C71" s="4">
        <v>45607</v>
      </c>
      <c r="D71" s="3" t="s">
        <v>38</v>
      </c>
      <c r="E71" s="3" t="s">
        <v>33</v>
      </c>
      <c r="F71" s="5">
        <v>4</v>
      </c>
      <c r="G71" s="6">
        <v>2.8</v>
      </c>
      <c r="H71" s="6">
        <v>11.2</v>
      </c>
      <c r="I71" s="6">
        <v>1.1200000000000001</v>
      </c>
      <c r="J71" s="6">
        <v>10.08</v>
      </c>
      <c r="K71" s="5">
        <v>426</v>
      </c>
      <c r="L71" s="13" t="str">
        <f t="shared" si="2"/>
        <v>Discount Applied</v>
      </c>
      <c r="M71" s="13" t="str">
        <f t="shared" si="3"/>
        <v>Bronze</v>
      </c>
      <c r="N71" s="13"/>
    </row>
    <row r="72" spans="1:14" x14ac:dyDescent="0.3">
      <c r="A72" s="3">
        <v>8668</v>
      </c>
      <c r="B72" s="3" t="s">
        <v>31</v>
      </c>
      <c r="C72" s="4">
        <v>45555</v>
      </c>
      <c r="D72" s="3" t="s">
        <v>28</v>
      </c>
      <c r="E72" s="3" t="s">
        <v>32</v>
      </c>
      <c r="F72" s="5">
        <v>4</v>
      </c>
      <c r="G72" s="6">
        <v>1.1599999999999999</v>
      </c>
      <c r="H72" s="6">
        <v>4.6399999999999997</v>
      </c>
      <c r="I72" s="6">
        <v>0.46</v>
      </c>
      <c r="J72" s="6">
        <v>4.18</v>
      </c>
      <c r="K72" s="5">
        <v>180</v>
      </c>
      <c r="L72" s="13" t="str">
        <f t="shared" si="2"/>
        <v>Discount Applied</v>
      </c>
      <c r="M72" s="13" t="str">
        <f t="shared" si="3"/>
        <v>Bronze</v>
      </c>
      <c r="N72" s="13"/>
    </row>
    <row r="73" spans="1:14" x14ac:dyDescent="0.3">
      <c r="A73" s="3">
        <v>5119</v>
      </c>
      <c r="B73" s="3" t="s">
        <v>24</v>
      </c>
      <c r="C73" s="4">
        <v>45574</v>
      </c>
      <c r="D73" s="3" t="s">
        <v>38</v>
      </c>
      <c r="E73" s="3" t="s">
        <v>18</v>
      </c>
      <c r="F73" s="5">
        <v>5</v>
      </c>
      <c r="G73" s="6">
        <v>27.03</v>
      </c>
      <c r="H73" s="6">
        <v>135.15</v>
      </c>
      <c r="I73" s="6">
        <v>20.27</v>
      </c>
      <c r="J73" s="6">
        <v>114.88</v>
      </c>
      <c r="K73" s="5">
        <v>249</v>
      </c>
      <c r="L73" s="13" t="str">
        <f t="shared" si="2"/>
        <v>Discount Applied</v>
      </c>
      <c r="M73" s="13" t="str">
        <f t="shared" si="3"/>
        <v>Platinum</v>
      </c>
      <c r="N73" s="13"/>
    </row>
    <row r="74" spans="1:14" x14ac:dyDescent="0.3">
      <c r="A74" s="3">
        <v>1188</v>
      </c>
      <c r="B74" s="3" t="s">
        <v>24</v>
      </c>
      <c r="C74" s="4">
        <v>45673</v>
      </c>
      <c r="D74" s="3" t="s">
        <v>45</v>
      </c>
      <c r="E74" s="3" t="s">
        <v>39</v>
      </c>
      <c r="F74" s="5">
        <v>4</v>
      </c>
      <c r="G74" s="6">
        <v>10.74</v>
      </c>
      <c r="H74" s="6">
        <v>42.96</v>
      </c>
      <c r="I74" s="6">
        <v>0</v>
      </c>
      <c r="J74" s="6">
        <v>42.96</v>
      </c>
      <c r="K74" s="5">
        <v>347</v>
      </c>
      <c r="L74" s="13" t="str">
        <f t="shared" si="2"/>
        <v>No Discount</v>
      </c>
      <c r="M74" s="13" t="str">
        <f t="shared" si="3"/>
        <v>Silver</v>
      </c>
      <c r="N74" s="13"/>
    </row>
    <row r="75" spans="1:14" x14ac:dyDescent="0.3">
      <c r="A75" s="3">
        <v>2876</v>
      </c>
      <c r="B75" s="3" t="s">
        <v>19</v>
      </c>
      <c r="C75" s="4">
        <v>45674</v>
      </c>
      <c r="D75" s="3" t="s">
        <v>45</v>
      </c>
      <c r="E75" s="3" t="s">
        <v>41</v>
      </c>
      <c r="F75" s="5">
        <v>5</v>
      </c>
      <c r="G75" s="6">
        <v>16.48</v>
      </c>
      <c r="H75" s="6">
        <v>82.4</v>
      </c>
      <c r="I75" s="6">
        <v>3.26</v>
      </c>
      <c r="J75" s="6">
        <v>79.14</v>
      </c>
      <c r="K75" s="5">
        <v>464</v>
      </c>
      <c r="L75" s="13" t="str">
        <f t="shared" si="2"/>
        <v>Discount Applied</v>
      </c>
      <c r="M75" s="13" t="str">
        <f t="shared" si="3"/>
        <v>Platinum</v>
      </c>
      <c r="N75" s="13"/>
    </row>
    <row r="76" spans="1:14" x14ac:dyDescent="0.3">
      <c r="A76" s="3">
        <v>9797</v>
      </c>
      <c r="B76" s="3" t="s">
        <v>31</v>
      </c>
      <c r="C76" s="4">
        <v>45728</v>
      </c>
      <c r="D76" s="3" t="s">
        <v>15</v>
      </c>
      <c r="E76" s="3" t="s">
        <v>16</v>
      </c>
      <c r="F76" s="5">
        <v>2</v>
      </c>
      <c r="G76" s="6">
        <v>26.13</v>
      </c>
      <c r="H76" s="6">
        <v>52.26</v>
      </c>
      <c r="I76" s="6">
        <v>7.84</v>
      </c>
      <c r="J76" s="6">
        <v>44.42</v>
      </c>
      <c r="K76" s="5">
        <v>93</v>
      </c>
      <c r="L76" s="13" t="str">
        <f t="shared" si="2"/>
        <v>Discount Applied</v>
      </c>
      <c r="M76" s="13" t="str">
        <f t="shared" si="3"/>
        <v>Silver</v>
      </c>
      <c r="N76" s="13"/>
    </row>
    <row r="77" spans="1:14" x14ac:dyDescent="0.3">
      <c r="A77" s="3">
        <v>5371</v>
      </c>
      <c r="B77" s="3" t="s">
        <v>24</v>
      </c>
      <c r="C77" s="4">
        <v>45741</v>
      </c>
      <c r="D77" s="3" t="s">
        <v>22</v>
      </c>
      <c r="E77" s="3" t="s">
        <v>44</v>
      </c>
      <c r="F77" s="5">
        <v>4</v>
      </c>
      <c r="G77" s="6">
        <v>10.47</v>
      </c>
      <c r="H77" s="6">
        <v>41.88</v>
      </c>
      <c r="I77" s="6">
        <v>6.28</v>
      </c>
      <c r="J77" s="6">
        <v>35.6</v>
      </c>
      <c r="K77" s="5">
        <v>389</v>
      </c>
      <c r="L77" s="13" t="str">
        <f t="shared" si="2"/>
        <v>Discount Applied</v>
      </c>
      <c r="M77" s="13" t="str">
        <f t="shared" si="3"/>
        <v>Silver</v>
      </c>
      <c r="N77" s="13"/>
    </row>
    <row r="78" spans="1:14" x14ac:dyDescent="0.3">
      <c r="A78" s="3">
        <v>6573</v>
      </c>
      <c r="B78" s="3" t="s">
        <v>24</v>
      </c>
      <c r="C78" s="4">
        <v>45231</v>
      </c>
      <c r="D78" s="3" t="s">
        <v>35</v>
      </c>
      <c r="E78" s="3" t="s">
        <v>43</v>
      </c>
      <c r="F78" s="5">
        <v>4</v>
      </c>
      <c r="G78" s="6">
        <v>1.55</v>
      </c>
      <c r="H78" s="6">
        <v>6.2</v>
      </c>
      <c r="I78" s="6">
        <v>0.93</v>
      </c>
      <c r="J78" s="6">
        <v>5.27</v>
      </c>
      <c r="K78" s="5">
        <v>276</v>
      </c>
      <c r="L78" s="13" t="str">
        <f t="shared" si="2"/>
        <v>Discount Applied</v>
      </c>
      <c r="M78" s="13" t="str">
        <f t="shared" si="3"/>
        <v>Bronze</v>
      </c>
      <c r="N78" s="13"/>
    </row>
    <row r="79" spans="1:14" x14ac:dyDescent="0.3">
      <c r="A79" s="3">
        <v>5808</v>
      </c>
      <c r="B79" s="3" t="s">
        <v>42</v>
      </c>
      <c r="C79" s="4">
        <v>45482</v>
      </c>
      <c r="D79" s="3" t="s">
        <v>27</v>
      </c>
      <c r="E79" s="3" t="s">
        <v>43</v>
      </c>
      <c r="F79" s="5">
        <v>1</v>
      </c>
      <c r="G79" s="6">
        <v>22.86</v>
      </c>
      <c r="H79" s="6">
        <v>22.86</v>
      </c>
      <c r="I79" s="6">
        <v>4.57</v>
      </c>
      <c r="J79" s="6">
        <v>18.29</v>
      </c>
      <c r="K79" s="5">
        <v>486</v>
      </c>
      <c r="L79" s="13" t="str">
        <f t="shared" si="2"/>
        <v>Discount Applied</v>
      </c>
      <c r="M79" s="13" t="str">
        <f t="shared" si="3"/>
        <v>Bronze</v>
      </c>
      <c r="N79" s="13"/>
    </row>
    <row r="80" spans="1:14" x14ac:dyDescent="0.3">
      <c r="A80" s="3">
        <v>3591</v>
      </c>
      <c r="B80" s="3" t="s">
        <v>31</v>
      </c>
      <c r="C80" s="4">
        <v>45497</v>
      </c>
      <c r="D80" s="3" t="s">
        <v>28</v>
      </c>
      <c r="E80" s="3" t="s">
        <v>41</v>
      </c>
      <c r="F80" s="5">
        <v>2</v>
      </c>
      <c r="G80" s="6">
        <v>4.6500000000000004</v>
      </c>
      <c r="H80" s="6">
        <v>9.3000000000000007</v>
      </c>
      <c r="I80" s="6">
        <v>4.79</v>
      </c>
      <c r="J80" s="6">
        <v>4.51</v>
      </c>
      <c r="K80" s="5">
        <v>342</v>
      </c>
      <c r="L80" s="13" t="str">
        <f t="shared" si="2"/>
        <v>Discount Applied</v>
      </c>
      <c r="M80" s="13" t="str">
        <f t="shared" si="3"/>
        <v>Bronze</v>
      </c>
      <c r="N80" s="13"/>
    </row>
    <row r="81" spans="1:14" x14ac:dyDescent="0.3">
      <c r="A81" s="3">
        <v>1053</v>
      </c>
      <c r="B81" s="3" t="s">
        <v>26</v>
      </c>
      <c r="C81" s="4">
        <v>45705</v>
      </c>
      <c r="D81" s="3" t="s">
        <v>35</v>
      </c>
      <c r="E81" s="3" t="s">
        <v>23</v>
      </c>
      <c r="F81" s="5">
        <v>2</v>
      </c>
      <c r="G81" s="6">
        <v>18.559999999999999</v>
      </c>
      <c r="H81" s="6">
        <v>37.119999999999997</v>
      </c>
      <c r="I81" s="6">
        <v>7.42</v>
      </c>
      <c r="J81" s="6">
        <v>29.7</v>
      </c>
      <c r="K81" s="5">
        <v>493</v>
      </c>
      <c r="L81" s="13" t="str">
        <f t="shared" si="2"/>
        <v>Discount Applied</v>
      </c>
      <c r="M81" s="13" t="str">
        <f t="shared" si="3"/>
        <v>Silver</v>
      </c>
      <c r="N81" s="13"/>
    </row>
    <row r="82" spans="1:14" x14ac:dyDescent="0.3">
      <c r="A82" s="3">
        <v>5315</v>
      </c>
      <c r="B82" s="3" t="s">
        <v>30</v>
      </c>
      <c r="C82" s="4">
        <v>45533</v>
      </c>
      <c r="D82" s="3" t="s">
        <v>15</v>
      </c>
      <c r="E82" s="3" t="s">
        <v>39</v>
      </c>
      <c r="F82" s="5">
        <v>3</v>
      </c>
      <c r="G82" s="6">
        <v>17.690000000000001</v>
      </c>
      <c r="H82" s="6">
        <v>53.07</v>
      </c>
      <c r="I82" s="6">
        <v>5.31</v>
      </c>
      <c r="J82" s="6">
        <v>47.76</v>
      </c>
      <c r="K82" s="5">
        <v>464</v>
      </c>
      <c r="L82" s="13" t="str">
        <f t="shared" si="2"/>
        <v>Discount Applied</v>
      </c>
      <c r="M82" s="13" t="str">
        <f t="shared" si="3"/>
        <v>Silver</v>
      </c>
      <c r="N82" s="13"/>
    </row>
    <row r="83" spans="1:14" x14ac:dyDescent="0.3">
      <c r="A83" s="3">
        <v>3927</v>
      </c>
      <c r="B83" s="3" t="s">
        <v>42</v>
      </c>
      <c r="C83" s="4">
        <v>45539</v>
      </c>
      <c r="D83" s="3" t="s">
        <v>15</v>
      </c>
      <c r="E83" s="3" t="s">
        <v>25</v>
      </c>
      <c r="F83" s="5">
        <v>1</v>
      </c>
      <c r="G83" s="6">
        <v>21.21</v>
      </c>
      <c r="H83" s="6">
        <v>21.21</v>
      </c>
      <c r="I83" s="6">
        <v>4.13</v>
      </c>
      <c r="J83" s="6">
        <v>17.079999999999998</v>
      </c>
      <c r="K83" s="5">
        <v>154</v>
      </c>
      <c r="L83" s="13" t="str">
        <f t="shared" si="2"/>
        <v>Discount Applied</v>
      </c>
      <c r="M83" s="13" t="str">
        <f t="shared" si="3"/>
        <v>Bronze</v>
      </c>
      <c r="N83" s="13"/>
    </row>
    <row r="84" spans="1:14" x14ac:dyDescent="0.3">
      <c r="A84" s="3">
        <v>2743</v>
      </c>
      <c r="B84" s="3" t="s">
        <v>36</v>
      </c>
      <c r="C84" s="4">
        <v>45821</v>
      </c>
      <c r="D84" s="3" t="s">
        <v>38</v>
      </c>
      <c r="E84" s="3" t="s">
        <v>16</v>
      </c>
      <c r="F84" s="5">
        <v>3</v>
      </c>
      <c r="G84" s="6">
        <v>2.99</v>
      </c>
      <c r="H84" s="6">
        <v>8.9700000000000006</v>
      </c>
      <c r="I84" s="6">
        <v>4.4000000000000004</v>
      </c>
      <c r="J84" s="6">
        <v>4.57</v>
      </c>
      <c r="K84" s="5">
        <v>331</v>
      </c>
      <c r="L84" s="13" t="str">
        <f t="shared" si="2"/>
        <v>Discount Applied</v>
      </c>
      <c r="M84" s="13" t="str">
        <f t="shared" si="3"/>
        <v>Bronze</v>
      </c>
      <c r="N84" s="13"/>
    </row>
    <row r="85" spans="1:14" x14ac:dyDescent="0.3">
      <c r="A85" s="3">
        <v>5889</v>
      </c>
      <c r="B85" s="3" t="s">
        <v>26</v>
      </c>
      <c r="C85" s="4">
        <v>45798</v>
      </c>
      <c r="D85" s="3" t="s">
        <v>15</v>
      </c>
      <c r="E85" s="3" t="s">
        <v>16</v>
      </c>
      <c r="F85" s="5">
        <v>3</v>
      </c>
      <c r="G85" s="6">
        <v>19.420000000000002</v>
      </c>
      <c r="H85" s="6">
        <v>58.26</v>
      </c>
      <c r="I85" s="6">
        <v>0</v>
      </c>
      <c r="J85" s="6">
        <v>58.26</v>
      </c>
      <c r="K85" s="5">
        <v>424</v>
      </c>
      <c r="L85" s="13" t="str">
        <f t="shared" si="2"/>
        <v>No Discount</v>
      </c>
      <c r="M85" s="13" t="str">
        <f t="shared" si="3"/>
        <v>Gold</v>
      </c>
      <c r="N85" s="13"/>
    </row>
    <row r="86" spans="1:14" x14ac:dyDescent="0.3">
      <c r="A86" s="3">
        <v>9317</v>
      </c>
      <c r="B86" s="3" t="s">
        <v>19</v>
      </c>
      <c r="C86" s="4">
        <v>45618</v>
      </c>
      <c r="D86" s="3" t="s">
        <v>20</v>
      </c>
      <c r="E86" s="3" t="s">
        <v>29</v>
      </c>
      <c r="F86" s="5">
        <v>5</v>
      </c>
      <c r="G86" s="6">
        <v>28.99</v>
      </c>
      <c r="H86" s="6">
        <v>144.94999999999999</v>
      </c>
      <c r="I86" s="6">
        <v>14.49</v>
      </c>
      <c r="J86" s="6">
        <v>130.46</v>
      </c>
      <c r="K86" s="5">
        <v>138</v>
      </c>
      <c r="L86" s="13" t="str">
        <f t="shared" si="2"/>
        <v>Discount Applied</v>
      </c>
      <c r="M86" s="13" t="str">
        <f t="shared" si="3"/>
        <v>Platinum</v>
      </c>
      <c r="N86" s="13"/>
    </row>
    <row r="87" spans="1:14" x14ac:dyDescent="0.3">
      <c r="A87" s="3">
        <v>4258</v>
      </c>
      <c r="B87" s="3" t="s">
        <v>24</v>
      </c>
      <c r="C87" s="4">
        <v>45263</v>
      </c>
      <c r="D87" s="3" t="s">
        <v>28</v>
      </c>
      <c r="E87" s="3" t="s">
        <v>13</v>
      </c>
      <c r="F87" s="5">
        <v>3</v>
      </c>
      <c r="G87" s="6">
        <v>25.69</v>
      </c>
      <c r="H87" s="6">
        <v>77.069999999999993</v>
      </c>
      <c r="I87" s="6">
        <v>11.56</v>
      </c>
      <c r="J87" s="6">
        <v>65.510000000000005</v>
      </c>
      <c r="K87" s="5">
        <v>425</v>
      </c>
      <c r="L87" s="13" t="str">
        <f t="shared" si="2"/>
        <v>Discount Applied</v>
      </c>
      <c r="M87" s="13" t="str">
        <f t="shared" si="3"/>
        <v>Gold</v>
      </c>
      <c r="N87" s="13"/>
    </row>
    <row r="88" spans="1:14" x14ac:dyDescent="0.3">
      <c r="A88" s="3">
        <v>7126</v>
      </c>
      <c r="B88" s="3" t="s">
        <v>26</v>
      </c>
      <c r="C88" s="4">
        <v>45737</v>
      </c>
      <c r="D88" s="3" t="s">
        <v>17</v>
      </c>
      <c r="E88" s="3" t="s">
        <v>33</v>
      </c>
      <c r="F88" s="5">
        <v>5</v>
      </c>
      <c r="G88" s="6">
        <v>18.690000000000001</v>
      </c>
      <c r="H88" s="6">
        <v>93.45</v>
      </c>
      <c r="I88" s="6">
        <v>2.98</v>
      </c>
      <c r="J88" s="6">
        <v>90.47</v>
      </c>
      <c r="K88" s="5">
        <v>194</v>
      </c>
      <c r="L88" s="13" t="str">
        <f t="shared" si="2"/>
        <v>Discount Applied</v>
      </c>
      <c r="M88" s="13" t="str">
        <f t="shared" si="3"/>
        <v>Platinum</v>
      </c>
      <c r="N88" s="13"/>
    </row>
    <row r="89" spans="1:14" x14ac:dyDescent="0.3">
      <c r="A89" s="3">
        <v>3646</v>
      </c>
      <c r="B89" s="3" t="s">
        <v>36</v>
      </c>
      <c r="C89" s="4">
        <v>45563</v>
      </c>
      <c r="D89" s="3" t="s">
        <v>34</v>
      </c>
      <c r="E89" s="3" t="s">
        <v>47</v>
      </c>
      <c r="F89" s="5">
        <v>2</v>
      </c>
      <c r="G89" s="6">
        <v>11.28</v>
      </c>
      <c r="H89" s="6">
        <v>22.56</v>
      </c>
      <c r="I89" s="6">
        <v>3.38</v>
      </c>
      <c r="J89" s="6">
        <v>19.18</v>
      </c>
      <c r="K89" s="5">
        <v>132</v>
      </c>
      <c r="L89" s="13" t="str">
        <f t="shared" si="2"/>
        <v>Discount Applied</v>
      </c>
      <c r="M89" s="13" t="str">
        <f t="shared" si="3"/>
        <v>Bronze</v>
      </c>
      <c r="N89" s="13"/>
    </row>
    <row r="90" spans="1:14" x14ac:dyDescent="0.3">
      <c r="A90" s="3">
        <v>9689</v>
      </c>
      <c r="B90" s="3" t="s">
        <v>30</v>
      </c>
      <c r="C90" s="4">
        <v>45858</v>
      </c>
      <c r="D90" s="3" t="s">
        <v>38</v>
      </c>
      <c r="E90" s="3" t="s">
        <v>39</v>
      </c>
      <c r="F90" s="5">
        <v>5</v>
      </c>
      <c r="G90" s="6">
        <v>28.48</v>
      </c>
      <c r="H90" s="6">
        <v>142.4</v>
      </c>
      <c r="I90" s="6">
        <v>0</v>
      </c>
      <c r="J90" s="6">
        <v>142.4</v>
      </c>
      <c r="K90" s="5">
        <v>43</v>
      </c>
      <c r="L90" s="13" t="str">
        <f t="shared" si="2"/>
        <v>No Discount</v>
      </c>
      <c r="M90" s="13" t="str">
        <f t="shared" si="3"/>
        <v>Platinum</v>
      </c>
      <c r="N90" s="13"/>
    </row>
    <row r="91" spans="1:14" x14ac:dyDescent="0.3">
      <c r="A91" s="3">
        <v>1009</v>
      </c>
      <c r="B91" s="3" t="s">
        <v>24</v>
      </c>
      <c r="C91" s="4">
        <v>45610</v>
      </c>
      <c r="D91" s="3" t="s">
        <v>45</v>
      </c>
      <c r="E91" s="3" t="s">
        <v>18</v>
      </c>
      <c r="F91" s="5">
        <v>2</v>
      </c>
      <c r="G91" s="6">
        <v>21.02</v>
      </c>
      <c r="H91" s="6">
        <v>42.04</v>
      </c>
      <c r="I91" s="6">
        <v>4.2</v>
      </c>
      <c r="J91" s="6">
        <v>37.840000000000003</v>
      </c>
      <c r="K91" s="5">
        <v>330</v>
      </c>
      <c r="L91" s="13" t="str">
        <f t="shared" si="2"/>
        <v>Discount Applied</v>
      </c>
      <c r="M91" s="13" t="str">
        <f t="shared" si="3"/>
        <v>Silver</v>
      </c>
      <c r="N91" s="13"/>
    </row>
    <row r="92" spans="1:14" x14ac:dyDescent="0.3">
      <c r="A92" s="3">
        <v>6310</v>
      </c>
      <c r="B92" s="3" t="s">
        <v>31</v>
      </c>
      <c r="C92" s="4">
        <v>45524</v>
      </c>
      <c r="D92" s="3" t="s">
        <v>15</v>
      </c>
      <c r="E92" s="3" t="s">
        <v>37</v>
      </c>
      <c r="F92" s="5">
        <v>2</v>
      </c>
      <c r="G92" s="6">
        <v>12.72</v>
      </c>
      <c r="H92" s="6">
        <v>25.44</v>
      </c>
      <c r="I92" s="6">
        <v>0</v>
      </c>
      <c r="J92" s="6">
        <v>25.44</v>
      </c>
      <c r="K92" s="5">
        <v>124</v>
      </c>
      <c r="L92" s="13" t="str">
        <f t="shared" si="2"/>
        <v>No Discount</v>
      </c>
      <c r="M92" s="13" t="str">
        <f t="shared" si="3"/>
        <v>Silver</v>
      </c>
      <c r="N92" s="13"/>
    </row>
    <row r="93" spans="1:14" x14ac:dyDescent="0.3">
      <c r="A93" s="3">
        <v>1319</v>
      </c>
      <c r="B93" s="3" t="s">
        <v>36</v>
      </c>
      <c r="C93" s="4">
        <v>45231</v>
      </c>
      <c r="D93" s="3" t="s">
        <v>45</v>
      </c>
      <c r="E93" s="3" t="s">
        <v>18</v>
      </c>
      <c r="F93" s="5">
        <v>5</v>
      </c>
      <c r="G93" s="6">
        <v>10.96</v>
      </c>
      <c r="H93" s="6">
        <v>54.8</v>
      </c>
      <c r="I93" s="6">
        <v>8.2200000000000006</v>
      </c>
      <c r="J93" s="6">
        <v>46.58</v>
      </c>
      <c r="K93" s="5">
        <v>381</v>
      </c>
      <c r="L93" s="13" t="str">
        <f t="shared" si="2"/>
        <v>Discount Applied</v>
      </c>
      <c r="M93" s="13" t="str">
        <f t="shared" si="3"/>
        <v>Silver</v>
      </c>
      <c r="N93" s="13"/>
    </row>
    <row r="94" spans="1:14" x14ac:dyDescent="0.3">
      <c r="A94" s="3">
        <v>6947</v>
      </c>
      <c r="B94" s="3" t="s">
        <v>26</v>
      </c>
      <c r="C94" s="4">
        <v>45827</v>
      </c>
      <c r="D94" s="3" t="s">
        <v>35</v>
      </c>
      <c r="E94" s="3" t="s">
        <v>37</v>
      </c>
      <c r="F94" s="5">
        <v>3</v>
      </c>
      <c r="G94" s="6">
        <v>7.68</v>
      </c>
      <c r="H94" s="6">
        <v>23.04</v>
      </c>
      <c r="I94" s="6">
        <v>3.46</v>
      </c>
      <c r="J94" s="6">
        <v>19.579999999999998</v>
      </c>
      <c r="K94" s="5">
        <v>369</v>
      </c>
      <c r="L94" s="13" t="str">
        <f t="shared" si="2"/>
        <v>Discount Applied</v>
      </c>
      <c r="M94" s="13" t="str">
        <f t="shared" si="3"/>
        <v>Bronze</v>
      </c>
      <c r="N94" s="13"/>
    </row>
    <row r="95" spans="1:14" x14ac:dyDescent="0.3">
      <c r="A95" s="3">
        <v>6038</v>
      </c>
      <c r="B95" s="3" t="s">
        <v>11</v>
      </c>
      <c r="C95" s="4">
        <v>45330</v>
      </c>
      <c r="D95" s="3" t="s">
        <v>38</v>
      </c>
      <c r="E95" s="3" t="s">
        <v>29</v>
      </c>
      <c r="F95" s="5">
        <v>2</v>
      </c>
      <c r="G95" s="6">
        <v>7.27</v>
      </c>
      <c r="H95" s="6">
        <v>14.54</v>
      </c>
      <c r="I95" s="6">
        <v>0</v>
      </c>
      <c r="J95" s="6">
        <v>14.54</v>
      </c>
      <c r="K95" s="5">
        <v>247</v>
      </c>
      <c r="L95" s="13" t="str">
        <f t="shared" si="2"/>
        <v>No Discount</v>
      </c>
      <c r="M95" s="13" t="str">
        <f t="shared" si="3"/>
        <v>Bronze</v>
      </c>
      <c r="N95" s="13"/>
    </row>
    <row r="96" spans="1:14" x14ac:dyDescent="0.3">
      <c r="A96" s="3">
        <v>1949</v>
      </c>
      <c r="B96" s="3" t="s">
        <v>14</v>
      </c>
      <c r="C96" s="4">
        <v>45332</v>
      </c>
      <c r="D96" s="3" t="s">
        <v>28</v>
      </c>
      <c r="E96" s="3" t="s">
        <v>37</v>
      </c>
      <c r="F96" s="5">
        <v>1</v>
      </c>
      <c r="G96" s="6">
        <v>25.14</v>
      </c>
      <c r="H96" s="6">
        <v>25.14</v>
      </c>
      <c r="I96" s="6">
        <v>3.77</v>
      </c>
      <c r="J96" s="6">
        <v>21.37</v>
      </c>
      <c r="K96" s="5">
        <v>151</v>
      </c>
      <c r="L96" s="13" t="str">
        <f t="shared" si="2"/>
        <v>Discount Applied</v>
      </c>
      <c r="M96" s="13" t="str">
        <f t="shared" si="3"/>
        <v>Silver</v>
      </c>
      <c r="N96" s="13"/>
    </row>
    <row r="97" spans="1:14" x14ac:dyDescent="0.3">
      <c r="A97" s="3">
        <v>2290</v>
      </c>
      <c r="B97" s="3" t="s">
        <v>19</v>
      </c>
      <c r="C97" s="4">
        <v>45211</v>
      </c>
      <c r="D97" s="3" t="s">
        <v>35</v>
      </c>
      <c r="E97" s="3" t="s">
        <v>39</v>
      </c>
      <c r="F97" s="5">
        <v>5</v>
      </c>
      <c r="G97" s="6">
        <v>4.66</v>
      </c>
      <c r="H97" s="6">
        <v>23.3</v>
      </c>
      <c r="I97" s="6">
        <v>2.17</v>
      </c>
      <c r="J97" s="6">
        <v>21.13</v>
      </c>
      <c r="K97" s="5">
        <v>23</v>
      </c>
      <c r="L97" s="13" t="str">
        <f t="shared" si="2"/>
        <v>Discount Applied</v>
      </c>
      <c r="M97" s="13" t="str">
        <f t="shared" si="3"/>
        <v>Silver</v>
      </c>
      <c r="N97" s="13"/>
    </row>
    <row r="98" spans="1:14" x14ac:dyDescent="0.3">
      <c r="A98" s="3">
        <v>8962</v>
      </c>
      <c r="B98" s="3" t="s">
        <v>19</v>
      </c>
      <c r="C98" s="4">
        <v>45778</v>
      </c>
      <c r="D98" s="3" t="s">
        <v>27</v>
      </c>
      <c r="E98" s="3" t="s">
        <v>47</v>
      </c>
      <c r="F98" s="5">
        <v>1</v>
      </c>
      <c r="G98" s="6">
        <v>26.3</v>
      </c>
      <c r="H98" s="6">
        <v>26.3</v>
      </c>
      <c r="I98" s="6">
        <v>2.63</v>
      </c>
      <c r="J98" s="6">
        <v>23.67</v>
      </c>
      <c r="K98" s="5">
        <v>293</v>
      </c>
      <c r="L98" s="13" t="str">
        <f t="shared" si="2"/>
        <v>Discount Applied</v>
      </c>
      <c r="M98" s="13" t="str">
        <f t="shared" si="3"/>
        <v>Silver</v>
      </c>
      <c r="N98" s="13"/>
    </row>
    <row r="99" spans="1:14" x14ac:dyDescent="0.3">
      <c r="A99" s="3">
        <v>2133</v>
      </c>
      <c r="B99" s="3" t="s">
        <v>26</v>
      </c>
      <c r="C99" s="4">
        <v>45735</v>
      </c>
      <c r="D99" s="3" t="s">
        <v>45</v>
      </c>
      <c r="E99" s="3" t="s">
        <v>21</v>
      </c>
      <c r="F99" s="5">
        <v>2</v>
      </c>
      <c r="G99" s="6">
        <v>28.99</v>
      </c>
      <c r="H99" s="6">
        <v>57.98</v>
      </c>
      <c r="I99" s="6">
        <v>4.29</v>
      </c>
      <c r="J99" s="6">
        <v>53.69</v>
      </c>
      <c r="K99" s="5">
        <v>129</v>
      </c>
      <c r="L99" s="13" t="str">
        <f t="shared" si="2"/>
        <v>Discount Applied</v>
      </c>
      <c r="M99" s="13" t="str">
        <f t="shared" si="3"/>
        <v>Gold</v>
      </c>
      <c r="N99" s="13"/>
    </row>
    <row r="100" spans="1:14" x14ac:dyDescent="0.3">
      <c r="A100" s="3">
        <v>9727</v>
      </c>
      <c r="B100" s="3" t="s">
        <v>24</v>
      </c>
      <c r="C100" s="4">
        <v>45739</v>
      </c>
      <c r="D100" s="3" t="s">
        <v>45</v>
      </c>
      <c r="E100" s="3" t="s">
        <v>43</v>
      </c>
      <c r="F100" s="5">
        <v>5</v>
      </c>
      <c r="G100" s="6">
        <v>19.239999999999998</v>
      </c>
      <c r="H100" s="6">
        <v>96.2</v>
      </c>
      <c r="I100" s="6">
        <v>19.239999999999998</v>
      </c>
      <c r="J100" s="6">
        <v>76.959999999999994</v>
      </c>
      <c r="K100" s="5">
        <v>27</v>
      </c>
      <c r="L100" s="13" t="str">
        <f t="shared" si="2"/>
        <v>Discount Applied</v>
      </c>
      <c r="M100" s="13" t="str">
        <f t="shared" si="3"/>
        <v>Platinum</v>
      </c>
      <c r="N100" s="13"/>
    </row>
    <row r="101" spans="1:14" x14ac:dyDescent="0.3">
      <c r="A101" s="3">
        <v>3060</v>
      </c>
      <c r="B101" s="3" t="s">
        <v>30</v>
      </c>
      <c r="C101" s="4">
        <v>45244</v>
      </c>
      <c r="D101" s="3" t="s">
        <v>15</v>
      </c>
      <c r="E101" s="3" t="s">
        <v>25</v>
      </c>
      <c r="F101" s="5">
        <v>1</v>
      </c>
      <c r="G101" s="6">
        <v>17.170000000000002</v>
      </c>
      <c r="H101" s="6">
        <v>17.170000000000002</v>
      </c>
      <c r="I101" s="6">
        <v>2.52</v>
      </c>
      <c r="J101" s="6">
        <v>14.65</v>
      </c>
      <c r="K101" s="5">
        <v>213</v>
      </c>
      <c r="L101" s="13" t="str">
        <f t="shared" si="2"/>
        <v>Discount Applied</v>
      </c>
      <c r="M101" s="13" t="str">
        <f t="shared" si="3"/>
        <v>Bronze</v>
      </c>
      <c r="N101" s="13"/>
    </row>
    <row r="102" spans="1:14" x14ac:dyDescent="0.3">
      <c r="A102" s="3">
        <v>8787</v>
      </c>
      <c r="B102" s="3" t="s">
        <v>26</v>
      </c>
      <c r="C102" s="4">
        <v>45572</v>
      </c>
      <c r="D102" s="3" t="s">
        <v>35</v>
      </c>
      <c r="E102" s="3" t="s">
        <v>16</v>
      </c>
      <c r="F102" s="5">
        <v>3</v>
      </c>
      <c r="G102" s="6">
        <v>17.48</v>
      </c>
      <c r="H102" s="6">
        <v>52.44</v>
      </c>
      <c r="I102" s="6">
        <v>10.49</v>
      </c>
      <c r="J102" s="6">
        <v>41.95</v>
      </c>
      <c r="K102" s="5">
        <v>30</v>
      </c>
      <c r="L102" s="13" t="str">
        <f t="shared" si="2"/>
        <v>Discount Applied</v>
      </c>
      <c r="M102" s="13" t="str">
        <f t="shared" si="3"/>
        <v>Silver</v>
      </c>
      <c r="N102" s="13"/>
    </row>
    <row r="103" spans="1:14" x14ac:dyDescent="0.3">
      <c r="A103" s="3">
        <v>3705</v>
      </c>
      <c r="B103" s="3" t="s">
        <v>42</v>
      </c>
      <c r="C103" s="4">
        <v>45350</v>
      </c>
      <c r="D103" s="3" t="s">
        <v>35</v>
      </c>
      <c r="E103" s="3" t="s">
        <v>43</v>
      </c>
      <c r="F103" s="5">
        <v>2</v>
      </c>
      <c r="G103" s="6">
        <v>7.95</v>
      </c>
      <c r="H103" s="6">
        <v>15.9</v>
      </c>
      <c r="I103" s="6">
        <v>3.18</v>
      </c>
      <c r="J103" s="6">
        <v>12.72</v>
      </c>
      <c r="K103" s="5">
        <v>282</v>
      </c>
      <c r="L103" s="13" t="str">
        <f t="shared" si="2"/>
        <v>Discount Applied</v>
      </c>
      <c r="M103" s="13" t="str">
        <f t="shared" si="3"/>
        <v>Bronze</v>
      </c>
      <c r="N103" s="13"/>
    </row>
    <row r="104" spans="1:14" x14ac:dyDescent="0.3">
      <c r="A104" s="3">
        <v>9645</v>
      </c>
      <c r="B104" s="3" t="s">
        <v>31</v>
      </c>
      <c r="C104" s="4">
        <v>45822</v>
      </c>
      <c r="D104" s="3" t="s">
        <v>20</v>
      </c>
      <c r="E104" s="3" t="s">
        <v>33</v>
      </c>
      <c r="F104" s="5">
        <v>5</v>
      </c>
      <c r="G104" s="6">
        <v>14.62</v>
      </c>
      <c r="H104" s="6">
        <v>73.099999999999994</v>
      </c>
      <c r="I104" s="6">
        <v>10.96</v>
      </c>
      <c r="J104" s="6">
        <v>62.14</v>
      </c>
      <c r="K104" s="5">
        <v>16</v>
      </c>
      <c r="L104" s="13" t="str">
        <f t="shared" si="2"/>
        <v>Discount Applied</v>
      </c>
      <c r="M104" s="13" t="str">
        <f t="shared" si="3"/>
        <v>Gold</v>
      </c>
      <c r="N104" s="13"/>
    </row>
    <row r="105" spans="1:14" x14ac:dyDescent="0.3">
      <c r="A105" s="3">
        <v>7932</v>
      </c>
      <c r="B105" s="3" t="s">
        <v>30</v>
      </c>
      <c r="C105" s="4">
        <v>45309</v>
      </c>
      <c r="D105" s="3" t="s">
        <v>45</v>
      </c>
      <c r="E105" s="3" t="s">
        <v>43</v>
      </c>
      <c r="F105" s="5">
        <v>2</v>
      </c>
      <c r="G105" s="6">
        <v>27.78</v>
      </c>
      <c r="H105" s="6">
        <v>55.56</v>
      </c>
      <c r="I105" s="6">
        <v>5.56</v>
      </c>
      <c r="J105" s="6">
        <v>50</v>
      </c>
      <c r="K105" s="5">
        <v>403</v>
      </c>
      <c r="L105" s="13" t="str">
        <f t="shared" si="2"/>
        <v>Discount Applied</v>
      </c>
      <c r="M105" s="13" t="str">
        <f t="shared" si="3"/>
        <v>Gold</v>
      </c>
      <c r="N105" s="13"/>
    </row>
    <row r="106" spans="1:14" x14ac:dyDescent="0.3">
      <c r="A106" s="3">
        <v>9835</v>
      </c>
      <c r="B106" s="3" t="s">
        <v>11</v>
      </c>
      <c r="C106" s="4">
        <v>45731</v>
      </c>
      <c r="D106" s="3" t="s">
        <v>38</v>
      </c>
      <c r="E106" s="3" t="s">
        <v>25</v>
      </c>
      <c r="F106" s="5">
        <v>2</v>
      </c>
      <c r="G106" s="6">
        <v>27.33</v>
      </c>
      <c r="H106" s="6">
        <v>54.66</v>
      </c>
      <c r="I106" s="6">
        <v>1.24</v>
      </c>
      <c r="J106" s="6">
        <v>53.42</v>
      </c>
      <c r="K106" s="5">
        <v>423</v>
      </c>
      <c r="L106" s="13" t="str">
        <f t="shared" si="2"/>
        <v>Discount Applied</v>
      </c>
      <c r="M106" s="13" t="str">
        <f t="shared" si="3"/>
        <v>Gold</v>
      </c>
      <c r="N106" s="13"/>
    </row>
    <row r="107" spans="1:14" x14ac:dyDescent="0.3">
      <c r="A107" s="3">
        <v>4295</v>
      </c>
      <c r="B107" s="3" t="s">
        <v>30</v>
      </c>
      <c r="C107" s="4">
        <v>45698</v>
      </c>
      <c r="D107" s="3" t="s">
        <v>28</v>
      </c>
      <c r="E107" s="3" t="s">
        <v>37</v>
      </c>
      <c r="F107" s="5">
        <v>4</v>
      </c>
      <c r="G107" s="6">
        <v>4.5999999999999996</v>
      </c>
      <c r="H107" s="6">
        <v>18.399999999999999</v>
      </c>
      <c r="I107" s="6">
        <v>0</v>
      </c>
      <c r="J107" s="6">
        <v>18.399999999999999</v>
      </c>
      <c r="K107" s="5">
        <v>352</v>
      </c>
      <c r="L107" s="13" t="str">
        <f t="shared" si="2"/>
        <v>No Discount</v>
      </c>
      <c r="M107" s="13" t="str">
        <f t="shared" si="3"/>
        <v>Bronze</v>
      </c>
      <c r="N107" s="13"/>
    </row>
    <row r="108" spans="1:14" x14ac:dyDescent="0.3">
      <c r="A108" s="3">
        <v>6107</v>
      </c>
      <c r="B108" s="3" t="s">
        <v>24</v>
      </c>
      <c r="C108" s="4">
        <v>45454</v>
      </c>
      <c r="D108" s="3" t="s">
        <v>35</v>
      </c>
      <c r="E108" s="3" t="s">
        <v>46</v>
      </c>
      <c r="F108" s="5">
        <v>5</v>
      </c>
      <c r="G108" s="6">
        <v>15.31</v>
      </c>
      <c r="H108" s="6">
        <v>76.55</v>
      </c>
      <c r="I108" s="6">
        <v>7.66</v>
      </c>
      <c r="J108" s="6">
        <v>68.89</v>
      </c>
      <c r="K108" s="5">
        <v>41</v>
      </c>
      <c r="L108" s="13" t="str">
        <f t="shared" si="2"/>
        <v>Discount Applied</v>
      </c>
      <c r="M108" s="13" t="str">
        <f t="shared" si="3"/>
        <v>Gold</v>
      </c>
      <c r="N108" s="13"/>
    </row>
    <row r="109" spans="1:14" x14ac:dyDescent="0.3">
      <c r="A109" s="3">
        <v>7118</v>
      </c>
      <c r="B109" s="3" t="s">
        <v>36</v>
      </c>
      <c r="C109" s="4">
        <v>45485</v>
      </c>
      <c r="D109" s="3" t="s">
        <v>28</v>
      </c>
      <c r="E109" s="3" t="s">
        <v>13</v>
      </c>
      <c r="F109" s="5">
        <v>1</v>
      </c>
      <c r="G109" s="6">
        <v>3.64</v>
      </c>
      <c r="H109" s="6">
        <v>3.64</v>
      </c>
      <c r="I109" s="6">
        <v>0</v>
      </c>
      <c r="J109" s="6">
        <v>3.64</v>
      </c>
      <c r="K109" s="5">
        <v>492</v>
      </c>
      <c r="L109" s="13" t="str">
        <f t="shared" si="2"/>
        <v>No Discount</v>
      </c>
      <c r="M109" s="13" t="str">
        <f t="shared" si="3"/>
        <v>Bronze</v>
      </c>
      <c r="N109" s="13"/>
    </row>
    <row r="110" spans="1:14" x14ac:dyDescent="0.3">
      <c r="A110" s="3">
        <v>9479</v>
      </c>
      <c r="B110" s="3" t="s">
        <v>30</v>
      </c>
      <c r="C110" s="4">
        <v>45495</v>
      </c>
      <c r="D110" s="3" t="s">
        <v>28</v>
      </c>
      <c r="E110" s="3" t="s">
        <v>40</v>
      </c>
      <c r="F110" s="5">
        <v>2</v>
      </c>
      <c r="G110" s="6">
        <v>14.63</v>
      </c>
      <c r="H110" s="6">
        <v>29.26</v>
      </c>
      <c r="I110" s="6">
        <v>4.3899999999999997</v>
      </c>
      <c r="J110" s="6">
        <v>24.87</v>
      </c>
      <c r="K110" s="5">
        <v>333</v>
      </c>
      <c r="L110" s="13" t="str">
        <f t="shared" si="2"/>
        <v>Discount Applied</v>
      </c>
      <c r="M110" s="13" t="str">
        <f t="shared" si="3"/>
        <v>Silver</v>
      </c>
      <c r="N110" s="13"/>
    </row>
    <row r="111" spans="1:14" x14ac:dyDescent="0.3">
      <c r="A111" s="3">
        <v>2982</v>
      </c>
      <c r="B111" s="3" t="s">
        <v>19</v>
      </c>
      <c r="C111" s="4">
        <v>45337</v>
      </c>
      <c r="D111" s="3" t="s">
        <v>28</v>
      </c>
      <c r="E111" s="3" t="s">
        <v>16</v>
      </c>
      <c r="F111" s="5">
        <v>4</v>
      </c>
      <c r="G111" s="6">
        <v>29.09</v>
      </c>
      <c r="H111" s="6">
        <v>116.36</v>
      </c>
      <c r="I111" s="6">
        <v>11.64</v>
      </c>
      <c r="J111" s="6">
        <v>104.72</v>
      </c>
      <c r="K111" s="5">
        <v>240</v>
      </c>
      <c r="L111" s="13" t="str">
        <f t="shared" si="2"/>
        <v>Discount Applied</v>
      </c>
      <c r="M111" s="13" t="str">
        <f t="shared" si="3"/>
        <v>Platinum</v>
      </c>
      <c r="N111" s="13"/>
    </row>
    <row r="112" spans="1:14" x14ac:dyDescent="0.3">
      <c r="A112" s="3">
        <v>4681</v>
      </c>
      <c r="B112" s="3" t="s">
        <v>36</v>
      </c>
      <c r="C112" s="4">
        <v>45194</v>
      </c>
      <c r="D112" s="3" t="s">
        <v>22</v>
      </c>
      <c r="E112" s="3" t="s">
        <v>48</v>
      </c>
      <c r="F112" s="5">
        <v>2</v>
      </c>
      <c r="G112" s="6">
        <v>10.55</v>
      </c>
      <c r="H112" s="6">
        <v>21.1</v>
      </c>
      <c r="I112" s="6">
        <v>3.17</v>
      </c>
      <c r="J112" s="6">
        <v>17.93</v>
      </c>
      <c r="K112" s="5">
        <v>355</v>
      </c>
      <c r="L112" s="13" t="str">
        <f t="shared" si="2"/>
        <v>Discount Applied</v>
      </c>
      <c r="M112" s="13" t="str">
        <f t="shared" si="3"/>
        <v>Bronze</v>
      </c>
      <c r="N112" s="13"/>
    </row>
    <row r="113" spans="1:14" x14ac:dyDescent="0.3">
      <c r="A113" s="3">
        <v>6539</v>
      </c>
      <c r="B113" s="3" t="s">
        <v>24</v>
      </c>
      <c r="C113" s="4">
        <v>45161</v>
      </c>
      <c r="D113" s="3" t="s">
        <v>38</v>
      </c>
      <c r="E113" s="3" t="s">
        <v>40</v>
      </c>
      <c r="F113" s="5">
        <v>4</v>
      </c>
      <c r="G113" s="6">
        <v>3.54</v>
      </c>
      <c r="H113" s="6">
        <v>14.16</v>
      </c>
      <c r="I113" s="6">
        <v>4.88</v>
      </c>
      <c r="J113" s="6">
        <v>9.2799999999999994</v>
      </c>
      <c r="K113" s="5">
        <v>129</v>
      </c>
      <c r="L113" s="13" t="str">
        <f t="shared" si="2"/>
        <v>Discount Applied</v>
      </c>
      <c r="M113" s="13" t="str">
        <f t="shared" si="3"/>
        <v>Bronze</v>
      </c>
      <c r="N113" s="13"/>
    </row>
    <row r="114" spans="1:14" x14ac:dyDescent="0.3">
      <c r="A114" s="3">
        <v>4770</v>
      </c>
      <c r="B114" s="3" t="s">
        <v>24</v>
      </c>
      <c r="C114" s="4">
        <v>45602</v>
      </c>
      <c r="D114" s="3" t="s">
        <v>38</v>
      </c>
      <c r="E114" s="3" t="s">
        <v>39</v>
      </c>
      <c r="F114" s="5">
        <v>5</v>
      </c>
      <c r="G114" s="6">
        <v>14.39</v>
      </c>
      <c r="H114" s="6">
        <v>71.95</v>
      </c>
      <c r="I114" s="6">
        <v>2.4500000000000002</v>
      </c>
      <c r="J114" s="6">
        <v>69.5</v>
      </c>
      <c r="K114" s="5">
        <v>27</v>
      </c>
      <c r="L114" s="13" t="str">
        <f t="shared" si="2"/>
        <v>Discount Applied</v>
      </c>
      <c r="M114" s="13" t="str">
        <f t="shared" si="3"/>
        <v>Gold</v>
      </c>
      <c r="N114" s="13"/>
    </row>
    <row r="115" spans="1:14" x14ac:dyDescent="0.3">
      <c r="A115" s="3">
        <v>4608</v>
      </c>
      <c r="B115" s="3" t="s">
        <v>26</v>
      </c>
      <c r="C115" s="4">
        <v>45150</v>
      </c>
      <c r="D115" s="3" t="s">
        <v>27</v>
      </c>
      <c r="E115" s="3" t="s">
        <v>33</v>
      </c>
      <c r="F115" s="5">
        <v>1</v>
      </c>
      <c r="G115" s="6">
        <v>6.89</v>
      </c>
      <c r="H115" s="6">
        <v>6.89</v>
      </c>
      <c r="I115" s="6">
        <v>1.03</v>
      </c>
      <c r="J115" s="6">
        <v>5.86</v>
      </c>
      <c r="K115" s="5">
        <v>281</v>
      </c>
      <c r="L115" s="13" t="str">
        <f t="shared" si="2"/>
        <v>Discount Applied</v>
      </c>
      <c r="M115" s="13" t="str">
        <f t="shared" si="3"/>
        <v>Bronze</v>
      </c>
      <c r="N115" s="13"/>
    </row>
    <row r="116" spans="1:14" x14ac:dyDescent="0.3">
      <c r="A116" s="3">
        <v>2163</v>
      </c>
      <c r="B116" s="3" t="s">
        <v>26</v>
      </c>
      <c r="C116" s="4">
        <v>45694</v>
      </c>
      <c r="D116" s="3" t="s">
        <v>45</v>
      </c>
      <c r="E116" s="3" t="s">
        <v>48</v>
      </c>
      <c r="F116" s="5">
        <v>1</v>
      </c>
      <c r="G116" s="6">
        <v>29.21</v>
      </c>
      <c r="H116" s="6">
        <v>29.21</v>
      </c>
      <c r="I116" s="6">
        <v>0</v>
      </c>
      <c r="J116" s="6">
        <v>29.21</v>
      </c>
      <c r="K116" s="5">
        <v>311</v>
      </c>
      <c r="L116" s="13" t="str">
        <f t="shared" si="2"/>
        <v>No Discount</v>
      </c>
      <c r="M116" s="13" t="str">
        <f t="shared" si="3"/>
        <v>Silver</v>
      </c>
      <c r="N116" s="13"/>
    </row>
    <row r="117" spans="1:14" x14ac:dyDescent="0.3">
      <c r="A117" s="3">
        <v>1964</v>
      </c>
      <c r="B117" s="3" t="s">
        <v>19</v>
      </c>
      <c r="C117" s="4">
        <v>45322</v>
      </c>
      <c r="D117" s="3" t="s">
        <v>35</v>
      </c>
      <c r="E117" s="3" t="s">
        <v>18</v>
      </c>
      <c r="F117" s="5">
        <v>1</v>
      </c>
      <c r="G117" s="6">
        <v>17.010000000000002</v>
      </c>
      <c r="H117" s="6">
        <v>17.010000000000002</v>
      </c>
      <c r="I117" s="6">
        <v>2.85</v>
      </c>
      <c r="J117" s="6">
        <v>14.16</v>
      </c>
      <c r="K117" s="5">
        <v>47</v>
      </c>
      <c r="L117" s="13" t="str">
        <f t="shared" si="2"/>
        <v>Discount Applied</v>
      </c>
      <c r="M117" s="13" t="str">
        <f t="shared" si="3"/>
        <v>Bronze</v>
      </c>
      <c r="N117" s="13"/>
    </row>
    <row r="118" spans="1:14" x14ac:dyDescent="0.3">
      <c r="A118" s="3">
        <v>2104</v>
      </c>
      <c r="B118" s="3" t="s">
        <v>11</v>
      </c>
      <c r="C118" s="4">
        <v>45848</v>
      </c>
      <c r="D118" s="3" t="s">
        <v>27</v>
      </c>
      <c r="E118" s="3" t="s">
        <v>41</v>
      </c>
      <c r="F118" s="5">
        <v>4</v>
      </c>
      <c r="G118" s="6">
        <v>28.04</v>
      </c>
      <c r="H118" s="6">
        <v>112.16</v>
      </c>
      <c r="I118" s="6">
        <v>11.22</v>
      </c>
      <c r="J118" s="6">
        <v>100.94</v>
      </c>
      <c r="K118" s="5">
        <v>149</v>
      </c>
      <c r="L118" s="13" t="str">
        <f t="shared" si="2"/>
        <v>Discount Applied</v>
      </c>
      <c r="M118" s="13" t="str">
        <f t="shared" si="3"/>
        <v>Platinum</v>
      </c>
      <c r="N118" s="13"/>
    </row>
    <row r="119" spans="1:14" x14ac:dyDescent="0.3">
      <c r="A119" s="3">
        <v>1514</v>
      </c>
      <c r="B119" s="3" t="s">
        <v>26</v>
      </c>
      <c r="C119" s="4">
        <v>45812</v>
      </c>
      <c r="D119" s="3" t="s">
        <v>45</v>
      </c>
      <c r="E119" s="3" t="s">
        <v>25</v>
      </c>
      <c r="F119" s="5">
        <v>4</v>
      </c>
      <c r="G119" s="6">
        <v>16.98</v>
      </c>
      <c r="H119" s="6">
        <v>67.92</v>
      </c>
      <c r="I119" s="6">
        <v>3.03</v>
      </c>
      <c r="J119" s="6">
        <v>64.89</v>
      </c>
      <c r="K119" s="5">
        <v>196</v>
      </c>
      <c r="L119" s="13" t="str">
        <f t="shared" si="2"/>
        <v>Discount Applied</v>
      </c>
      <c r="M119" s="13" t="str">
        <f t="shared" si="3"/>
        <v>Gold</v>
      </c>
      <c r="N119" s="13"/>
    </row>
    <row r="120" spans="1:14" x14ac:dyDescent="0.3">
      <c r="A120" s="3">
        <v>6413</v>
      </c>
      <c r="B120" s="3" t="s">
        <v>19</v>
      </c>
      <c r="C120" s="4">
        <v>45200</v>
      </c>
      <c r="D120" s="3" t="s">
        <v>15</v>
      </c>
      <c r="E120" s="3" t="s">
        <v>13</v>
      </c>
      <c r="F120" s="5">
        <v>4</v>
      </c>
      <c r="G120" s="6">
        <v>10.85</v>
      </c>
      <c r="H120" s="6">
        <v>43.4</v>
      </c>
      <c r="I120" s="6">
        <v>2.13</v>
      </c>
      <c r="J120" s="6">
        <v>41.27</v>
      </c>
      <c r="K120" s="5">
        <v>403</v>
      </c>
      <c r="L120" s="13" t="str">
        <f t="shared" si="2"/>
        <v>Discount Applied</v>
      </c>
      <c r="M120" s="13" t="str">
        <f t="shared" si="3"/>
        <v>Silver</v>
      </c>
      <c r="N120" s="13"/>
    </row>
    <row r="121" spans="1:14" x14ac:dyDescent="0.3">
      <c r="A121" s="3">
        <v>9423</v>
      </c>
      <c r="B121" s="3" t="s">
        <v>30</v>
      </c>
      <c r="C121" s="4">
        <v>45329</v>
      </c>
      <c r="D121" s="3" t="s">
        <v>28</v>
      </c>
      <c r="E121" s="3" t="s">
        <v>47</v>
      </c>
      <c r="F121" s="5">
        <v>2</v>
      </c>
      <c r="G121" s="6">
        <v>13.94</v>
      </c>
      <c r="H121" s="6">
        <v>27.88</v>
      </c>
      <c r="I121" s="6">
        <v>4.18</v>
      </c>
      <c r="J121" s="6">
        <v>23.7</v>
      </c>
      <c r="K121" s="5">
        <v>247</v>
      </c>
      <c r="L121" s="13" t="str">
        <f t="shared" si="2"/>
        <v>Discount Applied</v>
      </c>
      <c r="M121" s="13" t="str">
        <f t="shared" si="3"/>
        <v>Silver</v>
      </c>
      <c r="N121" s="13"/>
    </row>
    <row r="122" spans="1:14" x14ac:dyDescent="0.3">
      <c r="A122" s="3">
        <v>5562</v>
      </c>
      <c r="B122" s="3" t="s">
        <v>14</v>
      </c>
      <c r="C122" s="4">
        <v>45664</v>
      </c>
      <c r="D122" s="3" t="s">
        <v>38</v>
      </c>
      <c r="E122" s="3" t="s">
        <v>32</v>
      </c>
      <c r="F122" s="5">
        <v>4</v>
      </c>
      <c r="G122" s="6">
        <v>28.04</v>
      </c>
      <c r="H122" s="6">
        <v>112.16</v>
      </c>
      <c r="I122" s="6">
        <v>0</v>
      </c>
      <c r="J122" s="6">
        <v>112.16</v>
      </c>
      <c r="K122" s="5">
        <v>445</v>
      </c>
      <c r="L122" s="13" t="str">
        <f t="shared" si="2"/>
        <v>No Discount</v>
      </c>
      <c r="M122" s="13" t="str">
        <f t="shared" si="3"/>
        <v>Platinum</v>
      </c>
      <c r="N122" s="13"/>
    </row>
    <row r="123" spans="1:14" x14ac:dyDescent="0.3">
      <c r="A123" s="3">
        <v>8953</v>
      </c>
      <c r="B123" s="3" t="s">
        <v>42</v>
      </c>
      <c r="C123" s="4">
        <v>45311</v>
      </c>
      <c r="D123" s="3" t="s">
        <v>28</v>
      </c>
      <c r="E123" s="3" t="s">
        <v>32</v>
      </c>
      <c r="F123" s="5">
        <v>2</v>
      </c>
      <c r="G123" s="6">
        <v>25.81</v>
      </c>
      <c r="H123" s="6">
        <v>51.62</v>
      </c>
      <c r="I123" s="6">
        <v>7.74</v>
      </c>
      <c r="J123" s="6">
        <v>43.88</v>
      </c>
      <c r="K123" s="5">
        <v>210</v>
      </c>
      <c r="L123" s="13" t="str">
        <f t="shared" si="2"/>
        <v>Discount Applied</v>
      </c>
      <c r="M123" s="13" t="str">
        <f t="shared" si="3"/>
        <v>Silver</v>
      </c>
      <c r="N123" s="13"/>
    </row>
    <row r="124" spans="1:14" x14ac:dyDescent="0.3">
      <c r="A124" s="3">
        <v>9834</v>
      </c>
      <c r="B124" s="3" t="s">
        <v>26</v>
      </c>
      <c r="C124" s="4">
        <v>45247</v>
      </c>
      <c r="D124" s="3" t="s">
        <v>20</v>
      </c>
      <c r="E124" s="3" t="s">
        <v>32</v>
      </c>
      <c r="F124" s="5">
        <v>2</v>
      </c>
      <c r="G124" s="6">
        <v>15.35</v>
      </c>
      <c r="H124" s="6">
        <v>30.7</v>
      </c>
      <c r="I124" s="6">
        <v>4.8600000000000003</v>
      </c>
      <c r="J124" s="6">
        <v>25.84</v>
      </c>
      <c r="K124" s="5">
        <v>18</v>
      </c>
      <c r="L124" s="13" t="str">
        <f t="shared" si="2"/>
        <v>Discount Applied</v>
      </c>
      <c r="M124" s="13" t="str">
        <f t="shared" si="3"/>
        <v>Silver</v>
      </c>
      <c r="N124" s="13"/>
    </row>
    <row r="125" spans="1:14" x14ac:dyDescent="0.3">
      <c r="A125" s="3">
        <v>8744</v>
      </c>
      <c r="B125" s="3" t="s">
        <v>36</v>
      </c>
      <c r="C125" s="4">
        <v>45333</v>
      </c>
      <c r="D125" s="3" t="s">
        <v>15</v>
      </c>
      <c r="E125" s="3" t="s">
        <v>33</v>
      </c>
      <c r="F125" s="5">
        <v>1</v>
      </c>
      <c r="G125" s="6">
        <v>16.239999999999998</v>
      </c>
      <c r="H125" s="6">
        <v>16.239999999999998</v>
      </c>
      <c r="I125" s="6">
        <v>0</v>
      </c>
      <c r="J125" s="6">
        <v>16.239999999999998</v>
      </c>
      <c r="K125" s="5">
        <v>233</v>
      </c>
      <c r="L125" s="13" t="str">
        <f t="shared" si="2"/>
        <v>No Discount</v>
      </c>
      <c r="M125" s="13" t="str">
        <f t="shared" si="3"/>
        <v>Bronze</v>
      </c>
      <c r="N125" s="13"/>
    </row>
    <row r="126" spans="1:14" x14ac:dyDescent="0.3">
      <c r="A126" s="3">
        <v>8749</v>
      </c>
      <c r="B126" s="3" t="s">
        <v>19</v>
      </c>
      <c r="C126" s="4">
        <v>45772</v>
      </c>
      <c r="D126" s="3" t="s">
        <v>20</v>
      </c>
      <c r="E126" s="3" t="s">
        <v>41</v>
      </c>
      <c r="F126" s="5">
        <v>1</v>
      </c>
      <c r="G126" s="6">
        <v>14.61</v>
      </c>
      <c r="H126" s="6">
        <v>14.61</v>
      </c>
      <c r="I126" s="6">
        <v>2.19</v>
      </c>
      <c r="J126" s="6">
        <v>12.42</v>
      </c>
      <c r="K126" s="5">
        <v>496</v>
      </c>
      <c r="L126" s="13" t="str">
        <f t="shared" si="2"/>
        <v>Discount Applied</v>
      </c>
      <c r="M126" s="13" t="str">
        <f t="shared" si="3"/>
        <v>Bronze</v>
      </c>
      <c r="N126" s="13"/>
    </row>
    <row r="127" spans="1:14" x14ac:dyDescent="0.3">
      <c r="A127" s="3">
        <v>7669</v>
      </c>
      <c r="B127" s="3" t="s">
        <v>24</v>
      </c>
      <c r="C127" s="4">
        <v>45292</v>
      </c>
      <c r="D127" s="3" t="s">
        <v>27</v>
      </c>
      <c r="E127" s="3" t="s">
        <v>43</v>
      </c>
      <c r="F127" s="5">
        <v>3</v>
      </c>
      <c r="G127" s="6">
        <v>25.71</v>
      </c>
      <c r="H127" s="6">
        <v>77.13</v>
      </c>
      <c r="I127" s="6">
        <v>11.57</v>
      </c>
      <c r="J127" s="6">
        <v>65.56</v>
      </c>
      <c r="K127" s="5">
        <v>439</v>
      </c>
      <c r="L127" s="13" t="str">
        <f t="shared" si="2"/>
        <v>Discount Applied</v>
      </c>
      <c r="M127" s="13" t="str">
        <f t="shared" si="3"/>
        <v>Gold</v>
      </c>
      <c r="N127" s="13"/>
    </row>
    <row r="128" spans="1:14" x14ac:dyDescent="0.3">
      <c r="A128" s="3">
        <v>2545</v>
      </c>
      <c r="B128" s="3" t="s">
        <v>26</v>
      </c>
      <c r="C128" s="4">
        <v>45220</v>
      </c>
      <c r="D128" s="3" t="s">
        <v>38</v>
      </c>
      <c r="E128" s="3" t="s">
        <v>40</v>
      </c>
      <c r="F128" s="5">
        <v>5</v>
      </c>
      <c r="G128" s="6">
        <v>2.97</v>
      </c>
      <c r="H128" s="6">
        <v>14.85</v>
      </c>
      <c r="I128" s="6">
        <v>2.97</v>
      </c>
      <c r="J128" s="6">
        <v>11.88</v>
      </c>
      <c r="K128" s="5">
        <v>323</v>
      </c>
      <c r="L128" s="13" t="str">
        <f t="shared" si="2"/>
        <v>Discount Applied</v>
      </c>
      <c r="M128" s="13" t="str">
        <f t="shared" si="3"/>
        <v>Bronze</v>
      </c>
      <c r="N128" s="13"/>
    </row>
    <row r="129" spans="1:14" x14ac:dyDescent="0.3">
      <c r="A129" s="3">
        <v>8062</v>
      </c>
      <c r="B129" s="3" t="s">
        <v>11</v>
      </c>
      <c r="C129" s="4">
        <v>45420</v>
      </c>
      <c r="D129" s="3" t="s">
        <v>20</v>
      </c>
      <c r="E129" s="3" t="s">
        <v>48</v>
      </c>
      <c r="F129" s="5">
        <v>1</v>
      </c>
      <c r="G129" s="6">
        <v>13.86</v>
      </c>
      <c r="H129" s="6">
        <v>13.86</v>
      </c>
      <c r="I129" s="6">
        <v>1.18</v>
      </c>
      <c r="J129" s="6">
        <v>12.68</v>
      </c>
      <c r="K129" s="5">
        <v>355</v>
      </c>
      <c r="L129" s="13" t="str">
        <f t="shared" si="2"/>
        <v>Discount Applied</v>
      </c>
      <c r="M129" s="13" t="str">
        <f t="shared" si="3"/>
        <v>Bronze</v>
      </c>
      <c r="N129" s="13"/>
    </row>
    <row r="130" spans="1:14" x14ac:dyDescent="0.3">
      <c r="A130" s="3">
        <v>7939</v>
      </c>
      <c r="B130" s="3" t="s">
        <v>31</v>
      </c>
      <c r="C130" s="4">
        <v>45464</v>
      </c>
      <c r="D130" s="3" t="s">
        <v>35</v>
      </c>
      <c r="E130" s="3" t="s">
        <v>23</v>
      </c>
      <c r="F130" s="5">
        <v>3</v>
      </c>
      <c r="G130" s="6">
        <v>13.48</v>
      </c>
      <c r="H130" s="6">
        <v>40.44</v>
      </c>
      <c r="I130" s="6">
        <v>3.73</v>
      </c>
      <c r="J130" s="6">
        <v>36.71</v>
      </c>
      <c r="K130" s="5">
        <v>125</v>
      </c>
      <c r="L130" s="13" t="str">
        <f t="shared" si="2"/>
        <v>Discount Applied</v>
      </c>
      <c r="M130" s="13" t="str">
        <f t="shared" si="3"/>
        <v>Silver</v>
      </c>
      <c r="N130" s="13"/>
    </row>
    <row r="131" spans="1:14" x14ac:dyDescent="0.3">
      <c r="A131" s="3">
        <v>8651</v>
      </c>
      <c r="B131" s="3" t="s">
        <v>19</v>
      </c>
      <c r="C131" s="4">
        <v>45815</v>
      </c>
      <c r="D131" s="3" t="s">
        <v>34</v>
      </c>
      <c r="E131" s="3" t="s">
        <v>29</v>
      </c>
      <c r="F131" s="5">
        <v>1</v>
      </c>
      <c r="G131" s="6">
        <v>18.670000000000002</v>
      </c>
      <c r="H131" s="6">
        <v>18.670000000000002</v>
      </c>
      <c r="I131" s="6">
        <v>1.87</v>
      </c>
      <c r="J131" s="6">
        <v>16.8</v>
      </c>
      <c r="K131" s="5">
        <v>195</v>
      </c>
      <c r="L131" s="13" t="str">
        <f t="shared" ref="L131:L194" si="4">IF(I131&gt;0,"Discount Applied","No Discount")</f>
        <v>Discount Applied</v>
      </c>
      <c r="M131" s="13" t="str">
        <f t="shared" ref="M131:M194" si="5">IF(J131 &gt;= 70, "Platinum",
   IF(J131 &gt;= 50, "Gold",
      IF(J131 &gt;= 20, "Silver", "Bronze")))</f>
        <v>Bronze</v>
      </c>
      <c r="N131" s="13"/>
    </row>
    <row r="132" spans="1:14" x14ac:dyDescent="0.3">
      <c r="A132" s="3">
        <v>1887</v>
      </c>
      <c r="B132" s="3" t="s">
        <v>19</v>
      </c>
      <c r="C132" s="4">
        <v>45668</v>
      </c>
      <c r="D132" s="3" t="s">
        <v>17</v>
      </c>
      <c r="E132" s="3" t="s">
        <v>33</v>
      </c>
      <c r="F132" s="5">
        <v>3</v>
      </c>
      <c r="G132" s="6">
        <v>14.32</v>
      </c>
      <c r="H132" s="6">
        <v>42.96</v>
      </c>
      <c r="I132" s="6">
        <v>4.3</v>
      </c>
      <c r="J132" s="6">
        <v>38.659999999999997</v>
      </c>
      <c r="K132" s="5">
        <v>341</v>
      </c>
      <c r="L132" s="13" t="str">
        <f t="shared" si="4"/>
        <v>Discount Applied</v>
      </c>
      <c r="M132" s="13" t="str">
        <f t="shared" si="5"/>
        <v>Silver</v>
      </c>
      <c r="N132" s="13"/>
    </row>
    <row r="133" spans="1:14" x14ac:dyDescent="0.3">
      <c r="A133" s="3">
        <v>2612</v>
      </c>
      <c r="B133" s="3" t="s">
        <v>30</v>
      </c>
      <c r="C133" s="4">
        <v>45192</v>
      </c>
      <c r="D133" s="3" t="s">
        <v>27</v>
      </c>
      <c r="E133" s="3" t="s">
        <v>18</v>
      </c>
      <c r="F133" s="5">
        <v>2</v>
      </c>
      <c r="G133" s="6">
        <v>3.13</v>
      </c>
      <c r="H133" s="6">
        <v>6.26</v>
      </c>
      <c r="I133" s="6">
        <v>2.2000000000000002</v>
      </c>
      <c r="J133" s="6">
        <v>4.0599999999999996</v>
      </c>
      <c r="K133" s="5">
        <v>483</v>
      </c>
      <c r="L133" s="13" t="str">
        <f t="shared" si="4"/>
        <v>Discount Applied</v>
      </c>
      <c r="M133" s="13" t="str">
        <f t="shared" si="5"/>
        <v>Bronze</v>
      </c>
      <c r="N133" s="13"/>
    </row>
    <row r="134" spans="1:14" x14ac:dyDescent="0.3">
      <c r="A134" s="3">
        <v>7596</v>
      </c>
      <c r="B134" s="3" t="s">
        <v>24</v>
      </c>
      <c r="C134" s="4">
        <v>45710</v>
      </c>
      <c r="D134" s="3" t="s">
        <v>35</v>
      </c>
      <c r="E134" s="3" t="s">
        <v>33</v>
      </c>
      <c r="F134" s="5">
        <v>3</v>
      </c>
      <c r="G134" s="6">
        <v>6.77</v>
      </c>
      <c r="H134" s="6">
        <v>20.309999999999999</v>
      </c>
      <c r="I134" s="6">
        <v>1.95</v>
      </c>
      <c r="J134" s="6">
        <v>18.36</v>
      </c>
      <c r="K134" s="5">
        <v>196</v>
      </c>
      <c r="L134" s="13" t="str">
        <f t="shared" si="4"/>
        <v>Discount Applied</v>
      </c>
      <c r="M134" s="13" t="str">
        <f t="shared" si="5"/>
        <v>Bronze</v>
      </c>
      <c r="N134" s="13"/>
    </row>
    <row r="135" spans="1:14" x14ac:dyDescent="0.3">
      <c r="A135" s="3">
        <v>6559</v>
      </c>
      <c r="B135" s="3" t="s">
        <v>36</v>
      </c>
      <c r="C135" s="4">
        <v>45766</v>
      </c>
      <c r="D135" s="3" t="s">
        <v>28</v>
      </c>
      <c r="E135" s="3" t="s">
        <v>37</v>
      </c>
      <c r="F135" s="5">
        <v>3</v>
      </c>
      <c r="G135" s="6">
        <v>1.63</v>
      </c>
      <c r="H135" s="6">
        <v>4.8899999999999997</v>
      </c>
      <c r="I135" s="6">
        <v>0.73</v>
      </c>
      <c r="J135" s="6">
        <v>4.16</v>
      </c>
      <c r="K135" s="5">
        <v>424</v>
      </c>
      <c r="L135" s="13" t="str">
        <f t="shared" si="4"/>
        <v>Discount Applied</v>
      </c>
      <c r="M135" s="13" t="str">
        <f t="shared" si="5"/>
        <v>Bronze</v>
      </c>
      <c r="N135" s="13"/>
    </row>
    <row r="136" spans="1:14" x14ac:dyDescent="0.3">
      <c r="A136" s="3">
        <v>2790</v>
      </c>
      <c r="B136" s="3" t="s">
        <v>31</v>
      </c>
      <c r="C136" s="4">
        <v>45338</v>
      </c>
      <c r="D136" s="3" t="s">
        <v>28</v>
      </c>
      <c r="E136" s="3" t="s">
        <v>40</v>
      </c>
      <c r="F136" s="5">
        <v>5</v>
      </c>
      <c r="G136" s="6">
        <v>22.6</v>
      </c>
      <c r="H136" s="6">
        <v>113</v>
      </c>
      <c r="I136" s="6">
        <v>22.6</v>
      </c>
      <c r="J136" s="6">
        <v>90.4</v>
      </c>
      <c r="K136" s="5">
        <v>426</v>
      </c>
      <c r="L136" s="13" t="str">
        <f t="shared" si="4"/>
        <v>Discount Applied</v>
      </c>
      <c r="M136" s="13" t="str">
        <f t="shared" si="5"/>
        <v>Platinum</v>
      </c>
      <c r="N136" s="13"/>
    </row>
    <row r="137" spans="1:14" x14ac:dyDescent="0.3">
      <c r="A137" s="3">
        <v>4139</v>
      </c>
      <c r="B137" s="3" t="s">
        <v>36</v>
      </c>
      <c r="C137" s="4">
        <v>45292</v>
      </c>
      <c r="D137" s="3" t="s">
        <v>17</v>
      </c>
      <c r="E137" s="3" t="s">
        <v>44</v>
      </c>
      <c r="F137" s="5">
        <v>5</v>
      </c>
      <c r="G137" s="6">
        <v>8.26</v>
      </c>
      <c r="H137" s="6">
        <v>41.3</v>
      </c>
      <c r="I137" s="6">
        <v>0</v>
      </c>
      <c r="J137" s="6">
        <v>41.3</v>
      </c>
      <c r="K137" s="5">
        <v>386</v>
      </c>
      <c r="L137" s="13" t="str">
        <f t="shared" si="4"/>
        <v>No Discount</v>
      </c>
      <c r="M137" s="13" t="str">
        <f t="shared" si="5"/>
        <v>Silver</v>
      </c>
      <c r="N137" s="13"/>
    </row>
    <row r="138" spans="1:14" x14ac:dyDescent="0.3">
      <c r="A138" s="3">
        <v>9786</v>
      </c>
      <c r="B138" s="3" t="s">
        <v>11</v>
      </c>
      <c r="C138" s="4">
        <v>45493</v>
      </c>
      <c r="D138" s="3" t="s">
        <v>27</v>
      </c>
      <c r="E138" s="3" t="s">
        <v>40</v>
      </c>
      <c r="F138" s="5">
        <v>3</v>
      </c>
      <c r="G138" s="6">
        <v>23.86</v>
      </c>
      <c r="H138" s="6">
        <v>71.58</v>
      </c>
      <c r="I138" s="6">
        <v>0</v>
      </c>
      <c r="J138" s="6">
        <v>71.58</v>
      </c>
      <c r="K138" s="5">
        <v>17</v>
      </c>
      <c r="L138" s="13" t="str">
        <f t="shared" si="4"/>
        <v>No Discount</v>
      </c>
      <c r="M138" s="13" t="str">
        <f t="shared" si="5"/>
        <v>Platinum</v>
      </c>
      <c r="N138" s="13"/>
    </row>
    <row r="139" spans="1:14" x14ac:dyDescent="0.3">
      <c r="A139" s="3">
        <v>3296</v>
      </c>
      <c r="B139" s="3" t="s">
        <v>19</v>
      </c>
      <c r="C139" s="4">
        <v>45472</v>
      </c>
      <c r="D139" s="3" t="s">
        <v>15</v>
      </c>
      <c r="E139" s="3" t="s">
        <v>37</v>
      </c>
      <c r="F139" s="5">
        <v>3</v>
      </c>
      <c r="G139" s="6">
        <v>22.67</v>
      </c>
      <c r="H139" s="6">
        <v>68.010000000000005</v>
      </c>
      <c r="I139" s="6">
        <v>13.6</v>
      </c>
      <c r="J139" s="6">
        <v>54.41</v>
      </c>
      <c r="K139" s="5">
        <v>89</v>
      </c>
      <c r="L139" s="13" t="str">
        <f t="shared" si="4"/>
        <v>Discount Applied</v>
      </c>
      <c r="M139" s="13" t="str">
        <f t="shared" si="5"/>
        <v>Gold</v>
      </c>
      <c r="N139" s="13"/>
    </row>
    <row r="140" spans="1:14" x14ac:dyDescent="0.3">
      <c r="A140" s="3">
        <v>4006</v>
      </c>
      <c r="B140" s="3" t="s">
        <v>14</v>
      </c>
      <c r="C140" s="4">
        <v>45361</v>
      </c>
      <c r="D140" s="3" t="s">
        <v>22</v>
      </c>
      <c r="E140" s="3" t="s">
        <v>46</v>
      </c>
      <c r="F140" s="5">
        <v>5</v>
      </c>
      <c r="G140" s="6">
        <v>27.48</v>
      </c>
      <c r="H140" s="6">
        <v>137.4</v>
      </c>
      <c r="I140" s="6">
        <v>20.61</v>
      </c>
      <c r="J140" s="6">
        <v>116.79</v>
      </c>
      <c r="K140" s="5">
        <v>425</v>
      </c>
      <c r="L140" s="13" t="str">
        <f t="shared" si="4"/>
        <v>Discount Applied</v>
      </c>
      <c r="M140" s="13" t="str">
        <f t="shared" si="5"/>
        <v>Platinum</v>
      </c>
      <c r="N140" s="13"/>
    </row>
    <row r="141" spans="1:14" x14ac:dyDescent="0.3">
      <c r="A141" s="3">
        <v>8579</v>
      </c>
      <c r="B141" s="3" t="s">
        <v>26</v>
      </c>
      <c r="C141" s="4">
        <v>45339</v>
      </c>
      <c r="D141" s="3" t="s">
        <v>35</v>
      </c>
      <c r="E141" s="3" t="s">
        <v>21</v>
      </c>
      <c r="F141" s="5">
        <v>1</v>
      </c>
      <c r="G141" s="6">
        <v>14.57</v>
      </c>
      <c r="H141" s="6">
        <v>14.57</v>
      </c>
      <c r="I141" s="6">
        <v>2.91</v>
      </c>
      <c r="J141" s="6">
        <v>11.66</v>
      </c>
      <c r="K141" s="5">
        <v>38</v>
      </c>
      <c r="L141" s="13" t="str">
        <f t="shared" si="4"/>
        <v>Discount Applied</v>
      </c>
      <c r="M141" s="13" t="str">
        <f t="shared" si="5"/>
        <v>Bronze</v>
      </c>
      <c r="N141" s="13"/>
    </row>
    <row r="142" spans="1:14" x14ac:dyDescent="0.3">
      <c r="A142" s="3">
        <v>2235</v>
      </c>
      <c r="B142" s="3" t="s">
        <v>24</v>
      </c>
      <c r="C142" s="4">
        <v>45489</v>
      </c>
      <c r="D142" s="3" t="s">
        <v>38</v>
      </c>
      <c r="E142" s="3" t="s">
        <v>23</v>
      </c>
      <c r="F142" s="5">
        <v>1</v>
      </c>
      <c r="G142" s="6">
        <v>23.92</v>
      </c>
      <c r="H142" s="6">
        <v>23.92</v>
      </c>
      <c r="I142" s="6">
        <v>1.49</v>
      </c>
      <c r="J142" s="6">
        <v>22.43</v>
      </c>
      <c r="K142" s="5">
        <v>7</v>
      </c>
      <c r="L142" s="13" t="str">
        <f t="shared" si="4"/>
        <v>Discount Applied</v>
      </c>
      <c r="M142" s="13" t="str">
        <f t="shared" si="5"/>
        <v>Silver</v>
      </c>
      <c r="N142" s="13"/>
    </row>
    <row r="143" spans="1:14" x14ac:dyDescent="0.3">
      <c r="A143" s="3">
        <v>2604</v>
      </c>
      <c r="B143" s="3" t="s">
        <v>36</v>
      </c>
      <c r="C143" s="4">
        <v>45184</v>
      </c>
      <c r="D143" s="3" t="s">
        <v>27</v>
      </c>
      <c r="E143" s="3" t="s">
        <v>13</v>
      </c>
      <c r="F143" s="5">
        <v>5</v>
      </c>
      <c r="G143" s="6">
        <v>12.04</v>
      </c>
      <c r="H143" s="6">
        <v>60.2</v>
      </c>
      <c r="I143" s="6">
        <v>3.7</v>
      </c>
      <c r="J143" s="6">
        <v>56.5</v>
      </c>
      <c r="K143" s="5">
        <v>326</v>
      </c>
      <c r="L143" s="13" t="str">
        <f t="shared" si="4"/>
        <v>Discount Applied</v>
      </c>
      <c r="M143" s="13" t="str">
        <f t="shared" si="5"/>
        <v>Gold</v>
      </c>
      <c r="N143" s="13"/>
    </row>
    <row r="144" spans="1:14" x14ac:dyDescent="0.3">
      <c r="A144" s="3">
        <v>9856</v>
      </c>
      <c r="B144" s="3" t="s">
        <v>26</v>
      </c>
      <c r="C144" s="4">
        <v>45794</v>
      </c>
      <c r="D144" s="3" t="s">
        <v>12</v>
      </c>
      <c r="E144" s="3" t="s">
        <v>18</v>
      </c>
      <c r="F144" s="5">
        <v>3</v>
      </c>
      <c r="G144" s="6">
        <v>27.53</v>
      </c>
      <c r="H144" s="6">
        <v>82.59</v>
      </c>
      <c r="I144" s="6">
        <v>0</v>
      </c>
      <c r="J144" s="6">
        <v>82.59</v>
      </c>
      <c r="K144" s="5">
        <v>113</v>
      </c>
      <c r="L144" s="13" t="str">
        <f t="shared" si="4"/>
        <v>No Discount</v>
      </c>
      <c r="M144" s="13" t="str">
        <f t="shared" si="5"/>
        <v>Platinum</v>
      </c>
      <c r="N144" s="13"/>
    </row>
    <row r="145" spans="1:14" x14ac:dyDescent="0.3">
      <c r="A145" s="3">
        <v>1241</v>
      </c>
      <c r="B145" s="3" t="s">
        <v>26</v>
      </c>
      <c r="C145" s="4">
        <v>45217</v>
      </c>
      <c r="D145" s="3" t="s">
        <v>35</v>
      </c>
      <c r="E145" s="3" t="s">
        <v>16</v>
      </c>
      <c r="F145" s="5">
        <v>1</v>
      </c>
      <c r="G145" s="6">
        <v>5.04</v>
      </c>
      <c r="H145" s="6">
        <v>5.04</v>
      </c>
      <c r="I145" s="6">
        <v>0.76</v>
      </c>
      <c r="J145" s="6">
        <v>4.28</v>
      </c>
      <c r="K145" s="5">
        <v>484</v>
      </c>
      <c r="L145" s="13" t="str">
        <f t="shared" si="4"/>
        <v>Discount Applied</v>
      </c>
      <c r="M145" s="13" t="str">
        <f t="shared" si="5"/>
        <v>Bronze</v>
      </c>
      <c r="N145" s="13"/>
    </row>
    <row r="146" spans="1:14" x14ac:dyDescent="0.3">
      <c r="A146" s="3">
        <v>4872</v>
      </c>
      <c r="B146" s="3" t="s">
        <v>26</v>
      </c>
      <c r="C146" s="4">
        <v>45274</v>
      </c>
      <c r="D146" s="3" t="s">
        <v>15</v>
      </c>
      <c r="E146" s="3" t="s">
        <v>48</v>
      </c>
      <c r="F146" s="5">
        <v>2</v>
      </c>
      <c r="G146" s="6">
        <v>26.72</v>
      </c>
      <c r="H146" s="6">
        <v>53.44</v>
      </c>
      <c r="I146" s="6">
        <v>5.34</v>
      </c>
      <c r="J146" s="6">
        <v>48.1</v>
      </c>
      <c r="K146" s="5">
        <v>69</v>
      </c>
      <c r="L146" s="13" t="str">
        <f t="shared" si="4"/>
        <v>Discount Applied</v>
      </c>
      <c r="M146" s="13" t="str">
        <f t="shared" si="5"/>
        <v>Silver</v>
      </c>
      <c r="N146" s="13"/>
    </row>
    <row r="147" spans="1:14" x14ac:dyDescent="0.3">
      <c r="A147" s="3">
        <v>7658</v>
      </c>
      <c r="B147" s="3" t="s">
        <v>36</v>
      </c>
      <c r="C147" s="4">
        <v>45522</v>
      </c>
      <c r="D147" s="3" t="s">
        <v>27</v>
      </c>
      <c r="E147" s="3" t="s">
        <v>18</v>
      </c>
      <c r="F147" s="5">
        <v>4</v>
      </c>
      <c r="G147" s="6">
        <v>18.02</v>
      </c>
      <c r="H147" s="6">
        <v>72.08</v>
      </c>
      <c r="I147" s="6">
        <v>7.21</v>
      </c>
      <c r="J147" s="6">
        <v>64.87</v>
      </c>
      <c r="K147" s="5">
        <v>372</v>
      </c>
      <c r="L147" s="13" t="str">
        <f t="shared" si="4"/>
        <v>Discount Applied</v>
      </c>
      <c r="M147" s="13" t="str">
        <f t="shared" si="5"/>
        <v>Gold</v>
      </c>
      <c r="N147" s="13"/>
    </row>
    <row r="148" spans="1:14" x14ac:dyDescent="0.3">
      <c r="A148" s="3">
        <v>8886</v>
      </c>
      <c r="B148" s="3" t="s">
        <v>11</v>
      </c>
      <c r="C148" s="4">
        <v>45311</v>
      </c>
      <c r="D148" s="3" t="s">
        <v>45</v>
      </c>
      <c r="E148" s="3" t="s">
        <v>16</v>
      </c>
      <c r="F148" s="5">
        <v>3</v>
      </c>
      <c r="G148" s="6">
        <v>1.94</v>
      </c>
      <c r="H148" s="6">
        <v>5.82</v>
      </c>
      <c r="I148" s="6">
        <v>0.57999999999999996</v>
      </c>
      <c r="J148" s="6">
        <v>5.24</v>
      </c>
      <c r="K148" s="5">
        <v>189</v>
      </c>
      <c r="L148" s="13" t="str">
        <f t="shared" si="4"/>
        <v>Discount Applied</v>
      </c>
      <c r="M148" s="13" t="str">
        <f t="shared" si="5"/>
        <v>Bronze</v>
      </c>
      <c r="N148" s="13"/>
    </row>
    <row r="149" spans="1:14" x14ac:dyDescent="0.3">
      <c r="A149" s="3">
        <v>7570</v>
      </c>
      <c r="B149" s="3" t="s">
        <v>26</v>
      </c>
      <c r="C149" s="4">
        <v>45845</v>
      </c>
      <c r="D149" s="3" t="s">
        <v>17</v>
      </c>
      <c r="E149" s="3" t="s">
        <v>23</v>
      </c>
      <c r="F149" s="5">
        <v>1</v>
      </c>
      <c r="G149" s="6">
        <v>29.44</v>
      </c>
      <c r="H149" s="6">
        <v>29.44</v>
      </c>
      <c r="I149" s="6">
        <v>2.59</v>
      </c>
      <c r="J149" s="6">
        <v>26.85</v>
      </c>
      <c r="K149" s="5">
        <v>188</v>
      </c>
      <c r="L149" s="13" t="str">
        <f t="shared" si="4"/>
        <v>Discount Applied</v>
      </c>
      <c r="M149" s="13" t="str">
        <f t="shared" si="5"/>
        <v>Silver</v>
      </c>
      <c r="N149" s="13"/>
    </row>
    <row r="150" spans="1:14" x14ac:dyDescent="0.3">
      <c r="A150" s="3">
        <v>1960</v>
      </c>
      <c r="B150" s="3" t="s">
        <v>42</v>
      </c>
      <c r="C150" s="4">
        <v>45272</v>
      </c>
      <c r="D150" s="3" t="s">
        <v>15</v>
      </c>
      <c r="E150" s="3" t="s">
        <v>33</v>
      </c>
      <c r="F150" s="5">
        <v>1</v>
      </c>
      <c r="G150" s="6">
        <v>20.21</v>
      </c>
      <c r="H150" s="6">
        <v>20.21</v>
      </c>
      <c r="I150" s="6">
        <v>4.1500000000000004</v>
      </c>
      <c r="J150" s="6">
        <v>16.059999999999999</v>
      </c>
      <c r="K150" s="5">
        <v>328</v>
      </c>
      <c r="L150" s="13" t="str">
        <f t="shared" si="4"/>
        <v>Discount Applied</v>
      </c>
      <c r="M150" s="13" t="str">
        <f t="shared" si="5"/>
        <v>Bronze</v>
      </c>
      <c r="N150" s="13"/>
    </row>
    <row r="151" spans="1:14" x14ac:dyDescent="0.3">
      <c r="A151" s="3">
        <v>7209</v>
      </c>
      <c r="B151" s="3" t="s">
        <v>42</v>
      </c>
      <c r="C151" s="4">
        <v>45146</v>
      </c>
      <c r="D151" s="3" t="s">
        <v>34</v>
      </c>
      <c r="E151" s="3" t="s">
        <v>44</v>
      </c>
      <c r="F151" s="5">
        <v>1</v>
      </c>
      <c r="G151" s="6">
        <v>25.05</v>
      </c>
      <c r="H151" s="6">
        <v>25.05</v>
      </c>
      <c r="I151" s="6">
        <v>1.86</v>
      </c>
      <c r="J151" s="6">
        <v>23.19</v>
      </c>
      <c r="K151" s="5">
        <v>283</v>
      </c>
      <c r="L151" s="13" t="str">
        <f t="shared" si="4"/>
        <v>Discount Applied</v>
      </c>
      <c r="M151" s="13" t="str">
        <f t="shared" si="5"/>
        <v>Silver</v>
      </c>
      <c r="N151" s="13"/>
    </row>
    <row r="152" spans="1:14" x14ac:dyDescent="0.3">
      <c r="A152" s="3">
        <v>7396</v>
      </c>
      <c r="B152" s="3" t="s">
        <v>42</v>
      </c>
      <c r="C152" s="4">
        <v>45350</v>
      </c>
      <c r="D152" s="3" t="s">
        <v>22</v>
      </c>
      <c r="E152" s="3" t="s">
        <v>41</v>
      </c>
      <c r="F152" s="5">
        <v>5</v>
      </c>
      <c r="G152" s="6">
        <v>1.07</v>
      </c>
      <c r="H152" s="6">
        <v>5.35</v>
      </c>
      <c r="I152" s="6">
        <v>1.07</v>
      </c>
      <c r="J152" s="6">
        <v>4.28</v>
      </c>
      <c r="K152" s="5">
        <v>439</v>
      </c>
      <c r="L152" s="13" t="str">
        <f t="shared" si="4"/>
        <v>Discount Applied</v>
      </c>
      <c r="M152" s="13" t="str">
        <f t="shared" si="5"/>
        <v>Bronze</v>
      </c>
      <c r="N152" s="13"/>
    </row>
    <row r="153" spans="1:14" x14ac:dyDescent="0.3">
      <c r="A153" s="3">
        <v>8454</v>
      </c>
      <c r="B153" s="3" t="s">
        <v>14</v>
      </c>
      <c r="C153" s="4">
        <v>45366</v>
      </c>
      <c r="D153" s="3" t="s">
        <v>35</v>
      </c>
      <c r="E153" s="3" t="s">
        <v>29</v>
      </c>
      <c r="F153" s="5">
        <v>1</v>
      </c>
      <c r="G153" s="6">
        <v>20.16</v>
      </c>
      <c r="H153" s="6">
        <v>20.16</v>
      </c>
      <c r="I153" s="6">
        <v>2.4300000000000002</v>
      </c>
      <c r="J153" s="6">
        <v>17.73</v>
      </c>
      <c r="K153" s="5">
        <v>13</v>
      </c>
      <c r="L153" s="13" t="str">
        <f t="shared" si="4"/>
        <v>Discount Applied</v>
      </c>
      <c r="M153" s="13" t="str">
        <f t="shared" si="5"/>
        <v>Bronze</v>
      </c>
      <c r="N153" s="13"/>
    </row>
    <row r="154" spans="1:14" x14ac:dyDescent="0.3">
      <c r="A154" s="3">
        <v>7930</v>
      </c>
      <c r="B154" s="3" t="s">
        <v>42</v>
      </c>
      <c r="C154" s="4">
        <v>45686</v>
      </c>
      <c r="D154" s="3" t="s">
        <v>28</v>
      </c>
      <c r="E154" s="3" t="s">
        <v>21</v>
      </c>
      <c r="F154" s="5">
        <v>1</v>
      </c>
      <c r="G154" s="6">
        <v>6.04</v>
      </c>
      <c r="H154" s="6">
        <v>6.04</v>
      </c>
      <c r="I154" s="6">
        <v>0</v>
      </c>
      <c r="J154" s="6">
        <v>6.04</v>
      </c>
      <c r="K154" s="5">
        <v>26</v>
      </c>
      <c r="L154" s="13" t="str">
        <f t="shared" si="4"/>
        <v>No Discount</v>
      </c>
      <c r="M154" s="13" t="str">
        <f t="shared" si="5"/>
        <v>Bronze</v>
      </c>
      <c r="N154" s="13"/>
    </row>
    <row r="155" spans="1:14" x14ac:dyDescent="0.3">
      <c r="A155" s="3">
        <v>8973</v>
      </c>
      <c r="B155" s="3" t="s">
        <v>24</v>
      </c>
      <c r="C155" s="4">
        <v>45265</v>
      </c>
      <c r="D155" s="3" t="s">
        <v>38</v>
      </c>
      <c r="E155" s="3" t="s">
        <v>48</v>
      </c>
      <c r="F155" s="5">
        <v>1</v>
      </c>
      <c r="G155" s="6">
        <v>14.8</v>
      </c>
      <c r="H155" s="6">
        <v>14.8</v>
      </c>
      <c r="I155" s="6">
        <v>3.37</v>
      </c>
      <c r="J155" s="6">
        <v>11.43</v>
      </c>
      <c r="K155" s="5">
        <v>398</v>
      </c>
      <c r="L155" s="13" t="str">
        <f t="shared" si="4"/>
        <v>Discount Applied</v>
      </c>
      <c r="M155" s="13" t="str">
        <f t="shared" si="5"/>
        <v>Bronze</v>
      </c>
      <c r="N155" s="13"/>
    </row>
    <row r="156" spans="1:14" x14ac:dyDescent="0.3">
      <c r="A156" s="3">
        <v>4111</v>
      </c>
      <c r="B156" s="3" t="s">
        <v>26</v>
      </c>
      <c r="C156" s="4">
        <v>45375</v>
      </c>
      <c r="D156" s="3" t="s">
        <v>38</v>
      </c>
      <c r="E156" s="3" t="s">
        <v>25</v>
      </c>
      <c r="F156" s="5">
        <v>5</v>
      </c>
      <c r="G156" s="6">
        <v>2.25</v>
      </c>
      <c r="H156" s="6">
        <v>11.25</v>
      </c>
      <c r="I156" s="6">
        <v>1.1200000000000001</v>
      </c>
      <c r="J156" s="6">
        <v>10.130000000000001</v>
      </c>
      <c r="K156" s="5">
        <v>401</v>
      </c>
      <c r="L156" s="13" t="str">
        <f t="shared" si="4"/>
        <v>Discount Applied</v>
      </c>
      <c r="M156" s="13" t="str">
        <f t="shared" si="5"/>
        <v>Bronze</v>
      </c>
      <c r="N156" s="13"/>
    </row>
    <row r="157" spans="1:14" x14ac:dyDescent="0.3">
      <c r="A157" s="3">
        <v>4566</v>
      </c>
      <c r="B157" s="3" t="s">
        <v>31</v>
      </c>
      <c r="C157" s="4">
        <v>45190</v>
      </c>
      <c r="D157" s="3" t="s">
        <v>12</v>
      </c>
      <c r="E157" s="3" t="s">
        <v>47</v>
      </c>
      <c r="F157" s="5">
        <v>4</v>
      </c>
      <c r="G157" s="6">
        <v>13.35</v>
      </c>
      <c r="H157" s="6">
        <v>53.4</v>
      </c>
      <c r="I157" s="6">
        <v>0</v>
      </c>
      <c r="J157" s="6">
        <v>53.4</v>
      </c>
      <c r="K157" s="5">
        <v>55</v>
      </c>
      <c r="L157" s="13" t="str">
        <f t="shared" si="4"/>
        <v>No Discount</v>
      </c>
      <c r="M157" s="13" t="str">
        <f t="shared" si="5"/>
        <v>Gold</v>
      </c>
      <c r="N157" s="13"/>
    </row>
    <row r="158" spans="1:14" x14ac:dyDescent="0.3">
      <c r="A158" s="3">
        <v>9883</v>
      </c>
      <c r="B158" s="3" t="s">
        <v>26</v>
      </c>
      <c r="C158" s="4">
        <v>45192</v>
      </c>
      <c r="D158" s="3" t="s">
        <v>15</v>
      </c>
      <c r="E158" s="3" t="s">
        <v>43</v>
      </c>
      <c r="F158" s="5">
        <v>3</v>
      </c>
      <c r="G158" s="6">
        <v>18.63</v>
      </c>
      <c r="H158" s="6">
        <v>55.89</v>
      </c>
      <c r="I158" s="6">
        <v>8.3800000000000008</v>
      </c>
      <c r="J158" s="6">
        <v>47.51</v>
      </c>
      <c r="K158" s="5">
        <v>33</v>
      </c>
      <c r="L158" s="13" t="str">
        <f t="shared" si="4"/>
        <v>Discount Applied</v>
      </c>
      <c r="M158" s="13" t="str">
        <f t="shared" si="5"/>
        <v>Silver</v>
      </c>
      <c r="N158" s="13"/>
    </row>
    <row r="159" spans="1:14" x14ac:dyDescent="0.3">
      <c r="A159" s="3">
        <v>6138</v>
      </c>
      <c r="B159" s="3" t="s">
        <v>14</v>
      </c>
      <c r="C159" s="4">
        <v>45189</v>
      </c>
      <c r="D159" s="3" t="s">
        <v>22</v>
      </c>
      <c r="E159" s="3" t="s">
        <v>32</v>
      </c>
      <c r="F159" s="5">
        <v>5</v>
      </c>
      <c r="G159" s="6">
        <v>16.38</v>
      </c>
      <c r="H159" s="6">
        <v>81.900000000000006</v>
      </c>
      <c r="I159" s="6">
        <v>4.17</v>
      </c>
      <c r="J159" s="6">
        <v>77.73</v>
      </c>
      <c r="K159" s="5">
        <v>232</v>
      </c>
      <c r="L159" s="13" t="str">
        <f t="shared" si="4"/>
        <v>Discount Applied</v>
      </c>
      <c r="M159" s="13" t="str">
        <f t="shared" si="5"/>
        <v>Platinum</v>
      </c>
      <c r="N159" s="13"/>
    </row>
    <row r="160" spans="1:14" x14ac:dyDescent="0.3">
      <c r="A160" s="3">
        <v>1821</v>
      </c>
      <c r="B160" s="3" t="s">
        <v>11</v>
      </c>
      <c r="C160" s="4">
        <v>45598</v>
      </c>
      <c r="D160" s="3" t="s">
        <v>27</v>
      </c>
      <c r="E160" s="3" t="s">
        <v>18</v>
      </c>
      <c r="F160" s="5">
        <v>2</v>
      </c>
      <c r="G160" s="6">
        <v>13.46</v>
      </c>
      <c r="H160" s="6">
        <v>26.92</v>
      </c>
      <c r="I160" s="6">
        <v>2.69</v>
      </c>
      <c r="J160" s="6">
        <v>24.23</v>
      </c>
      <c r="K160" s="5">
        <v>454</v>
      </c>
      <c r="L160" s="13" t="str">
        <f t="shared" si="4"/>
        <v>Discount Applied</v>
      </c>
      <c r="M160" s="13" t="str">
        <f t="shared" si="5"/>
        <v>Silver</v>
      </c>
      <c r="N160" s="13"/>
    </row>
    <row r="161" spans="1:14" x14ac:dyDescent="0.3">
      <c r="A161" s="3">
        <v>8811</v>
      </c>
      <c r="B161" s="3" t="s">
        <v>36</v>
      </c>
      <c r="C161" s="4">
        <v>45535</v>
      </c>
      <c r="D161" s="3" t="s">
        <v>45</v>
      </c>
      <c r="E161" s="3" t="s">
        <v>32</v>
      </c>
      <c r="F161" s="5">
        <v>4</v>
      </c>
      <c r="G161" s="6">
        <v>22.15</v>
      </c>
      <c r="H161" s="6">
        <v>88.6</v>
      </c>
      <c r="I161" s="6">
        <v>13.29</v>
      </c>
      <c r="J161" s="6">
        <v>75.31</v>
      </c>
      <c r="K161" s="5">
        <v>160</v>
      </c>
      <c r="L161" s="13" t="str">
        <f t="shared" si="4"/>
        <v>Discount Applied</v>
      </c>
      <c r="M161" s="13" t="str">
        <f t="shared" si="5"/>
        <v>Platinum</v>
      </c>
      <c r="N161" s="13"/>
    </row>
    <row r="162" spans="1:14" x14ac:dyDescent="0.3">
      <c r="A162" s="3">
        <v>9701</v>
      </c>
      <c r="B162" s="3" t="s">
        <v>30</v>
      </c>
      <c r="C162" s="4">
        <v>45267</v>
      </c>
      <c r="D162" s="3" t="s">
        <v>22</v>
      </c>
      <c r="E162" s="3" t="s">
        <v>41</v>
      </c>
      <c r="F162" s="5">
        <v>4</v>
      </c>
      <c r="G162" s="6">
        <v>2.94</v>
      </c>
      <c r="H162" s="6">
        <v>11.76</v>
      </c>
      <c r="I162" s="6">
        <v>2.73</v>
      </c>
      <c r="J162" s="6">
        <v>9.0299999999999994</v>
      </c>
      <c r="K162" s="5">
        <v>425</v>
      </c>
      <c r="L162" s="13" t="str">
        <f t="shared" si="4"/>
        <v>Discount Applied</v>
      </c>
      <c r="M162" s="13" t="str">
        <f t="shared" si="5"/>
        <v>Bronze</v>
      </c>
      <c r="N162" s="13"/>
    </row>
    <row r="163" spans="1:14" x14ac:dyDescent="0.3">
      <c r="A163" s="3">
        <v>1931</v>
      </c>
      <c r="B163" s="3" t="s">
        <v>36</v>
      </c>
      <c r="C163" s="4">
        <v>45539</v>
      </c>
      <c r="D163" s="3" t="s">
        <v>34</v>
      </c>
      <c r="E163" s="3" t="s">
        <v>18</v>
      </c>
      <c r="F163" s="5">
        <v>1</v>
      </c>
      <c r="G163" s="6">
        <v>18</v>
      </c>
      <c r="H163" s="6">
        <v>18</v>
      </c>
      <c r="I163" s="6">
        <v>0</v>
      </c>
      <c r="J163" s="6">
        <v>18</v>
      </c>
      <c r="K163" s="5">
        <v>287</v>
      </c>
      <c r="L163" s="13" t="str">
        <f t="shared" si="4"/>
        <v>No Discount</v>
      </c>
      <c r="M163" s="13" t="str">
        <f t="shared" si="5"/>
        <v>Bronze</v>
      </c>
      <c r="N163" s="13"/>
    </row>
    <row r="164" spans="1:14" x14ac:dyDescent="0.3">
      <c r="A164" s="3">
        <v>2312</v>
      </c>
      <c r="B164" s="3" t="s">
        <v>11</v>
      </c>
      <c r="C164" s="4">
        <v>45806</v>
      </c>
      <c r="D164" s="3" t="s">
        <v>20</v>
      </c>
      <c r="E164" s="3" t="s">
        <v>23</v>
      </c>
      <c r="F164" s="5">
        <v>4</v>
      </c>
      <c r="G164" s="6">
        <v>26.16</v>
      </c>
      <c r="H164" s="6">
        <v>104.64</v>
      </c>
      <c r="I164" s="6">
        <v>15.7</v>
      </c>
      <c r="J164" s="6">
        <v>88.94</v>
      </c>
      <c r="K164" s="5">
        <v>369</v>
      </c>
      <c r="L164" s="13" t="str">
        <f t="shared" si="4"/>
        <v>Discount Applied</v>
      </c>
      <c r="M164" s="13" t="str">
        <f t="shared" si="5"/>
        <v>Platinum</v>
      </c>
      <c r="N164" s="13"/>
    </row>
    <row r="165" spans="1:14" x14ac:dyDescent="0.3">
      <c r="A165" s="3">
        <v>4044</v>
      </c>
      <c r="B165" s="3" t="s">
        <v>30</v>
      </c>
      <c r="C165" s="4">
        <v>45198</v>
      </c>
      <c r="D165" s="3" t="s">
        <v>22</v>
      </c>
      <c r="E165" s="3" t="s">
        <v>48</v>
      </c>
      <c r="F165" s="5">
        <v>5</v>
      </c>
      <c r="G165" s="6">
        <v>15.7</v>
      </c>
      <c r="H165" s="6">
        <v>78.5</v>
      </c>
      <c r="I165" s="6">
        <v>15.7</v>
      </c>
      <c r="J165" s="6">
        <v>62.8</v>
      </c>
      <c r="K165" s="5">
        <v>79</v>
      </c>
      <c r="L165" s="13" t="str">
        <f t="shared" si="4"/>
        <v>Discount Applied</v>
      </c>
      <c r="M165" s="13" t="str">
        <f t="shared" si="5"/>
        <v>Gold</v>
      </c>
      <c r="N165" s="13"/>
    </row>
    <row r="166" spans="1:14" x14ac:dyDescent="0.3">
      <c r="A166" s="3">
        <v>2113</v>
      </c>
      <c r="B166" s="3" t="s">
        <v>11</v>
      </c>
      <c r="C166" s="4">
        <v>45669</v>
      </c>
      <c r="D166" s="3" t="s">
        <v>22</v>
      </c>
      <c r="E166" s="3" t="s">
        <v>18</v>
      </c>
      <c r="F166" s="5">
        <v>3</v>
      </c>
      <c r="G166" s="6">
        <v>4.32</v>
      </c>
      <c r="H166" s="6">
        <v>12.96</v>
      </c>
      <c r="I166" s="6">
        <v>1.3</v>
      </c>
      <c r="J166" s="6">
        <v>11.66</v>
      </c>
      <c r="K166" s="5">
        <v>142</v>
      </c>
      <c r="L166" s="13" t="str">
        <f t="shared" si="4"/>
        <v>Discount Applied</v>
      </c>
      <c r="M166" s="13" t="str">
        <f t="shared" si="5"/>
        <v>Bronze</v>
      </c>
      <c r="N166" s="13"/>
    </row>
    <row r="167" spans="1:14" x14ac:dyDescent="0.3">
      <c r="A167" s="3">
        <v>4853</v>
      </c>
      <c r="B167" s="3" t="s">
        <v>14</v>
      </c>
      <c r="C167" s="4">
        <v>45458</v>
      </c>
      <c r="D167" s="3" t="s">
        <v>28</v>
      </c>
      <c r="E167" s="3" t="s">
        <v>18</v>
      </c>
      <c r="F167" s="5">
        <v>1</v>
      </c>
      <c r="G167" s="6">
        <v>18.649999999999999</v>
      </c>
      <c r="H167" s="6">
        <v>18.649999999999999</v>
      </c>
      <c r="I167" s="6">
        <v>1.72</v>
      </c>
      <c r="J167" s="6">
        <v>16.93</v>
      </c>
      <c r="K167" s="5">
        <v>336</v>
      </c>
      <c r="L167" s="13" t="str">
        <f t="shared" si="4"/>
        <v>Discount Applied</v>
      </c>
      <c r="M167" s="13" t="str">
        <f t="shared" si="5"/>
        <v>Bronze</v>
      </c>
      <c r="N167" s="13"/>
    </row>
    <row r="168" spans="1:14" x14ac:dyDescent="0.3">
      <c r="A168" s="3">
        <v>2964</v>
      </c>
      <c r="B168" s="3" t="s">
        <v>30</v>
      </c>
      <c r="C168" s="4">
        <v>45836</v>
      </c>
      <c r="D168" s="3" t="s">
        <v>22</v>
      </c>
      <c r="E168" s="3" t="s">
        <v>23</v>
      </c>
      <c r="F168" s="5">
        <v>1</v>
      </c>
      <c r="G168" s="6">
        <v>6.25</v>
      </c>
      <c r="H168" s="6">
        <v>6.25</v>
      </c>
      <c r="I168" s="6">
        <v>1.57</v>
      </c>
      <c r="J168" s="6">
        <v>4.68</v>
      </c>
      <c r="K168" s="5">
        <v>73</v>
      </c>
      <c r="L168" s="13" t="str">
        <f t="shared" si="4"/>
        <v>Discount Applied</v>
      </c>
      <c r="M168" s="13" t="str">
        <f t="shared" si="5"/>
        <v>Bronze</v>
      </c>
      <c r="N168" s="13"/>
    </row>
    <row r="169" spans="1:14" x14ac:dyDescent="0.3">
      <c r="A169" s="3">
        <v>5033</v>
      </c>
      <c r="B169" s="3" t="s">
        <v>31</v>
      </c>
      <c r="C169" s="4">
        <v>45594</v>
      </c>
      <c r="D169" s="3" t="s">
        <v>15</v>
      </c>
      <c r="E169" s="3" t="s">
        <v>46</v>
      </c>
      <c r="F169" s="5">
        <v>2</v>
      </c>
      <c r="G169" s="6">
        <v>11.9</v>
      </c>
      <c r="H169" s="6">
        <v>23.8</v>
      </c>
      <c r="I169" s="6">
        <v>4.76</v>
      </c>
      <c r="J169" s="6">
        <v>19.04</v>
      </c>
      <c r="K169" s="5">
        <v>232</v>
      </c>
      <c r="L169" s="13" t="str">
        <f t="shared" si="4"/>
        <v>Discount Applied</v>
      </c>
      <c r="M169" s="13" t="str">
        <f t="shared" si="5"/>
        <v>Bronze</v>
      </c>
      <c r="N169" s="13"/>
    </row>
    <row r="170" spans="1:14" x14ac:dyDescent="0.3">
      <c r="A170" s="3">
        <v>1651</v>
      </c>
      <c r="B170" s="3" t="s">
        <v>36</v>
      </c>
      <c r="C170" s="4">
        <v>45626</v>
      </c>
      <c r="D170" s="3" t="s">
        <v>35</v>
      </c>
      <c r="E170" s="3" t="s">
        <v>21</v>
      </c>
      <c r="F170" s="5">
        <v>5</v>
      </c>
      <c r="G170" s="6">
        <v>18.28</v>
      </c>
      <c r="H170" s="6">
        <v>91.4</v>
      </c>
      <c r="I170" s="6">
        <v>18.28</v>
      </c>
      <c r="J170" s="6">
        <v>73.12</v>
      </c>
      <c r="K170" s="5">
        <v>452</v>
      </c>
      <c r="L170" s="13" t="str">
        <f t="shared" si="4"/>
        <v>Discount Applied</v>
      </c>
      <c r="M170" s="13" t="str">
        <f t="shared" si="5"/>
        <v>Platinum</v>
      </c>
      <c r="N170" s="13"/>
    </row>
    <row r="171" spans="1:14" x14ac:dyDescent="0.3">
      <c r="A171" s="3">
        <v>2343</v>
      </c>
      <c r="B171" s="3" t="s">
        <v>19</v>
      </c>
      <c r="C171" s="4">
        <v>45470</v>
      </c>
      <c r="D171" s="3" t="s">
        <v>28</v>
      </c>
      <c r="E171" s="3" t="s">
        <v>40</v>
      </c>
      <c r="F171" s="5">
        <v>1</v>
      </c>
      <c r="G171" s="6">
        <v>8.8800000000000008</v>
      </c>
      <c r="H171" s="6">
        <v>8.8800000000000008</v>
      </c>
      <c r="I171" s="6">
        <v>0.89</v>
      </c>
      <c r="J171" s="6">
        <v>7.99</v>
      </c>
      <c r="K171" s="5">
        <v>338</v>
      </c>
      <c r="L171" s="13" t="str">
        <f t="shared" si="4"/>
        <v>Discount Applied</v>
      </c>
      <c r="M171" s="13" t="str">
        <f t="shared" si="5"/>
        <v>Bronze</v>
      </c>
      <c r="N171" s="13"/>
    </row>
    <row r="172" spans="1:14" x14ac:dyDescent="0.3">
      <c r="A172" s="3">
        <v>9565</v>
      </c>
      <c r="B172" s="3" t="s">
        <v>26</v>
      </c>
      <c r="C172" s="4">
        <v>45390</v>
      </c>
      <c r="D172" s="3" t="s">
        <v>20</v>
      </c>
      <c r="E172" s="3" t="s">
        <v>13</v>
      </c>
      <c r="F172" s="5">
        <v>2</v>
      </c>
      <c r="G172" s="6">
        <v>22.88</v>
      </c>
      <c r="H172" s="6">
        <v>45.76</v>
      </c>
      <c r="I172" s="6">
        <v>4.58</v>
      </c>
      <c r="J172" s="6">
        <v>41.18</v>
      </c>
      <c r="K172" s="5">
        <v>58</v>
      </c>
      <c r="L172" s="13" t="str">
        <f t="shared" si="4"/>
        <v>Discount Applied</v>
      </c>
      <c r="M172" s="13" t="str">
        <f t="shared" si="5"/>
        <v>Silver</v>
      </c>
      <c r="N172" s="13"/>
    </row>
    <row r="173" spans="1:14" x14ac:dyDescent="0.3">
      <c r="A173" s="3">
        <v>5272</v>
      </c>
      <c r="B173" s="3" t="s">
        <v>11</v>
      </c>
      <c r="C173" s="4">
        <v>45303</v>
      </c>
      <c r="D173" s="3" t="s">
        <v>35</v>
      </c>
      <c r="E173" s="3" t="s">
        <v>47</v>
      </c>
      <c r="F173" s="5">
        <v>5</v>
      </c>
      <c r="G173" s="6">
        <v>20.34</v>
      </c>
      <c r="H173" s="6">
        <v>101.7</v>
      </c>
      <c r="I173" s="6">
        <v>10.17</v>
      </c>
      <c r="J173" s="6">
        <v>91.53</v>
      </c>
      <c r="K173" s="5">
        <v>23</v>
      </c>
      <c r="L173" s="13" t="str">
        <f t="shared" si="4"/>
        <v>Discount Applied</v>
      </c>
      <c r="M173" s="13" t="str">
        <f t="shared" si="5"/>
        <v>Platinum</v>
      </c>
      <c r="N173" s="13"/>
    </row>
    <row r="174" spans="1:14" x14ac:dyDescent="0.3">
      <c r="A174" s="3">
        <v>6147</v>
      </c>
      <c r="B174" s="3" t="s">
        <v>31</v>
      </c>
      <c r="C174" s="4">
        <v>45330</v>
      </c>
      <c r="D174" s="3" t="s">
        <v>12</v>
      </c>
      <c r="E174" s="3" t="s">
        <v>44</v>
      </c>
      <c r="F174" s="5">
        <v>3</v>
      </c>
      <c r="G174" s="6">
        <v>28.4</v>
      </c>
      <c r="H174" s="6">
        <v>85.2</v>
      </c>
      <c r="I174" s="6">
        <v>12.78</v>
      </c>
      <c r="J174" s="6">
        <v>72.42</v>
      </c>
      <c r="K174" s="5">
        <v>392</v>
      </c>
      <c r="L174" s="13" t="str">
        <f t="shared" si="4"/>
        <v>Discount Applied</v>
      </c>
      <c r="M174" s="13" t="str">
        <f t="shared" si="5"/>
        <v>Platinum</v>
      </c>
      <c r="N174" s="13"/>
    </row>
    <row r="175" spans="1:14" x14ac:dyDescent="0.3">
      <c r="A175" s="3">
        <v>5351</v>
      </c>
      <c r="B175" s="3" t="s">
        <v>30</v>
      </c>
      <c r="C175" s="4">
        <v>45452</v>
      </c>
      <c r="D175" s="3" t="s">
        <v>22</v>
      </c>
      <c r="E175" s="3" t="s">
        <v>48</v>
      </c>
      <c r="F175" s="5">
        <v>1</v>
      </c>
      <c r="G175" s="6">
        <v>15.41</v>
      </c>
      <c r="H175" s="6">
        <v>15.41</v>
      </c>
      <c r="I175" s="6">
        <v>3.08</v>
      </c>
      <c r="J175" s="6">
        <v>12.33</v>
      </c>
      <c r="K175" s="5">
        <v>220</v>
      </c>
      <c r="L175" s="13" t="str">
        <f t="shared" si="4"/>
        <v>Discount Applied</v>
      </c>
      <c r="M175" s="13" t="str">
        <f t="shared" si="5"/>
        <v>Bronze</v>
      </c>
      <c r="N175" s="13"/>
    </row>
    <row r="176" spans="1:14" x14ac:dyDescent="0.3">
      <c r="A176" s="3">
        <v>3144</v>
      </c>
      <c r="B176" s="3" t="s">
        <v>24</v>
      </c>
      <c r="C176" s="4">
        <v>45666</v>
      </c>
      <c r="D176" s="3" t="s">
        <v>38</v>
      </c>
      <c r="E176" s="3" t="s">
        <v>25</v>
      </c>
      <c r="F176" s="5">
        <v>5</v>
      </c>
      <c r="G176" s="6">
        <v>17.190000000000001</v>
      </c>
      <c r="H176" s="6">
        <v>85.95</v>
      </c>
      <c r="I176" s="6">
        <v>2.59</v>
      </c>
      <c r="J176" s="6">
        <v>83.36</v>
      </c>
      <c r="K176" s="5">
        <v>342</v>
      </c>
      <c r="L176" s="13" t="str">
        <f t="shared" si="4"/>
        <v>Discount Applied</v>
      </c>
      <c r="M176" s="13" t="str">
        <f t="shared" si="5"/>
        <v>Platinum</v>
      </c>
      <c r="N176" s="13"/>
    </row>
    <row r="177" spans="1:14" x14ac:dyDescent="0.3">
      <c r="A177" s="3">
        <v>5915</v>
      </c>
      <c r="B177" s="3" t="s">
        <v>31</v>
      </c>
      <c r="C177" s="4">
        <v>45500</v>
      </c>
      <c r="D177" s="3" t="s">
        <v>20</v>
      </c>
      <c r="E177" s="3" t="s">
        <v>39</v>
      </c>
      <c r="F177" s="5">
        <v>4</v>
      </c>
      <c r="G177" s="6">
        <v>27.7</v>
      </c>
      <c r="H177" s="6">
        <v>110.8</v>
      </c>
      <c r="I177" s="6">
        <v>2.72</v>
      </c>
      <c r="J177" s="6">
        <v>108.08</v>
      </c>
      <c r="K177" s="5">
        <v>441</v>
      </c>
      <c r="L177" s="13" t="str">
        <f t="shared" si="4"/>
        <v>Discount Applied</v>
      </c>
      <c r="M177" s="13" t="str">
        <f t="shared" si="5"/>
        <v>Platinum</v>
      </c>
      <c r="N177" s="13"/>
    </row>
    <row r="178" spans="1:14" x14ac:dyDescent="0.3">
      <c r="A178" s="3">
        <v>6180</v>
      </c>
      <c r="B178" s="3" t="s">
        <v>24</v>
      </c>
      <c r="C178" s="4">
        <v>45866</v>
      </c>
      <c r="D178" s="3" t="s">
        <v>27</v>
      </c>
      <c r="E178" s="3" t="s">
        <v>16</v>
      </c>
      <c r="F178" s="5">
        <v>3</v>
      </c>
      <c r="G178" s="6">
        <v>4.33</v>
      </c>
      <c r="H178" s="6">
        <v>12.99</v>
      </c>
      <c r="I178" s="6">
        <v>2.6</v>
      </c>
      <c r="J178" s="6">
        <v>10.39</v>
      </c>
      <c r="K178" s="5">
        <v>10</v>
      </c>
      <c r="L178" s="13" t="str">
        <f t="shared" si="4"/>
        <v>Discount Applied</v>
      </c>
      <c r="M178" s="13" t="str">
        <f t="shared" si="5"/>
        <v>Bronze</v>
      </c>
      <c r="N178" s="13"/>
    </row>
    <row r="179" spans="1:14" x14ac:dyDescent="0.3">
      <c r="A179" s="3">
        <v>2188</v>
      </c>
      <c r="B179" s="3" t="s">
        <v>26</v>
      </c>
      <c r="C179" s="4">
        <v>45152</v>
      </c>
      <c r="D179" s="3" t="s">
        <v>22</v>
      </c>
      <c r="E179" s="3" t="s">
        <v>43</v>
      </c>
      <c r="F179" s="5">
        <v>4</v>
      </c>
      <c r="G179" s="6">
        <v>25.48</v>
      </c>
      <c r="H179" s="6">
        <v>101.92</v>
      </c>
      <c r="I179" s="6">
        <v>2.6</v>
      </c>
      <c r="J179" s="6">
        <v>99.32</v>
      </c>
      <c r="K179" s="5">
        <v>124</v>
      </c>
      <c r="L179" s="13" t="str">
        <f t="shared" si="4"/>
        <v>Discount Applied</v>
      </c>
      <c r="M179" s="13" t="str">
        <f t="shared" si="5"/>
        <v>Platinum</v>
      </c>
      <c r="N179" s="13"/>
    </row>
    <row r="180" spans="1:14" x14ac:dyDescent="0.3">
      <c r="A180" s="3">
        <v>8508</v>
      </c>
      <c r="B180" s="3" t="s">
        <v>11</v>
      </c>
      <c r="C180" s="4">
        <v>45627</v>
      </c>
      <c r="D180" s="3" t="s">
        <v>20</v>
      </c>
      <c r="E180" s="3" t="s">
        <v>37</v>
      </c>
      <c r="F180" s="5">
        <v>3</v>
      </c>
      <c r="G180" s="6">
        <v>7.42</v>
      </c>
      <c r="H180" s="6">
        <v>22.26</v>
      </c>
      <c r="I180" s="6">
        <v>3.04</v>
      </c>
      <c r="J180" s="6">
        <v>19.22</v>
      </c>
      <c r="K180" s="5">
        <v>398</v>
      </c>
      <c r="L180" s="13" t="str">
        <f t="shared" si="4"/>
        <v>Discount Applied</v>
      </c>
      <c r="M180" s="13" t="str">
        <f t="shared" si="5"/>
        <v>Bronze</v>
      </c>
      <c r="N180" s="13"/>
    </row>
    <row r="181" spans="1:14" x14ac:dyDescent="0.3">
      <c r="A181" s="3">
        <v>2638</v>
      </c>
      <c r="B181" s="3" t="s">
        <v>11</v>
      </c>
      <c r="C181" s="4">
        <v>45201</v>
      </c>
      <c r="D181" s="3" t="s">
        <v>38</v>
      </c>
      <c r="E181" s="3" t="s">
        <v>46</v>
      </c>
      <c r="F181" s="5">
        <v>2</v>
      </c>
      <c r="G181" s="6">
        <v>27.26</v>
      </c>
      <c r="H181" s="6">
        <v>54.52</v>
      </c>
      <c r="I181" s="6">
        <v>0</v>
      </c>
      <c r="J181" s="6">
        <v>54.52</v>
      </c>
      <c r="K181" s="5">
        <v>178</v>
      </c>
      <c r="L181" s="13" t="str">
        <f t="shared" si="4"/>
        <v>No Discount</v>
      </c>
      <c r="M181" s="13" t="str">
        <f t="shared" si="5"/>
        <v>Gold</v>
      </c>
      <c r="N181" s="13"/>
    </row>
    <row r="182" spans="1:14" x14ac:dyDescent="0.3">
      <c r="A182" s="3">
        <v>9808</v>
      </c>
      <c r="B182" s="3" t="s">
        <v>19</v>
      </c>
      <c r="C182" s="4">
        <v>45310</v>
      </c>
      <c r="D182" s="3" t="s">
        <v>17</v>
      </c>
      <c r="E182" s="3" t="s">
        <v>48</v>
      </c>
      <c r="F182" s="5">
        <v>2</v>
      </c>
      <c r="G182" s="6">
        <v>8.41</v>
      </c>
      <c r="H182" s="6">
        <v>16.82</v>
      </c>
      <c r="I182" s="6">
        <v>0</v>
      </c>
      <c r="J182" s="6">
        <v>16.82</v>
      </c>
      <c r="K182" s="5">
        <v>88</v>
      </c>
      <c r="L182" s="13" t="str">
        <f t="shared" si="4"/>
        <v>No Discount</v>
      </c>
      <c r="M182" s="13" t="str">
        <f t="shared" si="5"/>
        <v>Bronze</v>
      </c>
      <c r="N182" s="13"/>
    </row>
    <row r="183" spans="1:14" x14ac:dyDescent="0.3">
      <c r="A183" s="3">
        <v>9288</v>
      </c>
      <c r="B183" s="3" t="s">
        <v>11</v>
      </c>
      <c r="C183" s="4">
        <v>45350</v>
      </c>
      <c r="D183" s="3" t="s">
        <v>34</v>
      </c>
      <c r="E183" s="3" t="s">
        <v>47</v>
      </c>
      <c r="F183" s="5">
        <v>4</v>
      </c>
      <c r="G183" s="6">
        <v>22.87</v>
      </c>
      <c r="H183" s="6">
        <v>91.48</v>
      </c>
      <c r="I183" s="6">
        <v>0</v>
      </c>
      <c r="J183" s="6">
        <v>91.48</v>
      </c>
      <c r="K183" s="5">
        <v>389</v>
      </c>
      <c r="L183" s="13" t="str">
        <f t="shared" si="4"/>
        <v>No Discount</v>
      </c>
      <c r="M183" s="13" t="str">
        <f t="shared" si="5"/>
        <v>Platinum</v>
      </c>
      <c r="N183" s="13"/>
    </row>
    <row r="184" spans="1:14" x14ac:dyDescent="0.3">
      <c r="A184" s="3">
        <v>3170</v>
      </c>
      <c r="B184" s="3" t="s">
        <v>36</v>
      </c>
      <c r="C184" s="4">
        <v>45869</v>
      </c>
      <c r="D184" s="3" t="s">
        <v>27</v>
      </c>
      <c r="E184" s="3" t="s">
        <v>21</v>
      </c>
      <c r="F184" s="5">
        <v>2</v>
      </c>
      <c r="G184" s="6">
        <v>13.74</v>
      </c>
      <c r="H184" s="6">
        <v>27.48</v>
      </c>
      <c r="I184" s="6">
        <v>0</v>
      </c>
      <c r="J184" s="6">
        <v>27.48</v>
      </c>
      <c r="K184" s="5">
        <v>240</v>
      </c>
      <c r="L184" s="13" t="str">
        <f t="shared" si="4"/>
        <v>No Discount</v>
      </c>
      <c r="M184" s="13" t="str">
        <f t="shared" si="5"/>
        <v>Silver</v>
      </c>
      <c r="N184" s="13"/>
    </row>
    <row r="185" spans="1:14" x14ac:dyDescent="0.3">
      <c r="A185" s="3">
        <v>6718</v>
      </c>
      <c r="B185" s="3" t="s">
        <v>30</v>
      </c>
      <c r="C185" s="4">
        <v>45829</v>
      </c>
      <c r="D185" s="3" t="s">
        <v>35</v>
      </c>
      <c r="E185" s="3" t="s">
        <v>40</v>
      </c>
      <c r="F185" s="5">
        <v>3</v>
      </c>
      <c r="G185" s="6">
        <v>15.7</v>
      </c>
      <c r="H185" s="6">
        <v>47.1</v>
      </c>
      <c r="I185" s="6">
        <v>4.71</v>
      </c>
      <c r="J185" s="6">
        <v>42.39</v>
      </c>
      <c r="K185" s="5">
        <v>158</v>
      </c>
      <c r="L185" s="13" t="str">
        <f t="shared" si="4"/>
        <v>Discount Applied</v>
      </c>
      <c r="M185" s="13" t="str">
        <f t="shared" si="5"/>
        <v>Silver</v>
      </c>
      <c r="N185" s="13"/>
    </row>
    <row r="186" spans="1:14" x14ac:dyDescent="0.3">
      <c r="A186" s="3">
        <v>2127</v>
      </c>
      <c r="B186" s="3" t="s">
        <v>31</v>
      </c>
      <c r="C186" s="4">
        <v>45827</v>
      </c>
      <c r="D186" s="3" t="s">
        <v>12</v>
      </c>
      <c r="E186" s="3" t="s">
        <v>23</v>
      </c>
      <c r="F186" s="5">
        <v>3</v>
      </c>
      <c r="G186" s="6">
        <v>3.22</v>
      </c>
      <c r="H186" s="6">
        <v>9.66</v>
      </c>
      <c r="I186" s="6">
        <v>3.38</v>
      </c>
      <c r="J186" s="6">
        <v>6.28</v>
      </c>
      <c r="K186" s="5">
        <v>442</v>
      </c>
      <c r="L186" s="13" t="str">
        <f t="shared" si="4"/>
        <v>Discount Applied</v>
      </c>
      <c r="M186" s="13" t="str">
        <f t="shared" si="5"/>
        <v>Bronze</v>
      </c>
      <c r="N186" s="13"/>
    </row>
    <row r="187" spans="1:14" x14ac:dyDescent="0.3">
      <c r="A187" s="3">
        <v>5002</v>
      </c>
      <c r="B187" s="3" t="s">
        <v>24</v>
      </c>
      <c r="C187" s="4">
        <v>45432</v>
      </c>
      <c r="D187" s="3" t="s">
        <v>45</v>
      </c>
      <c r="E187" s="3" t="s">
        <v>18</v>
      </c>
      <c r="F187" s="5">
        <v>1</v>
      </c>
      <c r="G187" s="6">
        <v>14.03</v>
      </c>
      <c r="H187" s="6">
        <v>14.03</v>
      </c>
      <c r="I187" s="6">
        <v>2.1</v>
      </c>
      <c r="J187" s="6">
        <v>11.93</v>
      </c>
      <c r="K187" s="5">
        <v>414</v>
      </c>
      <c r="L187" s="13" t="str">
        <f t="shared" si="4"/>
        <v>Discount Applied</v>
      </c>
      <c r="M187" s="13" t="str">
        <f t="shared" si="5"/>
        <v>Bronze</v>
      </c>
      <c r="N187" s="13"/>
    </row>
    <row r="188" spans="1:14" x14ac:dyDescent="0.3">
      <c r="A188" s="3">
        <v>5669</v>
      </c>
      <c r="B188" s="3" t="s">
        <v>26</v>
      </c>
      <c r="C188" s="4">
        <v>45267</v>
      </c>
      <c r="D188" s="3" t="s">
        <v>38</v>
      </c>
      <c r="E188" s="3" t="s">
        <v>41</v>
      </c>
      <c r="F188" s="5">
        <v>1</v>
      </c>
      <c r="G188" s="6">
        <v>14.06</v>
      </c>
      <c r="H188" s="6">
        <v>14.06</v>
      </c>
      <c r="I188" s="6">
        <v>0</v>
      </c>
      <c r="J188" s="6">
        <v>14.06</v>
      </c>
      <c r="K188" s="5">
        <v>415</v>
      </c>
      <c r="L188" s="13" t="str">
        <f t="shared" si="4"/>
        <v>No Discount</v>
      </c>
      <c r="M188" s="13" t="str">
        <f t="shared" si="5"/>
        <v>Bronze</v>
      </c>
      <c r="N188" s="13"/>
    </row>
    <row r="189" spans="1:14" x14ac:dyDescent="0.3">
      <c r="A189" s="3">
        <v>8179</v>
      </c>
      <c r="B189" s="3" t="s">
        <v>11</v>
      </c>
      <c r="C189" s="4">
        <v>45792</v>
      </c>
      <c r="D189" s="3" t="s">
        <v>38</v>
      </c>
      <c r="E189" s="3" t="s">
        <v>29</v>
      </c>
      <c r="F189" s="5">
        <v>1</v>
      </c>
      <c r="G189" s="6">
        <v>8.17</v>
      </c>
      <c r="H189" s="6">
        <v>8.17</v>
      </c>
      <c r="I189" s="6">
        <v>3.09</v>
      </c>
      <c r="J189" s="6">
        <v>5.08</v>
      </c>
      <c r="K189" s="5">
        <v>224</v>
      </c>
      <c r="L189" s="13" t="str">
        <f t="shared" si="4"/>
        <v>Discount Applied</v>
      </c>
      <c r="M189" s="13" t="str">
        <f t="shared" si="5"/>
        <v>Bronze</v>
      </c>
      <c r="N189" s="13"/>
    </row>
    <row r="190" spans="1:14" x14ac:dyDescent="0.3">
      <c r="A190" s="3">
        <v>9900</v>
      </c>
      <c r="B190" s="3" t="s">
        <v>19</v>
      </c>
      <c r="C190" s="4">
        <v>45691</v>
      </c>
      <c r="D190" s="3" t="s">
        <v>22</v>
      </c>
      <c r="E190" s="3" t="s">
        <v>23</v>
      </c>
      <c r="F190" s="5">
        <v>3</v>
      </c>
      <c r="G190" s="6">
        <v>12.23</v>
      </c>
      <c r="H190" s="6">
        <v>36.69</v>
      </c>
      <c r="I190" s="6">
        <v>0</v>
      </c>
      <c r="J190" s="6">
        <v>36.69</v>
      </c>
      <c r="K190" s="5">
        <v>396</v>
      </c>
      <c r="L190" s="13" t="str">
        <f t="shared" si="4"/>
        <v>No Discount</v>
      </c>
      <c r="M190" s="13" t="str">
        <f t="shared" si="5"/>
        <v>Silver</v>
      </c>
      <c r="N190" s="13"/>
    </row>
    <row r="191" spans="1:14" x14ac:dyDescent="0.3">
      <c r="A191" s="3">
        <v>5956</v>
      </c>
      <c r="B191" s="3" t="s">
        <v>31</v>
      </c>
      <c r="C191" s="4">
        <v>45620</v>
      </c>
      <c r="D191" s="3" t="s">
        <v>27</v>
      </c>
      <c r="E191" s="3" t="s">
        <v>21</v>
      </c>
      <c r="F191" s="5">
        <v>1</v>
      </c>
      <c r="G191" s="6">
        <v>10.55</v>
      </c>
      <c r="H191" s="6">
        <v>10.55</v>
      </c>
      <c r="I191" s="6">
        <v>1.58</v>
      </c>
      <c r="J191" s="6">
        <v>8.9700000000000006</v>
      </c>
      <c r="K191" s="5">
        <v>285</v>
      </c>
      <c r="L191" s="13" t="str">
        <f t="shared" si="4"/>
        <v>Discount Applied</v>
      </c>
      <c r="M191" s="13" t="str">
        <f t="shared" si="5"/>
        <v>Bronze</v>
      </c>
      <c r="N191" s="13"/>
    </row>
    <row r="192" spans="1:14" x14ac:dyDescent="0.3">
      <c r="A192" s="3">
        <v>9666</v>
      </c>
      <c r="B192" s="3" t="s">
        <v>30</v>
      </c>
      <c r="C192" s="4">
        <v>45151</v>
      </c>
      <c r="D192" s="3" t="s">
        <v>27</v>
      </c>
      <c r="E192" s="3" t="s">
        <v>41</v>
      </c>
      <c r="F192" s="5">
        <v>3</v>
      </c>
      <c r="G192" s="6">
        <v>3.35</v>
      </c>
      <c r="H192" s="6">
        <v>10.050000000000001</v>
      </c>
      <c r="I192" s="6">
        <v>1.51</v>
      </c>
      <c r="J192" s="6">
        <v>8.5399999999999991</v>
      </c>
      <c r="K192" s="5">
        <v>339</v>
      </c>
      <c r="L192" s="13" t="str">
        <f t="shared" si="4"/>
        <v>Discount Applied</v>
      </c>
      <c r="M192" s="13" t="str">
        <f t="shared" si="5"/>
        <v>Bronze</v>
      </c>
      <c r="N192" s="13"/>
    </row>
    <row r="193" spans="1:14" x14ac:dyDescent="0.3">
      <c r="A193" s="3">
        <v>5905</v>
      </c>
      <c r="B193" s="3" t="s">
        <v>30</v>
      </c>
      <c r="C193" s="4">
        <v>45868</v>
      </c>
      <c r="D193" s="3" t="s">
        <v>27</v>
      </c>
      <c r="E193" s="3" t="s">
        <v>32</v>
      </c>
      <c r="F193" s="5">
        <v>2</v>
      </c>
      <c r="G193" s="6">
        <v>18.25</v>
      </c>
      <c r="H193" s="6">
        <v>36.5</v>
      </c>
      <c r="I193" s="6">
        <v>5.47</v>
      </c>
      <c r="J193" s="6">
        <v>31.03</v>
      </c>
      <c r="K193" s="5">
        <v>480</v>
      </c>
      <c r="L193" s="13" t="str">
        <f t="shared" si="4"/>
        <v>Discount Applied</v>
      </c>
      <c r="M193" s="13" t="str">
        <f t="shared" si="5"/>
        <v>Silver</v>
      </c>
      <c r="N193" s="13"/>
    </row>
    <row r="194" spans="1:14" x14ac:dyDescent="0.3">
      <c r="A194" s="3">
        <v>2697</v>
      </c>
      <c r="B194" s="3" t="s">
        <v>14</v>
      </c>
      <c r="C194" s="4">
        <v>45874</v>
      </c>
      <c r="D194" s="3" t="s">
        <v>20</v>
      </c>
      <c r="E194" s="3" t="s">
        <v>21</v>
      </c>
      <c r="F194" s="5">
        <v>2</v>
      </c>
      <c r="G194" s="6">
        <v>20.420000000000002</v>
      </c>
      <c r="H194" s="6">
        <v>40.840000000000003</v>
      </c>
      <c r="I194" s="6">
        <v>0</v>
      </c>
      <c r="J194" s="6">
        <v>40.840000000000003</v>
      </c>
      <c r="K194" s="5">
        <v>424</v>
      </c>
      <c r="L194" s="13" t="str">
        <f t="shared" si="4"/>
        <v>No Discount</v>
      </c>
      <c r="M194" s="13" t="str">
        <f t="shared" si="5"/>
        <v>Silver</v>
      </c>
      <c r="N194" s="13"/>
    </row>
    <row r="195" spans="1:14" x14ac:dyDescent="0.3">
      <c r="A195" s="3">
        <v>3200</v>
      </c>
      <c r="B195" s="3" t="s">
        <v>24</v>
      </c>
      <c r="C195" s="4">
        <v>45350</v>
      </c>
      <c r="D195" s="3" t="s">
        <v>38</v>
      </c>
      <c r="E195" s="3" t="s">
        <v>23</v>
      </c>
      <c r="F195" s="5">
        <v>1</v>
      </c>
      <c r="G195" s="6">
        <v>11.51</v>
      </c>
      <c r="H195" s="6">
        <v>11.51</v>
      </c>
      <c r="I195" s="6">
        <v>1.73</v>
      </c>
      <c r="J195" s="6">
        <v>9.7799999999999994</v>
      </c>
      <c r="K195" s="5">
        <v>92</v>
      </c>
      <c r="L195" s="13" t="str">
        <f t="shared" ref="L195:L258" si="6">IF(I195&gt;0,"Discount Applied","No Discount")</f>
        <v>Discount Applied</v>
      </c>
      <c r="M195" s="13" t="str">
        <f t="shared" ref="M195:M258" si="7">IF(J195 &gt;= 70, "Platinum",
   IF(J195 &gt;= 50, "Gold",
      IF(J195 &gt;= 20, "Silver", "Bronze")))</f>
        <v>Bronze</v>
      </c>
      <c r="N195" s="13"/>
    </row>
    <row r="196" spans="1:14" x14ac:dyDescent="0.3">
      <c r="A196" s="3">
        <v>2891</v>
      </c>
      <c r="B196" s="3" t="s">
        <v>26</v>
      </c>
      <c r="C196" s="4">
        <v>45836</v>
      </c>
      <c r="D196" s="3" t="s">
        <v>17</v>
      </c>
      <c r="E196" s="3" t="s">
        <v>25</v>
      </c>
      <c r="F196" s="5">
        <v>2</v>
      </c>
      <c r="G196" s="6">
        <v>5.48</v>
      </c>
      <c r="H196" s="6">
        <v>10.96</v>
      </c>
      <c r="I196" s="6">
        <v>4.08</v>
      </c>
      <c r="J196" s="6">
        <v>6.88</v>
      </c>
      <c r="K196" s="5">
        <v>151</v>
      </c>
      <c r="L196" s="13" t="str">
        <f t="shared" si="6"/>
        <v>Discount Applied</v>
      </c>
      <c r="M196" s="13" t="str">
        <f t="shared" si="7"/>
        <v>Bronze</v>
      </c>
      <c r="N196" s="13"/>
    </row>
    <row r="197" spans="1:14" x14ac:dyDescent="0.3">
      <c r="A197" s="3">
        <v>2753</v>
      </c>
      <c r="B197" s="3" t="s">
        <v>14</v>
      </c>
      <c r="C197" s="4">
        <v>45721</v>
      </c>
      <c r="D197" s="3" t="s">
        <v>12</v>
      </c>
      <c r="E197" s="3" t="s">
        <v>21</v>
      </c>
      <c r="F197" s="5">
        <v>5</v>
      </c>
      <c r="G197" s="6">
        <v>4.79</v>
      </c>
      <c r="H197" s="6">
        <v>23.95</v>
      </c>
      <c r="I197" s="6">
        <v>4.79</v>
      </c>
      <c r="J197" s="6">
        <v>19.16</v>
      </c>
      <c r="K197" s="5">
        <v>192</v>
      </c>
      <c r="L197" s="13" t="str">
        <f t="shared" si="6"/>
        <v>Discount Applied</v>
      </c>
      <c r="M197" s="13" t="str">
        <f t="shared" si="7"/>
        <v>Bronze</v>
      </c>
      <c r="N197" s="13"/>
    </row>
    <row r="198" spans="1:14" x14ac:dyDescent="0.3">
      <c r="A198" s="3">
        <v>3546</v>
      </c>
      <c r="B198" s="3" t="s">
        <v>19</v>
      </c>
      <c r="C198" s="4">
        <v>45356</v>
      </c>
      <c r="D198" s="3" t="s">
        <v>28</v>
      </c>
      <c r="E198" s="3" t="s">
        <v>29</v>
      </c>
      <c r="F198" s="5">
        <v>4</v>
      </c>
      <c r="G198" s="6">
        <v>2.2599999999999998</v>
      </c>
      <c r="H198" s="6">
        <v>9.0399999999999991</v>
      </c>
      <c r="I198" s="6">
        <v>0.9</v>
      </c>
      <c r="J198" s="6">
        <v>8.14</v>
      </c>
      <c r="K198" s="5">
        <v>186</v>
      </c>
      <c r="L198" s="13" t="str">
        <f t="shared" si="6"/>
        <v>Discount Applied</v>
      </c>
      <c r="M198" s="13" t="str">
        <f t="shared" si="7"/>
        <v>Bronze</v>
      </c>
      <c r="N198" s="13"/>
    </row>
    <row r="199" spans="1:14" x14ac:dyDescent="0.3">
      <c r="A199" s="3">
        <v>5616</v>
      </c>
      <c r="B199" s="3" t="s">
        <v>30</v>
      </c>
      <c r="C199" s="4">
        <v>45614</v>
      </c>
      <c r="D199" s="3" t="s">
        <v>45</v>
      </c>
      <c r="E199" s="3" t="s">
        <v>25</v>
      </c>
      <c r="F199" s="5">
        <v>5</v>
      </c>
      <c r="G199" s="6">
        <v>7.93</v>
      </c>
      <c r="H199" s="6">
        <v>39.65</v>
      </c>
      <c r="I199" s="6">
        <v>7.93</v>
      </c>
      <c r="J199" s="6">
        <v>31.72</v>
      </c>
      <c r="K199" s="5">
        <v>494</v>
      </c>
      <c r="L199" s="13" t="str">
        <f t="shared" si="6"/>
        <v>Discount Applied</v>
      </c>
      <c r="M199" s="13" t="str">
        <f t="shared" si="7"/>
        <v>Silver</v>
      </c>
      <c r="N199" s="13"/>
    </row>
    <row r="200" spans="1:14" x14ac:dyDescent="0.3">
      <c r="A200" s="3">
        <v>4450</v>
      </c>
      <c r="B200" s="3" t="s">
        <v>36</v>
      </c>
      <c r="C200" s="4">
        <v>45702</v>
      </c>
      <c r="D200" s="3" t="s">
        <v>27</v>
      </c>
      <c r="E200" s="3" t="s">
        <v>33</v>
      </c>
      <c r="F200" s="5">
        <v>4</v>
      </c>
      <c r="G200" s="6">
        <v>23.3</v>
      </c>
      <c r="H200" s="6">
        <v>93.2</v>
      </c>
      <c r="I200" s="6">
        <v>3.11</v>
      </c>
      <c r="J200" s="6">
        <v>90.09</v>
      </c>
      <c r="K200" s="5">
        <v>398</v>
      </c>
      <c r="L200" s="13" t="str">
        <f t="shared" si="6"/>
        <v>Discount Applied</v>
      </c>
      <c r="M200" s="13" t="str">
        <f t="shared" si="7"/>
        <v>Platinum</v>
      </c>
      <c r="N200" s="13"/>
    </row>
    <row r="201" spans="1:14" x14ac:dyDescent="0.3">
      <c r="A201" s="3">
        <v>6617</v>
      </c>
      <c r="B201" s="3" t="s">
        <v>19</v>
      </c>
      <c r="C201" s="4">
        <v>45303</v>
      </c>
      <c r="D201" s="3" t="s">
        <v>17</v>
      </c>
      <c r="E201" s="3" t="s">
        <v>41</v>
      </c>
      <c r="F201" s="5">
        <v>3</v>
      </c>
      <c r="G201" s="6">
        <v>2.5</v>
      </c>
      <c r="H201" s="6">
        <v>7.5</v>
      </c>
      <c r="I201" s="6">
        <v>4.74</v>
      </c>
      <c r="J201" s="6">
        <v>2.76</v>
      </c>
      <c r="K201" s="5">
        <v>246</v>
      </c>
      <c r="L201" s="13" t="str">
        <f t="shared" si="6"/>
        <v>Discount Applied</v>
      </c>
      <c r="M201" s="13" t="str">
        <f t="shared" si="7"/>
        <v>Bronze</v>
      </c>
      <c r="N201" s="13"/>
    </row>
    <row r="202" spans="1:14" x14ac:dyDescent="0.3">
      <c r="A202" s="3">
        <v>5325</v>
      </c>
      <c r="B202" s="3" t="s">
        <v>14</v>
      </c>
      <c r="C202" s="4">
        <v>45537</v>
      </c>
      <c r="D202" s="3" t="s">
        <v>15</v>
      </c>
      <c r="E202" s="3" t="s">
        <v>37</v>
      </c>
      <c r="F202" s="5">
        <v>1</v>
      </c>
      <c r="G202" s="6">
        <v>23.12</v>
      </c>
      <c r="H202" s="6">
        <v>23.12</v>
      </c>
      <c r="I202" s="6">
        <v>1.59</v>
      </c>
      <c r="J202" s="6">
        <v>21.53</v>
      </c>
      <c r="K202" s="5">
        <v>139</v>
      </c>
      <c r="L202" s="13" t="str">
        <f t="shared" si="6"/>
        <v>Discount Applied</v>
      </c>
      <c r="M202" s="13" t="str">
        <f t="shared" si="7"/>
        <v>Silver</v>
      </c>
      <c r="N202" s="13"/>
    </row>
    <row r="203" spans="1:14" x14ac:dyDescent="0.3">
      <c r="A203" s="3">
        <v>9004</v>
      </c>
      <c r="B203" s="3" t="s">
        <v>24</v>
      </c>
      <c r="C203" s="4">
        <v>45340</v>
      </c>
      <c r="D203" s="3" t="s">
        <v>15</v>
      </c>
      <c r="E203" s="3" t="s">
        <v>25</v>
      </c>
      <c r="F203" s="5">
        <v>4</v>
      </c>
      <c r="G203" s="6">
        <v>26.64</v>
      </c>
      <c r="H203" s="6">
        <v>106.56</v>
      </c>
      <c r="I203" s="6">
        <v>10.66</v>
      </c>
      <c r="J203" s="6">
        <v>95.9</v>
      </c>
      <c r="K203" s="5">
        <v>476</v>
      </c>
      <c r="L203" s="13" t="str">
        <f t="shared" si="6"/>
        <v>Discount Applied</v>
      </c>
      <c r="M203" s="13" t="str">
        <f t="shared" si="7"/>
        <v>Platinum</v>
      </c>
      <c r="N203" s="13"/>
    </row>
    <row r="204" spans="1:14" x14ac:dyDescent="0.3">
      <c r="A204" s="3">
        <v>1832</v>
      </c>
      <c r="B204" s="3" t="s">
        <v>31</v>
      </c>
      <c r="C204" s="4">
        <v>45216</v>
      </c>
      <c r="D204" s="3" t="s">
        <v>20</v>
      </c>
      <c r="E204" s="3" t="s">
        <v>46</v>
      </c>
      <c r="F204" s="5">
        <v>3</v>
      </c>
      <c r="G204" s="6">
        <v>7.83</v>
      </c>
      <c r="H204" s="6">
        <v>23.49</v>
      </c>
      <c r="I204" s="6">
        <v>4.7</v>
      </c>
      <c r="J204" s="6">
        <v>18.79</v>
      </c>
      <c r="K204" s="5">
        <v>41</v>
      </c>
      <c r="L204" s="13" t="str">
        <f t="shared" si="6"/>
        <v>Discount Applied</v>
      </c>
      <c r="M204" s="13" t="str">
        <f t="shared" si="7"/>
        <v>Bronze</v>
      </c>
      <c r="N204" s="13"/>
    </row>
    <row r="205" spans="1:14" x14ac:dyDescent="0.3">
      <c r="A205" s="3">
        <v>5533</v>
      </c>
      <c r="B205" s="3" t="s">
        <v>31</v>
      </c>
      <c r="C205" s="4">
        <v>45789</v>
      </c>
      <c r="D205" s="3" t="s">
        <v>22</v>
      </c>
      <c r="E205" s="3" t="s">
        <v>48</v>
      </c>
      <c r="F205" s="5">
        <v>3</v>
      </c>
      <c r="G205" s="6">
        <v>23.94</v>
      </c>
      <c r="H205" s="6">
        <v>71.819999999999993</v>
      </c>
      <c r="I205" s="6">
        <v>10.77</v>
      </c>
      <c r="J205" s="6">
        <v>61.05</v>
      </c>
      <c r="K205" s="5">
        <v>70</v>
      </c>
      <c r="L205" s="13" t="str">
        <f t="shared" si="6"/>
        <v>Discount Applied</v>
      </c>
      <c r="M205" s="13" t="str">
        <f t="shared" si="7"/>
        <v>Gold</v>
      </c>
      <c r="N205" s="13"/>
    </row>
    <row r="206" spans="1:14" x14ac:dyDescent="0.3">
      <c r="A206" s="3">
        <v>1058</v>
      </c>
      <c r="B206" s="3" t="s">
        <v>26</v>
      </c>
      <c r="C206" s="4">
        <v>45179</v>
      </c>
      <c r="D206" s="3" t="s">
        <v>34</v>
      </c>
      <c r="E206" s="3" t="s">
        <v>47</v>
      </c>
      <c r="F206" s="5">
        <v>4</v>
      </c>
      <c r="G206" s="6">
        <v>18.84</v>
      </c>
      <c r="H206" s="6">
        <v>75.36</v>
      </c>
      <c r="I206" s="6">
        <v>2.02</v>
      </c>
      <c r="J206" s="6">
        <v>73.34</v>
      </c>
      <c r="K206" s="5">
        <v>463</v>
      </c>
      <c r="L206" s="13" t="str">
        <f t="shared" si="6"/>
        <v>Discount Applied</v>
      </c>
      <c r="M206" s="13" t="str">
        <f t="shared" si="7"/>
        <v>Platinum</v>
      </c>
      <c r="N206" s="13"/>
    </row>
    <row r="207" spans="1:14" x14ac:dyDescent="0.3">
      <c r="A207" s="3">
        <v>3143</v>
      </c>
      <c r="B207" s="3" t="s">
        <v>19</v>
      </c>
      <c r="C207" s="4">
        <v>45404</v>
      </c>
      <c r="D207" s="3" t="s">
        <v>38</v>
      </c>
      <c r="E207" s="3" t="s">
        <v>46</v>
      </c>
      <c r="F207" s="5">
        <v>4</v>
      </c>
      <c r="G207" s="6">
        <v>4.21</v>
      </c>
      <c r="H207" s="6">
        <v>16.84</v>
      </c>
      <c r="I207" s="6">
        <v>2.5299999999999998</v>
      </c>
      <c r="J207" s="6">
        <v>14.31</v>
      </c>
      <c r="K207" s="5">
        <v>147</v>
      </c>
      <c r="L207" s="13" t="str">
        <f t="shared" si="6"/>
        <v>Discount Applied</v>
      </c>
      <c r="M207" s="13" t="str">
        <f t="shared" si="7"/>
        <v>Bronze</v>
      </c>
      <c r="N207" s="13"/>
    </row>
    <row r="208" spans="1:14" x14ac:dyDescent="0.3">
      <c r="A208" s="3">
        <v>5291</v>
      </c>
      <c r="B208" s="3" t="s">
        <v>11</v>
      </c>
      <c r="C208" s="4">
        <v>45639</v>
      </c>
      <c r="D208" s="3" t="s">
        <v>12</v>
      </c>
      <c r="E208" s="3" t="s">
        <v>25</v>
      </c>
      <c r="F208" s="5">
        <v>4</v>
      </c>
      <c r="G208" s="6">
        <v>19.52</v>
      </c>
      <c r="H208" s="6">
        <v>78.08</v>
      </c>
      <c r="I208" s="6">
        <v>1.44</v>
      </c>
      <c r="J208" s="6">
        <v>76.64</v>
      </c>
      <c r="K208" s="5">
        <v>318</v>
      </c>
      <c r="L208" s="13" t="str">
        <f t="shared" si="6"/>
        <v>Discount Applied</v>
      </c>
      <c r="M208" s="13" t="str">
        <f t="shared" si="7"/>
        <v>Platinum</v>
      </c>
      <c r="N208" s="13"/>
    </row>
    <row r="209" spans="1:14" x14ac:dyDescent="0.3">
      <c r="A209" s="3">
        <v>8239</v>
      </c>
      <c r="B209" s="3" t="s">
        <v>26</v>
      </c>
      <c r="C209" s="4">
        <v>45270</v>
      </c>
      <c r="D209" s="3" t="s">
        <v>28</v>
      </c>
      <c r="E209" s="3" t="s">
        <v>18</v>
      </c>
      <c r="F209" s="5">
        <v>1</v>
      </c>
      <c r="G209" s="6">
        <v>19.32</v>
      </c>
      <c r="H209" s="6">
        <v>19.32</v>
      </c>
      <c r="I209" s="6">
        <v>0</v>
      </c>
      <c r="J209" s="6">
        <v>19.32</v>
      </c>
      <c r="K209" s="5">
        <v>294</v>
      </c>
      <c r="L209" s="13" t="str">
        <f t="shared" si="6"/>
        <v>No Discount</v>
      </c>
      <c r="M209" s="13" t="str">
        <f t="shared" si="7"/>
        <v>Bronze</v>
      </c>
      <c r="N209" s="13"/>
    </row>
    <row r="210" spans="1:14" x14ac:dyDescent="0.3">
      <c r="A210" s="3">
        <v>8007</v>
      </c>
      <c r="B210" s="3" t="s">
        <v>19</v>
      </c>
      <c r="C210" s="4">
        <v>45573</v>
      </c>
      <c r="D210" s="3" t="s">
        <v>35</v>
      </c>
      <c r="E210" s="3" t="s">
        <v>16</v>
      </c>
      <c r="F210" s="5">
        <v>1</v>
      </c>
      <c r="G210" s="6">
        <v>18.82</v>
      </c>
      <c r="H210" s="6">
        <v>18.82</v>
      </c>
      <c r="I210" s="6">
        <v>3.76</v>
      </c>
      <c r="J210" s="6">
        <v>15.06</v>
      </c>
      <c r="K210" s="5">
        <v>123</v>
      </c>
      <c r="L210" s="13" t="str">
        <f t="shared" si="6"/>
        <v>Discount Applied</v>
      </c>
      <c r="M210" s="13" t="str">
        <f t="shared" si="7"/>
        <v>Bronze</v>
      </c>
      <c r="N210" s="13"/>
    </row>
    <row r="211" spans="1:14" x14ac:dyDescent="0.3">
      <c r="A211" s="3">
        <v>1158</v>
      </c>
      <c r="B211" s="3" t="s">
        <v>11</v>
      </c>
      <c r="C211" s="4">
        <v>45580</v>
      </c>
      <c r="D211" s="3" t="s">
        <v>38</v>
      </c>
      <c r="E211" s="3" t="s">
        <v>23</v>
      </c>
      <c r="F211" s="5">
        <v>1</v>
      </c>
      <c r="G211" s="6">
        <v>28.64</v>
      </c>
      <c r="H211" s="6">
        <v>28.64</v>
      </c>
      <c r="I211" s="6">
        <v>2.86</v>
      </c>
      <c r="J211" s="6">
        <v>25.78</v>
      </c>
      <c r="K211" s="5">
        <v>278</v>
      </c>
      <c r="L211" s="13" t="str">
        <f t="shared" si="6"/>
        <v>Discount Applied</v>
      </c>
      <c r="M211" s="13" t="str">
        <f t="shared" si="7"/>
        <v>Silver</v>
      </c>
      <c r="N211" s="13"/>
    </row>
    <row r="212" spans="1:14" x14ac:dyDescent="0.3">
      <c r="A212" s="3">
        <v>2232</v>
      </c>
      <c r="B212" s="3" t="s">
        <v>26</v>
      </c>
      <c r="C212" s="4">
        <v>45231</v>
      </c>
      <c r="D212" s="3" t="s">
        <v>12</v>
      </c>
      <c r="E212" s="3" t="s">
        <v>32</v>
      </c>
      <c r="F212" s="5">
        <v>3</v>
      </c>
      <c r="G212" s="6">
        <v>8.35</v>
      </c>
      <c r="H212" s="6">
        <v>25.05</v>
      </c>
      <c r="I212" s="6">
        <v>2.38</v>
      </c>
      <c r="J212" s="6">
        <v>22.67</v>
      </c>
      <c r="K212" s="5">
        <v>8</v>
      </c>
      <c r="L212" s="13" t="str">
        <f t="shared" si="6"/>
        <v>Discount Applied</v>
      </c>
      <c r="M212" s="13" t="str">
        <f t="shared" si="7"/>
        <v>Silver</v>
      </c>
      <c r="N212" s="13"/>
    </row>
    <row r="213" spans="1:14" x14ac:dyDescent="0.3">
      <c r="A213" s="3">
        <v>3442</v>
      </c>
      <c r="B213" s="3" t="s">
        <v>11</v>
      </c>
      <c r="C213" s="4">
        <v>45830</v>
      </c>
      <c r="D213" s="3" t="s">
        <v>28</v>
      </c>
      <c r="E213" s="3" t="s">
        <v>21</v>
      </c>
      <c r="F213" s="5">
        <v>2</v>
      </c>
      <c r="G213" s="6">
        <v>2.2799999999999998</v>
      </c>
      <c r="H213" s="6">
        <v>4.5599999999999996</v>
      </c>
      <c r="I213" s="6">
        <v>0</v>
      </c>
      <c r="J213" s="6">
        <v>4.5599999999999996</v>
      </c>
      <c r="K213" s="5">
        <v>279</v>
      </c>
      <c r="L213" s="13" t="str">
        <f t="shared" si="6"/>
        <v>No Discount</v>
      </c>
      <c r="M213" s="13" t="str">
        <f t="shared" si="7"/>
        <v>Bronze</v>
      </c>
      <c r="N213" s="13"/>
    </row>
    <row r="214" spans="1:14" x14ac:dyDescent="0.3">
      <c r="A214" s="3">
        <v>1590</v>
      </c>
      <c r="B214" s="3" t="s">
        <v>19</v>
      </c>
      <c r="C214" s="4">
        <v>45568</v>
      </c>
      <c r="D214" s="3" t="s">
        <v>27</v>
      </c>
      <c r="E214" s="3" t="s">
        <v>33</v>
      </c>
      <c r="F214" s="5">
        <v>4</v>
      </c>
      <c r="G214" s="6">
        <v>19.309999999999999</v>
      </c>
      <c r="H214" s="6">
        <v>77.239999999999995</v>
      </c>
      <c r="I214" s="6">
        <v>3.86</v>
      </c>
      <c r="J214" s="6">
        <v>73.38</v>
      </c>
      <c r="K214" s="5">
        <v>415</v>
      </c>
      <c r="L214" s="13" t="str">
        <f t="shared" si="6"/>
        <v>Discount Applied</v>
      </c>
      <c r="M214" s="13" t="str">
        <f t="shared" si="7"/>
        <v>Platinum</v>
      </c>
      <c r="N214" s="13"/>
    </row>
    <row r="215" spans="1:14" x14ac:dyDescent="0.3">
      <c r="A215" s="3">
        <v>7049</v>
      </c>
      <c r="B215" s="3" t="s">
        <v>26</v>
      </c>
      <c r="C215" s="4">
        <v>45793</v>
      </c>
      <c r="D215" s="3" t="s">
        <v>12</v>
      </c>
      <c r="E215" s="3" t="s">
        <v>37</v>
      </c>
      <c r="F215" s="5">
        <v>2</v>
      </c>
      <c r="G215" s="6">
        <v>2.2599999999999998</v>
      </c>
      <c r="H215" s="6">
        <v>4.5199999999999996</v>
      </c>
      <c r="I215" s="6">
        <v>0.68</v>
      </c>
      <c r="J215" s="6">
        <v>3.84</v>
      </c>
      <c r="K215" s="5">
        <v>102</v>
      </c>
      <c r="L215" s="13" t="str">
        <f t="shared" si="6"/>
        <v>Discount Applied</v>
      </c>
      <c r="M215" s="13" t="str">
        <f t="shared" si="7"/>
        <v>Bronze</v>
      </c>
      <c r="N215" s="13"/>
    </row>
    <row r="216" spans="1:14" x14ac:dyDescent="0.3">
      <c r="A216" s="3">
        <v>3426</v>
      </c>
      <c r="B216" s="3" t="s">
        <v>30</v>
      </c>
      <c r="C216" s="4">
        <v>45597</v>
      </c>
      <c r="D216" s="3" t="s">
        <v>38</v>
      </c>
      <c r="E216" s="3" t="s">
        <v>32</v>
      </c>
      <c r="F216" s="5">
        <v>5</v>
      </c>
      <c r="G216" s="6">
        <v>14.72</v>
      </c>
      <c r="H216" s="6">
        <v>73.599999999999994</v>
      </c>
      <c r="I216" s="6">
        <v>11.04</v>
      </c>
      <c r="J216" s="6">
        <v>62.56</v>
      </c>
      <c r="K216" s="5">
        <v>18</v>
      </c>
      <c r="L216" s="13" t="str">
        <f t="shared" si="6"/>
        <v>Discount Applied</v>
      </c>
      <c r="M216" s="13" t="str">
        <f t="shared" si="7"/>
        <v>Gold</v>
      </c>
      <c r="N216" s="13"/>
    </row>
    <row r="217" spans="1:14" x14ac:dyDescent="0.3">
      <c r="A217" s="3">
        <v>3088</v>
      </c>
      <c r="B217" s="3" t="s">
        <v>36</v>
      </c>
      <c r="C217" s="4">
        <v>45478</v>
      </c>
      <c r="D217" s="3" t="s">
        <v>12</v>
      </c>
      <c r="E217" s="3" t="s">
        <v>21</v>
      </c>
      <c r="F217" s="5">
        <v>3</v>
      </c>
      <c r="G217" s="6">
        <v>4.5999999999999996</v>
      </c>
      <c r="H217" s="6">
        <v>13.8</v>
      </c>
      <c r="I217" s="6">
        <v>1.38</v>
      </c>
      <c r="J217" s="6">
        <v>12.42</v>
      </c>
      <c r="K217" s="5">
        <v>188</v>
      </c>
      <c r="L217" s="13" t="str">
        <f t="shared" si="6"/>
        <v>Discount Applied</v>
      </c>
      <c r="M217" s="13" t="str">
        <f t="shared" si="7"/>
        <v>Bronze</v>
      </c>
      <c r="N217" s="13"/>
    </row>
    <row r="218" spans="1:14" x14ac:dyDescent="0.3">
      <c r="A218" s="3">
        <v>6050</v>
      </c>
      <c r="B218" s="3" t="s">
        <v>26</v>
      </c>
      <c r="C218" s="4">
        <v>45177</v>
      </c>
      <c r="D218" s="3" t="s">
        <v>20</v>
      </c>
      <c r="E218" s="3" t="s">
        <v>21</v>
      </c>
      <c r="F218" s="5">
        <v>2</v>
      </c>
      <c r="G218" s="6">
        <v>15.38</v>
      </c>
      <c r="H218" s="6">
        <v>30.76</v>
      </c>
      <c r="I218" s="6">
        <v>2.0699999999999998</v>
      </c>
      <c r="J218" s="6">
        <v>28.69</v>
      </c>
      <c r="K218" s="5">
        <v>254</v>
      </c>
      <c r="L218" s="13" t="str">
        <f t="shared" si="6"/>
        <v>Discount Applied</v>
      </c>
      <c r="M218" s="13" t="str">
        <f t="shared" si="7"/>
        <v>Silver</v>
      </c>
      <c r="N218" s="13"/>
    </row>
    <row r="219" spans="1:14" x14ac:dyDescent="0.3">
      <c r="A219" s="3">
        <v>1653</v>
      </c>
      <c r="B219" s="3" t="s">
        <v>11</v>
      </c>
      <c r="C219" s="4">
        <v>45428</v>
      </c>
      <c r="D219" s="3" t="s">
        <v>20</v>
      </c>
      <c r="E219" s="3" t="s">
        <v>43</v>
      </c>
      <c r="F219" s="5">
        <v>4</v>
      </c>
      <c r="G219" s="6">
        <v>18.46</v>
      </c>
      <c r="H219" s="6">
        <v>73.84</v>
      </c>
      <c r="I219" s="6">
        <v>2.1800000000000002</v>
      </c>
      <c r="J219" s="6">
        <v>71.66</v>
      </c>
      <c r="K219" s="5">
        <v>421</v>
      </c>
      <c r="L219" s="13" t="str">
        <f t="shared" si="6"/>
        <v>Discount Applied</v>
      </c>
      <c r="M219" s="13" t="str">
        <f t="shared" si="7"/>
        <v>Platinum</v>
      </c>
      <c r="N219" s="13"/>
    </row>
    <row r="220" spans="1:14" x14ac:dyDescent="0.3">
      <c r="A220" s="3">
        <v>6862</v>
      </c>
      <c r="B220" s="3" t="s">
        <v>11</v>
      </c>
      <c r="C220" s="4">
        <v>45843</v>
      </c>
      <c r="D220" s="3" t="s">
        <v>15</v>
      </c>
      <c r="E220" s="3" t="s">
        <v>21</v>
      </c>
      <c r="F220" s="5">
        <v>3</v>
      </c>
      <c r="G220" s="6">
        <v>9.8800000000000008</v>
      </c>
      <c r="H220" s="6">
        <v>29.64</v>
      </c>
      <c r="I220" s="6">
        <v>5.93</v>
      </c>
      <c r="J220" s="6">
        <v>23.71</v>
      </c>
      <c r="K220" s="5">
        <v>308</v>
      </c>
      <c r="L220" s="13" t="str">
        <f t="shared" si="6"/>
        <v>Discount Applied</v>
      </c>
      <c r="M220" s="13" t="str">
        <f t="shared" si="7"/>
        <v>Silver</v>
      </c>
      <c r="N220" s="13"/>
    </row>
    <row r="221" spans="1:14" x14ac:dyDescent="0.3">
      <c r="A221" s="3">
        <v>5088</v>
      </c>
      <c r="B221" s="3" t="s">
        <v>26</v>
      </c>
      <c r="C221" s="4">
        <v>45308</v>
      </c>
      <c r="D221" s="3" t="s">
        <v>22</v>
      </c>
      <c r="E221" s="3" t="s">
        <v>33</v>
      </c>
      <c r="F221" s="5">
        <v>1</v>
      </c>
      <c r="G221" s="6">
        <v>22.07</v>
      </c>
      <c r="H221" s="6">
        <v>22.07</v>
      </c>
      <c r="I221" s="6">
        <v>4.99</v>
      </c>
      <c r="J221" s="6">
        <v>17.079999999999998</v>
      </c>
      <c r="K221" s="5">
        <v>466</v>
      </c>
      <c r="L221" s="13" t="str">
        <f t="shared" si="6"/>
        <v>Discount Applied</v>
      </c>
      <c r="M221" s="13" t="str">
        <f t="shared" si="7"/>
        <v>Bronze</v>
      </c>
      <c r="N221" s="13"/>
    </row>
    <row r="222" spans="1:14" x14ac:dyDescent="0.3">
      <c r="A222" s="3">
        <v>2684</v>
      </c>
      <c r="B222" s="3" t="s">
        <v>30</v>
      </c>
      <c r="C222" s="4">
        <v>45663</v>
      </c>
      <c r="D222" s="3" t="s">
        <v>27</v>
      </c>
      <c r="E222" s="3" t="s">
        <v>40</v>
      </c>
      <c r="F222" s="5">
        <v>1</v>
      </c>
      <c r="G222" s="6">
        <v>20.45</v>
      </c>
      <c r="H222" s="6">
        <v>20.45</v>
      </c>
      <c r="I222" s="6">
        <v>4.2</v>
      </c>
      <c r="J222" s="6">
        <v>16.25</v>
      </c>
      <c r="K222" s="5">
        <v>207</v>
      </c>
      <c r="L222" s="13" t="str">
        <f t="shared" si="6"/>
        <v>Discount Applied</v>
      </c>
      <c r="M222" s="13" t="str">
        <f t="shared" si="7"/>
        <v>Bronze</v>
      </c>
      <c r="N222" s="13"/>
    </row>
    <row r="223" spans="1:14" x14ac:dyDescent="0.3">
      <c r="A223" s="3">
        <v>3532</v>
      </c>
      <c r="B223" s="3" t="s">
        <v>19</v>
      </c>
      <c r="C223" s="4">
        <v>45419</v>
      </c>
      <c r="D223" s="3" t="s">
        <v>12</v>
      </c>
      <c r="E223" s="3" t="s">
        <v>41</v>
      </c>
      <c r="F223" s="5">
        <v>5</v>
      </c>
      <c r="G223" s="6">
        <v>20.65</v>
      </c>
      <c r="H223" s="6">
        <v>103.25</v>
      </c>
      <c r="I223" s="6">
        <v>20.65</v>
      </c>
      <c r="J223" s="6">
        <v>82.6</v>
      </c>
      <c r="K223" s="5">
        <v>224</v>
      </c>
      <c r="L223" s="13" t="str">
        <f t="shared" si="6"/>
        <v>Discount Applied</v>
      </c>
      <c r="M223" s="13" t="str">
        <f t="shared" si="7"/>
        <v>Platinum</v>
      </c>
      <c r="N223" s="13"/>
    </row>
    <row r="224" spans="1:14" x14ac:dyDescent="0.3">
      <c r="A224" s="3">
        <v>4878</v>
      </c>
      <c r="B224" s="3" t="s">
        <v>11</v>
      </c>
      <c r="C224" s="4">
        <v>45627</v>
      </c>
      <c r="D224" s="3" t="s">
        <v>17</v>
      </c>
      <c r="E224" s="3" t="s">
        <v>23</v>
      </c>
      <c r="F224" s="5">
        <v>3</v>
      </c>
      <c r="G224" s="6">
        <v>12.09</v>
      </c>
      <c r="H224" s="6">
        <v>36.270000000000003</v>
      </c>
      <c r="I224" s="6">
        <v>1.61</v>
      </c>
      <c r="J224" s="6">
        <v>34.659999999999997</v>
      </c>
      <c r="K224" s="5">
        <v>290</v>
      </c>
      <c r="L224" s="13" t="str">
        <f t="shared" si="6"/>
        <v>Discount Applied</v>
      </c>
      <c r="M224" s="13" t="str">
        <f t="shared" si="7"/>
        <v>Silver</v>
      </c>
      <c r="N224" s="13"/>
    </row>
    <row r="225" spans="1:14" x14ac:dyDescent="0.3">
      <c r="A225" s="3">
        <v>3662</v>
      </c>
      <c r="B225" s="3" t="s">
        <v>26</v>
      </c>
      <c r="C225" s="4">
        <v>45864</v>
      </c>
      <c r="D225" s="3" t="s">
        <v>22</v>
      </c>
      <c r="E225" s="3" t="s">
        <v>23</v>
      </c>
      <c r="F225" s="5">
        <v>4</v>
      </c>
      <c r="G225" s="6">
        <v>23.12</v>
      </c>
      <c r="H225" s="6">
        <v>92.48</v>
      </c>
      <c r="I225" s="6">
        <v>2.4700000000000002</v>
      </c>
      <c r="J225" s="6">
        <v>90.01</v>
      </c>
      <c r="K225" s="5">
        <v>293</v>
      </c>
      <c r="L225" s="13" t="str">
        <f t="shared" si="6"/>
        <v>Discount Applied</v>
      </c>
      <c r="M225" s="13" t="str">
        <f t="shared" si="7"/>
        <v>Platinum</v>
      </c>
      <c r="N225" s="13"/>
    </row>
    <row r="226" spans="1:14" x14ac:dyDescent="0.3">
      <c r="A226" s="3">
        <v>3900</v>
      </c>
      <c r="B226" s="3" t="s">
        <v>36</v>
      </c>
      <c r="C226" s="4">
        <v>45816</v>
      </c>
      <c r="D226" s="3" t="s">
        <v>27</v>
      </c>
      <c r="E226" s="3" t="s">
        <v>13</v>
      </c>
      <c r="F226" s="5">
        <v>2</v>
      </c>
      <c r="G226" s="6">
        <v>28.85</v>
      </c>
      <c r="H226" s="6">
        <v>57.7</v>
      </c>
      <c r="I226" s="6">
        <v>5.77</v>
      </c>
      <c r="J226" s="6">
        <v>51.93</v>
      </c>
      <c r="K226" s="5">
        <v>13</v>
      </c>
      <c r="L226" s="13" t="str">
        <f t="shared" si="6"/>
        <v>Discount Applied</v>
      </c>
      <c r="M226" s="13" t="str">
        <f t="shared" si="7"/>
        <v>Gold</v>
      </c>
      <c r="N226" s="13"/>
    </row>
    <row r="227" spans="1:14" x14ac:dyDescent="0.3">
      <c r="A227" s="3">
        <v>7755</v>
      </c>
      <c r="B227" s="3" t="s">
        <v>14</v>
      </c>
      <c r="C227" s="4">
        <v>45766</v>
      </c>
      <c r="D227" s="3" t="s">
        <v>20</v>
      </c>
      <c r="E227" s="3" t="s">
        <v>18</v>
      </c>
      <c r="F227" s="5">
        <v>1</v>
      </c>
      <c r="G227" s="6">
        <v>8.58</v>
      </c>
      <c r="H227" s="6">
        <v>8.58</v>
      </c>
      <c r="I227" s="6">
        <v>1.72</v>
      </c>
      <c r="J227" s="6">
        <v>6.86</v>
      </c>
      <c r="K227" s="5">
        <v>133</v>
      </c>
      <c r="L227" s="13" t="str">
        <f t="shared" si="6"/>
        <v>Discount Applied</v>
      </c>
      <c r="M227" s="13" t="str">
        <f t="shared" si="7"/>
        <v>Bronze</v>
      </c>
      <c r="N227" s="13"/>
    </row>
    <row r="228" spans="1:14" x14ac:dyDescent="0.3">
      <c r="A228" s="3">
        <v>3938</v>
      </c>
      <c r="B228" s="3" t="s">
        <v>30</v>
      </c>
      <c r="C228" s="4">
        <v>45829</v>
      </c>
      <c r="D228" s="3" t="s">
        <v>45</v>
      </c>
      <c r="E228" s="3" t="s">
        <v>44</v>
      </c>
      <c r="F228" s="5">
        <v>1</v>
      </c>
      <c r="G228" s="6">
        <v>4.93</v>
      </c>
      <c r="H228" s="6">
        <v>4.93</v>
      </c>
      <c r="I228" s="6">
        <v>0.99</v>
      </c>
      <c r="J228" s="6">
        <v>3.94</v>
      </c>
      <c r="K228" s="5">
        <v>37</v>
      </c>
      <c r="L228" s="13" t="str">
        <f t="shared" si="6"/>
        <v>Discount Applied</v>
      </c>
      <c r="M228" s="13" t="str">
        <f t="shared" si="7"/>
        <v>Bronze</v>
      </c>
      <c r="N228" s="13"/>
    </row>
    <row r="229" spans="1:14" x14ac:dyDescent="0.3">
      <c r="A229" s="3">
        <v>6442</v>
      </c>
      <c r="B229" s="3" t="s">
        <v>26</v>
      </c>
      <c r="C229" s="4">
        <v>45164</v>
      </c>
      <c r="D229" s="3" t="s">
        <v>15</v>
      </c>
      <c r="E229" s="3" t="s">
        <v>21</v>
      </c>
      <c r="F229" s="5">
        <v>3</v>
      </c>
      <c r="G229" s="6">
        <v>21.57</v>
      </c>
      <c r="H229" s="6">
        <v>64.709999999999994</v>
      </c>
      <c r="I229" s="6">
        <v>9.7100000000000009</v>
      </c>
      <c r="J229" s="6">
        <v>55</v>
      </c>
      <c r="K229" s="5">
        <v>281</v>
      </c>
      <c r="L229" s="13" t="str">
        <f t="shared" si="6"/>
        <v>Discount Applied</v>
      </c>
      <c r="M229" s="13" t="str">
        <f t="shared" si="7"/>
        <v>Gold</v>
      </c>
      <c r="N229" s="13"/>
    </row>
    <row r="230" spans="1:14" x14ac:dyDescent="0.3">
      <c r="A230" s="3">
        <v>7745</v>
      </c>
      <c r="B230" s="3" t="s">
        <v>19</v>
      </c>
      <c r="C230" s="4">
        <v>45717</v>
      </c>
      <c r="D230" s="3" t="s">
        <v>27</v>
      </c>
      <c r="E230" s="3" t="s">
        <v>29</v>
      </c>
      <c r="F230" s="5">
        <v>3</v>
      </c>
      <c r="G230" s="6">
        <v>15.74</v>
      </c>
      <c r="H230" s="6">
        <v>47.22</v>
      </c>
      <c r="I230" s="6">
        <v>9.44</v>
      </c>
      <c r="J230" s="6">
        <v>37.78</v>
      </c>
      <c r="K230" s="5">
        <v>62</v>
      </c>
      <c r="L230" s="13" t="str">
        <f t="shared" si="6"/>
        <v>Discount Applied</v>
      </c>
      <c r="M230" s="13" t="str">
        <f t="shared" si="7"/>
        <v>Silver</v>
      </c>
      <c r="N230" s="13"/>
    </row>
    <row r="231" spans="1:14" x14ac:dyDescent="0.3">
      <c r="A231" s="3">
        <v>5065</v>
      </c>
      <c r="B231" s="3" t="s">
        <v>42</v>
      </c>
      <c r="C231" s="4">
        <v>45752</v>
      </c>
      <c r="D231" s="3" t="s">
        <v>45</v>
      </c>
      <c r="E231" s="3" t="s">
        <v>39</v>
      </c>
      <c r="F231" s="5">
        <v>3</v>
      </c>
      <c r="G231" s="6">
        <v>17.059999999999999</v>
      </c>
      <c r="H231" s="6">
        <v>51.18</v>
      </c>
      <c r="I231" s="6">
        <v>1.52</v>
      </c>
      <c r="J231" s="6">
        <v>49.66</v>
      </c>
      <c r="K231" s="5">
        <v>188</v>
      </c>
      <c r="L231" s="13" t="str">
        <f t="shared" si="6"/>
        <v>Discount Applied</v>
      </c>
      <c r="M231" s="13" t="str">
        <f t="shared" si="7"/>
        <v>Silver</v>
      </c>
      <c r="N231" s="13"/>
    </row>
    <row r="232" spans="1:14" x14ac:dyDescent="0.3">
      <c r="A232" s="3">
        <v>3608</v>
      </c>
      <c r="B232" s="3" t="s">
        <v>11</v>
      </c>
      <c r="C232" s="4">
        <v>45768</v>
      </c>
      <c r="D232" s="3" t="s">
        <v>15</v>
      </c>
      <c r="E232" s="3" t="s">
        <v>37</v>
      </c>
      <c r="F232" s="5">
        <v>4</v>
      </c>
      <c r="G232" s="6">
        <v>29.98</v>
      </c>
      <c r="H232" s="6">
        <v>119.92</v>
      </c>
      <c r="I232" s="6">
        <v>2.64</v>
      </c>
      <c r="J232" s="6">
        <v>117.28</v>
      </c>
      <c r="K232" s="5">
        <v>368</v>
      </c>
      <c r="L232" s="13" t="str">
        <f t="shared" si="6"/>
        <v>Discount Applied</v>
      </c>
      <c r="M232" s="13" t="str">
        <f t="shared" si="7"/>
        <v>Platinum</v>
      </c>
      <c r="N232" s="13"/>
    </row>
    <row r="233" spans="1:14" x14ac:dyDescent="0.3">
      <c r="A233" s="3">
        <v>2771</v>
      </c>
      <c r="B233" s="3" t="s">
        <v>24</v>
      </c>
      <c r="C233" s="4">
        <v>45352</v>
      </c>
      <c r="D233" s="3" t="s">
        <v>28</v>
      </c>
      <c r="E233" s="3" t="s">
        <v>43</v>
      </c>
      <c r="F233" s="5">
        <v>2</v>
      </c>
      <c r="G233" s="6">
        <v>29.19</v>
      </c>
      <c r="H233" s="6">
        <v>58.38</v>
      </c>
      <c r="I233" s="6">
        <v>5.84</v>
      </c>
      <c r="J233" s="6">
        <v>52.54</v>
      </c>
      <c r="K233" s="5">
        <v>328</v>
      </c>
      <c r="L233" s="13" t="str">
        <f t="shared" si="6"/>
        <v>Discount Applied</v>
      </c>
      <c r="M233" s="13" t="str">
        <f t="shared" si="7"/>
        <v>Gold</v>
      </c>
      <c r="N233" s="13"/>
    </row>
    <row r="234" spans="1:14" x14ac:dyDescent="0.3">
      <c r="A234" s="3">
        <v>1634</v>
      </c>
      <c r="B234" s="3" t="s">
        <v>26</v>
      </c>
      <c r="C234" s="4">
        <v>45756</v>
      </c>
      <c r="D234" s="3" t="s">
        <v>27</v>
      </c>
      <c r="E234" s="3" t="s">
        <v>46</v>
      </c>
      <c r="F234" s="5">
        <v>3</v>
      </c>
      <c r="G234" s="6">
        <v>4.71</v>
      </c>
      <c r="H234" s="6">
        <v>14.13</v>
      </c>
      <c r="I234" s="6">
        <v>2.83</v>
      </c>
      <c r="J234" s="6">
        <v>11.3</v>
      </c>
      <c r="K234" s="5">
        <v>424</v>
      </c>
      <c r="L234" s="13" t="str">
        <f t="shared" si="6"/>
        <v>Discount Applied</v>
      </c>
      <c r="M234" s="13" t="str">
        <f t="shared" si="7"/>
        <v>Bronze</v>
      </c>
      <c r="N234" s="13"/>
    </row>
    <row r="235" spans="1:14" x14ac:dyDescent="0.3">
      <c r="A235" s="3">
        <v>8711</v>
      </c>
      <c r="B235" s="3" t="s">
        <v>24</v>
      </c>
      <c r="C235" s="4">
        <v>45442</v>
      </c>
      <c r="D235" s="3" t="s">
        <v>38</v>
      </c>
      <c r="E235" s="3" t="s">
        <v>40</v>
      </c>
      <c r="F235" s="5">
        <v>1</v>
      </c>
      <c r="G235" s="6">
        <v>16.010000000000002</v>
      </c>
      <c r="H235" s="6">
        <v>16.010000000000002</v>
      </c>
      <c r="I235" s="6">
        <v>3.2</v>
      </c>
      <c r="J235" s="6">
        <v>12.81</v>
      </c>
      <c r="K235" s="5">
        <v>155</v>
      </c>
      <c r="L235" s="13" t="str">
        <f t="shared" si="6"/>
        <v>Discount Applied</v>
      </c>
      <c r="M235" s="13" t="str">
        <f t="shared" si="7"/>
        <v>Bronze</v>
      </c>
      <c r="N235" s="13"/>
    </row>
    <row r="236" spans="1:14" x14ac:dyDescent="0.3">
      <c r="A236" s="3">
        <v>4269</v>
      </c>
      <c r="B236" s="3" t="s">
        <v>36</v>
      </c>
      <c r="C236" s="4">
        <v>45811</v>
      </c>
      <c r="D236" s="3" t="s">
        <v>17</v>
      </c>
      <c r="E236" s="3" t="s">
        <v>23</v>
      </c>
      <c r="F236" s="5">
        <v>5</v>
      </c>
      <c r="G236" s="6">
        <v>26.94</v>
      </c>
      <c r="H236" s="6">
        <v>134.69999999999999</v>
      </c>
      <c r="I236" s="6">
        <v>20.2</v>
      </c>
      <c r="J236" s="6">
        <v>114.5</v>
      </c>
      <c r="K236" s="5">
        <v>433</v>
      </c>
      <c r="L236" s="13" t="str">
        <f t="shared" si="6"/>
        <v>Discount Applied</v>
      </c>
      <c r="M236" s="13" t="str">
        <f t="shared" si="7"/>
        <v>Platinum</v>
      </c>
      <c r="N236" s="13"/>
    </row>
    <row r="237" spans="1:14" x14ac:dyDescent="0.3">
      <c r="A237" s="3">
        <v>8541</v>
      </c>
      <c r="B237" s="3" t="s">
        <v>42</v>
      </c>
      <c r="C237" s="4">
        <v>45317</v>
      </c>
      <c r="D237" s="3" t="s">
        <v>27</v>
      </c>
      <c r="E237" s="3" t="s">
        <v>18</v>
      </c>
      <c r="F237" s="5">
        <v>3</v>
      </c>
      <c r="G237" s="6">
        <v>4.62</v>
      </c>
      <c r="H237" s="6">
        <v>13.86</v>
      </c>
      <c r="I237" s="6">
        <v>3.56</v>
      </c>
      <c r="J237" s="6">
        <v>10.3</v>
      </c>
      <c r="K237" s="5">
        <v>155</v>
      </c>
      <c r="L237" s="13" t="str">
        <f t="shared" si="6"/>
        <v>Discount Applied</v>
      </c>
      <c r="M237" s="13" t="str">
        <f t="shared" si="7"/>
        <v>Bronze</v>
      </c>
      <c r="N237" s="13"/>
    </row>
    <row r="238" spans="1:14" x14ac:dyDescent="0.3">
      <c r="A238" s="3">
        <v>6000</v>
      </c>
      <c r="B238" s="3" t="s">
        <v>19</v>
      </c>
      <c r="C238" s="4">
        <v>45779</v>
      </c>
      <c r="D238" s="3" t="s">
        <v>34</v>
      </c>
      <c r="E238" s="3" t="s">
        <v>21</v>
      </c>
      <c r="F238" s="5">
        <v>5</v>
      </c>
      <c r="G238" s="6">
        <v>2.1800000000000002</v>
      </c>
      <c r="H238" s="6">
        <v>10.9</v>
      </c>
      <c r="I238" s="6">
        <v>1.18</v>
      </c>
      <c r="J238" s="6">
        <v>9.7200000000000006</v>
      </c>
      <c r="K238" s="5">
        <v>442</v>
      </c>
      <c r="L238" s="13" t="str">
        <f t="shared" si="6"/>
        <v>Discount Applied</v>
      </c>
      <c r="M238" s="13" t="str">
        <f t="shared" si="7"/>
        <v>Bronze</v>
      </c>
      <c r="N238" s="13"/>
    </row>
    <row r="239" spans="1:14" x14ac:dyDescent="0.3">
      <c r="A239" s="3">
        <v>4728</v>
      </c>
      <c r="B239" s="3" t="s">
        <v>30</v>
      </c>
      <c r="C239" s="4">
        <v>45416</v>
      </c>
      <c r="D239" s="3" t="s">
        <v>27</v>
      </c>
      <c r="E239" s="3" t="s">
        <v>44</v>
      </c>
      <c r="F239" s="5">
        <v>5</v>
      </c>
      <c r="G239" s="6">
        <v>13.07</v>
      </c>
      <c r="H239" s="6">
        <v>65.349999999999994</v>
      </c>
      <c r="I239" s="6">
        <v>6.54</v>
      </c>
      <c r="J239" s="6">
        <v>58.81</v>
      </c>
      <c r="K239" s="5">
        <v>327</v>
      </c>
      <c r="L239" s="13" t="str">
        <f t="shared" si="6"/>
        <v>Discount Applied</v>
      </c>
      <c r="M239" s="13" t="str">
        <f t="shared" si="7"/>
        <v>Gold</v>
      </c>
      <c r="N239" s="13"/>
    </row>
    <row r="240" spans="1:14" x14ac:dyDescent="0.3">
      <c r="A240" s="3">
        <v>1387</v>
      </c>
      <c r="B240" s="3" t="s">
        <v>14</v>
      </c>
      <c r="C240" s="4">
        <v>45782</v>
      </c>
      <c r="D240" s="3" t="s">
        <v>35</v>
      </c>
      <c r="E240" s="3" t="s">
        <v>37</v>
      </c>
      <c r="F240" s="5">
        <v>4</v>
      </c>
      <c r="G240" s="6">
        <v>8.09</v>
      </c>
      <c r="H240" s="6">
        <v>32.36</v>
      </c>
      <c r="I240" s="6">
        <v>4.8499999999999996</v>
      </c>
      <c r="J240" s="6">
        <v>27.51</v>
      </c>
      <c r="K240" s="5">
        <v>413</v>
      </c>
      <c r="L240" s="13" t="str">
        <f t="shared" si="6"/>
        <v>Discount Applied</v>
      </c>
      <c r="M240" s="13" t="str">
        <f t="shared" si="7"/>
        <v>Silver</v>
      </c>
      <c r="N240" s="13"/>
    </row>
    <row r="241" spans="1:14" x14ac:dyDescent="0.3">
      <c r="A241" s="3">
        <v>4164</v>
      </c>
      <c r="B241" s="3" t="s">
        <v>26</v>
      </c>
      <c r="C241" s="4">
        <v>45318</v>
      </c>
      <c r="D241" s="3" t="s">
        <v>15</v>
      </c>
      <c r="E241" s="3" t="s">
        <v>40</v>
      </c>
      <c r="F241" s="5">
        <v>2</v>
      </c>
      <c r="G241" s="6">
        <v>13.74</v>
      </c>
      <c r="H241" s="6">
        <v>27.48</v>
      </c>
      <c r="I241" s="6">
        <v>5.5</v>
      </c>
      <c r="J241" s="6">
        <v>21.98</v>
      </c>
      <c r="K241" s="5">
        <v>247</v>
      </c>
      <c r="L241" s="13" t="str">
        <f t="shared" si="6"/>
        <v>Discount Applied</v>
      </c>
      <c r="M241" s="13" t="str">
        <f t="shared" si="7"/>
        <v>Silver</v>
      </c>
      <c r="N241" s="13"/>
    </row>
    <row r="242" spans="1:14" x14ac:dyDescent="0.3">
      <c r="A242" s="3">
        <v>6378</v>
      </c>
      <c r="B242" s="3" t="s">
        <v>36</v>
      </c>
      <c r="C242" s="4">
        <v>45657</v>
      </c>
      <c r="D242" s="3" t="s">
        <v>28</v>
      </c>
      <c r="E242" s="3" t="s">
        <v>41</v>
      </c>
      <c r="F242" s="5">
        <v>3</v>
      </c>
      <c r="G242" s="6">
        <v>25.97</v>
      </c>
      <c r="H242" s="6">
        <v>77.91</v>
      </c>
      <c r="I242" s="6">
        <v>7.79</v>
      </c>
      <c r="J242" s="6">
        <v>70.12</v>
      </c>
      <c r="K242" s="5">
        <v>163</v>
      </c>
      <c r="L242" s="13" t="str">
        <f t="shared" si="6"/>
        <v>Discount Applied</v>
      </c>
      <c r="M242" s="13" t="str">
        <f t="shared" si="7"/>
        <v>Platinum</v>
      </c>
      <c r="N242" s="13"/>
    </row>
    <row r="243" spans="1:14" x14ac:dyDescent="0.3">
      <c r="A243" s="3">
        <v>2137</v>
      </c>
      <c r="B243" s="3" t="s">
        <v>19</v>
      </c>
      <c r="C243" s="4">
        <v>45454</v>
      </c>
      <c r="D243" s="3" t="s">
        <v>22</v>
      </c>
      <c r="E243" s="3" t="s">
        <v>46</v>
      </c>
      <c r="F243" s="5">
        <v>5</v>
      </c>
      <c r="G243" s="6">
        <v>4.07</v>
      </c>
      <c r="H243" s="6">
        <v>20.350000000000001</v>
      </c>
      <c r="I243" s="6">
        <v>2.0699999999999998</v>
      </c>
      <c r="J243" s="6">
        <v>18.28</v>
      </c>
      <c r="K243" s="5">
        <v>123</v>
      </c>
      <c r="L243" s="13" t="str">
        <f t="shared" si="6"/>
        <v>Discount Applied</v>
      </c>
      <c r="M243" s="13" t="str">
        <f t="shared" si="7"/>
        <v>Bronze</v>
      </c>
      <c r="N243" s="13"/>
    </row>
    <row r="244" spans="1:14" x14ac:dyDescent="0.3">
      <c r="A244" s="3">
        <v>5573</v>
      </c>
      <c r="B244" s="3" t="s">
        <v>42</v>
      </c>
      <c r="C244" s="4">
        <v>45361</v>
      </c>
      <c r="D244" s="3" t="s">
        <v>34</v>
      </c>
      <c r="E244" s="3" t="s">
        <v>48</v>
      </c>
      <c r="F244" s="5">
        <v>1</v>
      </c>
      <c r="G244" s="6">
        <v>9.41</v>
      </c>
      <c r="H244" s="6">
        <v>9.41</v>
      </c>
      <c r="I244" s="6">
        <v>1.88</v>
      </c>
      <c r="J244" s="6">
        <v>7.53</v>
      </c>
      <c r="K244" s="5">
        <v>196</v>
      </c>
      <c r="L244" s="13" t="str">
        <f t="shared" si="6"/>
        <v>Discount Applied</v>
      </c>
      <c r="M244" s="13" t="str">
        <f t="shared" si="7"/>
        <v>Bronze</v>
      </c>
      <c r="N244" s="13"/>
    </row>
    <row r="245" spans="1:14" x14ac:dyDescent="0.3">
      <c r="A245" s="3">
        <v>9346</v>
      </c>
      <c r="B245" s="3" t="s">
        <v>19</v>
      </c>
      <c r="C245" s="4">
        <v>45745</v>
      </c>
      <c r="D245" s="3" t="s">
        <v>22</v>
      </c>
      <c r="E245" s="3" t="s">
        <v>21</v>
      </c>
      <c r="F245" s="5">
        <v>2</v>
      </c>
      <c r="G245" s="6">
        <v>23.12</v>
      </c>
      <c r="H245" s="6">
        <v>46.24</v>
      </c>
      <c r="I245" s="6">
        <v>4.62</v>
      </c>
      <c r="J245" s="6">
        <v>41.62</v>
      </c>
      <c r="K245" s="5">
        <v>255</v>
      </c>
      <c r="L245" s="13" t="str">
        <f t="shared" si="6"/>
        <v>Discount Applied</v>
      </c>
      <c r="M245" s="13" t="str">
        <f t="shared" si="7"/>
        <v>Silver</v>
      </c>
      <c r="N245" s="13"/>
    </row>
    <row r="246" spans="1:14" x14ac:dyDescent="0.3">
      <c r="A246" s="3">
        <v>9785</v>
      </c>
      <c r="B246" s="3" t="s">
        <v>30</v>
      </c>
      <c r="C246" s="4">
        <v>45417</v>
      </c>
      <c r="D246" s="3" t="s">
        <v>45</v>
      </c>
      <c r="E246" s="3" t="s">
        <v>39</v>
      </c>
      <c r="F246" s="5">
        <v>1</v>
      </c>
      <c r="G246" s="6">
        <v>28.4</v>
      </c>
      <c r="H246" s="6">
        <v>28.4</v>
      </c>
      <c r="I246" s="6">
        <v>5.68</v>
      </c>
      <c r="J246" s="6">
        <v>22.72</v>
      </c>
      <c r="K246" s="5">
        <v>258</v>
      </c>
      <c r="L246" s="13" t="str">
        <f t="shared" si="6"/>
        <v>Discount Applied</v>
      </c>
      <c r="M246" s="13" t="str">
        <f t="shared" si="7"/>
        <v>Silver</v>
      </c>
      <c r="N246" s="13"/>
    </row>
    <row r="247" spans="1:14" x14ac:dyDescent="0.3">
      <c r="A247" s="3">
        <v>1452</v>
      </c>
      <c r="B247" s="3" t="s">
        <v>42</v>
      </c>
      <c r="C247" s="4">
        <v>45455</v>
      </c>
      <c r="D247" s="3" t="s">
        <v>28</v>
      </c>
      <c r="E247" s="3" t="s">
        <v>23</v>
      </c>
      <c r="F247" s="5">
        <v>1</v>
      </c>
      <c r="G247" s="6">
        <v>2.46</v>
      </c>
      <c r="H247" s="6">
        <v>2.46</v>
      </c>
      <c r="I247" s="6">
        <v>0.37</v>
      </c>
      <c r="J247" s="6">
        <v>2.09</v>
      </c>
      <c r="K247" s="5">
        <v>253</v>
      </c>
      <c r="L247" s="13" t="str">
        <f t="shared" si="6"/>
        <v>Discount Applied</v>
      </c>
      <c r="M247" s="13" t="str">
        <f t="shared" si="7"/>
        <v>Bronze</v>
      </c>
      <c r="N247" s="13"/>
    </row>
    <row r="248" spans="1:14" x14ac:dyDescent="0.3">
      <c r="A248" s="3">
        <v>5279</v>
      </c>
      <c r="B248" s="3" t="s">
        <v>14</v>
      </c>
      <c r="C248" s="4">
        <v>45402</v>
      </c>
      <c r="D248" s="3" t="s">
        <v>12</v>
      </c>
      <c r="E248" s="3" t="s">
        <v>48</v>
      </c>
      <c r="F248" s="5">
        <v>4</v>
      </c>
      <c r="G248" s="6">
        <v>4.87</v>
      </c>
      <c r="H248" s="6">
        <v>19.48</v>
      </c>
      <c r="I248" s="6">
        <v>1.95</v>
      </c>
      <c r="J248" s="6">
        <v>17.53</v>
      </c>
      <c r="K248" s="5">
        <v>135</v>
      </c>
      <c r="L248" s="13" t="str">
        <f t="shared" si="6"/>
        <v>Discount Applied</v>
      </c>
      <c r="M248" s="13" t="str">
        <f t="shared" si="7"/>
        <v>Bronze</v>
      </c>
      <c r="N248" s="13"/>
    </row>
    <row r="249" spans="1:14" x14ac:dyDescent="0.3">
      <c r="A249" s="3">
        <v>5349</v>
      </c>
      <c r="B249" s="3" t="s">
        <v>36</v>
      </c>
      <c r="C249" s="4">
        <v>45234</v>
      </c>
      <c r="D249" s="3" t="s">
        <v>12</v>
      </c>
      <c r="E249" s="3" t="s">
        <v>32</v>
      </c>
      <c r="F249" s="5">
        <v>1</v>
      </c>
      <c r="G249" s="6">
        <v>17.53</v>
      </c>
      <c r="H249" s="6">
        <v>17.53</v>
      </c>
      <c r="I249" s="6">
        <v>2.15</v>
      </c>
      <c r="J249" s="6">
        <v>15.38</v>
      </c>
      <c r="K249" s="5">
        <v>99</v>
      </c>
      <c r="L249" s="13" t="str">
        <f t="shared" si="6"/>
        <v>Discount Applied</v>
      </c>
      <c r="M249" s="13" t="str">
        <f t="shared" si="7"/>
        <v>Bronze</v>
      </c>
      <c r="N249" s="13"/>
    </row>
    <row r="250" spans="1:14" x14ac:dyDescent="0.3">
      <c r="A250" s="3">
        <v>2776</v>
      </c>
      <c r="B250" s="3" t="s">
        <v>24</v>
      </c>
      <c r="C250" s="4">
        <v>45283</v>
      </c>
      <c r="D250" s="3" t="s">
        <v>38</v>
      </c>
      <c r="E250" s="3" t="s">
        <v>33</v>
      </c>
      <c r="F250" s="5">
        <v>5</v>
      </c>
      <c r="G250" s="6">
        <v>9.1</v>
      </c>
      <c r="H250" s="6">
        <v>45.5</v>
      </c>
      <c r="I250" s="6">
        <v>9.1</v>
      </c>
      <c r="J250" s="6">
        <v>36.4</v>
      </c>
      <c r="K250" s="5">
        <v>319</v>
      </c>
      <c r="L250" s="13" t="str">
        <f t="shared" si="6"/>
        <v>Discount Applied</v>
      </c>
      <c r="M250" s="13" t="str">
        <f t="shared" si="7"/>
        <v>Silver</v>
      </c>
      <c r="N250" s="13"/>
    </row>
    <row r="251" spans="1:14" x14ac:dyDescent="0.3">
      <c r="A251" s="3">
        <v>8119</v>
      </c>
      <c r="B251" s="3" t="s">
        <v>11</v>
      </c>
      <c r="C251" s="4">
        <v>45174</v>
      </c>
      <c r="D251" s="3" t="s">
        <v>20</v>
      </c>
      <c r="E251" s="3" t="s">
        <v>23</v>
      </c>
      <c r="F251" s="5">
        <v>3</v>
      </c>
      <c r="G251" s="6">
        <v>17.170000000000002</v>
      </c>
      <c r="H251" s="6">
        <v>51.51</v>
      </c>
      <c r="I251" s="6">
        <v>10.3</v>
      </c>
      <c r="J251" s="6">
        <v>41.21</v>
      </c>
      <c r="K251" s="5">
        <v>187</v>
      </c>
      <c r="L251" s="13" t="str">
        <f t="shared" si="6"/>
        <v>Discount Applied</v>
      </c>
      <c r="M251" s="13" t="str">
        <f t="shared" si="7"/>
        <v>Silver</v>
      </c>
      <c r="N251" s="13"/>
    </row>
    <row r="252" spans="1:14" x14ac:dyDescent="0.3">
      <c r="A252" s="3">
        <v>6139</v>
      </c>
      <c r="B252" s="3" t="s">
        <v>14</v>
      </c>
      <c r="C252" s="4">
        <v>45608</v>
      </c>
      <c r="D252" s="3" t="s">
        <v>20</v>
      </c>
      <c r="E252" s="3" t="s">
        <v>46</v>
      </c>
      <c r="F252" s="5">
        <v>1</v>
      </c>
      <c r="G252" s="6">
        <v>2.2999999999999998</v>
      </c>
      <c r="H252" s="6">
        <v>2.2999999999999998</v>
      </c>
      <c r="I252" s="6">
        <v>0.23</v>
      </c>
      <c r="J252" s="6">
        <v>2.0699999999999998</v>
      </c>
      <c r="K252" s="5">
        <v>70</v>
      </c>
      <c r="L252" s="13" t="str">
        <f t="shared" si="6"/>
        <v>Discount Applied</v>
      </c>
      <c r="M252" s="13" t="str">
        <f t="shared" si="7"/>
        <v>Bronze</v>
      </c>
      <c r="N252" s="13"/>
    </row>
    <row r="253" spans="1:14" x14ac:dyDescent="0.3">
      <c r="A253" s="3">
        <v>9379</v>
      </c>
      <c r="B253" s="3" t="s">
        <v>14</v>
      </c>
      <c r="C253" s="4">
        <v>45413</v>
      </c>
      <c r="D253" s="3" t="s">
        <v>45</v>
      </c>
      <c r="E253" s="3" t="s">
        <v>41</v>
      </c>
      <c r="F253" s="5">
        <v>5</v>
      </c>
      <c r="G253" s="6">
        <v>26.89</v>
      </c>
      <c r="H253" s="6">
        <v>134.44999999999999</v>
      </c>
      <c r="I253" s="6">
        <v>2.27</v>
      </c>
      <c r="J253" s="6">
        <v>132.18</v>
      </c>
      <c r="K253" s="5">
        <v>71</v>
      </c>
      <c r="L253" s="13" t="str">
        <f t="shared" si="6"/>
        <v>Discount Applied</v>
      </c>
      <c r="M253" s="13" t="str">
        <f t="shared" si="7"/>
        <v>Platinum</v>
      </c>
      <c r="N253" s="13"/>
    </row>
    <row r="254" spans="1:14" x14ac:dyDescent="0.3">
      <c r="A254" s="3">
        <v>7311</v>
      </c>
      <c r="B254" s="3" t="s">
        <v>24</v>
      </c>
      <c r="C254" s="4">
        <v>45483</v>
      </c>
      <c r="D254" s="3" t="s">
        <v>28</v>
      </c>
      <c r="E254" s="3" t="s">
        <v>37</v>
      </c>
      <c r="F254" s="5">
        <v>5</v>
      </c>
      <c r="G254" s="6">
        <v>10.74</v>
      </c>
      <c r="H254" s="6">
        <v>53.7</v>
      </c>
      <c r="I254" s="6">
        <v>0</v>
      </c>
      <c r="J254" s="6">
        <v>53.7</v>
      </c>
      <c r="K254" s="5">
        <v>424</v>
      </c>
      <c r="L254" s="13" t="str">
        <f t="shared" si="6"/>
        <v>No Discount</v>
      </c>
      <c r="M254" s="13" t="str">
        <f t="shared" si="7"/>
        <v>Gold</v>
      </c>
      <c r="N254" s="13"/>
    </row>
    <row r="255" spans="1:14" x14ac:dyDescent="0.3">
      <c r="A255" s="3">
        <v>4114</v>
      </c>
      <c r="B255" s="3" t="s">
        <v>30</v>
      </c>
      <c r="C255" s="4">
        <v>45234</v>
      </c>
      <c r="D255" s="3" t="s">
        <v>45</v>
      </c>
      <c r="E255" s="3" t="s">
        <v>39</v>
      </c>
      <c r="F255" s="5">
        <v>3</v>
      </c>
      <c r="G255" s="6">
        <v>10.6</v>
      </c>
      <c r="H255" s="6">
        <v>31.8</v>
      </c>
      <c r="I255" s="6">
        <v>2.23</v>
      </c>
      <c r="J255" s="6">
        <v>29.57</v>
      </c>
      <c r="K255" s="5">
        <v>56</v>
      </c>
      <c r="L255" s="13" t="str">
        <f t="shared" si="6"/>
        <v>Discount Applied</v>
      </c>
      <c r="M255" s="13" t="str">
        <f t="shared" si="7"/>
        <v>Silver</v>
      </c>
      <c r="N255" s="13"/>
    </row>
    <row r="256" spans="1:14" x14ac:dyDescent="0.3">
      <c r="A256" s="3">
        <v>1727</v>
      </c>
      <c r="B256" s="3" t="s">
        <v>31</v>
      </c>
      <c r="C256" s="4">
        <v>45843</v>
      </c>
      <c r="D256" s="3" t="s">
        <v>28</v>
      </c>
      <c r="E256" s="3" t="s">
        <v>47</v>
      </c>
      <c r="F256" s="5">
        <v>3</v>
      </c>
      <c r="G256" s="6">
        <v>29.04</v>
      </c>
      <c r="H256" s="6">
        <v>87.12</v>
      </c>
      <c r="I256" s="6">
        <v>0</v>
      </c>
      <c r="J256" s="6">
        <v>87.12</v>
      </c>
      <c r="K256" s="5">
        <v>400</v>
      </c>
      <c r="L256" s="13" t="str">
        <f t="shared" si="6"/>
        <v>No Discount</v>
      </c>
      <c r="M256" s="13" t="str">
        <f t="shared" si="7"/>
        <v>Platinum</v>
      </c>
      <c r="N256" s="13"/>
    </row>
    <row r="257" spans="1:14" x14ac:dyDescent="0.3">
      <c r="A257" s="3">
        <v>8144</v>
      </c>
      <c r="B257" s="3" t="s">
        <v>31</v>
      </c>
      <c r="C257" s="4">
        <v>45342</v>
      </c>
      <c r="D257" s="3" t="s">
        <v>28</v>
      </c>
      <c r="E257" s="3" t="s">
        <v>47</v>
      </c>
      <c r="F257" s="5">
        <v>2</v>
      </c>
      <c r="G257" s="6">
        <v>16.190000000000001</v>
      </c>
      <c r="H257" s="6">
        <v>32.380000000000003</v>
      </c>
      <c r="I257" s="6">
        <v>6.48</v>
      </c>
      <c r="J257" s="6">
        <v>25.9</v>
      </c>
      <c r="K257" s="5">
        <v>369</v>
      </c>
      <c r="L257" s="13" t="str">
        <f t="shared" si="6"/>
        <v>Discount Applied</v>
      </c>
      <c r="M257" s="13" t="str">
        <f t="shared" si="7"/>
        <v>Silver</v>
      </c>
      <c r="N257" s="13"/>
    </row>
    <row r="258" spans="1:14" x14ac:dyDescent="0.3">
      <c r="A258" s="3">
        <v>9518</v>
      </c>
      <c r="B258" s="3" t="s">
        <v>42</v>
      </c>
      <c r="C258" s="4">
        <v>45695</v>
      </c>
      <c r="D258" s="3" t="s">
        <v>12</v>
      </c>
      <c r="E258" s="3" t="s">
        <v>48</v>
      </c>
      <c r="F258" s="5">
        <v>2</v>
      </c>
      <c r="G258" s="6">
        <v>1.54</v>
      </c>
      <c r="H258" s="6">
        <v>3.08</v>
      </c>
      <c r="I258" s="6">
        <v>0.62</v>
      </c>
      <c r="J258" s="6">
        <v>2.46</v>
      </c>
      <c r="K258" s="5">
        <v>160</v>
      </c>
      <c r="L258" s="13" t="str">
        <f t="shared" si="6"/>
        <v>Discount Applied</v>
      </c>
      <c r="M258" s="13" t="str">
        <f t="shared" si="7"/>
        <v>Bronze</v>
      </c>
      <c r="N258" s="13"/>
    </row>
    <row r="259" spans="1:14" x14ac:dyDescent="0.3">
      <c r="A259" s="3">
        <v>9821</v>
      </c>
      <c r="B259" s="3" t="s">
        <v>24</v>
      </c>
      <c r="C259" s="4">
        <v>45146</v>
      </c>
      <c r="D259" s="3" t="s">
        <v>17</v>
      </c>
      <c r="E259" s="3" t="s">
        <v>16</v>
      </c>
      <c r="F259" s="5">
        <v>5</v>
      </c>
      <c r="G259" s="6">
        <v>23.46</v>
      </c>
      <c r="H259" s="6">
        <v>117.3</v>
      </c>
      <c r="I259" s="6">
        <v>0</v>
      </c>
      <c r="J259" s="6">
        <v>117.3</v>
      </c>
      <c r="K259" s="5">
        <v>471</v>
      </c>
      <c r="L259" s="13" t="str">
        <f t="shared" ref="L259:L322" si="8">IF(I259&gt;0,"Discount Applied","No Discount")</f>
        <v>No Discount</v>
      </c>
      <c r="M259" s="13" t="str">
        <f t="shared" ref="M259:M322" si="9">IF(J259 &gt;= 70, "Platinum",
   IF(J259 &gt;= 50, "Gold",
      IF(J259 &gt;= 20, "Silver", "Bronze")))</f>
        <v>Platinum</v>
      </c>
      <c r="N259" s="13"/>
    </row>
    <row r="260" spans="1:14" x14ac:dyDescent="0.3">
      <c r="A260" s="3">
        <v>4228</v>
      </c>
      <c r="B260" s="3" t="s">
        <v>31</v>
      </c>
      <c r="C260" s="4">
        <v>45863</v>
      </c>
      <c r="D260" s="3" t="s">
        <v>34</v>
      </c>
      <c r="E260" s="3" t="s">
        <v>46</v>
      </c>
      <c r="F260" s="5">
        <v>2</v>
      </c>
      <c r="G260" s="6">
        <v>17.260000000000002</v>
      </c>
      <c r="H260" s="6">
        <v>34.520000000000003</v>
      </c>
      <c r="I260" s="6">
        <v>2.5099999999999998</v>
      </c>
      <c r="J260" s="6">
        <v>32.01</v>
      </c>
      <c r="K260" s="5">
        <v>339</v>
      </c>
      <c r="L260" s="13" t="str">
        <f t="shared" si="8"/>
        <v>Discount Applied</v>
      </c>
      <c r="M260" s="13" t="str">
        <f t="shared" si="9"/>
        <v>Silver</v>
      </c>
      <c r="N260" s="13"/>
    </row>
    <row r="261" spans="1:14" x14ac:dyDescent="0.3">
      <c r="A261" s="3">
        <v>8066</v>
      </c>
      <c r="B261" s="3" t="s">
        <v>19</v>
      </c>
      <c r="C261" s="4">
        <v>45678</v>
      </c>
      <c r="D261" s="3" t="s">
        <v>45</v>
      </c>
      <c r="E261" s="3" t="s">
        <v>18</v>
      </c>
      <c r="F261" s="5">
        <v>3</v>
      </c>
      <c r="G261" s="6">
        <v>16.829999999999998</v>
      </c>
      <c r="H261" s="6">
        <v>50.49</v>
      </c>
      <c r="I261" s="6">
        <v>2.94</v>
      </c>
      <c r="J261" s="6">
        <v>47.55</v>
      </c>
      <c r="K261" s="5">
        <v>346</v>
      </c>
      <c r="L261" s="13" t="str">
        <f t="shared" si="8"/>
        <v>Discount Applied</v>
      </c>
      <c r="M261" s="13" t="str">
        <f t="shared" si="9"/>
        <v>Silver</v>
      </c>
      <c r="N261" s="13"/>
    </row>
    <row r="262" spans="1:14" x14ac:dyDescent="0.3">
      <c r="A262" s="3">
        <v>6409</v>
      </c>
      <c r="B262" s="3" t="s">
        <v>42</v>
      </c>
      <c r="C262" s="4">
        <v>45427</v>
      </c>
      <c r="D262" s="3" t="s">
        <v>35</v>
      </c>
      <c r="E262" s="3" t="s">
        <v>18</v>
      </c>
      <c r="F262" s="5">
        <v>3</v>
      </c>
      <c r="G262" s="6">
        <v>7.51</v>
      </c>
      <c r="H262" s="6">
        <v>22.53</v>
      </c>
      <c r="I262" s="6">
        <v>3.38</v>
      </c>
      <c r="J262" s="6">
        <v>19.149999999999999</v>
      </c>
      <c r="K262" s="5">
        <v>498</v>
      </c>
      <c r="L262" s="13" t="str">
        <f t="shared" si="8"/>
        <v>Discount Applied</v>
      </c>
      <c r="M262" s="13" t="str">
        <f t="shared" si="9"/>
        <v>Bronze</v>
      </c>
      <c r="N262" s="13"/>
    </row>
    <row r="263" spans="1:14" x14ac:dyDescent="0.3">
      <c r="A263" s="3">
        <v>6143</v>
      </c>
      <c r="B263" s="3" t="s">
        <v>42</v>
      </c>
      <c r="C263" s="4">
        <v>45199</v>
      </c>
      <c r="D263" s="3" t="s">
        <v>45</v>
      </c>
      <c r="E263" s="3" t="s">
        <v>21</v>
      </c>
      <c r="F263" s="5">
        <v>4</v>
      </c>
      <c r="G263" s="6">
        <v>11.11</v>
      </c>
      <c r="H263" s="6">
        <v>44.44</v>
      </c>
      <c r="I263" s="6">
        <v>6.67</v>
      </c>
      <c r="J263" s="6">
        <v>37.770000000000003</v>
      </c>
      <c r="K263" s="5">
        <v>478</v>
      </c>
      <c r="L263" s="13" t="str">
        <f t="shared" si="8"/>
        <v>Discount Applied</v>
      </c>
      <c r="M263" s="13" t="str">
        <f t="shared" si="9"/>
        <v>Silver</v>
      </c>
      <c r="N263" s="13"/>
    </row>
    <row r="264" spans="1:14" x14ac:dyDescent="0.3">
      <c r="A264" s="3">
        <v>3041</v>
      </c>
      <c r="B264" s="3" t="s">
        <v>11</v>
      </c>
      <c r="C264" s="4">
        <v>45629</v>
      </c>
      <c r="D264" s="3" t="s">
        <v>28</v>
      </c>
      <c r="E264" s="3" t="s">
        <v>18</v>
      </c>
      <c r="F264" s="5">
        <v>4</v>
      </c>
      <c r="G264" s="6">
        <v>26.97</v>
      </c>
      <c r="H264" s="6">
        <v>107.88</v>
      </c>
      <c r="I264" s="6">
        <v>21.58</v>
      </c>
      <c r="J264" s="6">
        <v>86.3</v>
      </c>
      <c r="K264" s="5">
        <v>202</v>
      </c>
      <c r="L264" s="13" t="str">
        <f t="shared" si="8"/>
        <v>Discount Applied</v>
      </c>
      <c r="M264" s="13" t="str">
        <f t="shared" si="9"/>
        <v>Platinum</v>
      </c>
      <c r="N264" s="13"/>
    </row>
    <row r="265" spans="1:14" x14ac:dyDescent="0.3">
      <c r="A265" s="3">
        <v>5920</v>
      </c>
      <c r="B265" s="3" t="s">
        <v>30</v>
      </c>
      <c r="C265" s="4">
        <v>45660</v>
      </c>
      <c r="D265" s="3" t="s">
        <v>12</v>
      </c>
      <c r="E265" s="3" t="s">
        <v>37</v>
      </c>
      <c r="F265" s="5">
        <v>1</v>
      </c>
      <c r="G265" s="6">
        <v>11.03</v>
      </c>
      <c r="H265" s="6">
        <v>11.03</v>
      </c>
      <c r="I265" s="6">
        <v>0</v>
      </c>
      <c r="J265" s="6">
        <v>11.03</v>
      </c>
      <c r="K265" s="5">
        <v>226</v>
      </c>
      <c r="L265" s="13" t="str">
        <f t="shared" si="8"/>
        <v>No Discount</v>
      </c>
      <c r="M265" s="13" t="str">
        <f t="shared" si="9"/>
        <v>Bronze</v>
      </c>
      <c r="N265" s="13"/>
    </row>
    <row r="266" spans="1:14" x14ac:dyDescent="0.3">
      <c r="A266" s="3">
        <v>6067</v>
      </c>
      <c r="B266" s="3" t="s">
        <v>26</v>
      </c>
      <c r="C266" s="4">
        <v>45704</v>
      </c>
      <c r="D266" s="3" t="s">
        <v>17</v>
      </c>
      <c r="E266" s="3" t="s">
        <v>44</v>
      </c>
      <c r="F266" s="5">
        <v>5</v>
      </c>
      <c r="G266" s="6">
        <v>8.85</v>
      </c>
      <c r="H266" s="6">
        <v>44.25</v>
      </c>
      <c r="I266" s="6">
        <v>8.85</v>
      </c>
      <c r="J266" s="6">
        <v>35.4</v>
      </c>
      <c r="K266" s="5">
        <v>287</v>
      </c>
      <c r="L266" s="13" t="str">
        <f t="shared" si="8"/>
        <v>Discount Applied</v>
      </c>
      <c r="M266" s="13" t="str">
        <f t="shared" si="9"/>
        <v>Silver</v>
      </c>
      <c r="N266" s="13"/>
    </row>
    <row r="267" spans="1:14" x14ac:dyDescent="0.3">
      <c r="A267" s="3">
        <v>7691</v>
      </c>
      <c r="B267" s="3" t="s">
        <v>11</v>
      </c>
      <c r="C267" s="4">
        <v>45538</v>
      </c>
      <c r="D267" s="3" t="s">
        <v>28</v>
      </c>
      <c r="E267" s="3" t="s">
        <v>25</v>
      </c>
      <c r="F267" s="5">
        <v>2</v>
      </c>
      <c r="G267" s="6">
        <v>2.46</v>
      </c>
      <c r="H267" s="6">
        <v>4.92</v>
      </c>
      <c r="I267" s="6">
        <v>0</v>
      </c>
      <c r="J267" s="6">
        <v>4.92</v>
      </c>
      <c r="K267" s="5">
        <v>463</v>
      </c>
      <c r="L267" s="13" t="str">
        <f t="shared" si="8"/>
        <v>No Discount</v>
      </c>
      <c r="M267" s="13" t="str">
        <f t="shared" si="9"/>
        <v>Bronze</v>
      </c>
      <c r="N267" s="13"/>
    </row>
    <row r="268" spans="1:14" x14ac:dyDescent="0.3">
      <c r="A268" s="3">
        <v>7592</v>
      </c>
      <c r="B268" s="3" t="s">
        <v>42</v>
      </c>
      <c r="C268" s="4">
        <v>45662</v>
      </c>
      <c r="D268" s="3" t="s">
        <v>12</v>
      </c>
      <c r="E268" s="3" t="s">
        <v>48</v>
      </c>
      <c r="F268" s="5">
        <v>4</v>
      </c>
      <c r="G268" s="6">
        <v>10.57</v>
      </c>
      <c r="H268" s="6">
        <v>42.28</v>
      </c>
      <c r="I268" s="6">
        <v>0</v>
      </c>
      <c r="J268" s="6">
        <v>42.28</v>
      </c>
      <c r="K268" s="5">
        <v>241</v>
      </c>
      <c r="L268" s="13" t="str">
        <f t="shared" si="8"/>
        <v>No Discount</v>
      </c>
      <c r="M268" s="13" t="str">
        <f t="shared" si="9"/>
        <v>Silver</v>
      </c>
      <c r="N268" s="13"/>
    </row>
    <row r="269" spans="1:14" x14ac:dyDescent="0.3">
      <c r="A269" s="3">
        <v>5844</v>
      </c>
      <c r="B269" s="3" t="s">
        <v>19</v>
      </c>
      <c r="C269" s="4">
        <v>45398</v>
      </c>
      <c r="D269" s="3" t="s">
        <v>12</v>
      </c>
      <c r="E269" s="3" t="s">
        <v>18</v>
      </c>
      <c r="F269" s="5">
        <v>2</v>
      </c>
      <c r="G269" s="6">
        <v>12.79</v>
      </c>
      <c r="H269" s="6">
        <v>25.58</v>
      </c>
      <c r="I269" s="6">
        <v>2.56</v>
      </c>
      <c r="J269" s="6">
        <v>23.02</v>
      </c>
      <c r="K269" s="5">
        <v>478</v>
      </c>
      <c r="L269" s="13" t="str">
        <f t="shared" si="8"/>
        <v>Discount Applied</v>
      </c>
      <c r="M269" s="13" t="str">
        <f t="shared" si="9"/>
        <v>Silver</v>
      </c>
      <c r="N269" s="13"/>
    </row>
    <row r="270" spans="1:14" x14ac:dyDescent="0.3">
      <c r="A270" s="3">
        <v>3085</v>
      </c>
      <c r="B270" s="3" t="s">
        <v>42</v>
      </c>
      <c r="C270" s="4">
        <v>45686</v>
      </c>
      <c r="D270" s="3" t="s">
        <v>35</v>
      </c>
      <c r="E270" s="3" t="s">
        <v>21</v>
      </c>
      <c r="F270" s="5">
        <v>3</v>
      </c>
      <c r="G270" s="6">
        <v>19.72</v>
      </c>
      <c r="H270" s="6">
        <v>59.16</v>
      </c>
      <c r="I270" s="6">
        <v>0</v>
      </c>
      <c r="J270" s="6">
        <v>59.16</v>
      </c>
      <c r="K270" s="5">
        <v>464</v>
      </c>
      <c r="L270" s="13" t="str">
        <f t="shared" si="8"/>
        <v>No Discount</v>
      </c>
      <c r="M270" s="13" t="str">
        <f t="shared" si="9"/>
        <v>Gold</v>
      </c>
      <c r="N270" s="13"/>
    </row>
    <row r="271" spans="1:14" x14ac:dyDescent="0.3">
      <c r="A271" s="3">
        <v>7888</v>
      </c>
      <c r="B271" s="3" t="s">
        <v>42</v>
      </c>
      <c r="C271" s="4">
        <v>45575</v>
      </c>
      <c r="D271" s="3" t="s">
        <v>38</v>
      </c>
      <c r="E271" s="3" t="s">
        <v>40</v>
      </c>
      <c r="F271" s="5">
        <v>2</v>
      </c>
      <c r="G271" s="6">
        <v>13.11</v>
      </c>
      <c r="H271" s="6">
        <v>26.22</v>
      </c>
      <c r="I271" s="6">
        <v>4.99</v>
      </c>
      <c r="J271" s="6">
        <v>21.23</v>
      </c>
      <c r="K271" s="5">
        <v>428</v>
      </c>
      <c r="L271" s="13" t="str">
        <f t="shared" si="8"/>
        <v>Discount Applied</v>
      </c>
      <c r="M271" s="13" t="str">
        <f t="shared" si="9"/>
        <v>Silver</v>
      </c>
      <c r="N271" s="13"/>
    </row>
    <row r="272" spans="1:14" x14ac:dyDescent="0.3">
      <c r="A272" s="3">
        <v>7211</v>
      </c>
      <c r="B272" s="3" t="s">
        <v>24</v>
      </c>
      <c r="C272" s="4">
        <v>45294</v>
      </c>
      <c r="D272" s="3" t="s">
        <v>45</v>
      </c>
      <c r="E272" s="3" t="s">
        <v>29</v>
      </c>
      <c r="F272" s="5">
        <v>3</v>
      </c>
      <c r="G272" s="6">
        <v>26.42</v>
      </c>
      <c r="H272" s="6">
        <v>79.260000000000005</v>
      </c>
      <c r="I272" s="6">
        <v>3.41</v>
      </c>
      <c r="J272" s="6">
        <v>75.849999999999994</v>
      </c>
      <c r="K272" s="5">
        <v>4</v>
      </c>
      <c r="L272" s="13" t="str">
        <f t="shared" si="8"/>
        <v>Discount Applied</v>
      </c>
      <c r="M272" s="13" t="str">
        <f t="shared" si="9"/>
        <v>Platinum</v>
      </c>
      <c r="N272" s="13"/>
    </row>
    <row r="273" spans="1:14" x14ac:dyDescent="0.3">
      <c r="A273" s="3">
        <v>3851</v>
      </c>
      <c r="B273" s="3" t="s">
        <v>36</v>
      </c>
      <c r="C273" s="4">
        <v>45661</v>
      </c>
      <c r="D273" s="3" t="s">
        <v>35</v>
      </c>
      <c r="E273" s="3" t="s">
        <v>33</v>
      </c>
      <c r="F273" s="5">
        <v>5</v>
      </c>
      <c r="G273" s="6">
        <v>16.2</v>
      </c>
      <c r="H273" s="6">
        <v>81</v>
      </c>
      <c r="I273" s="6">
        <v>2.87</v>
      </c>
      <c r="J273" s="6">
        <v>78.13</v>
      </c>
      <c r="K273" s="5">
        <v>455</v>
      </c>
      <c r="L273" s="13" t="str">
        <f t="shared" si="8"/>
        <v>Discount Applied</v>
      </c>
      <c r="M273" s="13" t="str">
        <f t="shared" si="9"/>
        <v>Platinum</v>
      </c>
      <c r="N273" s="13"/>
    </row>
    <row r="274" spans="1:14" x14ac:dyDescent="0.3">
      <c r="A274" s="3">
        <v>5930</v>
      </c>
      <c r="B274" s="3" t="s">
        <v>42</v>
      </c>
      <c r="C274" s="4">
        <v>45671</v>
      </c>
      <c r="D274" s="3" t="s">
        <v>15</v>
      </c>
      <c r="E274" s="3" t="s">
        <v>21</v>
      </c>
      <c r="F274" s="5">
        <v>2</v>
      </c>
      <c r="G274" s="6">
        <v>22.19</v>
      </c>
      <c r="H274" s="6">
        <v>44.38</v>
      </c>
      <c r="I274" s="6">
        <v>0</v>
      </c>
      <c r="J274" s="6">
        <v>44.38</v>
      </c>
      <c r="K274" s="5">
        <v>331</v>
      </c>
      <c r="L274" s="13" t="str">
        <f t="shared" si="8"/>
        <v>No Discount</v>
      </c>
      <c r="M274" s="13" t="str">
        <f t="shared" si="9"/>
        <v>Silver</v>
      </c>
      <c r="N274" s="13"/>
    </row>
    <row r="275" spans="1:14" x14ac:dyDescent="0.3">
      <c r="A275" s="3">
        <v>9977</v>
      </c>
      <c r="B275" s="3" t="s">
        <v>19</v>
      </c>
      <c r="C275" s="4">
        <v>45623</v>
      </c>
      <c r="D275" s="3" t="s">
        <v>12</v>
      </c>
      <c r="E275" s="3" t="s">
        <v>21</v>
      </c>
      <c r="F275" s="5">
        <v>3</v>
      </c>
      <c r="G275" s="6">
        <v>17.46</v>
      </c>
      <c r="H275" s="6">
        <v>52.38</v>
      </c>
      <c r="I275" s="6">
        <v>10.48</v>
      </c>
      <c r="J275" s="6">
        <v>41.9</v>
      </c>
      <c r="K275" s="5">
        <v>387</v>
      </c>
      <c r="L275" s="13" t="str">
        <f t="shared" si="8"/>
        <v>Discount Applied</v>
      </c>
      <c r="M275" s="13" t="str">
        <f t="shared" si="9"/>
        <v>Silver</v>
      </c>
      <c r="N275" s="13"/>
    </row>
    <row r="276" spans="1:14" x14ac:dyDescent="0.3">
      <c r="A276" s="3">
        <v>1006</v>
      </c>
      <c r="B276" s="3" t="s">
        <v>24</v>
      </c>
      <c r="C276" s="4">
        <v>45460</v>
      </c>
      <c r="D276" s="3" t="s">
        <v>20</v>
      </c>
      <c r="E276" s="3" t="s">
        <v>46</v>
      </c>
      <c r="F276" s="5">
        <v>3</v>
      </c>
      <c r="G276" s="6">
        <v>3.51</v>
      </c>
      <c r="H276" s="6">
        <v>10.53</v>
      </c>
      <c r="I276" s="6">
        <v>2.11</v>
      </c>
      <c r="J276" s="6">
        <v>8.42</v>
      </c>
      <c r="K276" s="5">
        <v>342</v>
      </c>
      <c r="L276" s="13" t="str">
        <f t="shared" si="8"/>
        <v>Discount Applied</v>
      </c>
      <c r="M276" s="13" t="str">
        <f t="shared" si="9"/>
        <v>Bronze</v>
      </c>
      <c r="N276" s="13"/>
    </row>
    <row r="277" spans="1:14" x14ac:dyDescent="0.3">
      <c r="A277" s="3">
        <v>5700</v>
      </c>
      <c r="B277" s="3" t="s">
        <v>19</v>
      </c>
      <c r="C277" s="4">
        <v>45792</v>
      </c>
      <c r="D277" s="3" t="s">
        <v>45</v>
      </c>
      <c r="E277" s="3" t="s">
        <v>21</v>
      </c>
      <c r="F277" s="5">
        <v>2</v>
      </c>
      <c r="G277" s="6">
        <v>1.19</v>
      </c>
      <c r="H277" s="6">
        <v>2.38</v>
      </c>
      <c r="I277" s="6">
        <v>0.24</v>
      </c>
      <c r="J277" s="6">
        <v>2.14</v>
      </c>
      <c r="K277" s="5">
        <v>196</v>
      </c>
      <c r="L277" s="13" t="str">
        <f t="shared" si="8"/>
        <v>Discount Applied</v>
      </c>
      <c r="M277" s="13" t="str">
        <f t="shared" si="9"/>
        <v>Bronze</v>
      </c>
      <c r="N277" s="13"/>
    </row>
    <row r="278" spans="1:14" x14ac:dyDescent="0.3">
      <c r="A278" s="3">
        <v>8043</v>
      </c>
      <c r="B278" s="3" t="s">
        <v>30</v>
      </c>
      <c r="C278" s="4">
        <v>45381</v>
      </c>
      <c r="D278" s="3" t="s">
        <v>22</v>
      </c>
      <c r="E278" s="3" t="s">
        <v>37</v>
      </c>
      <c r="F278" s="5">
        <v>5</v>
      </c>
      <c r="G278" s="6">
        <v>21.95</v>
      </c>
      <c r="H278" s="6">
        <v>109.75</v>
      </c>
      <c r="I278" s="6">
        <v>0</v>
      </c>
      <c r="J278" s="6">
        <v>109.75</v>
      </c>
      <c r="K278" s="5">
        <v>5</v>
      </c>
      <c r="L278" s="13" t="str">
        <f t="shared" si="8"/>
        <v>No Discount</v>
      </c>
      <c r="M278" s="13" t="str">
        <f t="shared" si="9"/>
        <v>Platinum</v>
      </c>
      <c r="N278" s="13"/>
    </row>
    <row r="279" spans="1:14" x14ac:dyDescent="0.3">
      <c r="A279" s="3">
        <v>6279</v>
      </c>
      <c r="B279" s="3" t="s">
        <v>36</v>
      </c>
      <c r="C279" s="4">
        <v>45308</v>
      </c>
      <c r="D279" s="3" t="s">
        <v>17</v>
      </c>
      <c r="E279" s="3" t="s">
        <v>40</v>
      </c>
      <c r="F279" s="5">
        <v>1</v>
      </c>
      <c r="G279" s="6">
        <v>14.49</v>
      </c>
      <c r="H279" s="6">
        <v>14.49</v>
      </c>
      <c r="I279" s="6">
        <v>0</v>
      </c>
      <c r="J279" s="6">
        <v>14.49</v>
      </c>
      <c r="K279" s="5">
        <v>81</v>
      </c>
      <c r="L279" s="13" t="str">
        <f t="shared" si="8"/>
        <v>No Discount</v>
      </c>
      <c r="M279" s="13" t="str">
        <f t="shared" si="9"/>
        <v>Bronze</v>
      </c>
      <c r="N279" s="13"/>
    </row>
    <row r="280" spans="1:14" x14ac:dyDescent="0.3">
      <c r="A280" s="3">
        <v>8238</v>
      </c>
      <c r="B280" s="3" t="s">
        <v>14</v>
      </c>
      <c r="C280" s="4">
        <v>45755</v>
      </c>
      <c r="D280" s="3" t="s">
        <v>35</v>
      </c>
      <c r="E280" s="3" t="s">
        <v>48</v>
      </c>
      <c r="F280" s="5">
        <v>3</v>
      </c>
      <c r="G280" s="6">
        <v>11.65</v>
      </c>
      <c r="H280" s="6">
        <v>34.950000000000003</v>
      </c>
      <c r="I280" s="6">
        <v>6.99</v>
      </c>
      <c r="J280" s="6">
        <v>27.96</v>
      </c>
      <c r="K280" s="5">
        <v>113</v>
      </c>
      <c r="L280" s="13" t="str">
        <f t="shared" si="8"/>
        <v>Discount Applied</v>
      </c>
      <c r="M280" s="13" t="str">
        <f t="shared" si="9"/>
        <v>Silver</v>
      </c>
      <c r="N280" s="13"/>
    </row>
    <row r="281" spans="1:14" x14ac:dyDescent="0.3">
      <c r="A281" s="3">
        <v>4501</v>
      </c>
      <c r="B281" s="3" t="s">
        <v>26</v>
      </c>
      <c r="C281" s="4">
        <v>45506</v>
      </c>
      <c r="D281" s="3" t="s">
        <v>34</v>
      </c>
      <c r="E281" s="3" t="s">
        <v>33</v>
      </c>
      <c r="F281" s="5">
        <v>5</v>
      </c>
      <c r="G281" s="6">
        <v>11.83</v>
      </c>
      <c r="H281" s="6">
        <v>59.15</v>
      </c>
      <c r="I281" s="6">
        <v>4.21</v>
      </c>
      <c r="J281" s="6">
        <v>54.94</v>
      </c>
      <c r="K281" s="5">
        <v>359</v>
      </c>
      <c r="L281" s="13" t="str">
        <f t="shared" si="8"/>
        <v>Discount Applied</v>
      </c>
      <c r="M281" s="13" t="str">
        <f t="shared" si="9"/>
        <v>Gold</v>
      </c>
      <c r="N281" s="13"/>
    </row>
    <row r="282" spans="1:14" x14ac:dyDescent="0.3">
      <c r="A282" s="3">
        <v>8752</v>
      </c>
      <c r="B282" s="3" t="s">
        <v>42</v>
      </c>
      <c r="C282" s="4">
        <v>45488</v>
      </c>
      <c r="D282" s="3" t="s">
        <v>17</v>
      </c>
      <c r="E282" s="3" t="s">
        <v>43</v>
      </c>
      <c r="F282" s="5">
        <v>5</v>
      </c>
      <c r="G282" s="6">
        <v>13.95</v>
      </c>
      <c r="H282" s="6">
        <v>69.75</v>
      </c>
      <c r="I282" s="6">
        <v>4.67</v>
      </c>
      <c r="J282" s="6">
        <v>65.08</v>
      </c>
      <c r="K282" s="5">
        <v>360</v>
      </c>
      <c r="L282" s="13" t="str">
        <f t="shared" si="8"/>
        <v>Discount Applied</v>
      </c>
      <c r="M282" s="13" t="str">
        <f t="shared" si="9"/>
        <v>Gold</v>
      </c>
      <c r="N282" s="13"/>
    </row>
    <row r="283" spans="1:14" x14ac:dyDescent="0.3">
      <c r="A283" s="3">
        <v>3780</v>
      </c>
      <c r="B283" s="3" t="s">
        <v>11</v>
      </c>
      <c r="C283" s="4">
        <v>45542</v>
      </c>
      <c r="D283" s="3" t="s">
        <v>12</v>
      </c>
      <c r="E283" s="3" t="s">
        <v>18</v>
      </c>
      <c r="F283" s="5">
        <v>5</v>
      </c>
      <c r="G283" s="6">
        <v>6.85</v>
      </c>
      <c r="H283" s="6">
        <v>34.25</v>
      </c>
      <c r="I283" s="6">
        <v>6.85</v>
      </c>
      <c r="J283" s="6">
        <v>27.4</v>
      </c>
      <c r="K283" s="5">
        <v>274</v>
      </c>
      <c r="L283" s="13" t="str">
        <f t="shared" si="8"/>
        <v>Discount Applied</v>
      </c>
      <c r="M283" s="13" t="str">
        <f t="shared" si="9"/>
        <v>Silver</v>
      </c>
      <c r="N283" s="13"/>
    </row>
    <row r="284" spans="1:14" x14ac:dyDescent="0.3">
      <c r="A284" s="3">
        <v>2389</v>
      </c>
      <c r="B284" s="3" t="s">
        <v>36</v>
      </c>
      <c r="C284" s="4">
        <v>45761</v>
      </c>
      <c r="D284" s="3" t="s">
        <v>38</v>
      </c>
      <c r="E284" s="3" t="s">
        <v>33</v>
      </c>
      <c r="F284" s="5">
        <v>1</v>
      </c>
      <c r="G284" s="6">
        <v>20.72</v>
      </c>
      <c r="H284" s="6">
        <v>20.72</v>
      </c>
      <c r="I284" s="6">
        <v>4.5999999999999996</v>
      </c>
      <c r="J284" s="6">
        <v>16.12</v>
      </c>
      <c r="K284" s="5">
        <v>367</v>
      </c>
      <c r="L284" s="13" t="str">
        <f t="shared" si="8"/>
        <v>Discount Applied</v>
      </c>
      <c r="M284" s="13" t="str">
        <f t="shared" si="9"/>
        <v>Bronze</v>
      </c>
      <c r="N284" s="13"/>
    </row>
    <row r="285" spans="1:14" x14ac:dyDescent="0.3">
      <c r="A285" s="3">
        <v>9445</v>
      </c>
      <c r="B285" s="3" t="s">
        <v>26</v>
      </c>
      <c r="C285" s="4">
        <v>45656</v>
      </c>
      <c r="D285" s="3" t="s">
        <v>12</v>
      </c>
      <c r="E285" s="3" t="s">
        <v>33</v>
      </c>
      <c r="F285" s="5">
        <v>2</v>
      </c>
      <c r="G285" s="6">
        <v>15.87</v>
      </c>
      <c r="H285" s="6">
        <v>31.74</v>
      </c>
      <c r="I285" s="6">
        <v>2.85</v>
      </c>
      <c r="J285" s="6">
        <v>28.89</v>
      </c>
      <c r="K285" s="5">
        <v>233</v>
      </c>
      <c r="L285" s="13" t="str">
        <f t="shared" si="8"/>
        <v>Discount Applied</v>
      </c>
      <c r="M285" s="13" t="str">
        <f t="shared" si="9"/>
        <v>Silver</v>
      </c>
      <c r="N285" s="13"/>
    </row>
    <row r="286" spans="1:14" x14ac:dyDescent="0.3">
      <c r="A286" s="3">
        <v>6491</v>
      </c>
      <c r="B286" s="3" t="s">
        <v>30</v>
      </c>
      <c r="C286" s="4">
        <v>45365</v>
      </c>
      <c r="D286" s="3" t="s">
        <v>12</v>
      </c>
      <c r="E286" s="3" t="s">
        <v>32</v>
      </c>
      <c r="F286" s="5">
        <v>3</v>
      </c>
      <c r="G286" s="6">
        <v>24.67</v>
      </c>
      <c r="H286" s="6">
        <v>74.010000000000005</v>
      </c>
      <c r="I286" s="6">
        <v>1.29</v>
      </c>
      <c r="J286" s="6">
        <v>72.72</v>
      </c>
      <c r="K286" s="5">
        <v>381</v>
      </c>
      <c r="L286" s="13" t="str">
        <f t="shared" si="8"/>
        <v>Discount Applied</v>
      </c>
      <c r="M286" s="13" t="str">
        <f t="shared" si="9"/>
        <v>Platinum</v>
      </c>
      <c r="N286" s="13"/>
    </row>
    <row r="287" spans="1:14" x14ac:dyDescent="0.3">
      <c r="A287" s="3">
        <v>4848</v>
      </c>
      <c r="B287" s="3"/>
      <c r="C287" s="4">
        <v>45660</v>
      </c>
      <c r="D287" s="3" t="s">
        <v>22</v>
      </c>
      <c r="E287" s="3" t="s">
        <v>43</v>
      </c>
      <c r="F287" s="5">
        <v>5</v>
      </c>
      <c r="G287" s="6">
        <v>29.82</v>
      </c>
      <c r="H287" s="6">
        <v>149.1</v>
      </c>
      <c r="I287" s="6">
        <v>14.91</v>
      </c>
      <c r="J287" s="6">
        <v>134.19</v>
      </c>
      <c r="K287" s="5">
        <v>478</v>
      </c>
      <c r="L287" s="13" t="str">
        <f t="shared" si="8"/>
        <v>Discount Applied</v>
      </c>
      <c r="M287" s="13" t="str">
        <f t="shared" si="9"/>
        <v>Platinum</v>
      </c>
      <c r="N287" s="13"/>
    </row>
    <row r="288" spans="1:14" x14ac:dyDescent="0.3">
      <c r="A288" s="3">
        <v>6085</v>
      </c>
      <c r="B288" s="3" t="s">
        <v>31</v>
      </c>
      <c r="C288" s="4">
        <v>45217</v>
      </c>
      <c r="D288" s="3" t="s">
        <v>35</v>
      </c>
      <c r="E288" s="3" t="s">
        <v>16</v>
      </c>
      <c r="F288" s="5">
        <v>2</v>
      </c>
      <c r="G288" s="6">
        <v>23.29</v>
      </c>
      <c r="H288" s="6">
        <v>46.58</v>
      </c>
      <c r="I288" s="6">
        <v>6.99</v>
      </c>
      <c r="J288" s="6">
        <v>39.590000000000003</v>
      </c>
      <c r="K288" s="5">
        <v>392</v>
      </c>
      <c r="L288" s="13" t="str">
        <f t="shared" si="8"/>
        <v>Discount Applied</v>
      </c>
      <c r="M288" s="13" t="str">
        <f t="shared" si="9"/>
        <v>Silver</v>
      </c>
      <c r="N288" s="13"/>
    </row>
    <row r="289" spans="1:14" x14ac:dyDescent="0.3">
      <c r="A289" s="3">
        <v>4262</v>
      </c>
      <c r="B289" s="3" t="s">
        <v>24</v>
      </c>
      <c r="C289" s="4">
        <v>45667</v>
      </c>
      <c r="D289" s="3" t="s">
        <v>45</v>
      </c>
      <c r="E289" s="3" t="s">
        <v>32</v>
      </c>
      <c r="F289" s="5">
        <v>4</v>
      </c>
      <c r="G289" s="6">
        <v>3.32</v>
      </c>
      <c r="H289" s="6">
        <v>13.28</v>
      </c>
      <c r="I289" s="6">
        <v>0</v>
      </c>
      <c r="J289" s="6">
        <v>13.28</v>
      </c>
      <c r="K289" s="5">
        <v>493</v>
      </c>
      <c r="L289" s="13" t="str">
        <f t="shared" si="8"/>
        <v>No Discount</v>
      </c>
      <c r="M289" s="13" t="str">
        <f t="shared" si="9"/>
        <v>Bronze</v>
      </c>
      <c r="N289" s="13"/>
    </row>
    <row r="290" spans="1:14" x14ac:dyDescent="0.3">
      <c r="A290" s="3">
        <v>1400</v>
      </c>
      <c r="B290" s="3" t="s">
        <v>36</v>
      </c>
      <c r="C290" s="4">
        <v>45319</v>
      </c>
      <c r="D290" s="3" t="s">
        <v>15</v>
      </c>
      <c r="E290" s="3" t="s">
        <v>29</v>
      </c>
      <c r="F290" s="5">
        <v>5</v>
      </c>
      <c r="G290" s="6">
        <v>12.39</v>
      </c>
      <c r="H290" s="6">
        <v>61.95</v>
      </c>
      <c r="I290" s="6">
        <v>4.0199999999999996</v>
      </c>
      <c r="J290" s="6">
        <v>57.93</v>
      </c>
      <c r="K290" s="5">
        <v>65</v>
      </c>
      <c r="L290" s="13" t="str">
        <f t="shared" si="8"/>
        <v>Discount Applied</v>
      </c>
      <c r="M290" s="13" t="str">
        <f t="shared" si="9"/>
        <v>Gold</v>
      </c>
      <c r="N290" s="13"/>
    </row>
    <row r="291" spans="1:14" x14ac:dyDescent="0.3">
      <c r="A291" s="3">
        <v>5011</v>
      </c>
      <c r="B291" s="3" t="s">
        <v>30</v>
      </c>
      <c r="C291" s="4">
        <v>45259</v>
      </c>
      <c r="D291" s="3" t="s">
        <v>45</v>
      </c>
      <c r="E291" s="3" t="s">
        <v>18</v>
      </c>
      <c r="F291" s="5">
        <v>4</v>
      </c>
      <c r="G291" s="6">
        <v>16.420000000000002</v>
      </c>
      <c r="H291" s="6">
        <v>65.680000000000007</v>
      </c>
      <c r="I291" s="6">
        <v>13.14</v>
      </c>
      <c r="J291" s="6">
        <v>52.54</v>
      </c>
      <c r="K291" s="5">
        <v>421</v>
      </c>
      <c r="L291" s="13" t="str">
        <f t="shared" si="8"/>
        <v>Discount Applied</v>
      </c>
      <c r="M291" s="13" t="str">
        <f t="shared" si="9"/>
        <v>Gold</v>
      </c>
      <c r="N291" s="13"/>
    </row>
    <row r="292" spans="1:14" x14ac:dyDescent="0.3">
      <c r="A292" s="3">
        <v>2193</v>
      </c>
      <c r="B292" s="3" t="s">
        <v>26</v>
      </c>
      <c r="C292" s="4">
        <v>45180</v>
      </c>
      <c r="D292" s="3" t="s">
        <v>22</v>
      </c>
      <c r="E292" s="3" t="s">
        <v>41</v>
      </c>
      <c r="F292" s="5">
        <v>3</v>
      </c>
      <c r="G292" s="6">
        <v>6.46</v>
      </c>
      <c r="H292" s="6">
        <v>19.38</v>
      </c>
      <c r="I292" s="6">
        <v>4.24</v>
      </c>
      <c r="J292" s="6">
        <v>15.14</v>
      </c>
      <c r="K292" s="5">
        <v>448</v>
      </c>
      <c r="L292" s="13" t="str">
        <f t="shared" si="8"/>
        <v>Discount Applied</v>
      </c>
      <c r="M292" s="13" t="str">
        <f t="shared" si="9"/>
        <v>Bronze</v>
      </c>
      <c r="N292" s="13"/>
    </row>
    <row r="293" spans="1:14" x14ac:dyDescent="0.3">
      <c r="A293" s="3">
        <v>7790</v>
      </c>
      <c r="B293" s="3" t="s">
        <v>24</v>
      </c>
      <c r="C293" s="4">
        <v>45514</v>
      </c>
      <c r="D293" s="3" t="s">
        <v>28</v>
      </c>
      <c r="E293" s="3" t="s">
        <v>39</v>
      </c>
      <c r="F293" s="5">
        <v>2</v>
      </c>
      <c r="G293" s="6">
        <v>6.97</v>
      </c>
      <c r="H293" s="6">
        <v>13.94</v>
      </c>
      <c r="I293" s="6">
        <v>1.39</v>
      </c>
      <c r="J293" s="6">
        <v>12.55</v>
      </c>
      <c r="K293" s="5">
        <v>51</v>
      </c>
      <c r="L293" s="13" t="str">
        <f t="shared" si="8"/>
        <v>Discount Applied</v>
      </c>
      <c r="M293" s="13" t="str">
        <f t="shared" si="9"/>
        <v>Bronze</v>
      </c>
      <c r="N293" s="13"/>
    </row>
    <row r="294" spans="1:14" x14ac:dyDescent="0.3">
      <c r="A294" s="3">
        <v>4185</v>
      </c>
      <c r="B294" s="3" t="s">
        <v>31</v>
      </c>
      <c r="C294" s="4">
        <v>45498</v>
      </c>
      <c r="D294" s="3" t="s">
        <v>17</v>
      </c>
      <c r="E294" s="3" t="s">
        <v>40</v>
      </c>
      <c r="F294" s="5">
        <v>4</v>
      </c>
      <c r="G294" s="6">
        <v>13.72</v>
      </c>
      <c r="H294" s="6">
        <v>54.88</v>
      </c>
      <c r="I294" s="6">
        <v>1.56</v>
      </c>
      <c r="J294" s="6">
        <v>53.32</v>
      </c>
      <c r="K294" s="5">
        <v>276</v>
      </c>
      <c r="L294" s="13" t="str">
        <f t="shared" si="8"/>
        <v>Discount Applied</v>
      </c>
      <c r="M294" s="13" t="str">
        <f t="shared" si="9"/>
        <v>Gold</v>
      </c>
      <c r="N294" s="13"/>
    </row>
    <row r="295" spans="1:14" x14ac:dyDescent="0.3">
      <c r="A295" s="3">
        <v>7291</v>
      </c>
      <c r="B295" s="3" t="s">
        <v>30</v>
      </c>
      <c r="C295" s="4">
        <v>45833</v>
      </c>
      <c r="D295" s="3" t="s">
        <v>17</v>
      </c>
      <c r="E295" s="3" t="s">
        <v>21</v>
      </c>
      <c r="F295" s="5">
        <v>5</v>
      </c>
      <c r="G295" s="6">
        <v>18.329999999999998</v>
      </c>
      <c r="H295" s="6">
        <v>91.65</v>
      </c>
      <c r="I295" s="6">
        <v>18.329999999999998</v>
      </c>
      <c r="J295" s="6">
        <v>73.319999999999993</v>
      </c>
      <c r="K295" s="5">
        <v>344</v>
      </c>
      <c r="L295" s="13" t="str">
        <f t="shared" si="8"/>
        <v>Discount Applied</v>
      </c>
      <c r="M295" s="13" t="str">
        <f t="shared" si="9"/>
        <v>Platinum</v>
      </c>
      <c r="N295" s="13"/>
    </row>
    <row r="296" spans="1:14" x14ac:dyDescent="0.3">
      <c r="A296" s="3">
        <v>7547</v>
      </c>
      <c r="B296" s="3" t="s">
        <v>30</v>
      </c>
      <c r="C296" s="4">
        <v>45702</v>
      </c>
      <c r="D296" s="3" t="s">
        <v>34</v>
      </c>
      <c r="E296" s="3" t="s">
        <v>46</v>
      </c>
      <c r="F296" s="5">
        <v>2</v>
      </c>
      <c r="G296" s="6">
        <v>12.98</v>
      </c>
      <c r="H296" s="6">
        <v>25.96</v>
      </c>
      <c r="I296" s="6">
        <v>4.79</v>
      </c>
      <c r="J296" s="6">
        <v>21.17</v>
      </c>
      <c r="K296" s="5">
        <v>140</v>
      </c>
      <c r="L296" s="13" t="str">
        <f t="shared" si="8"/>
        <v>Discount Applied</v>
      </c>
      <c r="M296" s="13" t="str">
        <f t="shared" si="9"/>
        <v>Silver</v>
      </c>
      <c r="N296" s="13"/>
    </row>
    <row r="297" spans="1:14" x14ac:dyDescent="0.3">
      <c r="A297" s="3">
        <v>3417</v>
      </c>
      <c r="B297" s="3" t="s">
        <v>19</v>
      </c>
      <c r="C297" s="4">
        <v>45528</v>
      </c>
      <c r="D297" s="3" t="s">
        <v>27</v>
      </c>
      <c r="E297" s="3" t="s">
        <v>16</v>
      </c>
      <c r="F297" s="5">
        <v>5</v>
      </c>
      <c r="G297" s="6">
        <v>15.36</v>
      </c>
      <c r="H297" s="6">
        <v>76.8</v>
      </c>
      <c r="I297" s="6">
        <v>0</v>
      </c>
      <c r="J297" s="6">
        <v>76.8</v>
      </c>
      <c r="K297" s="5">
        <v>497</v>
      </c>
      <c r="L297" s="13" t="str">
        <f t="shared" si="8"/>
        <v>No Discount</v>
      </c>
      <c r="M297" s="13" t="str">
        <f t="shared" si="9"/>
        <v>Platinum</v>
      </c>
      <c r="N297" s="13"/>
    </row>
    <row r="298" spans="1:14" x14ac:dyDescent="0.3">
      <c r="A298" s="3">
        <v>1090</v>
      </c>
      <c r="B298" s="3" t="s">
        <v>24</v>
      </c>
      <c r="C298" s="4">
        <v>45334</v>
      </c>
      <c r="D298" s="3" t="s">
        <v>38</v>
      </c>
      <c r="E298" s="3" t="s">
        <v>21</v>
      </c>
      <c r="F298" s="5">
        <v>4</v>
      </c>
      <c r="G298" s="6">
        <v>12.83</v>
      </c>
      <c r="H298" s="6">
        <v>51.32</v>
      </c>
      <c r="I298" s="6">
        <v>10.26</v>
      </c>
      <c r="J298" s="6">
        <v>41.06</v>
      </c>
      <c r="K298" s="5">
        <v>153</v>
      </c>
      <c r="L298" s="13" t="str">
        <f t="shared" si="8"/>
        <v>Discount Applied</v>
      </c>
      <c r="M298" s="13" t="str">
        <f t="shared" si="9"/>
        <v>Silver</v>
      </c>
      <c r="N298" s="13"/>
    </row>
    <row r="299" spans="1:14" x14ac:dyDescent="0.3">
      <c r="A299" s="3">
        <v>2746</v>
      </c>
      <c r="B299" s="3" t="s">
        <v>14</v>
      </c>
      <c r="C299" s="4">
        <v>45654</v>
      </c>
      <c r="D299" s="3" t="s">
        <v>45</v>
      </c>
      <c r="E299" s="3" t="s">
        <v>25</v>
      </c>
      <c r="F299" s="5">
        <v>2</v>
      </c>
      <c r="G299" s="6">
        <v>9.7100000000000009</v>
      </c>
      <c r="H299" s="6">
        <v>19.420000000000002</v>
      </c>
      <c r="I299" s="6">
        <v>1.94</v>
      </c>
      <c r="J299" s="6">
        <v>17.48</v>
      </c>
      <c r="K299" s="5">
        <v>362</v>
      </c>
      <c r="L299" s="13" t="str">
        <f t="shared" si="8"/>
        <v>Discount Applied</v>
      </c>
      <c r="M299" s="13" t="str">
        <f t="shared" si="9"/>
        <v>Bronze</v>
      </c>
      <c r="N299" s="13"/>
    </row>
    <row r="300" spans="1:14" x14ac:dyDescent="0.3">
      <c r="A300" s="3">
        <v>7965</v>
      </c>
      <c r="B300" s="3" t="s">
        <v>31</v>
      </c>
      <c r="C300" s="4">
        <v>45838</v>
      </c>
      <c r="D300" s="3" t="s">
        <v>38</v>
      </c>
      <c r="E300" s="3" t="s">
        <v>16</v>
      </c>
      <c r="F300" s="5">
        <v>4</v>
      </c>
      <c r="G300" s="6">
        <v>17.149999999999999</v>
      </c>
      <c r="H300" s="6">
        <v>68.599999999999994</v>
      </c>
      <c r="I300" s="6">
        <v>13.72</v>
      </c>
      <c r="J300" s="6">
        <v>54.88</v>
      </c>
      <c r="K300" s="5">
        <v>68</v>
      </c>
      <c r="L300" s="13" t="str">
        <f t="shared" si="8"/>
        <v>Discount Applied</v>
      </c>
      <c r="M300" s="13" t="str">
        <f t="shared" si="9"/>
        <v>Gold</v>
      </c>
      <c r="N300" s="13"/>
    </row>
    <row r="301" spans="1:14" x14ac:dyDescent="0.3">
      <c r="A301" s="3">
        <v>3881</v>
      </c>
      <c r="B301" s="3" t="s">
        <v>30</v>
      </c>
      <c r="C301" s="4">
        <v>45749</v>
      </c>
      <c r="D301" s="3" t="s">
        <v>17</v>
      </c>
      <c r="E301" s="3" t="s">
        <v>21</v>
      </c>
      <c r="F301" s="5">
        <v>1</v>
      </c>
      <c r="G301" s="6">
        <v>27.73</v>
      </c>
      <c r="H301" s="6">
        <v>27.73</v>
      </c>
      <c r="I301" s="6">
        <v>3.14</v>
      </c>
      <c r="J301" s="6">
        <v>24.59</v>
      </c>
      <c r="K301" s="5">
        <v>433</v>
      </c>
      <c r="L301" s="13" t="str">
        <f t="shared" si="8"/>
        <v>Discount Applied</v>
      </c>
      <c r="M301" s="13" t="str">
        <f t="shared" si="9"/>
        <v>Silver</v>
      </c>
      <c r="N301" s="13"/>
    </row>
    <row r="302" spans="1:14" x14ac:dyDescent="0.3">
      <c r="A302" s="3">
        <v>9486</v>
      </c>
      <c r="B302" s="3" t="s">
        <v>42</v>
      </c>
      <c r="C302" s="4">
        <v>45314</v>
      </c>
      <c r="D302" s="3" t="s">
        <v>12</v>
      </c>
      <c r="E302" s="3" t="s">
        <v>13</v>
      </c>
      <c r="F302" s="5">
        <v>4</v>
      </c>
      <c r="G302" s="6">
        <v>20.53</v>
      </c>
      <c r="H302" s="6">
        <v>82.12</v>
      </c>
      <c r="I302" s="6">
        <v>1.75</v>
      </c>
      <c r="J302" s="6">
        <v>80.37</v>
      </c>
      <c r="K302" s="5">
        <v>308</v>
      </c>
      <c r="L302" s="13" t="str">
        <f t="shared" si="8"/>
        <v>Discount Applied</v>
      </c>
      <c r="M302" s="13" t="str">
        <f t="shared" si="9"/>
        <v>Platinum</v>
      </c>
      <c r="N302" s="13"/>
    </row>
    <row r="303" spans="1:14" x14ac:dyDescent="0.3">
      <c r="A303" s="3">
        <v>1822</v>
      </c>
      <c r="B303" s="3" t="s">
        <v>14</v>
      </c>
      <c r="C303" s="4">
        <v>45769</v>
      </c>
      <c r="D303" s="3" t="s">
        <v>17</v>
      </c>
      <c r="E303" s="3" t="s">
        <v>47</v>
      </c>
      <c r="F303" s="5">
        <v>2</v>
      </c>
      <c r="G303" s="6">
        <v>26.2</v>
      </c>
      <c r="H303" s="6">
        <v>52.4</v>
      </c>
      <c r="I303" s="6">
        <v>1.85</v>
      </c>
      <c r="J303" s="6">
        <v>50.55</v>
      </c>
      <c r="K303" s="5">
        <v>170</v>
      </c>
      <c r="L303" s="13" t="str">
        <f t="shared" si="8"/>
        <v>Discount Applied</v>
      </c>
      <c r="M303" s="13" t="str">
        <f t="shared" si="9"/>
        <v>Gold</v>
      </c>
      <c r="N303" s="13"/>
    </row>
    <row r="304" spans="1:14" x14ac:dyDescent="0.3">
      <c r="A304" s="3">
        <v>5082</v>
      </c>
      <c r="B304" s="3" t="s">
        <v>42</v>
      </c>
      <c r="C304" s="4">
        <v>45505</v>
      </c>
      <c r="D304" s="3" t="s">
        <v>15</v>
      </c>
      <c r="E304" s="3" t="s">
        <v>47</v>
      </c>
      <c r="F304" s="5">
        <v>2</v>
      </c>
      <c r="G304" s="6">
        <v>21.16</v>
      </c>
      <c r="H304" s="6">
        <v>42.32</v>
      </c>
      <c r="I304" s="6">
        <v>4.2300000000000004</v>
      </c>
      <c r="J304" s="6">
        <v>38.090000000000003</v>
      </c>
      <c r="K304" s="5">
        <v>360</v>
      </c>
      <c r="L304" s="13" t="str">
        <f t="shared" si="8"/>
        <v>Discount Applied</v>
      </c>
      <c r="M304" s="13" t="str">
        <f t="shared" si="9"/>
        <v>Silver</v>
      </c>
      <c r="N304" s="13"/>
    </row>
    <row r="305" spans="1:14" x14ac:dyDescent="0.3">
      <c r="A305" s="3">
        <v>2988</v>
      </c>
      <c r="B305" s="3" t="s">
        <v>42</v>
      </c>
      <c r="C305" s="4">
        <v>45577</v>
      </c>
      <c r="D305" s="3" t="s">
        <v>38</v>
      </c>
      <c r="E305" s="3" t="s">
        <v>21</v>
      </c>
      <c r="F305" s="5">
        <v>3</v>
      </c>
      <c r="G305" s="6">
        <v>12.03</v>
      </c>
      <c r="H305" s="6">
        <v>36.090000000000003</v>
      </c>
      <c r="I305" s="6">
        <v>5.41</v>
      </c>
      <c r="J305" s="6">
        <v>30.68</v>
      </c>
      <c r="K305" s="5">
        <v>273</v>
      </c>
      <c r="L305" s="13" t="str">
        <f t="shared" si="8"/>
        <v>Discount Applied</v>
      </c>
      <c r="M305" s="13" t="str">
        <f t="shared" si="9"/>
        <v>Silver</v>
      </c>
      <c r="N305" s="13"/>
    </row>
    <row r="306" spans="1:14" x14ac:dyDescent="0.3">
      <c r="A306" s="3">
        <v>3184</v>
      </c>
      <c r="B306" s="3" t="s">
        <v>30</v>
      </c>
      <c r="C306" s="4">
        <v>45857</v>
      </c>
      <c r="D306" s="3" t="s">
        <v>22</v>
      </c>
      <c r="E306" s="3" t="s">
        <v>46</v>
      </c>
      <c r="F306" s="5">
        <v>4</v>
      </c>
      <c r="G306" s="6">
        <v>14.5</v>
      </c>
      <c r="H306" s="6">
        <v>58</v>
      </c>
      <c r="I306" s="6">
        <v>8.6999999999999993</v>
      </c>
      <c r="J306" s="6">
        <v>49.3</v>
      </c>
      <c r="K306" s="5">
        <v>411</v>
      </c>
      <c r="L306" s="13" t="str">
        <f t="shared" si="8"/>
        <v>Discount Applied</v>
      </c>
      <c r="M306" s="13" t="str">
        <f t="shared" si="9"/>
        <v>Silver</v>
      </c>
      <c r="N306" s="13"/>
    </row>
    <row r="307" spans="1:14" x14ac:dyDescent="0.3">
      <c r="A307" s="3">
        <v>8612</v>
      </c>
      <c r="B307" s="3" t="s">
        <v>42</v>
      </c>
      <c r="C307" s="4">
        <v>45499</v>
      </c>
      <c r="D307" s="3" t="s">
        <v>22</v>
      </c>
      <c r="E307" s="3" t="s">
        <v>21</v>
      </c>
      <c r="F307" s="5">
        <v>4</v>
      </c>
      <c r="G307" s="6">
        <v>2.3199999999999998</v>
      </c>
      <c r="H307" s="6">
        <v>9.2799999999999994</v>
      </c>
      <c r="I307" s="6">
        <v>0</v>
      </c>
      <c r="J307" s="6">
        <v>9.2799999999999994</v>
      </c>
      <c r="K307" s="5">
        <v>442</v>
      </c>
      <c r="L307" s="13" t="str">
        <f t="shared" si="8"/>
        <v>No Discount</v>
      </c>
      <c r="M307" s="13" t="str">
        <f t="shared" si="9"/>
        <v>Bronze</v>
      </c>
      <c r="N307" s="13"/>
    </row>
    <row r="308" spans="1:14" x14ac:dyDescent="0.3">
      <c r="A308" s="3">
        <v>9702</v>
      </c>
      <c r="B308" s="3" t="s">
        <v>19</v>
      </c>
      <c r="C308" s="4">
        <v>45767</v>
      </c>
      <c r="D308" s="3" t="s">
        <v>12</v>
      </c>
      <c r="E308" s="3" t="s">
        <v>13</v>
      </c>
      <c r="F308" s="5">
        <v>5</v>
      </c>
      <c r="G308" s="6">
        <v>28.1</v>
      </c>
      <c r="H308" s="6">
        <v>140.5</v>
      </c>
      <c r="I308" s="6">
        <v>21.07</v>
      </c>
      <c r="J308" s="6">
        <v>119.43</v>
      </c>
      <c r="K308" s="5">
        <v>296</v>
      </c>
      <c r="L308" s="13" t="str">
        <f t="shared" si="8"/>
        <v>Discount Applied</v>
      </c>
      <c r="M308" s="13" t="str">
        <f t="shared" si="9"/>
        <v>Platinum</v>
      </c>
      <c r="N308" s="13"/>
    </row>
    <row r="309" spans="1:14" x14ac:dyDescent="0.3">
      <c r="A309" s="3">
        <v>6198</v>
      </c>
      <c r="B309" s="3" t="s">
        <v>19</v>
      </c>
      <c r="C309" s="4">
        <v>45663</v>
      </c>
      <c r="D309" s="3" t="s">
        <v>17</v>
      </c>
      <c r="E309" s="3" t="s">
        <v>21</v>
      </c>
      <c r="F309" s="5">
        <v>2</v>
      </c>
      <c r="G309" s="6">
        <v>12.01</v>
      </c>
      <c r="H309" s="6">
        <v>24.02</v>
      </c>
      <c r="I309" s="6">
        <v>2.4</v>
      </c>
      <c r="J309" s="6">
        <v>21.62</v>
      </c>
      <c r="K309" s="5">
        <v>426</v>
      </c>
      <c r="L309" s="13" t="str">
        <f t="shared" si="8"/>
        <v>Discount Applied</v>
      </c>
      <c r="M309" s="13" t="str">
        <f t="shared" si="9"/>
        <v>Silver</v>
      </c>
      <c r="N309" s="13"/>
    </row>
    <row r="310" spans="1:14" x14ac:dyDescent="0.3">
      <c r="A310" s="3">
        <v>8251</v>
      </c>
      <c r="B310" s="3" t="s">
        <v>14</v>
      </c>
      <c r="C310" s="4">
        <v>45579</v>
      </c>
      <c r="D310" s="3" t="s">
        <v>27</v>
      </c>
      <c r="E310" s="3" t="s">
        <v>21</v>
      </c>
      <c r="F310" s="5">
        <v>3</v>
      </c>
      <c r="G310" s="6">
        <v>23.13</v>
      </c>
      <c r="H310" s="6">
        <v>69.39</v>
      </c>
      <c r="I310" s="6">
        <v>6.94</v>
      </c>
      <c r="J310" s="6">
        <v>62.45</v>
      </c>
      <c r="K310" s="5">
        <v>250</v>
      </c>
      <c r="L310" s="13" t="str">
        <f t="shared" si="8"/>
        <v>Discount Applied</v>
      </c>
      <c r="M310" s="13" t="str">
        <f t="shared" si="9"/>
        <v>Gold</v>
      </c>
      <c r="N310" s="13"/>
    </row>
    <row r="311" spans="1:14" x14ac:dyDescent="0.3">
      <c r="A311" s="3">
        <v>9270</v>
      </c>
      <c r="B311" s="3" t="s">
        <v>19</v>
      </c>
      <c r="C311" s="4">
        <v>45731</v>
      </c>
      <c r="D311" s="3" t="s">
        <v>22</v>
      </c>
      <c r="E311" s="3" t="s">
        <v>29</v>
      </c>
      <c r="F311" s="5">
        <v>2</v>
      </c>
      <c r="G311" s="6">
        <v>21.88</v>
      </c>
      <c r="H311" s="6">
        <v>43.76</v>
      </c>
      <c r="I311" s="6">
        <v>4.96</v>
      </c>
      <c r="J311" s="6">
        <v>38.799999999999997</v>
      </c>
      <c r="K311" s="5">
        <v>250</v>
      </c>
      <c r="L311" s="13" t="str">
        <f t="shared" si="8"/>
        <v>Discount Applied</v>
      </c>
      <c r="M311" s="13" t="str">
        <f t="shared" si="9"/>
        <v>Silver</v>
      </c>
      <c r="N311" s="13"/>
    </row>
    <row r="312" spans="1:14" x14ac:dyDescent="0.3">
      <c r="A312" s="3">
        <v>9976</v>
      </c>
      <c r="B312" s="3" t="s">
        <v>31</v>
      </c>
      <c r="C312" s="4">
        <v>45620</v>
      </c>
      <c r="D312" s="3" t="s">
        <v>38</v>
      </c>
      <c r="E312" s="3" t="s">
        <v>40</v>
      </c>
      <c r="F312" s="5">
        <v>1</v>
      </c>
      <c r="G312" s="6">
        <v>28.4</v>
      </c>
      <c r="H312" s="6">
        <v>28.4</v>
      </c>
      <c r="I312" s="6">
        <v>2.65</v>
      </c>
      <c r="J312" s="6">
        <v>25.75</v>
      </c>
      <c r="K312" s="5">
        <v>342</v>
      </c>
      <c r="L312" s="13" t="str">
        <f t="shared" si="8"/>
        <v>Discount Applied</v>
      </c>
      <c r="M312" s="13" t="str">
        <f t="shared" si="9"/>
        <v>Silver</v>
      </c>
      <c r="N312" s="13"/>
    </row>
    <row r="313" spans="1:14" x14ac:dyDescent="0.3">
      <c r="A313" s="3">
        <v>3607</v>
      </c>
      <c r="B313" s="3" t="s">
        <v>42</v>
      </c>
      <c r="C313" s="4">
        <v>45476</v>
      </c>
      <c r="D313" s="3" t="s">
        <v>15</v>
      </c>
      <c r="E313" s="3" t="s">
        <v>41</v>
      </c>
      <c r="F313" s="5">
        <v>1</v>
      </c>
      <c r="G313" s="6">
        <v>7.33</v>
      </c>
      <c r="H313" s="6">
        <v>7.33</v>
      </c>
      <c r="I313" s="6">
        <v>3.47</v>
      </c>
      <c r="J313" s="6">
        <v>3.86</v>
      </c>
      <c r="K313" s="5">
        <v>233</v>
      </c>
      <c r="L313" s="13" t="str">
        <f t="shared" si="8"/>
        <v>Discount Applied</v>
      </c>
      <c r="M313" s="13" t="str">
        <f t="shared" si="9"/>
        <v>Bronze</v>
      </c>
      <c r="N313" s="13"/>
    </row>
    <row r="314" spans="1:14" x14ac:dyDescent="0.3">
      <c r="A314" s="3">
        <v>8777</v>
      </c>
      <c r="B314" s="3" t="s">
        <v>26</v>
      </c>
      <c r="C314" s="4">
        <v>45491</v>
      </c>
      <c r="D314" s="3" t="s">
        <v>27</v>
      </c>
      <c r="E314" s="3" t="s">
        <v>47</v>
      </c>
      <c r="F314" s="5">
        <v>1</v>
      </c>
      <c r="G314" s="6">
        <v>1.18</v>
      </c>
      <c r="H314" s="6">
        <v>1.18</v>
      </c>
      <c r="I314" s="6">
        <v>1.07</v>
      </c>
      <c r="J314" s="6">
        <v>0.11</v>
      </c>
      <c r="K314" s="5">
        <v>282</v>
      </c>
      <c r="L314" s="13" t="str">
        <f t="shared" si="8"/>
        <v>Discount Applied</v>
      </c>
      <c r="M314" s="13" t="str">
        <f t="shared" si="9"/>
        <v>Bronze</v>
      </c>
      <c r="N314" s="13"/>
    </row>
    <row r="315" spans="1:14" x14ac:dyDescent="0.3">
      <c r="A315" s="3">
        <v>5246</v>
      </c>
      <c r="B315" s="3" t="s">
        <v>30</v>
      </c>
      <c r="C315" s="4">
        <v>45722</v>
      </c>
      <c r="D315" s="3" t="s">
        <v>38</v>
      </c>
      <c r="E315" s="3" t="s">
        <v>37</v>
      </c>
      <c r="F315" s="5">
        <v>1</v>
      </c>
      <c r="G315" s="6">
        <v>15.55</v>
      </c>
      <c r="H315" s="6">
        <v>15.55</v>
      </c>
      <c r="I315" s="6">
        <v>3.11</v>
      </c>
      <c r="J315" s="6">
        <v>12.44</v>
      </c>
      <c r="K315" s="5">
        <v>357</v>
      </c>
      <c r="L315" s="13" t="str">
        <f t="shared" si="8"/>
        <v>Discount Applied</v>
      </c>
      <c r="M315" s="13" t="str">
        <f t="shared" si="9"/>
        <v>Bronze</v>
      </c>
      <c r="N315" s="13"/>
    </row>
    <row r="316" spans="1:14" x14ac:dyDescent="0.3">
      <c r="A316" s="3">
        <v>5050</v>
      </c>
      <c r="B316" s="3" t="s">
        <v>11</v>
      </c>
      <c r="C316" s="4">
        <v>45494</v>
      </c>
      <c r="D316" s="3" t="s">
        <v>15</v>
      </c>
      <c r="E316" s="3" t="s">
        <v>46</v>
      </c>
      <c r="F316" s="5">
        <v>2</v>
      </c>
      <c r="G316" s="6">
        <v>7.98</v>
      </c>
      <c r="H316" s="6">
        <v>15.96</v>
      </c>
      <c r="I316" s="6">
        <v>2.39</v>
      </c>
      <c r="J316" s="6">
        <v>13.57</v>
      </c>
      <c r="K316" s="5">
        <v>317</v>
      </c>
      <c r="L316" s="13" t="str">
        <f t="shared" si="8"/>
        <v>Discount Applied</v>
      </c>
      <c r="M316" s="13" t="str">
        <f t="shared" si="9"/>
        <v>Bronze</v>
      </c>
      <c r="N316" s="13"/>
    </row>
    <row r="317" spans="1:14" x14ac:dyDescent="0.3">
      <c r="A317" s="3">
        <v>5543</v>
      </c>
      <c r="B317" s="3" t="s">
        <v>30</v>
      </c>
      <c r="C317" s="4">
        <v>45728</v>
      </c>
      <c r="D317" s="3" t="s">
        <v>20</v>
      </c>
      <c r="E317" s="3" t="s">
        <v>43</v>
      </c>
      <c r="F317" s="5">
        <v>3</v>
      </c>
      <c r="G317" s="6">
        <v>28.81</v>
      </c>
      <c r="H317" s="6">
        <v>86.43</v>
      </c>
      <c r="I317" s="6">
        <v>0</v>
      </c>
      <c r="J317" s="6">
        <v>86.43</v>
      </c>
      <c r="K317" s="5">
        <v>235</v>
      </c>
      <c r="L317" s="13" t="str">
        <f t="shared" si="8"/>
        <v>No Discount</v>
      </c>
      <c r="M317" s="13" t="str">
        <f t="shared" si="9"/>
        <v>Platinum</v>
      </c>
      <c r="N317" s="13"/>
    </row>
    <row r="318" spans="1:14" x14ac:dyDescent="0.3">
      <c r="A318" s="3">
        <v>9540</v>
      </c>
      <c r="B318" s="3" t="s">
        <v>42</v>
      </c>
      <c r="C318" s="4">
        <v>45797</v>
      </c>
      <c r="D318" s="3" t="s">
        <v>35</v>
      </c>
      <c r="E318" s="3" t="s">
        <v>43</v>
      </c>
      <c r="F318" s="5">
        <v>1</v>
      </c>
      <c r="G318" s="6">
        <v>3.7</v>
      </c>
      <c r="H318" s="6">
        <v>3.7</v>
      </c>
      <c r="I318" s="6">
        <v>2.9</v>
      </c>
      <c r="J318" s="6">
        <v>0.8</v>
      </c>
      <c r="K318" s="5">
        <v>194</v>
      </c>
      <c r="L318" s="13" t="str">
        <f t="shared" si="8"/>
        <v>Discount Applied</v>
      </c>
      <c r="M318" s="13" t="str">
        <f t="shared" si="9"/>
        <v>Bronze</v>
      </c>
      <c r="N318" s="13"/>
    </row>
    <row r="319" spans="1:14" x14ac:dyDescent="0.3">
      <c r="A319" s="3">
        <v>4919</v>
      </c>
      <c r="B319" s="3" t="s">
        <v>31</v>
      </c>
      <c r="C319" s="4">
        <v>45739</v>
      </c>
      <c r="D319" s="3" t="s">
        <v>34</v>
      </c>
      <c r="E319" s="3" t="s">
        <v>43</v>
      </c>
      <c r="F319" s="5">
        <v>4</v>
      </c>
      <c r="G319" s="6">
        <v>25.5</v>
      </c>
      <c r="H319" s="6">
        <v>102</v>
      </c>
      <c r="I319" s="6">
        <v>4.91</v>
      </c>
      <c r="J319" s="6">
        <v>97.09</v>
      </c>
      <c r="K319" s="5">
        <v>330</v>
      </c>
      <c r="L319" s="13" t="str">
        <f t="shared" si="8"/>
        <v>Discount Applied</v>
      </c>
      <c r="M319" s="13" t="str">
        <f t="shared" si="9"/>
        <v>Platinum</v>
      </c>
      <c r="N319" s="13"/>
    </row>
    <row r="320" spans="1:14" x14ac:dyDescent="0.3">
      <c r="A320" s="3">
        <v>8206</v>
      </c>
      <c r="B320" s="3" t="s">
        <v>11</v>
      </c>
      <c r="C320" s="4">
        <v>45521</v>
      </c>
      <c r="D320" s="3" t="s">
        <v>38</v>
      </c>
      <c r="E320" s="3" t="s">
        <v>40</v>
      </c>
      <c r="F320" s="5">
        <v>2</v>
      </c>
      <c r="G320" s="6">
        <v>7.12</v>
      </c>
      <c r="H320" s="6">
        <v>14.24</v>
      </c>
      <c r="I320" s="6">
        <v>2.14</v>
      </c>
      <c r="J320" s="6">
        <v>12.1</v>
      </c>
      <c r="K320" s="5">
        <v>444</v>
      </c>
      <c r="L320" s="13" t="str">
        <f t="shared" si="8"/>
        <v>Discount Applied</v>
      </c>
      <c r="M320" s="13" t="str">
        <f t="shared" si="9"/>
        <v>Bronze</v>
      </c>
      <c r="N320" s="13"/>
    </row>
    <row r="321" spans="1:14" x14ac:dyDescent="0.3">
      <c r="A321" s="3">
        <v>5681</v>
      </c>
      <c r="B321" s="3" t="s">
        <v>31</v>
      </c>
      <c r="C321" s="4">
        <v>45358</v>
      </c>
      <c r="D321" s="3" t="s">
        <v>15</v>
      </c>
      <c r="E321" s="3" t="s">
        <v>13</v>
      </c>
      <c r="F321" s="5">
        <v>5</v>
      </c>
      <c r="G321" s="6">
        <v>17.329999999999998</v>
      </c>
      <c r="H321" s="6">
        <v>86.65</v>
      </c>
      <c r="I321" s="6">
        <v>13</v>
      </c>
      <c r="J321" s="6">
        <v>73.650000000000006</v>
      </c>
      <c r="K321" s="5">
        <v>16</v>
      </c>
      <c r="L321" s="13" t="str">
        <f t="shared" si="8"/>
        <v>Discount Applied</v>
      </c>
      <c r="M321" s="13" t="str">
        <f t="shared" si="9"/>
        <v>Platinum</v>
      </c>
      <c r="N321" s="13"/>
    </row>
    <row r="322" spans="1:14" x14ac:dyDescent="0.3">
      <c r="A322" s="3">
        <v>5451</v>
      </c>
      <c r="B322" s="3" t="s">
        <v>31</v>
      </c>
      <c r="C322" s="4">
        <v>45205</v>
      </c>
      <c r="D322" s="3" t="s">
        <v>17</v>
      </c>
      <c r="E322" s="3" t="s">
        <v>41</v>
      </c>
      <c r="F322" s="5">
        <v>4</v>
      </c>
      <c r="G322" s="6">
        <v>27.93</v>
      </c>
      <c r="H322" s="6">
        <v>111.72</v>
      </c>
      <c r="I322" s="6">
        <v>1.96</v>
      </c>
      <c r="J322" s="6">
        <v>109.76</v>
      </c>
      <c r="K322" s="5">
        <v>153</v>
      </c>
      <c r="L322" s="13" t="str">
        <f t="shared" si="8"/>
        <v>Discount Applied</v>
      </c>
      <c r="M322" s="13" t="str">
        <f t="shared" si="9"/>
        <v>Platinum</v>
      </c>
      <c r="N322" s="13"/>
    </row>
    <row r="323" spans="1:14" x14ac:dyDescent="0.3">
      <c r="A323" s="3">
        <v>6238</v>
      </c>
      <c r="B323" s="3" t="s">
        <v>24</v>
      </c>
      <c r="C323" s="4">
        <v>45327</v>
      </c>
      <c r="D323" s="3" t="s">
        <v>27</v>
      </c>
      <c r="E323" s="3" t="s">
        <v>18</v>
      </c>
      <c r="F323" s="5">
        <v>3</v>
      </c>
      <c r="G323" s="6">
        <v>12.12</v>
      </c>
      <c r="H323" s="6">
        <v>36.36</v>
      </c>
      <c r="I323" s="6">
        <v>0</v>
      </c>
      <c r="J323" s="6">
        <v>36.36</v>
      </c>
      <c r="K323" s="5">
        <v>378</v>
      </c>
      <c r="L323" s="13" t="str">
        <f t="shared" ref="L323:L386" si="10">IF(I323&gt;0,"Discount Applied","No Discount")</f>
        <v>No Discount</v>
      </c>
      <c r="M323" s="13" t="str">
        <f t="shared" ref="M323:M386" si="11">IF(J323 &gt;= 70, "Platinum",
   IF(J323 &gt;= 50, "Gold",
      IF(J323 &gt;= 20, "Silver", "Bronze")))</f>
        <v>Silver</v>
      </c>
      <c r="N323" s="13"/>
    </row>
    <row r="324" spans="1:14" x14ac:dyDescent="0.3">
      <c r="A324" s="3">
        <v>9849</v>
      </c>
      <c r="B324" s="3" t="s">
        <v>11</v>
      </c>
      <c r="C324" s="4">
        <v>45405</v>
      </c>
      <c r="D324" s="3" t="s">
        <v>38</v>
      </c>
      <c r="E324" s="3" t="s">
        <v>23</v>
      </c>
      <c r="F324" s="5">
        <v>1</v>
      </c>
      <c r="G324" s="6">
        <v>3.82</v>
      </c>
      <c r="H324" s="6">
        <v>3.82</v>
      </c>
      <c r="I324" s="6">
        <v>0.56999999999999995</v>
      </c>
      <c r="J324" s="6">
        <v>3.25</v>
      </c>
      <c r="K324" s="5">
        <v>118</v>
      </c>
      <c r="L324" s="13" t="str">
        <f t="shared" si="10"/>
        <v>Discount Applied</v>
      </c>
      <c r="M324" s="13" t="str">
        <f t="shared" si="11"/>
        <v>Bronze</v>
      </c>
      <c r="N324" s="13"/>
    </row>
    <row r="325" spans="1:14" x14ac:dyDescent="0.3">
      <c r="A325" s="3">
        <v>3267</v>
      </c>
      <c r="B325" s="3" t="s">
        <v>24</v>
      </c>
      <c r="C325" s="4">
        <v>45838</v>
      </c>
      <c r="D325" s="3" t="s">
        <v>22</v>
      </c>
      <c r="E325" s="3" t="s">
        <v>39</v>
      </c>
      <c r="F325" s="5">
        <v>3</v>
      </c>
      <c r="G325" s="6">
        <v>23.71</v>
      </c>
      <c r="H325" s="6">
        <v>71.13</v>
      </c>
      <c r="I325" s="6">
        <v>14.23</v>
      </c>
      <c r="J325" s="6">
        <v>56.9</v>
      </c>
      <c r="K325" s="5">
        <v>230</v>
      </c>
      <c r="L325" s="13" t="str">
        <f t="shared" si="10"/>
        <v>Discount Applied</v>
      </c>
      <c r="M325" s="13" t="str">
        <f t="shared" si="11"/>
        <v>Gold</v>
      </c>
      <c r="N325" s="13"/>
    </row>
    <row r="326" spans="1:14" x14ac:dyDescent="0.3">
      <c r="A326" s="3">
        <v>4788</v>
      </c>
      <c r="B326" s="3" t="s">
        <v>36</v>
      </c>
      <c r="C326" s="4">
        <v>45207</v>
      </c>
      <c r="D326" s="3" t="s">
        <v>38</v>
      </c>
      <c r="E326" s="3" t="s">
        <v>32</v>
      </c>
      <c r="F326" s="5">
        <v>4</v>
      </c>
      <c r="G326" s="6">
        <v>6.38</v>
      </c>
      <c r="H326" s="6">
        <v>25.52</v>
      </c>
      <c r="I326" s="6">
        <v>4.09</v>
      </c>
      <c r="J326" s="6">
        <v>21.43</v>
      </c>
      <c r="K326" s="5">
        <v>299</v>
      </c>
      <c r="L326" s="13" t="str">
        <f t="shared" si="10"/>
        <v>Discount Applied</v>
      </c>
      <c r="M326" s="13" t="str">
        <f t="shared" si="11"/>
        <v>Silver</v>
      </c>
      <c r="N326" s="13"/>
    </row>
    <row r="327" spans="1:14" x14ac:dyDescent="0.3">
      <c r="A327" s="3">
        <v>3503</v>
      </c>
      <c r="B327" s="3" t="s">
        <v>30</v>
      </c>
      <c r="C327" s="4">
        <v>45262</v>
      </c>
      <c r="D327" s="3" t="s">
        <v>17</v>
      </c>
      <c r="E327" s="3" t="s">
        <v>43</v>
      </c>
      <c r="F327" s="5">
        <v>1</v>
      </c>
      <c r="G327" s="6">
        <v>8.76</v>
      </c>
      <c r="H327" s="6">
        <v>8.76</v>
      </c>
      <c r="I327" s="6">
        <v>0</v>
      </c>
      <c r="J327" s="6">
        <v>8.76</v>
      </c>
      <c r="K327" s="5">
        <v>194</v>
      </c>
      <c r="L327" s="13" t="str">
        <f t="shared" si="10"/>
        <v>No Discount</v>
      </c>
      <c r="M327" s="13" t="str">
        <f t="shared" si="11"/>
        <v>Bronze</v>
      </c>
      <c r="N327" s="13"/>
    </row>
    <row r="328" spans="1:14" x14ac:dyDescent="0.3">
      <c r="A328" s="3">
        <v>4505</v>
      </c>
      <c r="B328" s="3" t="s">
        <v>24</v>
      </c>
      <c r="C328" s="4">
        <v>45442</v>
      </c>
      <c r="D328" s="3" t="s">
        <v>22</v>
      </c>
      <c r="E328" s="3" t="s">
        <v>23</v>
      </c>
      <c r="F328" s="5">
        <v>1</v>
      </c>
      <c r="G328" s="6">
        <v>3.64</v>
      </c>
      <c r="H328" s="6">
        <v>3.64</v>
      </c>
      <c r="I328" s="6">
        <v>0.36</v>
      </c>
      <c r="J328" s="6">
        <v>3.28</v>
      </c>
      <c r="K328" s="5">
        <v>482</v>
      </c>
      <c r="L328" s="13" t="str">
        <f t="shared" si="10"/>
        <v>Discount Applied</v>
      </c>
      <c r="M328" s="13" t="str">
        <f t="shared" si="11"/>
        <v>Bronze</v>
      </c>
      <c r="N328" s="13"/>
    </row>
    <row r="329" spans="1:14" x14ac:dyDescent="0.3">
      <c r="A329" s="3">
        <v>7797</v>
      </c>
      <c r="B329" s="3" t="s">
        <v>36</v>
      </c>
      <c r="C329" s="4">
        <v>45693</v>
      </c>
      <c r="D329" s="3" t="s">
        <v>35</v>
      </c>
      <c r="E329" s="3" t="s">
        <v>48</v>
      </c>
      <c r="F329" s="5">
        <v>2</v>
      </c>
      <c r="G329" s="6">
        <v>3.52</v>
      </c>
      <c r="H329" s="6">
        <v>7.04</v>
      </c>
      <c r="I329" s="6">
        <v>3.22</v>
      </c>
      <c r="J329" s="6">
        <v>3.82</v>
      </c>
      <c r="K329" s="5">
        <v>220</v>
      </c>
      <c r="L329" s="13" t="str">
        <f t="shared" si="10"/>
        <v>Discount Applied</v>
      </c>
      <c r="M329" s="13" t="str">
        <f t="shared" si="11"/>
        <v>Bronze</v>
      </c>
      <c r="N329" s="13"/>
    </row>
    <row r="330" spans="1:14" x14ac:dyDescent="0.3">
      <c r="A330" s="3">
        <v>6421</v>
      </c>
      <c r="B330" s="3" t="s">
        <v>24</v>
      </c>
      <c r="C330" s="4">
        <v>45194</v>
      </c>
      <c r="D330" s="3" t="s">
        <v>15</v>
      </c>
      <c r="E330" s="3" t="s">
        <v>39</v>
      </c>
      <c r="F330" s="5">
        <v>1</v>
      </c>
      <c r="G330" s="6">
        <v>11.25</v>
      </c>
      <c r="H330" s="6">
        <v>11.25</v>
      </c>
      <c r="I330" s="6">
        <v>1.1200000000000001</v>
      </c>
      <c r="J330" s="6">
        <v>10.130000000000001</v>
      </c>
      <c r="K330" s="5">
        <v>47</v>
      </c>
      <c r="L330" s="13" t="str">
        <f t="shared" si="10"/>
        <v>Discount Applied</v>
      </c>
      <c r="M330" s="13" t="str">
        <f t="shared" si="11"/>
        <v>Bronze</v>
      </c>
      <c r="N330" s="13"/>
    </row>
    <row r="331" spans="1:14" x14ac:dyDescent="0.3">
      <c r="A331" s="3">
        <v>8633</v>
      </c>
      <c r="B331" s="3" t="s">
        <v>31</v>
      </c>
      <c r="C331" s="4">
        <v>45461</v>
      </c>
      <c r="D331" s="3" t="s">
        <v>35</v>
      </c>
      <c r="E331" s="3" t="s">
        <v>16</v>
      </c>
      <c r="F331" s="5">
        <v>4</v>
      </c>
      <c r="G331" s="6">
        <v>23.59</v>
      </c>
      <c r="H331" s="6">
        <v>94.36</v>
      </c>
      <c r="I331" s="6">
        <v>3.08</v>
      </c>
      <c r="J331" s="6">
        <v>91.28</v>
      </c>
      <c r="K331" s="5">
        <v>371</v>
      </c>
      <c r="L331" s="13" t="str">
        <f t="shared" si="10"/>
        <v>Discount Applied</v>
      </c>
      <c r="M331" s="13" t="str">
        <f t="shared" si="11"/>
        <v>Platinum</v>
      </c>
      <c r="N331" s="13"/>
    </row>
    <row r="332" spans="1:14" x14ac:dyDescent="0.3">
      <c r="A332" s="3">
        <v>2020</v>
      </c>
      <c r="B332" s="3" t="s">
        <v>24</v>
      </c>
      <c r="C332" s="4">
        <v>45566</v>
      </c>
      <c r="D332" s="3" t="s">
        <v>34</v>
      </c>
      <c r="E332" s="3" t="s">
        <v>41</v>
      </c>
      <c r="F332" s="5">
        <v>3</v>
      </c>
      <c r="G332" s="6">
        <v>9.7200000000000006</v>
      </c>
      <c r="H332" s="6">
        <v>29.16</v>
      </c>
      <c r="I332" s="6">
        <v>1.67</v>
      </c>
      <c r="J332" s="6">
        <v>27.49</v>
      </c>
      <c r="K332" s="5">
        <v>252</v>
      </c>
      <c r="L332" s="13" t="str">
        <f t="shared" si="10"/>
        <v>Discount Applied</v>
      </c>
      <c r="M332" s="13" t="str">
        <f t="shared" si="11"/>
        <v>Silver</v>
      </c>
      <c r="N332" s="13"/>
    </row>
    <row r="333" spans="1:14" x14ac:dyDescent="0.3">
      <c r="A333" s="3">
        <v>7883</v>
      </c>
      <c r="B333" s="3" t="s">
        <v>30</v>
      </c>
      <c r="C333" s="4">
        <v>45467</v>
      </c>
      <c r="D333" s="3" t="s">
        <v>20</v>
      </c>
      <c r="E333" s="3" t="s">
        <v>37</v>
      </c>
      <c r="F333" s="5">
        <v>4</v>
      </c>
      <c r="G333" s="6">
        <v>23.69</v>
      </c>
      <c r="H333" s="6">
        <v>94.76</v>
      </c>
      <c r="I333" s="6">
        <v>18.95</v>
      </c>
      <c r="J333" s="6">
        <v>75.81</v>
      </c>
      <c r="K333" s="5">
        <v>184</v>
      </c>
      <c r="L333" s="13" t="str">
        <f t="shared" si="10"/>
        <v>Discount Applied</v>
      </c>
      <c r="M333" s="13" t="str">
        <f t="shared" si="11"/>
        <v>Platinum</v>
      </c>
      <c r="N333" s="13"/>
    </row>
    <row r="334" spans="1:14" x14ac:dyDescent="0.3">
      <c r="A334" s="3">
        <v>1320</v>
      </c>
      <c r="B334" s="3" t="s">
        <v>26</v>
      </c>
      <c r="C334" s="4">
        <v>45305</v>
      </c>
      <c r="D334" s="3" t="s">
        <v>28</v>
      </c>
      <c r="E334" s="3" t="s">
        <v>44</v>
      </c>
      <c r="F334" s="5">
        <v>4</v>
      </c>
      <c r="G334" s="6">
        <v>4.09</v>
      </c>
      <c r="H334" s="6">
        <v>16.36</v>
      </c>
      <c r="I334" s="6">
        <v>1.64</v>
      </c>
      <c r="J334" s="6">
        <v>14.72</v>
      </c>
      <c r="K334" s="5">
        <v>155</v>
      </c>
      <c r="L334" s="13" t="str">
        <f t="shared" si="10"/>
        <v>Discount Applied</v>
      </c>
      <c r="M334" s="13" t="str">
        <f t="shared" si="11"/>
        <v>Bronze</v>
      </c>
      <c r="N334" s="13"/>
    </row>
    <row r="335" spans="1:14" x14ac:dyDescent="0.3">
      <c r="A335" s="3">
        <v>7232</v>
      </c>
      <c r="B335" s="3" t="s">
        <v>36</v>
      </c>
      <c r="C335" s="4">
        <v>45447</v>
      </c>
      <c r="D335" s="3" t="s">
        <v>28</v>
      </c>
      <c r="E335" s="3" t="s">
        <v>32</v>
      </c>
      <c r="F335" s="5">
        <v>3</v>
      </c>
      <c r="G335" s="6">
        <v>13.76</v>
      </c>
      <c r="H335" s="6">
        <v>41.28</v>
      </c>
      <c r="I335" s="6">
        <v>6.19</v>
      </c>
      <c r="J335" s="6">
        <v>35.090000000000003</v>
      </c>
      <c r="K335" s="5">
        <v>220</v>
      </c>
      <c r="L335" s="13" t="str">
        <f t="shared" si="10"/>
        <v>Discount Applied</v>
      </c>
      <c r="M335" s="13" t="str">
        <f t="shared" si="11"/>
        <v>Silver</v>
      </c>
      <c r="N335" s="13"/>
    </row>
    <row r="336" spans="1:14" x14ac:dyDescent="0.3">
      <c r="A336" s="3">
        <v>1096</v>
      </c>
      <c r="B336" s="3" t="s">
        <v>36</v>
      </c>
      <c r="C336" s="4">
        <v>45810</v>
      </c>
      <c r="D336" s="3" t="s">
        <v>28</v>
      </c>
      <c r="E336" s="3" t="s">
        <v>44</v>
      </c>
      <c r="F336" s="5">
        <v>4</v>
      </c>
      <c r="G336" s="6">
        <v>10.1</v>
      </c>
      <c r="H336" s="6">
        <v>40.4</v>
      </c>
      <c r="I336" s="6">
        <v>6.06</v>
      </c>
      <c r="J336" s="6">
        <v>34.340000000000003</v>
      </c>
      <c r="K336" s="5">
        <v>493</v>
      </c>
      <c r="L336" s="13" t="str">
        <f t="shared" si="10"/>
        <v>Discount Applied</v>
      </c>
      <c r="M336" s="13" t="str">
        <f t="shared" si="11"/>
        <v>Silver</v>
      </c>
      <c r="N336" s="13"/>
    </row>
    <row r="337" spans="1:14" x14ac:dyDescent="0.3">
      <c r="A337" s="3">
        <v>5892</v>
      </c>
      <c r="B337" s="3" t="s">
        <v>30</v>
      </c>
      <c r="C337" s="4">
        <v>45515</v>
      </c>
      <c r="D337" s="3" t="s">
        <v>27</v>
      </c>
      <c r="E337" s="3" t="s">
        <v>47</v>
      </c>
      <c r="F337" s="5">
        <v>5</v>
      </c>
      <c r="G337" s="6">
        <v>23.67</v>
      </c>
      <c r="H337" s="6">
        <v>118.35</v>
      </c>
      <c r="I337" s="6">
        <v>17.75</v>
      </c>
      <c r="J337" s="6">
        <v>100.6</v>
      </c>
      <c r="K337" s="5">
        <v>166</v>
      </c>
      <c r="L337" s="13" t="str">
        <f t="shared" si="10"/>
        <v>Discount Applied</v>
      </c>
      <c r="M337" s="13" t="str">
        <f t="shared" si="11"/>
        <v>Platinum</v>
      </c>
      <c r="N337" s="13"/>
    </row>
    <row r="338" spans="1:14" x14ac:dyDescent="0.3">
      <c r="A338" s="3">
        <v>7389</v>
      </c>
      <c r="B338" s="3" t="s">
        <v>24</v>
      </c>
      <c r="C338" s="4">
        <v>45418</v>
      </c>
      <c r="D338" s="3" t="s">
        <v>22</v>
      </c>
      <c r="E338" s="3" t="s">
        <v>48</v>
      </c>
      <c r="F338" s="5">
        <v>5</v>
      </c>
      <c r="G338" s="6">
        <v>6.78</v>
      </c>
      <c r="H338" s="6">
        <v>33.9</v>
      </c>
      <c r="I338" s="6">
        <v>0</v>
      </c>
      <c r="J338" s="6">
        <v>33.9</v>
      </c>
      <c r="K338" s="5">
        <v>279</v>
      </c>
      <c r="L338" s="13" t="str">
        <f t="shared" si="10"/>
        <v>No Discount</v>
      </c>
      <c r="M338" s="13" t="str">
        <f t="shared" si="11"/>
        <v>Silver</v>
      </c>
      <c r="N338" s="13"/>
    </row>
    <row r="339" spans="1:14" x14ac:dyDescent="0.3">
      <c r="A339" s="3">
        <v>7865</v>
      </c>
      <c r="B339" s="3" t="s">
        <v>14</v>
      </c>
      <c r="C339" s="4">
        <v>45730</v>
      </c>
      <c r="D339" s="3" t="s">
        <v>12</v>
      </c>
      <c r="E339" s="3" t="s">
        <v>33</v>
      </c>
      <c r="F339" s="5">
        <v>2</v>
      </c>
      <c r="G339" s="6">
        <v>13.71</v>
      </c>
      <c r="H339" s="6">
        <v>27.42</v>
      </c>
      <c r="I339" s="6">
        <v>2.74</v>
      </c>
      <c r="J339" s="6">
        <v>24.68</v>
      </c>
      <c r="K339" s="5">
        <v>149</v>
      </c>
      <c r="L339" s="13" t="str">
        <f t="shared" si="10"/>
        <v>Discount Applied</v>
      </c>
      <c r="M339" s="13" t="str">
        <f t="shared" si="11"/>
        <v>Silver</v>
      </c>
      <c r="N339" s="13"/>
    </row>
    <row r="340" spans="1:14" x14ac:dyDescent="0.3">
      <c r="A340" s="3">
        <v>9947</v>
      </c>
      <c r="B340" s="3" t="s">
        <v>26</v>
      </c>
      <c r="C340" s="4">
        <v>45807</v>
      </c>
      <c r="D340" s="3" t="s">
        <v>34</v>
      </c>
      <c r="E340" s="3" t="s">
        <v>37</v>
      </c>
      <c r="F340" s="5">
        <v>2</v>
      </c>
      <c r="G340" s="6">
        <v>8.32</v>
      </c>
      <c r="H340" s="6">
        <v>16.64</v>
      </c>
      <c r="I340" s="6">
        <v>1.66</v>
      </c>
      <c r="J340" s="6">
        <v>14.98</v>
      </c>
      <c r="K340" s="5">
        <v>78</v>
      </c>
      <c r="L340" s="13" t="str">
        <f t="shared" si="10"/>
        <v>Discount Applied</v>
      </c>
      <c r="M340" s="13" t="str">
        <f t="shared" si="11"/>
        <v>Bronze</v>
      </c>
      <c r="N340" s="13"/>
    </row>
    <row r="341" spans="1:14" x14ac:dyDescent="0.3">
      <c r="A341" s="3">
        <v>4613</v>
      </c>
      <c r="B341" s="3" t="s">
        <v>11</v>
      </c>
      <c r="C341" s="4">
        <v>45563</v>
      </c>
      <c r="D341" s="3" t="s">
        <v>45</v>
      </c>
      <c r="E341" s="3" t="s">
        <v>47</v>
      </c>
      <c r="F341" s="5">
        <v>5</v>
      </c>
      <c r="G341" s="6">
        <v>12.61</v>
      </c>
      <c r="H341" s="6">
        <v>63.05</v>
      </c>
      <c r="I341" s="6">
        <v>1.1499999999999999</v>
      </c>
      <c r="J341" s="6">
        <v>61.9</v>
      </c>
      <c r="K341" s="5">
        <v>259</v>
      </c>
      <c r="L341" s="13" t="str">
        <f t="shared" si="10"/>
        <v>Discount Applied</v>
      </c>
      <c r="M341" s="13" t="str">
        <f t="shared" si="11"/>
        <v>Gold</v>
      </c>
      <c r="N341" s="13"/>
    </row>
    <row r="342" spans="1:14" x14ac:dyDescent="0.3">
      <c r="A342" s="3">
        <v>4595</v>
      </c>
      <c r="B342" s="3" t="s">
        <v>36</v>
      </c>
      <c r="C342" s="4">
        <v>45766</v>
      </c>
      <c r="D342" s="3" t="s">
        <v>38</v>
      </c>
      <c r="E342" s="3" t="s">
        <v>43</v>
      </c>
      <c r="F342" s="5">
        <v>1</v>
      </c>
      <c r="G342" s="6">
        <v>23.29</v>
      </c>
      <c r="H342" s="6">
        <v>23.29</v>
      </c>
      <c r="I342" s="6">
        <v>4.66</v>
      </c>
      <c r="J342" s="6">
        <v>18.63</v>
      </c>
      <c r="K342" s="5">
        <v>336</v>
      </c>
      <c r="L342" s="13" t="str">
        <f t="shared" si="10"/>
        <v>Discount Applied</v>
      </c>
      <c r="M342" s="13" t="str">
        <f t="shared" si="11"/>
        <v>Bronze</v>
      </c>
      <c r="N342" s="13"/>
    </row>
    <row r="343" spans="1:14" x14ac:dyDescent="0.3">
      <c r="A343" s="3">
        <v>8140</v>
      </c>
      <c r="B343" s="3" t="s">
        <v>31</v>
      </c>
      <c r="C343" s="4">
        <v>45524</v>
      </c>
      <c r="D343" s="3" t="s">
        <v>28</v>
      </c>
      <c r="E343" s="3" t="s">
        <v>32</v>
      </c>
      <c r="F343" s="5">
        <v>3</v>
      </c>
      <c r="G343" s="6">
        <v>29</v>
      </c>
      <c r="H343" s="6">
        <v>87</v>
      </c>
      <c r="I343" s="6">
        <v>1.39</v>
      </c>
      <c r="J343" s="6">
        <v>85.61</v>
      </c>
      <c r="K343" s="5">
        <v>220</v>
      </c>
      <c r="L343" s="13" t="str">
        <f t="shared" si="10"/>
        <v>Discount Applied</v>
      </c>
      <c r="M343" s="13" t="str">
        <f t="shared" si="11"/>
        <v>Platinum</v>
      </c>
      <c r="N343" s="13"/>
    </row>
    <row r="344" spans="1:14" x14ac:dyDescent="0.3">
      <c r="A344" s="3">
        <v>1475</v>
      </c>
      <c r="B344" s="3" t="s">
        <v>42</v>
      </c>
      <c r="C344" s="4">
        <v>45356</v>
      </c>
      <c r="D344" s="3" t="s">
        <v>38</v>
      </c>
      <c r="E344" s="3" t="s">
        <v>46</v>
      </c>
      <c r="F344" s="5">
        <v>5</v>
      </c>
      <c r="G344" s="6">
        <v>17.829999999999998</v>
      </c>
      <c r="H344" s="6">
        <v>89.15</v>
      </c>
      <c r="I344" s="6">
        <v>8.92</v>
      </c>
      <c r="J344" s="6">
        <v>80.23</v>
      </c>
      <c r="K344" s="5">
        <v>294</v>
      </c>
      <c r="L344" s="13" t="str">
        <f t="shared" si="10"/>
        <v>Discount Applied</v>
      </c>
      <c r="M344" s="13" t="str">
        <f t="shared" si="11"/>
        <v>Platinum</v>
      </c>
      <c r="N344" s="13"/>
    </row>
    <row r="345" spans="1:14" x14ac:dyDescent="0.3">
      <c r="A345" s="3">
        <v>6507</v>
      </c>
      <c r="B345" s="3" t="s">
        <v>36</v>
      </c>
      <c r="C345" s="4">
        <v>45522</v>
      </c>
      <c r="D345" s="3" t="s">
        <v>20</v>
      </c>
      <c r="E345" s="3" t="s">
        <v>33</v>
      </c>
      <c r="F345" s="5">
        <v>5</v>
      </c>
      <c r="G345" s="6">
        <v>21.01</v>
      </c>
      <c r="H345" s="6">
        <v>105.05</v>
      </c>
      <c r="I345" s="6">
        <v>2.93</v>
      </c>
      <c r="J345" s="6">
        <v>102.12</v>
      </c>
      <c r="K345" s="5">
        <v>77</v>
      </c>
      <c r="L345" s="13" t="str">
        <f t="shared" si="10"/>
        <v>Discount Applied</v>
      </c>
      <c r="M345" s="13" t="str">
        <f t="shared" si="11"/>
        <v>Platinum</v>
      </c>
      <c r="N345" s="13"/>
    </row>
    <row r="346" spans="1:14" x14ac:dyDescent="0.3">
      <c r="A346" s="3">
        <v>7624</v>
      </c>
      <c r="B346" s="3" t="s">
        <v>30</v>
      </c>
      <c r="C346" s="4">
        <v>45447</v>
      </c>
      <c r="D346" s="3" t="s">
        <v>20</v>
      </c>
      <c r="E346" s="3" t="s">
        <v>43</v>
      </c>
      <c r="F346" s="5">
        <v>1</v>
      </c>
      <c r="G346" s="6">
        <v>25.1</v>
      </c>
      <c r="H346" s="6">
        <v>25.1</v>
      </c>
      <c r="I346" s="6">
        <v>3.77</v>
      </c>
      <c r="J346" s="6">
        <v>21.33</v>
      </c>
      <c r="K346" s="5">
        <v>373</v>
      </c>
      <c r="L346" s="13" t="str">
        <f t="shared" si="10"/>
        <v>Discount Applied</v>
      </c>
      <c r="M346" s="13" t="str">
        <f t="shared" si="11"/>
        <v>Silver</v>
      </c>
      <c r="N346" s="13"/>
    </row>
    <row r="347" spans="1:14" x14ac:dyDescent="0.3">
      <c r="A347" s="3">
        <v>3704</v>
      </c>
      <c r="B347" s="3" t="s">
        <v>30</v>
      </c>
      <c r="C347" s="4">
        <v>45664</v>
      </c>
      <c r="D347" s="3" t="s">
        <v>22</v>
      </c>
      <c r="E347" s="3" t="s">
        <v>33</v>
      </c>
      <c r="F347" s="5">
        <v>2</v>
      </c>
      <c r="G347" s="6">
        <v>16.100000000000001</v>
      </c>
      <c r="H347" s="6">
        <v>32.200000000000003</v>
      </c>
      <c r="I347" s="6">
        <v>2.75</v>
      </c>
      <c r="J347" s="6">
        <v>29.45</v>
      </c>
      <c r="K347" s="5">
        <v>178</v>
      </c>
      <c r="L347" s="13" t="str">
        <f t="shared" si="10"/>
        <v>Discount Applied</v>
      </c>
      <c r="M347" s="13" t="str">
        <f t="shared" si="11"/>
        <v>Silver</v>
      </c>
      <c r="N347" s="13"/>
    </row>
    <row r="348" spans="1:14" x14ac:dyDescent="0.3">
      <c r="A348" s="3">
        <v>8657</v>
      </c>
      <c r="B348" s="3" t="s">
        <v>26</v>
      </c>
      <c r="C348" s="4">
        <v>45707</v>
      </c>
      <c r="D348" s="3" t="s">
        <v>22</v>
      </c>
      <c r="E348" s="3" t="s">
        <v>43</v>
      </c>
      <c r="F348" s="5">
        <v>3</v>
      </c>
      <c r="G348" s="6">
        <v>2.29</v>
      </c>
      <c r="H348" s="6">
        <v>6.87</v>
      </c>
      <c r="I348" s="6">
        <v>4.4000000000000004</v>
      </c>
      <c r="J348" s="6">
        <v>2.4700000000000002</v>
      </c>
      <c r="K348" s="5">
        <v>363</v>
      </c>
      <c r="L348" s="13" t="str">
        <f t="shared" si="10"/>
        <v>Discount Applied</v>
      </c>
      <c r="M348" s="13" t="str">
        <f t="shared" si="11"/>
        <v>Bronze</v>
      </c>
      <c r="N348" s="13"/>
    </row>
    <row r="349" spans="1:14" x14ac:dyDescent="0.3">
      <c r="A349" s="3">
        <v>3091</v>
      </c>
      <c r="B349" s="3" t="s">
        <v>11</v>
      </c>
      <c r="C349" s="4">
        <v>45797</v>
      </c>
      <c r="D349" s="3" t="s">
        <v>27</v>
      </c>
      <c r="E349" s="3" t="s">
        <v>29</v>
      </c>
      <c r="F349" s="5">
        <v>2</v>
      </c>
      <c r="G349" s="6">
        <v>15.95</v>
      </c>
      <c r="H349" s="6">
        <v>31.9</v>
      </c>
      <c r="I349" s="6">
        <v>4.78</v>
      </c>
      <c r="J349" s="6">
        <v>27.12</v>
      </c>
      <c r="K349" s="5">
        <v>282</v>
      </c>
      <c r="L349" s="13" t="str">
        <f t="shared" si="10"/>
        <v>Discount Applied</v>
      </c>
      <c r="M349" s="13" t="str">
        <f t="shared" si="11"/>
        <v>Silver</v>
      </c>
      <c r="N349" s="13"/>
    </row>
    <row r="350" spans="1:14" x14ac:dyDescent="0.3">
      <c r="A350" s="3">
        <v>9751</v>
      </c>
      <c r="B350" s="3" t="s">
        <v>14</v>
      </c>
      <c r="C350" s="4">
        <v>45859</v>
      </c>
      <c r="D350" s="3" t="s">
        <v>20</v>
      </c>
      <c r="E350" s="3" t="s">
        <v>33</v>
      </c>
      <c r="F350" s="5">
        <v>2</v>
      </c>
      <c r="G350" s="6">
        <v>24.12</v>
      </c>
      <c r="H350" s="6">
        <v>48.24</v>
      </c>
      <c r="I350" s="6">
        <v>9.65</v>
      </c>
      <c r="J350" s="6">
        <v>38.590000000000003</v>
      </c>
      <c r="K350" s="5">
        <v>322</v>
      </c>
      <c r="L350" s="13" t="str">
        <f t="shared" si="10"/>
        <v>Discount Applied</v>
      </c>
      <c r="M350" s="13" t="str">
        <f t="shared" si="11"/>
        <v>Silver</v>
      </c>
      <c r="N350" s="13"/>
    </row>
    <row r="351" spans="1:14" x14ac:dyDescent="0.3">
      <c r="A351" s="3">
        <v>7455</v>
      </c>
      <c r="B351" s="3" t="s">
        <v>24</v>
      </c>
      <c r="C351" s="4">
        <v>45628</v>
      </c>
      <c r="D351" s="3" t="s">
        <v>20</v>
      </c>
      <c r="E351" s="3" t="s">
        <v>39</v>
      </c>
      <c r="F351" s="5">
        <v>5</v>
      </c>
      <c r="G351" s="6">
        <v>26.6</v>
      </c>
      <c r="H351" s="6">
        <v>133</v>
      </c>
      <c r="I351" s="6">
        <v>13.3</v>
      </c>
      <c r="J351" s="6">
        <v>119.7</v>
      </c>
      <c r="K351" s="5">
        <v>230</v>
      </c>
      <c r="L351" s="13" t="str">
        <f t="shared" si="10"/>
        <v>Discount Applied</v>
      </c>
      <c r="M351" s="13" t="str">
        <f t="shared" si="11"/>
        <v>Platinum</v>
      </c>
      <c r="N351" s="13"/>
    </row>
    <row r="352" spans="1:14" x14ac:dyDescent="0.3">
      <c r="A352" s="3">
        <v>1444</v>
      </c>
      <c r="B352" s="3" t="s">
        <v>31</v>
      </c>
      <c r="C352" s="4">
        <v>45165</v>
      </c>
      <c r="D352" s="3" t="s">
        <v>17</v>
      </c>
      <c r="E352" s="3" t="s">
        <v>44</v>
      </c>
      <c r="F352" s="5">
        <v>3</v>
      </c>
      <c r="G352" s="6">
        <v>22.81</v>
      </c>
      <c r="H352" s="6">
        <v>68.430000000000007</v>
      </c>
      <c r="I352" s="6">
        <v>1.41</v>
      </c>
      <c r="J352" s="6">
        <v>67.02</v>
      </c>
      <c r="K352" s="5">
        <v>414</v>
      </c>
      <c r="L352" s="13" t="str">
        <f t="shared" si="10"/>
        <v>Discount Applied</v>
      </c>
      <c r="M352" s="13" t="str">
        <f t="shared" si="11"/>
        <v>Gold</v>
      </c>
      <c r="N352" s="13"/>
    </row>
    <row r="353" spans="1:14" x14ac:dyDescent="0.3">
      <c r="A353" s="3">
        <v>8022</v>
      </c>
      <c r="B353" s="3" t="s">
        <v>14</v>
      </c>
      <c r="C353" s="4">
        <v>45604</v>
      </c>
      <c r="D353" s="3" t="s">
        <v>34</v>
      </c>
      <c r="E353" s="3" t="s">
        <v>23</v>
      </c>
      <c r="F353" s="5">
        <v>3</v>
      </c>
      <c r="G353" s="6">
        <v>6.71</v>
      </c>
      <c r="H353" s="6">
        <v>20.13</v>
      </c>
      <c r="I353" s="6">
        <v>0</v>
      </c>
      <c r="J353" s="6">
        <v>20.13</v>
      </c>
      <c r="K353" s="5">
        <v>58</v>
      </c>
      <c r="L353" s="13" t="str">
        <f t="shared" si="10"/>
        <v>No Discount</v>
      </c>
      <c r="M353" s="13" t="str">
        <f t="shared" si="11"/>
        <v>Silver</v>
      </c>
      <c r="N353" s="13"/>
    </row>
    <row r="354" spans="1:14" x14ac:dyDescent="0.3">
      <c r="A354" s="3">
        <v>8564</v>
      </c>
      <c r="B354" s="3" t="s">
        <v>26</v>
      </c>
      <c r="C354" s="4">
        <v>45210</v>
      </c>
      <c r="D354" s="3" t="s">
        <v>38</v>
      </c>
      <c r="E354" s="3" t="s">
        <v>21</v>
      </c>
      <c r="F354" s="5">
        <v>5</v>
      </c>
      <c r="G354" s="6">
        <v>12.26</v>
      </c>
      <c r="H354" s="6">
        <v>61.3</v>
      </c>
      <c r="I354" s="6">
        <v>9.19</v>
      </c>
      <c r="J354" s="6">
        <v>52.11</v>
      </c>
      <c r="K354" s="5">
        <v>200</v>
      </c>
      <c r="L354" s="13" t="str">
        <f t="shared" si="10"/>
        <v>Discount Applied</v>
      </c>
      <c r="M354" s="13" t="str">
        <f t="shared" si="11"/>
        <v>Gold</v>
      </c>
      <c r="N354" s="13"/>
    </row>
    <row r="355" spans="1:14" x14ac:dyDescent="0.3">
      <c r="A355" s="3">
        <v>1823</v>
      </c>
      <c r="B355" s="3" t="s">
        <v>36</v>
      </c>
      <c r="C355" s="4">
        <v>45250</v>
      </c>
      <c r="D355" s="3" t="s">
        <v>45</v>
      </c>
      <c r="E355" s="3" t="s">
        <v>29</v>
      </c>
      <c r="F355" s="5">
        <v>3</v>
      </c>
      <c r="G355" s="6">
        <v>27.63</v>
      </c>
      <c r="H355" s="6">
        <v>82.89</v>
      </c>
      <c r="I355" s="6">
        <v>0</v>
      </c>
      <c r="J355" s="6">
        <v>82.89</v>
      </c>
      <c r="K355" s="5">
        <v>302</v>
      </c>
      <c r="L355" s="13" t="str">
        <f t="shared" si="10"/>
        <v>No Discount</v>
      </c>
      <c r="M355" s="13" t="str">
        <f t="shared" si="11"/>
        <v>Platinum</v>
      </c>
      <c r="N355" s="13"/>
    </row>
    <row r="356" spans="1:14" x14ac:dyDescent="0.3">
      <c r="A356" s="3">
        <v>4467</v>
      </c>
      <c r="B356" s="3" t="s">
        <v>19</v>
      </c>
      <c r="C356" s="4">
        <v>45286</v>
      </c>
      <c r="D356" s="3" t="s">
        <v>22</v>
      </c>
      <c r="E356" s="3" t="s">
        <v>48</v>
      </c>
      <c r="F356" s="5">
        <v>2</v>
      </c>
      <c r="G356" s="6">
        <v>9.85</v>
      </c>
      <c r="H356" s="6">
        <v>19.7</v>
      </c>
      <c r="I356" s="6">
        <v>0</v>
      </c>
      <c r="J356" s="6">
        <v>19.7</v>
      </c>
      <c r="K356" s="5">
        <v>93</v>
      </c>
      <c r="L356" s="13" t="str">
        <f t="shared" si="10"/>
        <v>No Discount</v>
      </c>
      <c r="M356" s="13" t="str">
        <f t="shared" si="11"/>
        <v>Bronze</v>
      </c>
      <c r="N356" s="13"/>
    </row>
    <row r="357" spans="1:14" x14ac:dyDescent="0.3">
      <c r="A357" s="3">
        <v>6355</v>
      </c>
      <c r="B357" s="3" t="s">
        <v>19</v>
      </c>
      <c r="C357" s="4">
        <v>45347</v>
      </c>
      <c r="D357" s="3" t="s">
        <v>38</v>
      </c>
      <c r="E357" s="3" t="s">
        <v>32</v>
      </c>
      <c r="F357" s="5">
        <v>4</v>
      </c>
      <c r="G357" s="6">
        <v>18.29</v>
      </c>
      <c r="H357" s="6">
        <v>73.16</v>
      </c>
      <c r="I357" s="6">
        <v>7.32</v>
      </c>
      <c r="J357" s="6">
        <v>65.84</v>
      </c>
      <c r="K357" s="5">
        <v>294</v>
      </c>
      <c r="L357" s="13" t="str">
        <f t="shared" si="10"/>
        <v>Discount Applied</v>
      </c>
      <c r="M357" s="13" t="str">
        <f t="shared" si="11"/>
        <v>Gold</v>
      </c>
      <c r="N357" s="13"/>
    </row>
    <row r="358" spans="1:14" x14ac:dyDescent="0.3">
      <c r="A358" s="3">
        <v>7906</v>
      </c>
      <c r="B358" s="3" t="s">
        <v>19</v>
      </c>
      <c r="C358" s="4">
        <v>45399</v>
      </c>
      <c r="D358" s="3" t="s">
        <v>45</v>
      </c>
      <c r="E358" s="3" t="s">
        <v>18</v>
      </c>
      <c r="F358" s="5">
        <v>2</v>
      </c>
      <c r="G358" s="6">
        <v>17.079999999999998</v>
      </c>
      <c r="H358" s="6">
        <v>34.159999999999997</v>
      </c>
      <c r="I358" s="6">
        <v>6.83</v>
      </c>
      <c r="J358" s="6">
        <v>27.33</v>
      </c>
      <c r="K358" s="5">
        <v>250</v>
      </c>
      <c r="L358" s="13" t="str">
        <f t="shared" si="10"/>
        <v>Discount Applied</v>
      </c>
      <c r="M358" s="13" t="str">
        <f t="shared" si="11"/>
        <v>Silver</v>
      </c>
      <c r="N358" s="13"/>
    </row>
    <row r="359" spans="1:14" x14ac:dyDescent="0.3">
      <c r="A359" s="3">
        <v>2341</v>
      </c>
      <c r="B359" s="3" t="s">
        <v>19</v>
      </c>
      <c r="C359" s="4">
        <v>45498</v>
      </c>
      <c r="D359" s="3" t="s">
        <v>22</v>
      </c>
      <c r="E359" s="3" t="s">
        <v>33</v>
      </c>
      <c r="F359" s="5">
        <v>5</v>
      </c>
      <c r="G359" s="6">
        <v>2.54</v>
      </c>
      <c r="H359" s="6">
        <v>12.7</v>
      </c>
      <c r="I359" s="6">
        <v>1.27</v>
      </c>
      <c r="J359" s="6">
        <v>11.43</v>
      </c>
      <c r="K359" s="5">
        <v>183</v>
      </c>
      <c r="L359" s="13" t="str">
        <f t="shared" si="10"/>
        <v>Discount Applied</v>
      </c>
      <c r="M359" s="13" t="str">
        <f t="shared" si="11"/>
        <v>Bronze</v>
      </c>
      <c r="N359" s="13"/>
    </row>
    <row r="360" spans="1:14" x14ac:dyDescent="0.3">
      <c r="A360" s="3">
        <v>1317</v>
      </c>
      <c r="B360" s="3" t="s">
        <v>19</v>
      </c>
      <c r="C360" s="4">
        <v>45407</v>
      </c>
      <c r="D360" s="3" t="s">
        <v>17</v>
      </c>
      <c r="E360" s="3" t="s">
        <v>32</v>
      </c>
      <c r="F360" s="5">
        <v>5</v>
      </c>
      <c r="G360" s="6">
        <v>15.65</v>
      </c>
      <c r="H360" s="6">
        <v>78.25</v>
      </c>
      <c r="I360" s="6">
        <v>0</v>
      </c>
      <c r="J360" s="6">
        <v>78.25</v>
      </c>
      <c r="K360" s="5">
        <v>253</v>
      </c>
      <c r="L360" s="13" t="str">
        <f t="shared" si="10"/>
        <v>No Discount</v>
      </c>
      <c r="M360" s="13" t="str">
        <f t="shared" si="11"/>
        <v>Platinum</v>
      </c>
      <c r="N360" s="13"/>
    </row>
    <row r="361" spans="1:14" x14ac:dyDescent="0.3">
      <c r="A361" s="3">
        <v>9837</v>
      </c>
      <c r="B361" s="3" t="s">
        <v>26</v>
      </c>
      <c r="C361" s="4">
        <v>45361</v>
      </c>
      <c r="D361" s="3" t="s">
        <v>20</v>
      </c>
      <c r="E361" s="3" t="s">
        <v>33</v>
      </c>
      <c r="F361" s="5">
        <v>4</v>
      </c>
      <c r="G361" s="6">
        <v>5.84</v>
      </c>
      <c r="H361" s="6">
        <v>23.36</v>
      </c>
      <c r="I361" s="6">
        <v>4.67</v>
      </c>
      <c r="J361" s="6">
        <v>18.690000000000001</v>
      </c>
      <c r="K361" s="5">
        <v>289</v>
      </c>
      <c r="L361" s="13" t="str">
        <f t="shared" si="10"/>
        <v>Discount Applied</v>
      </c>
      <c r="M361" s="13" t="str">
        <f t="shared" si="11"/>
        <v>Bronze</v>
      </c>
      <c r="N361" s="13"/>
    </row>
    <row r="362" spans="1:14" x14ac:dyDescent="0.3">
      <c r="A362" s="3">
        <v>6733</v>
      </c>
      <c r="B362" s="3" t="s">
        <v>30</v>
      </c>
      <c r="C362" s="4">
        <v>45340</v>
      </c>
      <c r="D362" s="3" t="s">
        <v>12</v>
      </c>
      <c r="E362" s="3" t="s">
        <v>13</v>
      </c>
      <c r="F362" s="5">
        <v>2</v>
      </c>
      <c r="G362" s="6">
        <v>16.579999999999998</v>
      </c>
      <c r="H362" s="6">
        <v>33.159999999999997</v>
      </c>
      <c r="I362" s="6">
        <v>3.97</v>
      </c>
      <c r="J362" s="6">
        <v>29.19</v>
      </c>
      <c r="K362" s="5">
        <v>86</v>
      </c>
      <c r="L362" s="13" t="str">
        <f t="shared" si="10"/>
        <v>Discount Applied</v>
      </c>
      <c r="M362" s="13" t="str">
        <f t="shared" si="11"/>
        <v>Silver</v>
      </c>
      <c r="N362" s="13"/>
    </row>
    <row r="363" spans="1:14" x14ac:dyDescent="0.3">
      <c r="A363" s="3">
        <v>2124</v>
      </c>
      <c r="B363" s="3" t="s">
        <v>26</v>
      </c>
      <c r="C363" s="4">
        <v>45510</v>
      </c>
      <c r="D363" s="3" t="s">
        <v>38</v>
      </c>
      <c r="E363" s="3" t="s">
        <v>46</v>
      </c>
      <c r="F363" s="5">
        <v>1</v>
      </c>
      <c r="G363" s="6">
        <v>17.600000000000001</v>
      </c>
      <c r="H363" s="6">
        <v>17.600000000000001</v>
      </c>
      <c r="I363" s="6">
        <v>4.29</v>
      </c>
      <c r="J363" s="6">
        <v>13.31</v>
      </c>
      <c r="K363" s="5">
        <v>137</v>
      </c>
      <c r="L363" s="13" t="str">
        <f t="shared" si="10"/>
        <v>Discount Applied</v>
      </c>
      <c r="M363" s="13" t="str">
        <f t="shared" si="11"/>
        <v>Bronze</v>
      </c>
      <c r="N363" s="13"/>
    </row>
    <row r="364" spans="1:14" x14ac:dyDescent="0.3">
      <c r="A364" s="3">
        <v>1659</v>
      </c>
      <c r="B364" s="3" t="s">
        <v>31</v>
      </c>
      <c r="C364" s="4">
        <v>45726</v>
      </c>
      <c r="D364" s="3" t="s">
        <v>45</v>
      </c>
      <c r="E364" s="3" t="s">
        <v>18</v>
      </c>
      <c r="F364" s="5">
        <v>2</v>
      </c>
      <c r="G364" s="6">
        <v>29.69</v>
      </c>
      <c r="H364" s="6">
        <v>59.38</v>
      </c>
      <c r="I364" s="6">
        <v>8.91</v>
      </c>
      <c r="J364" s="6">
        <v>50.47</v>
      </c>
      <c r="K364" s="5">
        <v>52</v>
      </c>
      <c r="L364" s="13" t="str">
        <f t="shared" si="10"/>
        <v>Discount Applied</v>
      </c>
      <c r="M364" s="13" t="str">
        <f t="shared" si="11"/>
        <v>Gold</v>
      </c>
      <c r="N364" s="13"/>
    </row>
    <row r="365" spans="1:14" x14ac:dyDescent="0.3">
      <c r="A365" s="3">
        <v>1508</v>
      </c>
      <c r="B365" s="3" t="s">
        <v>31</v>
      </c>
      <c r="C365" s="4">
        <v>45185</v>
      </c>
      <c r="D365" s="3" t="s">
        <v>45</v>
      </c>
      <c r="E365" s="3" t="s">
        <v>13</v>
      </c>
      <c r="F365" s="5">
        <v>3</v>
      </c>
      <c r="G365" s="6">
        <v>25.99</v>
      </c>
      <c r="H365" s="6">
        <v>77.97</v>
      </c>
      <c r="I365" s="6">
        <v>4.0999999999999996</v>
      </c>
      <c r="J365" s="6">
        <v>73.87</v>
      </c>
      <c r="K365" s="5">
        <v>44</v>
      </c>
      <c r="L365" s="13" t="str">
        <f t="shared" si="10"/>
        <v>Discount Applied</v>
      </c>
      <c r="M365" s="13" t="str">
        <f t="shared" si="11"/>
        <v>Platinum</v>
      </c>
      <c r="N365" s="13"/>
    </row>
    <row r="366" spans="1:14" x14ac:dyDescent="0.3">
      <c r="A366" s="3">
        <v>4266</v>
      </c>
      <c r="B366" s="3" t="s">
        <v>42</v>
      </c>
      <c r="C366" s="4">
        <v>45319</v>
      </c>
      <c r="D366" s="3" t="s">
        <v>17</v>
      </c>
      <c r="E366" s="3" t="s">
        <v>23</v>
      </c>
      <c r="F366" s="5">
        <v>5</v>
      </c>
      <c r="G366" s="6">
        <v>19.34</v>
      </c>
      <c r="H366" s="6">
        <v>96.7</v>
      </c>
      <c r="I366" s="6">
        <v>19.34</v>
      </c>
      <c r="J366" s="6">
        <v>77.36</v>
      </c>
      <c r="K366" s="5">
        <v>84</v>
      </c>
      <c r="L366" s="13" t="str">
        <f t="shared" si="10"/>
        <v>Discount Applied</v>
      </c>
      <c r="M366" s="13" t="str">
        <f t="shared" si="11"/>
        <v>Platinum</v>
      </c>
      <c r="N366" s="13"/>
    </row>
    <row r="367" spans="1:14" x14ac:dyDescent="0.3">
      <c r="A367" s="3">
        <v>1333</v>
      </c>
      <c r="B367" s="3" t="s">
        <v>42</v>
      </c>
      <c r="C367" s="4">
        <v>45751</v>
      </c>
      <c r="D367" s="3" t="s">
        <v>12</v>
      </c>
      <c r="E367" s="3" t="s">
        <v>23</v>
      </c>
      <c r="F367" s="5">
        <v>5</v>
      </c>
      <c r="G367" s="6">
        <v>9.14</v>
      </c>
      <c r="H367" s="6">
        <v>45.7</v>
      </c>
      <c r="I367" s="6">
        <v>6.86</v>
      </c>
      <c r="J367" s="6">
        <v>38.840000000000003</v>
      </c>
      <c r="K367" s="5">
        <v>275</v>
      </c>
      <c r="L367" s="13" t="str">
        <f t="shared" si="10"/>
        <v>Discount Applied</v>
      </c>
      <c r="M367" s="13" t="str">
        <f t="shared" si="11"/>
        <v>Silver</v>
      </c>
      <c r="N367" s="13"/>
    </row>
    <row r="368" spans="1:14" x14ac:dyDescent="0.3">
      <c r="A368" s="3">
        <v>3496</v>
      </c>
      <c r="B368" s="3" t="s">
        <v>30</v>
      </c>
      <c r="C368" s="4">
        <v>45730</v>
      </c>
      <c r="D368" s="3" t="s">
        <v>35</v>
      </c>
      <c r="E368" s="3" t="s">
        <v>13</v>
      </c>
      <c r="F368" s="5">
        <v>5</v>
      </c>
      <c r="G368" s="6">
        <v>29.57</v>
      </c>
      <c r="H368" s="6">
        <v>147.85</v>
      </c>
      <c r="I368" s="6">
        <v>29.57</v>
      </c>
      <c r="J368" s="6">
        <v>118.28</v>
      </c>
      <c r="K368" s="5">
        <v>347</v>
      </c>
      <c r="L368" s="13" t="str">
        <f t="shared" si="10"/>
        <v>Discount Applied</v>
      </c>
      <c r="M368" s="13" t="str">
        <f t="shared" si="11"/>
        <v>Platinum</v>
      </c>
      <c r="N368" s="13"/>
    </row>
    <row r="369" spans="1:14" x14ac:dyDescent="0.3">
      <c r="A369" s="3">
        <v>3068</v>
      </c>
      <c r="B369" s="3" t="s">
        <v>24</v>
      </c>
      <c r="C369" s="4">
        <v>45337</v>
      </c>
      <c r="D369" s="3" t="s">
        <v>12</v>
      </c>
      <c r="E369" s="3" t="s">
        <v>13</v>
      </c>
      <c r="F369" s="5">
        <v>2</v>
      </c>
      <c r="G369" s="6">
        <v>21.33</v>
      </c>
      <c r="H369" s="6">
        <v>42.66</v>
      </c>
      <c r="I369" s="6">
        <v>8.5299999999999994</v>
      </c>
      <c r="J369" s="6">
        <v>34.130000000000003</v>
      </c>
      <c r="K369" s="5">
        <v>67</v>
      </c>
      <c r="L369" s="13" t="str">
        <f t="shared" si="10"/>
        <v>Discount Applied</v>
      </c>
      <c r="M369" s="13" t="str">
        <f t="shared" si="11"/>
        <v>Silver</v>
      </c>
      <c r="N369" s="13"/>
    </row>
    <row r="370" spans="1:14" x14ac:dyDescent="0.3">
      <c r="A370" s="3">
        <v>2874</v>
      </c>
      <c r="B370" s="3" t="s">
        <v>36</v>
      </c>
      <c r="C370" s="4">
        <v>45796</v>
      </c>
      <c r="D370" s="3" t="s">
        <v>17</v>
      </c>
      <c r="E370" s="3" t="s">
        <v>32</v>
      </c>
      <c r="F370" s="5">
        <v>4</v>
      </c>
      <c r="G370" s="6">
        <v>5.1100000000000003</v>
      </c>
      <c r="H370" s="6">
        <v>20.440000000000001</v>
      </c>
      <c r="I370" s="6">
        <v>0</v>
      </c>
      <c r="J370" s="6">
        <v>20.440000000000001</v>
      </c>
      <c r="K370" s="5">
        <v>323</v>
      </c>
      <c r="L370" s="13" t="str">
        <f t="shared" si="10"/>
        <v>No Discount</v>
      </c>
      <c r="M370" s="13" t="str">
        <f t="shared" si="11"/>
        <v>Silver</v>
      </c>
      <c r="N370" s="13"/>
    </row>
    <row r="371" spans="1:14" x14ac:dyDescent="0.3">
      <c r="A371" s="3">
        <v>4571</v>
      </c>
      <c r="B371" s="3" t="s">
        <v>24</v>
      </c>
      <c r="C371" s="4">
        <v>45627</v>
      </c>
      <c r="D371" s="3" t="s">
        <v>20</v>
      </c>
      <c r="E371" s="3" t="s">
        <v>33</v>
      </c>
      <c r="F371" s="5">
        <v>1</v>
      </c>
      <c r="G371" s="6">
        <v>19.37</v>
      </c>
      <c r="H371" s="6">
        <v>19.37</v>
      </c>
      <c r="I371" s="6">
        <v>1.94</v>
      </c>
      <c r="J371" s="6">
        <v>17.43</v>
      </c>
      <c r="K371" s="5">
        <v>450</v>
      </c>
      <c r="L371" s="13" t="str">
        <f t="shared" si="10"/>
        <v>Discount Applied</v>
      </c>
      <c r="M371" s="13" t="str">
        <f t="shared" si="11"/>
        <v>Bronze</v>
      </c>
      <c r="N371" s="13"/>
    </row>
    <row r="372" spans="1:14" x14ac:dyDescent="0.3">
      <c r="A372" s="3">
        <v>5198</v>
      </c>
      <c r="B372" s="3" t="s">
        <v>14</v>
      </c>
      <c r="C372" s="4">
        <v>45330</v>
      </c>
      <c r="D372" s="3" t="s">
        <v>35</v>
      </c>
      <c r="E372" s="3" t="s">
        <v>23</v>
      </c>
      <c r="F372" s="5">
        <v>4</v>
      </c>
      <c r="G372" s="6">
        <v>28.55</v>
      </c>
      <c r="H372" s="6">
        <v>114.2</v>
      </c>
      <c r="I372" s="6">
        <v>0</v>
      </c>
      <c r="J372" s="6">
        <v>114.2</v>
      </c>
      <c r="K372" s="5">
        <v>167</v>
      </c>
      <c r="L372" s="13" t="str">
        <f t="shared" si="10"/>
        <v>No Discount</v>
      </c>
      <c r="M372" s="13" t="str">
        <f t="shared" si="11"/>
        <v>Platinum</v>
      </c>
      <c r="N372" s="13"/>
    </row>
    <row r="373" spans="1:14" x14ac:dyDescent="0.3">
      <c r="A373" s="3">
        <v>7043</v>
      </c>
      <c r="B373" s="3" t="s">
        <v>11</v>
      </c>
      <c r="C373" s="4">
        <v>45512</v>
      </c>
      <c r="D373" s="3" t="s">
        <v>45</v>
      </c>
      <c r="E373" s="3" t="s">
        <v>23</v>
      </c>
      <c r="F373" s="5">
        <v>1</v>
      </c>
      <c r="G373" s="6">
        <v>24.06</v>
      </c>
      <c r="H373" s="6">
        <v>24.06</v>
      </c>
      <c r="I373" s="6">
        <v>2.41</v>
      </c>
      <c r="J373" s="6">
        <v>21.65</v>
      </c>
      <c r="K373" s="5">
        <v>203</v>
      </c>
      <c r="L373" s="13" t="str">
        <f t="shared" si="10"/>
        <v>Discount Applied</v>
      </c>
      <c r="M373" s="13" t="str">
        <f t="shared" si="11"/>
        <v>Silver</v>
      </c>
      <c r="N373" s="13"/>
    </row>
    <row r="374" spans="1:14" x14ac:dyDescent="0.3">
      <c r="A374" s="3">
        <v>3683</v>
      </c>
      <c r="B374" s="3" t="s">
        <v>42</v>
      </c>
      <c r="C374" s="4">
        <v>45583</v>
      </c>
      <c r="D374" s="3" t="s">
        <v>45</v>
      </c>
      <c r="E374" s="3" t="s">
        <v>13</v>
      </c>
      <c r="F374" s="5">
        <v>3</v>
      </c>
      <c r="G374" s="6">
        <v>25.01</v>
      </c>
      <c r="H374" s="6">
        <v>75.03</v>
      </c>
      <c r="I374" s="6">
        <v>4.41</v>
      </c>
      <c r="J374" s="6">
        <v>70.62</v>
      </c>
      <c r="K374" s="5">
        <v>172</v>
      </c>
      <c r="L374" s="13" t="str">
        <f t="shared" si="10"/>
        <v>Discount Applied</v>
      </c>
      <c r="M374" s="13" t="str">
        <f t="shared" si="11"/>
        <v>Platinum</v>
      </c>
      <c r="N374" s="13"/>
    </row>
    <row r="375" spans="1:14" x14ac:dyDescent="0.3">
      <c r="A375" s="3">
        <v>1420</v>
      </c>
      <c r="B375" s="3" t="s">
        <v>36</v>
      </c>
      <c r="C375" s="4">
        <v>45506</v>
      </c>
      <c r="D375" s="3" t="s">
        <v>27</v>
      </c>
      <c r="E375" s="3" t="s">
        <v>40</v>
      </c>
      <c r="F375" s="5">
        <v>1</v>
      </c>
      <c r="G375" s="6">
        <v>3.88</v>
      </c>
      <c r="H375" s="6">
        <v>3.88</v>
      </c>
      <c r="I375" s="6">
        <v>1.5</v>
      </c>
      <c r="J375" s="6">
        <v>2.38</v>
      </c>
      <c r="K375" s="5">
        <v>401</v>
      </c>
      <c r="L375" s="13" t="str">
        <f t="shared" si="10"/>
        <v>Discount Applied</v>
      </c>
      <c r="M375" s="13" t="str">
        <f t="shared" si="11"/>
        <v>Bronze</v>
      </c>
      <c r="N375" s="13"/>
    </row>
    <row r="376" spans="1:14" x14ac:dyDescent="0.3">
      <c r="A376" s="3">
        <v>6111</v>
      </c>
      <c r="B376" s="3" t="s">
        <v>19</v>
      </c>
      <c r="C376" s="4">
        <v>45740</v>
      </c>
      <c r="D376" s="3" t="s">
        <v>45</v>
      </c>
      <c r="E376" s="3" t="s">
        <v>33</v>
      </c>
      <c r="F376" s="5">
        <v>1</v>
      </c>
      <c r="G376" s="6">
        <v>29.75</v>
      </c>
      <c r="H376" s="6">
        <v>29.75</v>
      </c>
      <c r="I376" s="6">
        <v>0</v>
      </c>
      <c r="J376" s="6">
        <v>29.75</v>
      </c>
      <c r="K376" s="5">
        <v>219</v>
      </c>
      <c r="L376" s="13" t="str">
        <f t="shared" si="10"/>
        <v>No Discount</v>
      </c>
      <c r="M376" s="13" t="str">
        <f t="shared" si="11"/>
        <v>Silver</v>
      </c>
      <c r="N376" s="13"/>
    </row>
    <row r="377" spans="1:14" x14ac:dyDescent="0.3">
      <c r="A377" s="3">
        <v>7149</v>
      </c>
      <c r="B377" s="3" t="s">
        <v>19</v>
      </c>
      <c r="C377" s="4">
        <v>45275</v>
      </c>
      <c r="D377" s="3" t="s">
        <v>27</v>
      </c>
      <c r="E377" s="3" t="s">
        <v>37</v>
      </c>
      <c r="F377" s="5">
        <v>2</v>
      </c>
      <c r="G377" s="6">
        <v>26.35</v>
      </c>
      <c r="H377" s="6">
        <v>52.7</v>
      </c>
      <c r="I377" s="6">
        <v>3.62</v>
      </c>
      <c r="J377" s="6">
        <v>49.08</v>
      </c>
      <c r="K377" s="5">
        <v>448</v>
      </c>
      <c r="L377" s="13" t="str">
        <f t="shared" si="10"/>
        <v>Discount Applied</v>
      </c>
      <c r="M377" s="13" t="str">
        <f t="shared" si="11"/>
        <v>Silver</v>
      </c>
      <c r="N377" s="13"/>
    </row>
    <row r="378" spans="1:14" x14ac:dyDescent="0.3">
      <c r="A378" s="3">
        <v>4249</v>
      </c>
      <c r="B378" s="3" t="s">
        <v>30</v>
      </c>
      <c r="C378" s="4">
        <v>45749</v>
      </c>
      <c r="D378" s="3" t="s">
        <v>15</v>
      </c>
      <c r="E378" s="3" t="s">
        <v>23</v>
      </c>
      <c r="F378" s="5">
        <v>2</v>
      </c>
      <c r="G378" s="6">
        <v>2.4900000000000002</v>
      </c>
      <c r="H378" s="6">
        <v>4.9800000000000004</v>
      </c>
      <c r="I378" s="6">
        <v>0</v>
      </c>
      <c r="J378" s="6">
        <v>4.9800000000000004</v>
      </c>
      <c r="K378" s="5">
        <v>320</v>
      </c>
      <c r="L378" s="13" t="str">
        <f t="shared" si="10"/>
        <v>No Discount</v>
      </c>
      <c r="M378" s="13" t="str">
        <f t="shared" si="11"/>
        <v>Bronze</v>
      </c>
      <c r="N378" s="13"/>
    </row>
    <row r="379" spans="1:14" x14ac:dyDescent="0.3">
      <c r="A379" s="3">
        <v>4978</v>
      </c>
      <c r="B379" s="3" t="s">
        <v>42</v>
      </c>
      <c r="C379" s="4">
        <v>45386</v>
      </c>
      <c r="D379" s="3" t="s">
        <v>20</v>
      </c>
      <c r="E379" s="3" t="s">
        <v>43</v>
      </c>
      <c r="F379" s="5">
        <v>1</v>
      </c>
      <c r="G379" s="6">
        <v>1.02</v>
      </c>
      <c r="H379" s="6">
        <v>1.02</v>
      </c>
      <c r="I379" s="6">
        <v>0.2</v>
      </c>
      <c r="J379" s="6">
        <v>0.82</v>
      </c>
      <c r="K379" s="5">
        <v>244</v>
      </c>
      <c r="L379" s="13" t="str">
        <f t="shared" si="10"/>
        <v>Discount Applied</v>
      </c>
      <c r="M379" s="13" t="str">
        <f t="shared" si="11"/>
        <v>Bronze</v>
      </c>
      <c r="N379" s="13"/>
    </row>
    <row r="380" spans="1:14" x14ac:dyDescent="0.3">
      <c r="A380" s="3">
        <v>5941</v>
      </c>
      <c r="B380" s="3" t="s">
        <v>42</v>
      </c>
      <c r="C380" s="4">
        <v>45594</v>
      </c>
      <c r="D380" s="3" t="s">
        <v>38</v>
      </c>
      <c r="E380" s="3" t="s">
        <v>33</v>
      </c>
      <c r="F380" s="5">
        <v>1</v>
      </c>
      <c r="G380" s="6">
        <v>1.22</v>
      </c>
      <c r="H380" s="6">
        <v>1.22</v>
      </c>
      <c r="I380" s="6">
        <v>0.12</v>
      </c>
      <c r="J380" s="6">
        <v>1.1000000000000001</v>
      </c>
      <c r="K380" s="5">
        <v>175</v>
      </c>
      <c r="L380" s="13" t="str">
        <f t="shared" si="10"/>
        <v>Discount Applied</v>
      </c>
      <c r="M380" s="13" t="str">
        <f t="shared" si="11"/>
        <v>Bronze</v>
      </c>
      <c r="N380" s="13"/>
    </row>
    <row r="381" spans="1:14" x14ac:dyDescent="0.3">
      <c r="A381" s="3">
        <v>2983</v>
      </c>
      <c r="B381" s="3" t="s">
        <v>19</v>
      </c>
      <c r="C381" s="4">
        <v>45866</v>
      </c>
      <c r="D381" s="3" t="s">
        <v>45</v>
      </c>
      <c r="E381" s="3" t="s">
        <v>43</v>
      </c>
      <c r="F381" s="5">
        <v>2</v>
      </c>
      <c r="G381" s="6">
        <v>12.1</v>
      </c>
      <c r="H381" s="6">
        <v>24.2</v>
      </c>
      <c r="I381" s="6">
        <v>2.25</v>
      </c>
      <c r="J381" s="6">
        <v>21.95</v>
      </c>
      <c r="K381" s="5">
        <v>374</v>
      </c>
      <c r="L381" s="13" t="str">
        <f t="shared" si="10"/>
        <v>Discount Applied</v>
      </c>
      <c r="M381" s="13" t="str">
        <f t="shared" si="11"/>
        <v>Silver</v>
      </c>
      <c r="N381" s="13"/>
    </row>
    <row r="382" spans="1:14" x14ac:dyDescent="0.3">
      <c r="A382" s="3">
        <v>1672</v>
      </c>
      <c r="B382" s="3" t="s">
        <v>30</v>
      </c>
      <c r="C382" s="4">
        <v>45592</v>
      </c>
      <c r="D382" s="3" t="s">
        <v>34</v>
      </c>
      <c r="E382" s="3" t="s">
        <v>32</v>
      </c>
      <c r="F382" s="5">
        <v>2</v>
      </c>
      <c r="G382" s="6">
        <v>19.600000000000001</v>
      </c>
      <c r="H382" s="6">
        <v>39.200000000000003</v>
      </c>
      <c r="I382" s="6">
        <v>3.12</v>
      </c>
      <c r="J382" s="6">
        <v>36.08</v>
      </c>
      <c r="K382" s="5">
        <v>346</v>
      </c>
      <c r="L382" s="13" t="str">
        <f t="shared" si="10"/>
        <v>Discount Applied</v>
      </c>
      <c r="M382" s="13" t="str">
        <f t="shared" si="11"/>
        <v>Silver</v>
      </c>
      <c r="N382" s="13"/>
    </row>
    <row r="383" spans="1:14" x14ac:dyDescent="0.3">
      <c r="A383" s="3">
        <v>9728</v>
      </c>
      <c r="B383" s="3" t="s">
        <v>31</v>
      </c>
      <c r="C383" s="4">
        <v>45453</v>
      </c>
      <c r="D383" s="3" t="s">
        <v>28</v>
      </c>
      <c r="E383" s="3" t="s">
        <v>29</v>
      </c>
      <c r="F383" s="5">
        <v>4</v>
      </c>
      <c r="G383" s="6">
        <v>11.17</v>
      </c>
      <c r="H383" s="6">
        <v>44.68</v>
      </c>
      <c r="I383" s="6">
        <v>4.47</v>
      </c>
      <c r="J383" s="6">
        <v>40.21</v>
      </c>
      <c r="K383" s="5">
        <v>109</v>
      </c>
      <c r="L383" s="13" t="str">
        <f t="shared" si="10"/>
        <v>Discount Applied</v>
      </c>
      <c r="M383" s="13" t="str">
        <f t="shared" si="11"/>
        <v>Silver</v>
      </c>
      <c r="N383" s="13"/>
    </row>
    <row r="384" spans="1:14" x14ac:dyDescent="0.3">
      <c r="A384" s="3">
        <v>7071</v>
      </c>
      <c r="B384" s="3" t="s">
        <v>26</v>
      </c>
      <c r="C384" s="4">
        <v>45204</v>
      </c>
      <c r="D384" s="3" t="s">
        <v>17</v>
      </c>
      <c r="E384" s="3" t="s">
        <v>43</v>
      </c>
      <c r="F384" s="5">
        <v>1</v>
      </c>
      <c r="G384" s="6">
        <v>5.05</v>
      </c>
      <c r="H384" s="6">
        <v>5.05</v>
      </c>
      <c r="I384" s="6">
        <v>0.76</v>
      </c>
      <c r="J384" s="6">
        <v>4.29</v>
      </c>
      <c r="K384" s="5">
        <v>63</v>
      </c>
      <c r="L384" s="13" t="str">
        <f t="shared" si="10"/>
        <v>Discount Applied</v>
      </c>
      <c r="M384" s="13" t="str">
        <f t="shared" si="11"/>
        <v>Bronze</v>
      </c>
      <c r="N384" s="13"/>
    </row>
    <row r="385" spans="1:14" x14ac:dyDescent="0.3">
      <c r="A385" s="3">
        <v>9289</v>
      </c>
      <c r="B385" s="3" t="s">
        <v>24</v>
      </c>
      <c r="C385" s="4">
        <v>45224</v>
      </c>
      <c r="D385" s="3" t="s">
        <v>22</v>
      </c>
      <c r="E385" s="3" t="s">
        <v>41</v>
      </c>
      <c r="F385" s="5">
        <v>2</v>
      </c>
      <c r="G385" s="6">
        <v>9.02</v>
      </c>
      <c r="H385" s="6">
        <v>18.04</v>
      </c>
      <c r="I385" s="6">
        <v>3.4</v>
      </c>
      <c r="J385" s="6">
        <v>14.64</v>
      </c>
      <c r="K385" s="5">
        <v>43</v>
      </c>
      <c r="L385" s="13" t="str">
        <f t="shared" si="10"/>
        <v>Discount Applied</v>
      </c>
      <c r="M385" s="13" t="str">
        <f t="shared" si="11"/>
        <v>Bronze</v>
      </c>
      <c r="N385" s="13"/>
    </row>
    <row r="386" spans="1:14" x14ac:dyDescent="0.3">
      <c r="A386" s="3">
        <v>6590</v>
      </c>
      <c r="B386" s="3" t="s">
        <v>30</v>
      </c>
      <c r="C386" s="4">
        <v>45805</v>
      </c>
      <c r="D386" s="3" t="s">
        <v>12</v>
      </c>
      <c r="E386" s="3" t="s">
        <v>37</v>
      </c>
      <c r="F386" s="5">
        <v>2</v>
      </c>
      <c r="G386" s="6">
        <v>16</v>
      </c>
      <c r="H386" s="6">
        <v>32</v>
      </c>
      <c r="I386" s="6">
        <v>0</v>
      </c>
      <c r="J386" s="6">
        <v>32</v>
      </c>
      <c r="K386" s="5">
        <v>260</v>
      </c>
      <c r="L386" s="13" t="str">
        <f t="shared" si="10"/>
        <v>No Discount</v>
      </c>
      <c r="M386" s="13" t="str">
        <f t="shared" si="11"/>
        <v>Silver</v>
      </c>
      <c r="N386" s="13"/>
    </row>
    <row r="387" spans="1:14" x14ac:dyDescent="0.3">
      <c r="A387" s="3">
        <v>7882</v>
      </c>
      <c r="B387" s="3"/>
      <c r="C387" s="4">
        <v>45763</v>
      </c>
      <c r="D387" s="3" t="s">
        <v>35</v>
      </c>
      <c r="E387" s="3" t="s">
        <v>40</v>
      </c>
      <c r="F387" s="5">
        <v>2</v>
      </c>
      <c r="G387" s="6">
        <v>15.34</v>
      </c>
      <c r="H387" s="6">
        <v>30.68</v>
      </c>
      <c r="I387" s="6">
        <v>3.07</v>
      </c>
      <c r="J387" s="6">
        <v>27.61</v>
      </c>
      <c r="K387" s="5">
        <v>57</v>
      </c>
      <c r="L387" s="13" t="str">
        <f t="shared" ref="L387:L450" si="12">IF(I387&gt;0,"Discount Applied","No Discount")</f>
        <v>Discount Applied</v>
      </c>
      <c r="M387" s="13" t="str">
        <f t="shared" ref="M387:M450" si="13">IF(J387 &gt;= 70, "Platinum",
   IF(J387 &gt;= 50, "Gold",
      IF(J387 &gt;= 20, "Silver", "Bronze")))</f>
        <v>Silver</v>
      </c>
      <c r="N387" s="13"/>
    </row>
    <row r="388" spans="1:14" x14ac:dyDescent="0.3">
      <c r="A388" s="3">
        <v>9031</v>
      </c>
      <c r="B388" s="3" t="s">
        <v>11</v>
      </c>
      <c r="C388" s="4">
        <v>45414</v>
      </c>
      <c r="D388" s="3" t="s">
        <v>38</v>
      </c>
      <c r="E388" s="3" t="s">
        <v>39</v>
      </c>
      <c r="F388" s="5">
        <v>3</v>
      </c>
      <c r="G388" s="6">
        <v>28.07</v>
      </c>
      <c r="H388" s="6">
        <v>84.21</v>
      </c>
      <c r="I388" s="6">
        <v>2.68</v>
      </c>
      <c r="J388" s="6">
        <v>81.53</v>
      </c>
      <c r="K388" s="5">
        <v>67</v>
      </c>
      <c r="L388" s="13" t="str">
        <f t="shared" si="12"/>
        <v>Discount Applied</v>
      </c>
      <c r="M388" s="13" t="str">
        <f t="shared" si="13"/>
        <v>Platinum</v>
      </c>
      <c r="N388" s="13"/>
    </row>
    <row r="389" spans="1:14" x14ac:dyDescent="0.3">
      <c r="A389" s="3">
        <v>8102</v>
      </c>
      <c r="B389" s="3" t="s">
        <v>14</v>
      </c>
      <c r="C389" s="4">
        <v>45477</v>
      </c>
      <c r="D389" s="3" t="s">
        <v>27</v>
      </c>
      <c r="E389" s="3" t="s">
        <v>29</v>
      </c>
      <c r="F389" s="5">
        <v>4</v>
      </c>
      <c r="G389" s="6">
        <v>28.67</v>
      </c>
      <c r="H389" s="6">
        <v>114.68</v>
      </c>
      <c r="I389" s="6">
        <v>3.35</v>
      </c>
      <c r="J389" s="6">
        <v>111.33</v>
      </c>
      <c r="K389" s="5">
        <v>394</v>
      </c>
      <c r="L389" s="13" t="str">
        <f t="shared" si="12"/>
        <v>Discount Applied</v>
      </c>
      <c r="M389" s="13" t="str">
        <f t="shared" si="13"/>
        <v>Platinum</v>
      </c>
      <c r="N389" s="13"/>
    </row>
    <row r="390" spans="1:14" x14ac:dyDescent="0.3">
      <c r="A390" s="3">
        <v>8532</v>
      </c>
      <c r="B390" s="3" t="s">
        <v>31</v>
      </c>
      <c r="C390" s="4">
        <v>45198</v>
      </c>
      <c r="D390" s="3" t="s">
        <v>35</v>
      </c>
      <c r="E390" s="3" t="s">
        <v>44</v>
      </c>
      <c r="F390" s="5">
        <v>1</v>
      </c>
      <c r="G390" s="6">
        <v>27.74</v>
      </c>
      <c r="H390" s="6">
        <v>27.74</v>
      </c>
      <c r="I390" s="6">
        <v>2.15</v>
      </c>
      <c r="J390" s="6">
        <v>25.59</v>
      </c>
      <c r="K390" s="5">
        <v>485</v>
      </c>
      <c r="L390" s="13" t="str">
        <f t="shared" si="12"/>
        <v>Discount Applied</v>
      </c>
      <c r="M390" s="13" t="str">
        <f t="shared" si="13"/>
        <v>Silver</v>
      </c>
      <c r="N390" s="13"/>
    </row>
    <row r="391" spans="1:14" x14ac:dyDescent="0.3">
      <c r="A391" s="3">
        <v>3506</v>
      </c>
      <c r="B391" s="3"/>
      <c r="C391" s="4">
        <v>45647</v>
      </c>
      <c r="D391" s="3" t="s">
        <v>20</v>
      </c>
      <c r="E391" s="3" t="s">
        <v>16</v>
      </c>
      <c r="F391" s="5">
        <v>4</v>
      </c>
      <c r="G391" s="6">
        <v>3.38</v>
      </c>
      <c r="H391" s="6">
        <v>13.52</v>
      </c>
      <c r="I391" s="6">
        <v>2.0299999999999998</v>
      </c>
      <c r="J391" s="6">
        <v>11.49</v>
      </c>
      <c r="K391" s="5">
        <v>274</v>
      </c>
      <c r="L391" s="13" t="str">
        <f t="shared" si="12"/>
        <v>Discount Applied</v>
      </c>
      <c r="M391" s="13" t="str">
        <f t="shared" si="13"/>
        <v>Bronze</v>
      </c>
      <c r="N391" s="13"/>
    </row>
    <row r="392" spans="1:14" x14ac:dyDescent="0.3">
      <c r="A392" s="3">
        <v>3885</v>
      </c>
      <c r="B392" s="3" t="s">
        <v>11</v>
      </c>
      <c r="C392" s="4">
        <v>45154</v>
      </c>
      <c r="D392" s="3" t="s">
        <v>35</v>
      </c>
      <c r="E392" s="3" t="s">
        <v>43</v>
      </c>
      <c r="F392" s="5">
        <v>5</v>
      </c>
      <c r="G392" s="6">
        <v>27.7</v>
      </c>
      <c r="H392" s="6">
        <v>138.5</v>
      </c>
      <c r="I392" s="6">
        <v>2.31</v>
      </c>
      <c r="J392" s="6">
        <v>136.19</v>
      </c>
      <c r="K392" s="5">
        <v>498</v>
      </c>
      <c r="L392" s="13" t="str">
        <f t="shared" si="12"/>
        <v>Discount Applied</v>
      </c>
      <c r="M392" s="13" t="str">
        <f t="shared" si="13"/>
        <v>Platinum</v>
      </c>
      <c r="N392" s="13"/>
    </row>
    <row r="393" spans="1:14" x14ac:dyDescent="0.3">
      <c r="A393" s="3">
        <v>9548</v>
      </c>
      <c r="B393" s="3" t="s">
        <v>11</v>
      </c>
      <c r="C393" s="4">
        <v>45783</v>
      </c>
      <c r="D393" s="3" t="s">
        <v>35</v>
      </c>
      <c r="E393" s="3" t="s">
        <v>16</v>
      </c>
      <c r="F393" s="5">
        <v>2</v>
      </c>
      <c r="G393" s="6">
        <v>2.67</v>
      </c>
      <c r="H393" s="6">
        <v>5.34</v>
      </c>
      <c r="I393" s="6">
        <v>2.81</v>
      </c>
      <c r="J393" s="6">
        <v>2.5299999999999998</v>
      </c>
      <c r="K393" s="5">
        <v>44</v>
      </c>
      <c r="L393" s="13" t="str">
        <f t="shared" si="12"/>
        <v>Discount Applied</v>
      </c>
      <c r="M393" s="13" t="str">
        <f t="shared" si="13"/>
        <v>Bronze</v>
      </c>
      <c r="N393" s="13"/>
    </row>
    <row r="394" spans="1:14" x14ac:dyDescent="0.3">
      <c r="A394" s="3">
        <v>5425</v>
      </c>
      <c r="B394" s="3" t="s">
        <v>31</v>
      </c>
      <c r="C394" s="4">
        <v>45226</v>
      </c>
      <c r="D394" s="3" t="s">
        <v>35</v>
      </c>
      <c r="E394" s="3" t="s">
        <v>29</v>
      </c>
      <c r="F394" s="5">
        <v>1</v>
      </c>
      <c r="G394" s="6">
        <v>1.36</v>
      </c>
      <c r="H394" s="6">
        <v>1.36</v>
      </c>
      <c r="I394" s="6">
        <v>0.27</v>
      </c>
      <c r="J394" s="6">
        <v>1.0900000000000001</v>
      </c>
      <c r="K394" s="5">
        <v>70</v>
      </c>
      <c r="L394" s="13" t="str">
        <f t="shared" si="12"/>
        <v>Discount Applied</v>
      </c>
      <c r="M394" s="13" t="str">
        <f t="shared" si="13"/>
        <v>Bronze</v>
      </c>
      <c r="N394" s="13"/>
    </row>
    <row r="395" spans="1:14" x14ac:dyDescent="0.3">
      <c r="A395" s="3">
        <v>9817</v>
      </c>
      <c r="B395" s="3" t="s">
        <v>26</v>
      </c>
      <c r="C395" s="4">
        <v>45426</v>
      </c>
      <c r="D395" s="3" t="s">
        <v>22</v>
      </c>
      <c r="E395" s="3" t="s">
        <v>46</v>
      </c>
      <c r="F395" s="5">
        <v>5</v>
      </c>
      <c r="G395" s="6">
        <v>23.7</v>
      </c>
      <c r="H395" s="6">
        <v>118.5</v>
      </c>
      <c r="I395" s="6">
        <v>23.7</v>
      </c>
      <c r="J395" s="6">
        <v>94.8</v>
      </c>
      <c r="K395" s="5">
        <v>369</v>
      </c>
      <c r="L395" s="13" t="str">
        <f t="shared" si="12"/>
        <v>Discount Applied</v>
      </c>
      <c r="M395" s="13" t="str">
        <f t="shared" si="13"/>
        <v>Platinum</v>
      </c>
      <c r="N395" s="13"/>
    </row>
    <row r="396" spans="1:14" x14ac:dyDescent="0.3">
      <c r="A396" s="3">
        <v>8921</v>
      </c>
      <c r="B396" s="3" t="s">
        <v>36</v>
      </c>
      <c r="C396" s="4">
        <v>45694</v>
      </c>
      <c r="D396" s="3" t="s">
        <v>34</v>
      </c>
      <c r="E396" s="3" t="s">
        <v>13</v>
      </c>
      <c r="F396" s="5">
        <v>1</v>
      </c>
      <c r="G396" s="6">
        <v>23.36</v>
      </c>
      <c r="H396" s="6">
        <v>23.36</v>
      </c>
      <c r="I396" s="6">
        <v>2.34</v>
      </c>
      <c r="J396" s="6">
        <v>21.02</v>
      </c>
      <c r="K396" s="5">
        <v>15</v>
      </c>
      <c r="L396" s="13" t="str">
        <f t="shared" si="12"/>
        <v>Discount Applied</v>
      </c>
      <c r="M396" s="13" t="str">
        <f t="shared" si="13"/>
        <v>Silver</v>
      </c>
      <c r="N396" s="13"/>
    </row>
    <row r="397" spans="1:14" x14ac:dyDescent="0.3">
      <c r="A397" s="3">
        <v>8136</v>
      </c>
      <c r="B397" s="3" t="s">
        <v>30</v>
      </c>
      <c r="C397" s="4">
        <v>45483</v>
      </c>
      <c r="D397" s="3" t="s">
        <v>38</v>
      </c>
      <c r="E397" s="3" t="s">
        <v>43</v>
      </c>
      <c r="F397" s="5">
        <v>3</v>
      </c>
      <c r="G397" s="6">
        <v>21.65</v>
      </c>
      <c r="H397" s="6">
        <v>64.95</v>
      </c>
      <c r="I397" s="6">
        <v>6.5</v>
      </c>
      <c r="J397" s="6">
        <v>58.45</v>
      </c>
      <c r="K397" s="5">
        <v>295</v>
      </c>
      <c r="L397" s="13" t="str">
        <f t="shared" si="12"/>
        <v>Discount Applied</v>
      </c>
      <c r="M397" s="13" t="str">
        <f t="shared" si="13"/>
        <v>Gold</v>
      </c>
      <c r="N397" s="13"/>
    </row>
    <row r="398" spans="1:14" x14ac:dyDescent="0.3">
      <c r="A398" s="3">
        <v>5397</v>
      </c>
      <c r="B398" s="3" t="s">
        <v>26</v>
      </c>
      <c r="C398" s="4">
        <v>45714</v>
      </c>
      <c r="D398" s="3" t="s">
        <v>38</v>
      </c>
      <c r="E398" s="3" t="s">
        <v>23</v>
      </c>
      <c r="F398" s="5">
        <v>1</v>
      </c>
      <c r="G398" s="6">
        <v>15.48</v>
      </c>
      <c r="H398" s="6">
        <v>15.48</v>
      </c>
      <c r="I398" s="6">
        <v>2.3199999999999998</v>
      </c>
      <c r="J398" s="6">
        <v>13.16</v>
      </c>
      <c r="K398" s="5">
        <v>290</v>
      </c>
      <c r="L398" s="13" t="str">
        <f t="shared" si="12"/>
        <v>Discount Applied</v>
      </c>
      <c r="M398" s="13" t="str">
        <f t="shared" si="13"/>
        <v>Bronze</v>
      </c>
      <c r="N398" s="13"/>
    </row>
    <row r="399" spans="1:14" x14ac:dyDescent="0.3">
      <c r="A399" s="3">
        <v>5022</v>
      </c>
      <c r="B399" s="3" t="s">
        <v>19</v>
      </c>
      <c r="C399" s="4">
        <v>45650</v>
      </c>
      <c r="D399" s="3" t="s">
        <v>35</v>
      </c>
      <c r="E399" s="3" t="s">
        <v>48</v>
      </c>
      <c r="F399" s="5">
        <v>5</v>
      </c>
      <c r="G399" s="6">
        <v>20.54</v>
      </c>
      <c r="H399" s="6">
        <v>102.7</v>
      </c>
      <c r="I399" s="6">
        <v>0</v>
      </c>
      <c r="J399" s="6">
        <v>102.7</v>
      </c>
      <c r="K399" s="5">
        <v>59</v>
      </c>
      <c r="L399" s="13" t="str">
        <f t="shared" si="12"/>
        <v>No Discount</v>
      </c>
      <c r="M399" s="13" t="str">
        <f t="shared" si="13"/>
        <v>Platinum</v>
      </c>
      <c r="N399" s="13"/>
    </row>
    <row r="400" spans="1:14" x14ac:dyDescent="0.3">
      <c r="A400" s="3">
        <v>2419</v>
      </c>
      <c r="B400" s="3" t="s">
        <v>14</v>
      </c>
      <c r="C400" s="4">
        <v>45623</v>
      </c>
      <c r="D400" s="3" t="s">
        <v>12</v>
      </c>
      <c r="E400" s="3" t="s">
        <v>40</v>
      </c>
      <c r="F400" s="5">
        <v>1</v>
      </c>
      <c r="G400" s="6">
        <v>8.08</v>
      </c>
      <c r="H400" s="6">
        <v>8.08</v>
      </c>
      <c r="I400" s="6">
        <v>0.81</v>
      </c>
      <c r="J400" s="6">
        <v>7.27</v>
      </c>
      <c r="K400" s="5">
        <v>241</v>
      </c>
      <c r="L400" s="13" t="str">
        <f t="shared" si="12"/>
        <v>Discount Applied</v>
      </c>
      <c r="M400" s="13" t="str">
        <f t="shared" si="13"/>
        <v>Bronze</v>
      </c>
      <c r="N400" s="13"/>
    </row>
    <row r="401" spans="1:14" x14ac:dyDescent="0.3">
      <c r="A401" s="3">
        <v>8385</v>
      </c>
      <c r="B401" s="3" t="s">
        <v>19</v>
      </c>
      <c r="C401" s="4">
        <v>45746</v>
      </c>
      <c r="D401" s="3" t="s">
        <v>34</v>
      </c>
      <c r="E401" s="3" t="s">
        <v>40</v>
      </c>
      <c r="F401" s="5">
        <v>5</v>
      </c>
      <c r="G401" s="6">
        <v>24.28</v>
      </c>
      <c r="H401" s="6">
        <v>121.4</v>
      </c>
      <c r="I401" s="6">
        <v>24.28</v>
      </c>
      <c r="J401" s="6">
        <v>97.12</v>
      </c>
      <c r="K401" s="5">
        <v>365</v>
      </c>
      <c r="L401" s="13" t="str">
        <f t="shared" si="12"/>
        <v>Discount Applied</v>
      </c>
      <c r="M401" s="13" t="str">
        <f t="shared" si="13"/>
        <v>Platinum</v>
      </c>
      <c r="N401" s="13"/>
    </row>
    <row r="402" spans="1:14" x14ac:dyDescent="0.3">
      <c r="A402" s="3">
        <v>8613</v>
      </c>
      <c r="B402" s="3" t="s">
        <v>36</v>
      </c>
      <c r="C402" s="4">
        <v>45506</v>
      </c>
      <c r="D402" s="3" t="s">
        <v>17</v>
      </c>
      <c r="E402" s="3" t="s">
        <v>16</v>
      </c>
      <c r="F402" s="5">
        <v>3</v>
      </c>
      <c r="G402" s="6">
        <v>8.86</v>
      </c>
      <c r="H402" s="6">
        <v>26.58</v>
      </c>
      <c r="I402" s="6">
        <v>3.01</v>
      </c>
      <c r="J402" s="6">
        <v>23.57</v>
      </c>
      <c r="K402" s="5">
        <v>39</v>
      </c>
      <c r="L402" s="13" t="str">
        <f t="shared" si="12"/>
        <v>Discount Applied</v>
      </c>
      <c r="M402" s="13" t="str">
        <f t="shared" si="13"/>
        <v>Silver</v>
      </c>
      <c r="N402" s="13"/>
    </row>
    <row r="403" spans="1:14" x14ac:dyDescent="0.3">
      <c r="A403" s="3">
        <v>1470</v>
      </c>
      <c r="B403" s="3" t="s">
        <v>31</v>
      </c>
      <c r="C403" s="4">
        <v>45786</v>
      </c>
      <c r="D403" s="3" t="s">
        <v>34</v>
      </c>
      <c r="E403" s="3" t="s">
        <v>25</v>
      </c>
      <c r="F403" s="5">
        <v>5</v>
      </c>
      <c r="G403" s="6">
        <v>29.45</v>
      </c>
      <c r="H403" s="6">
        <v>147.25</v>
      </c>
      <c r="I403" s="6">
        <v>4.51</v>
      </c>
      <c r="J403" s="6">
        <v>142.74</v>
      </c>
      <c r="K403" s="5">
        <v>488</v>
      </c>
      <c r="L403" s="13" t="str">
        <f t="shared" si="12"/>
        <v>Discount Applied</v>
      </c>
      <c r="M403" s="13" t="str">
        <f t="shared" si="13"/>
        <v>Platinum</v>
      </c>
      <c r="N403" s="13"/>
    </row>
    <row r="404" spans="1:14" x14ac:dyDescent="0.3">
      <c r="A404" s="3">
        <v>6325</v>
      </c>
      <c r="B404" s="3" t="s">
        <v>30</v>
      </c>
      <c r="C404" s="4">
        <v>45395</v>
      </c>
      <c r="D404" s="3" t="s">
        <v>35</v>
      </c>
      <c r="E404" s="3" t="s">
        <v>21</v>
      </c>
      <c r="F404" s="5">
        <v>1</v>
      </c>
      <c r="G404" s="6">
        <v>17.03</v>
      </c>
      <c r="H404" s="6">
        <v>17.03</v>
      </c>
      <c r="I404" s="6">
        <v>3.41</v>
      </c>
      <c r="J404" s="6">
        <v>13.62</v>
      </c>
      <c r="K404" s="5">
        <v>4</v>
      </c>
      <c r="L404" s="13" t="str">
        <f t="shared" si="12"/>
        <v>Discount Applied</v>
      </c>
      <c r="M404" s="13" t="str">
        <f t="shared" si="13"/>
        <v>Bronze</v>
      </c>
      <c r="N404" s="13"/>
    </row>
    <row r="405" spans="1:14" x14ac:dyDescent="0.3">
      <c r="A405" s="3">
        <v>8988</v>
      </c>
      <c r="B405" s="3" t="s">
        <v>30</v>
      </c>
      <c r="C405" s="4">
        <v>45790</v>
      </c>
      <c r="D405" s="3" t="s">
        <v>28</v>
      </c>
      <c r="E405" s="3" t="s">
        <v>37</v>
      </c>
      <c r="F405" s="5">
        <v>5</v>
      </c>
      <c r="G405" s="6">
        <v>8.02</v>
      </c>
      <c r="H405" s="6">
        <v>40.1</v>
      </c>
      <c r="I405" s="6">
        <v>8.02</v>
      </c>
      <c r="J405" s="6">
        <v>32.08</v>
      </c>
      <c r="K405" s="5">
        <v>188</v>
      </c>
      <c r="L405" s="13" t="str">
        <f t="shared" si="12"/>
        <v>Discount Applied</v>
      </c>
      <c r="M405" s="13" t="str">
        <f t="shared" si="13"/>
        <v>Silver</v>
      </c>
      <c r="N405" s="13"/>
    </row>
    <row r="406" spans="1:14" x14ac:dyDescent="0.3">
      <c r="A406" s="3">
        <v>6813</v>
      </c>
      <c r="B406" s="3" t="s">
        <v>14</v>
      </c>
      <c r="C406" s="4">
        <v>45361</v>
      </c>
      <c r="D406" s="3" t="s">
        <v>17</v>
      </c>
      <c r="E406" s="3" t="s">
        <v>41</v>
      </c>
      <c r="F406" s="5">
        <v>1</v>
      </c>
      <c r="G406" s="6">
        <v>28.03</v>
      </c>
      <c r="H406" s="6">
        <v>28.03</v>
      </c>
      <c r="I406" s="6">
        <v>2.39</v>
      </c>
      <c r="J406" s="6">
        <v>25.64</v>
      </c>
      <c r="K406" s="5">
        <v>12</v>
      </c>
      <c r="L406" s="13" t="str">
        <f t="shared" si="12"/>
        <v>Discount Applied</v>
      </c>
      <c r="M406" s="13" t="str">
        <f t="shared" si="13"/>
        <v>Silver</v>
      </c>
      <c r="N406" s="13"/>
    </row>
    <row r="407" spans="1:14" x14ac:dyDescent="0.3">
      <c r="A407" s="3">
        <v>5232</v>
      </c>
      <c r="B407" s="3" t="s">
        <v>31</v>
      </c>
      <c r="C407" s="4">
        <v>45334</v>
      </c>
      <c r="D407" s="3" t="s">
        <v>22</v>
      </c>
      <c r="E407" s="3" t="s">
        <v>39</v>
      </c>
      <c r="F407" s="5">
        <v>4</v>
      </c>
      <c r="G407" s="6">
        <v>25.61</v>
      </c>
      <c r="H407" s="6">
        <v>102.44</v>
      </c>
      <c r="I407" s="6">
        <v>1.82</v>
      </c>
      <c r="J407" s="6">
        <v>100.62</v>
      </c>
      <c r="K407" s="5">
        <v>372</v>
      </c>
      <c r="L407" s="13" t="str">
        <f t="shared" si="12"/>
        <v>Discount Applied</v>
      </c>
      <c r="M407" s="13" t="str">
        <f t="shared" si="13"/>
        <v>Platinum</v>
      </c>
      <c r="N407" s="13"/>
    </row>
    <row r="408" spans="1:14" x14ac:dyDescent="0.3">
      <c r="A408" s="3">
        <v>5581</v>
      </c>
      <c r="B408" s="3" t="s">
        <v>42</v>
      </c>
      <c r="C408" s="4">
        <v>45587</v>
      </c>
      <c r="D408" s="3" t="s">
        <v>20</v>
      </c>
      <c r="E408" s="3" t="s">
        <v>47</v>
      </c>
      <c r="F408" s="5">
        <v>1</v>
      </c>
      <c r="G408" s="6">
        <v>29.19</v>
      </c>
      <c r="H408" s="6">
        <v>29.19</v>
      </c>
      <c r="I408" s="6">
        <v>1.18</v>
      </c>
      <c r="J408" s="6">
        <v>28.01</v>
      </c>
      <c r="K408" s="5">
        <v>72</v>
      </c>
      <c r="L408" s="13" t="str">
        <f t="shared" si="12"/>
        <v>Discount Applied</v>
      </c>
      <c r="M408" s="13" t="str">
        <f t="shared" si="13"/>
        <v>Silver</v>
      </c>
      <c r="N408" s="13"/>
    </row>
    <row r="409" spans="1:14" x14ac:dyDescent="0.3">
      <c r="A409" s="3">
        <v>5526</v>
      </c>
      <c r="B409" s="3" t="s">
        <v>42</v>
      </c>
      <c r="C409" s="4">
        <v>45406</v>
      </c>
      <c r="D409" s="3" t="s">
        <v>38</v>
      </c>
      <c r="E409" s="3" t="s">
        <v>16</v>
      </c>
      <c r="F409" s="5">
        <v>3</v>
      </c>
      <c r="G409" s="6">
        <v>14.29</v>
      </c>
      <c r="H409" s="6">
        <v>42.87</v>
      </c>
      <c r="I409" s="6">
        <v>1.38</v>
      </c>
      <c r="J409" s="6">
        <v>41.49</v>
      </c>
      <c r="K409" s="5">
        <v>382</v>
      </c>
      <c r="L409" s="13" t="str">
        <f t="shared" si="12"/>
        <v>Discount Applied</v>
      </c>
      <c r="M409" s="13" t="str">
        <f t="shared" si="13"/>
        <v>Silver</v>
      </c>
      <c r="N409" s="13"/>
    </row>
    <row r="410" spans="1:14" x14ac:dyDescent="0.3">
      <c r="A410" s="3">
        <v>1166</v>
      </c>
      <c r="B410" s="3" t="s">
        <v>19</v>
      </c>
      <c r="C410" s="4">
        <v>45528</v>
      </c>
      <c r="D410" s="3" t="s">
        <v>27</v>
      </c>
      <c r="E410" s="3" t="s">
        <v>32</v>
      </c>
      <c r="F410" s="5">
        <v>1</v>
      </c>
      <c r="G410" s="6">
        <v>18.149999999999999</v>
      </c>
      <c r="H410" s="6">
        <v>18.149999999999999</v>
      </c>
      <c r="I410" s="6">
        <v>0</v>
      </c>
      <c r="J410" s="6">
        <v>18.149999999999999</v>
      </c>
      <c r="K410" s="5">
        <v>31</v>
      </c>
      <c r="L410" s="13" t="str">
        <f t="shared" si="12"/>
        <v>No Discount</v>
      </c>
      <c r="M410" s="13" t="str">
        <f t="shared" si="13"/>
        <v>Bronze</v>
      </c>
      <c r="N410" s="13"/>
    </row>
    <row r="411" spans="1:14" x14ac:dyDescent="0.3">
      <c r="A411" s="3">
        <v>4130</v>
      </c>
      <c r="B411" s="3" t="s">
        <v>19</v>
      </c>
      <c r="C411" s="4">
        <v>45286</v>
      </c>
      <c r="D411" s="3" t="s">
        <v>17</v>
      </c>
      <c r="E411" s="3" t="s">
        <v>37</v>
      </c>
      <c r="F411" s="5">
        <v>3</v>
      </c>
      <c r="G411" s="6">
        <v>25.67</v>
      </c>
      <c r="H411" s="6">
        <v>77.010000000000005</v>
      </c>
      <c r="I411" s="6">
        <v>0</v>
      </c>
      <c r="J411" s="6">
        <v>77.010000000000005</v>
      </c>
      <c r="K411" s="5">
        <v>474</v>
      </c>
      <c r="L411" s="13" t="str">
        <f t="shared" si="12"/>
        <v>No Discount</v>
      </c>
      <c r="M411" s="13" t="str">
        <f t="shared" si="13"/>
        <v>Platinum</v>
      </c>
      <c r="N411" s="13"/>
    </row>
    <row r="412" spans="1:14" x14ac:dyDescent="0.3">
      <c r="A412" s="3">
        <v>4954</v>
      </c>
      <c r="B412" s="3" t="s">
        <v>36</v>
      </c>
      <c r="C412" s="4">
        <v>45309</v>
      </c>
      <c r="D412" s="3" t="s">
        <v>22</v>
      </c>
      <c r="E412" s="3" t="s">
        <v>33</v>
      </c>
      <c r="F412" s="5">
        <v>3</v>
      </c>
      <c r="G412" s="6">
        <v>7.76</v>
      </c>
      <c r="H412" s="6">
        <v>23.28</v>
      </c>
      <c r="I412" s="6">
        <v>4.66</v>
      </c>
      <c r="J412" s="6">
        <v>18.62</v>
      </c>
      <c r="K412" s="5">
        <v>483</v>
      </c>
      <c r="L412" s="13" t="str">
        <f t="shared" si="12"/>
        <v>Discount Applied</v>
      </c>
      <c r="M412" s="13" t="str">
        <f t="shared" si="13"/>
        <v>Bronze</v>
      </c>
      <c r="N412" s="13"/>
    </row>
    <row r="413" spans="1:14" x14ac:dyDescent="0.3">
      <c r="A413" s="3">
        <v>4937</v>
      </c>
      <c r="B413" s="3" t="s">
        <v>11</v>
      </c>
      <c r="C413" s="4">
        <v>45764</v>
      </c>
      <c r="D413" s="3" t="s">
        <v>34</v>
      </c>
      <c r="E413" s="3" t="s">
        <v>48</v>
      </c>
      <c r="F413" s="5">
        <v>2</v>
      </c>
      <c r="G413" s="6">
        <v>14.03</v>
      </c>
      <c r="H413" s="6">
        <v>28.06</v>
      </c>
      <c r="I413" s="6">
        <v>3.14</v>
      </c>
      <c r="J413" s="6">
        <v>24.92</v>
      </c>
      <c r="K413" s="5">
        <v>160</v>
      </c>
      <c r="L413" s="13" t="str">
        <f t="shared" si="12"/>
        <v>Discount Applied</v>
      </c>
      <c r="M413" s="13" t="str">
        <f t="shared" si="13"/>
        <v>Silver</v>
      </c>
      <c r="N413" s="13"/>
    </row>
    <row r="414" spans="1:14" x14ac:dyDescent="0.3">
      <c r="A414" s="3">
        <v>8800</v>
      </c>
      <c r="B414" s="3" t="s">
        <v>42</v>
      </c>
      <c r="C414" s="4">
        <v>45409</v>
      </c>
      <c r="D414" s="3" t="s">
        <v>45</v>
      </c>
      <c r="E414" s="3" t="s">
        <v>37</v>
      </c>
      <c r="F414" s="5">
        <v>4</v>
      </c>
      <c r="G414" s="6">
        <v>8.68</v>
      </c>
      <c r="H414" s="6">
        <v>34.72</v>
      </c>
      <c r="I414" s="6">
        <v>6.94</v>
      </c>
      <c r="J414" s="6">
        <v>27.78</v>
      </c>
      <c r="K414" s="5">
        <v>61</v>
      </c>
      <c r="L414" s="13" t="str">
        <f t="shared" si="12"/>
        <v>Discount Applied</v>
      </c>
      <c r="M414" s="13" t="str">
        <f t="shared" si="13"/>
        <v>Silver</v>
      </c>
      <c r="N414" s="13"/>
    </row>
    <row r="415" spans="1:14" x14ac:dyDescent="0.3">
      <c r="A415" s="3">
        <v>9041</v>
      </c>
      <c r="B415" s="3" t="s">
        <v>30</v>
      </c>
      <c r="C415" s="4">
        <v>45828</v>
      </c>
      <c r="D415" s="3" t="s">
        <v>28</v>
      </c>
      <c r="E415" s="3" t="s">
        <v>40</v>
      </c>
      <c r="F415" s="5">
        <v>2</v>
      </c>
      <c r="G415" s="6">
        <v>25.23</v>
      </c>
      <c r="H415" s="6">
        <v>50.46</v>
      </c>
      <c r="I415" s="6">
        <v>3.84</v>
      </c>
      <c r="J415" s="6">
        <v>46.62</v>
      </c>
      <c r="K415" s="5">
        <v>167</v>
      </c>
      <c r="L415" s="13" t="str">
        <f t="shared" si="12"/>
        <v>Discount Applied</v>
      </c>
      <c r="M415" s="13" t="str">
        <f t="shared" si="13"/>
        <v>Silver</v>
      </c>
      <c r="N415" s="13"/>
    </row>
    <row r="416" spans="1:14" x14ac:dyDescent="0.3">
      <c r="A416" s="3">
        <v>1282</v>
      </c>
      <c r="B416" s="3" t="s">
        <v>36</v>
      </c>
      <c r="C416" s="4">
        <v>45576</v>
      </c>
      <c r="D416" s="3" t="s">
        <v>20</v>
      </c>
      <c r="E416" s="3" t="s">
        <v>46</v>
      </c>
      <c r="F416" s="5">
        <v>1</v>
      </c>
      <c r="G416" s="6">
        <v>20.63</v>
      </c>
      <c r="H416" s="6">
        <v>20.63</v>
      </c>
      <c r="I416" s="6">
        <v>4.8099999999999996</v>
      </c>
      <c r="J416" s="6">
        <v>15.82</v>
      </c>
      <c r="K416" s="5">
        <v>133</v>
      </c>
      <c r="L416" s="13" t="str">
        <f t="shared" si="12"/>
        <v>Discount Applied</v>
      </c>
      <c r="M416" s="13" t="str">
        <f t="shared" si="13"/>
        <v>Bronze</v>
      </c>
      <c r="N416" s="13"/>
    </row>
    <row r="417" spans="1:14" x14ac:dyDescent="0.3">
      <c r="A417" s="3">
        <v>5820</v>
      </c>
      <c r="B417" s="3" t="s">
        <v>26</v>
      </c>
      <c r="C417" s="4">
        <v>45546</v>
      </c>
      <c r="D417" s="3" t="s">
        <v>38</v>
      </c>
      <c r="E417" s="3" t="s">
        <v>18</v>
      </c>
      <c r="F417" s="5">
        <v>2</v>
      </c>
      <c r="G417" s="6">
        <v>3.74</v>
      </c>
      <c r="H417" s="6">
        <v>7.48</v>
      </c>
      <c r="I417" s="6">
        <v>1.05</v>
      </c>
      <c r="J417" s="6">
        <v>6.43</v>
      </c>
      <c r="K417" s="5">
        <v>52</v>
      </c>
      <c r="L417" s="13" t="str">
        <f t="shared" si="12"/>
        <v>Discount Applied</v>
      </c>
      <c r="M417" s="13" t="str">
        <f t="shared" si="13"/>
        <v>Bronze</v>
      </c>
      <c r="N417" s="13"/>
    </row>
    <row r="418" spans="1:14" x14ac:dyDescent="0.3">
      <c r="A418" s="3">
        <v>7625</v>
      </c>
      <c r="B418" s="3" t="s">
        <v>42</v>
      </c>
      <c r="C418" s="4">
        <v>45211</v>
      </c>
      <c r="D418" s="3" t="s">
        <v>34</v>
      </c>
      <c r="E418" s="3" t="s">
        <v>44</v>
      </c>
      <c r="F418" s="5">
        <v>4</v>
      </c>
      <c r="G418" s="6">
        <v>11.78</v>
      </c>
      <c r="H418" s="6">
        <v>47.12</v>
      </c>
      <c r="I418" s="6">
        <v>3.34</v>
      </c>
      <c r="J418" s="6">
        <v>43.78</v>
      </c>
      <c r="K418" s="5">
        <v>322</v>
      </c>
      <c r="L418" s="13" t="str">
        <f t="shared" si="12"/>
        <v>Discount Applied</v>
      </c>
      <c r="M418" s="13" t="str">
        <f t="shared" si="13"/>
        <v>Silver</v>
      </c>
      <c r="N418" s="13"/>
    </row>
    <row r="419" spans="1:14" x14ac:dyDescent="0.3">
      <c r="A419" s="3">
        <v>4986</v>
      </c>
      <c r="B419" s="3" t="s">
        <v>11</v>
      </c>
      <c r="C419" s="4">
        <v>45704</v>
      </c>
      <c r="D419" s="3" t="s">
        <v>12</v>
      </c>
      <c r="E419" s="3" t="s">
        <v>43</v>
      </c>
      <c r="F419" s="5">
        <v>2</v>
      </c>
      <c r="G419" s="6">
        <v>27.16</v>
      </c>
      <c r="H419" s="6">
        <v>54.32</v>
      </c>
      <c r="I419" s="6">
        <v>4.62</v>
      </c>
      <c r="J419" s="6">
        <v>49.7</v>
      </c>
      <c r="K419" s="5">
        <v>227</v>
      </c>
      <c r="L419" s="13" t="str">
        <f t="shared" si="12"/>
        <v>Discount Applied</v>
      </c>
      <c r="M419" s="13" t="str">
        <f t="shared" si="13"/>
        <v>Silver</v>
      </c>
      <c r="N419" s="13"/>
    </row>
    <row r="420" spans="1:14" x14ac:dyDescent="0.3">
      <c r="A420" s="3">
        <v>7046</v>
      </c>
      <c r="B420" s="3"/>
      <c r="C420" s="4">
        <v>45524</v>
      </c>
      <c r="D420" s="3" t="s">
        <v>15</v>
      </c>
      <c r="E420" s="3" t="s">
        <v>40</v>
      </c>
      <c r="F420" s="5">
        <v>4</v>
      </c>
      <c r="G420" s="6">
        <v>2.46</v>
      </c>
      <c r="H420" s="6">
        <v>9.84</v>
      </c>
      <c r="I420" s="6">
        <v>0</v>
      </c>
      <c r="J420" s="6">
        <v>9.84</v>
      </c>
      <c r="K420" s="5">
        <v>473</v>
      </c>
      <c r="L420" s="13" t="str">
        <f t="shared" si="12"/>
        <v>No Discount</v>
      </c>
      <c r="M420" s="13" t="str">
        <f t="shared" si="13"/>
        <v>Bronze</v>
      </c>
      <c r="N420" s="13"/>
    </row>
    <row r="421" spans="1:14" x14ac:dyDescent="0.3">
      <c r="A421" s="3">
        <v>9698</v>
      </c>
      <c r="B421" s="3" t="s">
        <v>24</v>
      </c>
      <c r="C421" s="4">
        <v>45681</v>
      </c>
      <c r="D421" s="3" t="s">
        <v>45</v>
      </c>
      <c r="E421" s="3" t="s">
        <v>39</v>
      </c>
      <c r="F421" s="5">
        <v>4</v>
      </c>
      <c r="G421" s="6">
        <v>20.8</v>
      </c>
      <c r="H421" s="6">
        <v>83.2</v>
      </c>
      <c r="I421" s="6">
        <v>16.64</v>
      </c>
      <c r="J421" s="6">
        <v>66.56</v>
      </c>
      <c r="K421" s="5">
        <v>88</v>
      </c>
      <c r="L421" s="13" t="str">
        <f t="shared" si="12"/>
        <v>Discount Applied</v>
      </c>
      <c r="M421" s="13" t="str">
        <f t="shared" si="13"/>
        <v>Gold</v>
      </c>
      <c r="N421" s="13"/>
    </row>
    <row r="422" spans="1:14" x14ac:dyDescent="0.3">
      <c r="A422" s="3">
        <v>7971</v>
      </c>
      <c r="B422" s="3" t="s">
        <v>19</v>
      </c>
      <c r="C422" s="4">
        <v>45646</v>
      </c>
      <c r="D422" s="3" t="s">
        <v>35</v>
      </c>
      <c r="E422" s="3" t="s">
        <v>13</v>
      </c>
      <c r="F422" s="5">
        <v>4</v>
      </c>
      <c r="G422" s="6">
        <v>26.61</v>
      </c>
      <c r="H422" s="6">
        <v>106.44</v>
      </c>
      <c r="I422" s="6">
        <v>0</v>
      </c>
      <c r="J422" s="6">
        <v>106.44</v>
      </c>
      <c r="K422" s="5">
        <v>17</v>
      </c>
      <c r="L422" s="13" t="str">
        <f t="shared" si="12"/>
        <v>No Discount</v>
      </c>
      <c r="M422" s="13" t="str">
        <f t="shared" si="13"/>
        <v>Platinum</v>
      </c>
      <c r="N422" s="13"/>
    </row>
    <row r="423" spans="1:14" x14ac:dyDescent="0.3">
      <c r="A423" s="3">
        <v>6419</v>
      </c>
      <c r="B423" s="3" t="s">
        <v>30</v>
      </c>
      <c r="C423" s="4">
        <v>45493</v>
      </c>
      <c r="D423" s="3" t="s">
        <v>45</v>
      </c>
      <c r="E423" s="3" t="s">
        <v>16</v>
      </c>
      <c r="F423" s="5">
        <v>5</v>
      </c>
      <c r="G423" s="6">
        <v>14.88</v>
      </c>
      <c r="H423" s="6">
        <v>74.400000000000006</v>
      </c>
      <c r="I423" s="6">
        <v>7.44</v>
      </c>
      <c r="J423" s="6">
        <v>66.959999999999994</v>
      </c>
      <c r="K423" s="5">
        <v>44</v>
      </c>
      <c r="L423" s="13" t="str">
        <f t="shared" si="12"/>
        <v>Discount Applied</v>
      </c>
      <c r="M423" s="13" t="str">
        <f t="shared" si="13"/>
        <v>Gold</v>
      </c>
      <c r="N423" s="13"/>
    </row>
    <row r="424" spans="1:14" x14ac:dyDescent="0.3">
      <c r="A424" s="3">
        <v>8434</v>
      </c>
      <c r="B424" s="3" t="s">
        <v>19</v>
      </c>
      <c r="C424" s="4">
        <v>45217</v>
      </c>
      <c r="D424" s="3" t="s">
        <v>20</v>
      </c>
      <c r="E424" s="3" t="s">
        <v>44</v>
      </c>
      <c r="F424" s="5">
        <v>5</v>
      </c>
      <c r="G424" s="6">
        <v>8.2200000000000006</v>
      </c>
      <c r="H424" s="6">
        <v>41.1</v>
      </c>
      <c r="I424" s="6">
        <v>4.1100000000000003</v>
      </c>
      <c r="J424" s="6">
        <v>36.99</v>
      </c>
      <c r="K424" s="5">
        <v>410</v>
      </c>
      <c r="L424" s="13" t="str">
        <f t="shared" si="12"/>
        <v>Discount Applied</v>
      </c>
      <c r="M424" s="13" t="str">
        <f t="shared" si="13"/>
        <v>Silver</v>
      </c>
      <c r="N424" s="13"/>
    </row>
    <row r="425" spans="1:14" x14ac:dyDescent="0.3">
      <c r="A425" s="3">
        <v>6023</v>
      </c>
      <c r="B425" s="3" t="s">
        <v>36</v>
      </c>
      <c r="C425" s="4">
        <v>45317</v>
      </c>
      <c r="D425" s="3" t="s">
        <v>45</v>
      </c>
      <c r="E425" s="3" t="s">
        <v>18</v>
      </c>
      <c r="F425" s="5">
        <v>4</v>
      </c>
      <c r="G425" s="6">
        <v>10.97</v>
      </c>
      <c r="H425" s="6">
        <v>43.88</v>
      </c>
      <c r="I425" s="6">
        <v>4.3899999999999997</v>
      </c>
      <c r="J425" s="6">
        <v>39.49</v>
      </c>
      <c r="K425" s="5">
        <v>289</v>
      </c>
      <c r="L425" s="13" t="str">
        <f t="shared" si="12"/>
        <v>Discount Applied</v>
      </c>
      <c r="M425" s="13" t="str">
        <f t="shared" si="13"/>
        <v>Silver</v>
      </c>
      <c r="N425" s="13"/>
    </row>
    <row r="426" spans="1:14" x14ac:dyDescent="0.3">
      <c r="A426" s="3">
        <v>4777</v>
      </c>
      <c r="B426" s="3" t="s">
        <v>30</v>
      </c>
      <c r="C426" s="4">
        <v>45682</v>
      </c>
      <c r="D426" s="3" t="s">
        <v>34</v>
      </c>
      <c r="E426" s="3" t="s">
        <v>39</v>
      </c>
      <c r="F426" s="5">
        <v>3</v>
      </c>
      <c r="G426" s="6">
        <v>18.309999999999999</v>
      </c>
      <c r="H426" s="6">
        <v>54.93</v>
      </c>
      <c r="I426" s="6">
        <v>4.2300000000000004</v>
      </c>
      <c r="J426" s="6">
        <v>50.7</v>
      </c>
      <c r="K426" s="5">
        <v>15</v>
      </c>
      <c r="L426" s="13" t="str">
        <f t="shared" si="12"/>
        <v>Discount Applied</v>
      </c>
      <c r="M426" s="13" t="str">
        <f t="shared" si="13"/>
        <v>Gold</v>
      </c>
      <c r="N426" s="13"/>
    </row>
    <row r="427" spans="1:14" x14ac:dyDescent="0.3">
      <c r="A427" s="3">
        <v>4155</v>
      </c>
      <c r="B427" s="3" t="s">
        <v>26</v>
      </c>
      <c r="C427" s="4">
        <v>45382</v>
      </c>
      <c r="D427" s="3" t="s">
        <v>38</v>
      </c>
      <c r="E427" s="3" t="s">
        <v>23</v>
      </c>
      <c r="F427" s="5">
        <v>5</v>
      </c>
      <c r="G427" s="6">
        <v>29.98</v>
      </c>
      <c r="H427" s="6">
        <v>149.9</v>
      </c>
      <c r="I427" s="6">
        <v>1.99</v>
      </c>
      <c r="J427" s="6">
        <v>147.91</v>
      </c>
      <c r="K427" s="5">
        <v>498</v>
      </c>
      <c r="L427" s="13" t="str">
        <f t="shared" si="12"/>
        <v>Discount Applied</v>
      </c>
      <c r="M427" s="13" t="str">
        <f t="shared" si="13"/>
        <v>Platinum</v>
      </c>
      <c r="N427" s="13"/>
    </row>
    <row r="428" spans="1:14" x14ac:dyDescent="0.3">
      <c r="A428" s="3">
        <v>2958</v>
      </c>
      <c r="B428" s="3" t="s">
        <v>42</v>
      </c>
      <c r="C428" s="4">
        <v>45512</v>
      </c>
      <c r="D428" s="3" t="s">
        <v>35</v>
      </c>
      <c r="E428" s="3" t="s">
        <v>18</v>
      </c>
      <c r="F428" s="5">
        <v>1</v>
      </c>
      <c r="G428" s="6">
        <v>23.15</v>
      </c>
      <c r="H428" s="6">
        <v>23.15</v>
      </c>
      <c r="I428" s="6">
        <v>4.3899999999999997</v>
      </c>
      <c r="J428" s="6">
        <v>18.760000000000002</v>
      </c>
      <c r="K428" s="5">
        <v>485</v>
      </c>
      <c r="L428" s="13" t="str">
        <f t="shared" si="12"/>
        <v>Discount Applied</v>
      </c>
      <c r="M428" s="13" t="str">
        <f t="shared" si="13"/>
        <v>Bronze</v>
      </c>
      <c r="N428" s="13"/>
    </row>
    <row r="429" spans="1:14" x14ac:dyDescent="0.3">
      <c r="A429" s="3">
        <v>9779</v>
      </c>
      <c r="B429" s="3" t="s">
        <v>24</v>
      </c>
      <c r="C429" s="4">
        <v>45412</v>
      </c>
      <c r="D429" s="3" t="s">
        <v>22</v>
      </c>
      <c r="E429" s="3" t="s">
        <v>29</v>
      </c>
      <c r="F429" s="5">
        <v>2</v>
      </c>
      <c r="G429" s="6">
        <v>7.85</v>
      </c>
      <c r="H429" s="6">
        <v>15.7</v>
      </c>
      <c r="I429" s="6">
        <v>1.1100000000000001</v>
      </c>
      <c r="J429" s="6">
        <v>14.59</v>
      </c>
      <c r="K429" s="5">
        <v>162</v>
      </c>
      <c r="L429" s="13" t="str">
        <f t="shared" si="12"/>
        <v>Discount Applied</v>
      </c>
      <c r="M429" s="13" t="str">
        <f t="shared" si="13"/>
        <v>Bronze</v>
      </c>
      <c r="N429" s="13"/>
    </row>
    <row r="430" spans="1:14" x14ac:dyDescent="0.3">
      <c r="A430" s="3">
        <v>4033</v>
      </c>
      <c r="B430" s="3" t="s">
        <v>36</v>
      </c>
      <c r="C430" s="4">
        <v>45724</v>
      </c>
      <c r="D430" s="3" t="s">
        <v>28</v>
      </c>
      <c r="E430" s="3" t="s">
        <v>41</v>
      </c>
      <c r="F430" s="5">
        <v>5</v>
      </c>
      <c r="G430" s="6">
        <v>28.49</v>
      </c>
      <c r="H430" s="6">
        <v>142.44999999999999</v>
      </c>
      <c r="I430" s="6">
        <v>2.2400000000000002</v>
      </c>
      <c r="J430" s="6">
        <v>140.21</v>
      </c>
      <c r="K430" s="5">
        <v>428</v>
      </c>
      <c r="L430" s="13" t="str">
        <f t="shared" si="12"/>
        <v>Discount Applied</v>
      </c>
      <c r="M430" s="13" t="str">
        <f t="shared" si="13"/>
        <v>Platinum</v>
      </c>
      <c r="N430" s="13"/>
    </row>
    <row r="431" spans="1:14" x14ac:dyDescent="0.3">
      <c r="A431" s="3">
        <v>4545</v>
      </c>
      <c r="B431" s="3" t="s">
        <v>26</v>
      </c>
      <c r="C431" s="4">
        <v>45418</v>
      </c>
      <c r="D431" s="3" t="s">
        <v>12</v>
      </c>
      <c r="E431" s="3" t="s">
        <v>43</v>
      </c>
      <c r="F431" s="5">
        <v>1</v>
      </c>
      <c r="G431" s="6">
        <v>7.74</v>
      </c>
      <c r="H431" s="6">
        <v>7.74</v>
      </c>
      <c r="I431" s="6">
        <v>2.91</v>
      </c>
      <c r="J431" s="6">
        <v>4.83</v>
      </c>
      <c r="K431" s="5">
        <v>112</v>
      </c>
      <c r="L431" s="13" t="str">
        <f t="shared" si="12"/>
        <v>Discount Applied</v>
      </c>
      <c r="M431" s="13" t="str">
        <f t="shared" si="13"/>
        <v>Bronze</v>
      </c>
      <c r="N431" s="13"/>
    </row>
    <row r="432" spans="1:14" x14ac:dyDescent="0.3">
      <c r="A432" s="3">
        <v>8933</v>
      </c>
      <c r="B432" s="3" t="s">
        <v>36</v>
      </c>
      <c r="C432" s="4">
        <v>45355</v>
      </c>
      <c r="D432" s="3" t="s">
        <v>28</v>
      </c>
      <c r="E432" s="3" t="s">
        <v>44</v>
      </c>
      <c r="F432" s="5">
        <v>2</v>
      </c>
      <c r="G432" s="6">
        <v>10.87</v>
      </c>
      <c r="H432" s="6">
        <v>21.74</v>
      </c>
      <c r="I432" s="6">
        <v>1.0900000000000001</v>
      </c>
      <c r="J432" s="6">
        <v>20.65</v>
      </c>
      <c r="K432" s="5">
        <v>90</v>
      </c>
      <c r="L432" s="13" t="str">
        <f t="shared" si="12"/>
        <v>Discount Applied</v>
      </c>
      <c r="M432" s="13" t="str">
        <f t="shared" si="13"/>
        <v>Silver</v>
      </c>
      <c r="N432" s="13"/>
    </row>
    <row r="433" spans="1:14" x14ac:dyDescent="0.3">
      <c r="A433" s="3">
        <v>9595</v>
      </c>
      <c r="B433" s="3" t="s">
        <v>19</v>
      </c>
      <c r="C433" s="4">
        <v>45340</v>
      </c>
      <c r="D433" s="3" t="s">
        <v>15</v>
      </c>
      <c r="E433" s="3" t="s">
        <v>46</v>
      </c>
      <c r="F433" s="5">
        <v>3</v>
      </c>
      <c r="G433" s="6">
        <v>28.85</v>
      </c>
      <c r="H433" s="6">
        <v>86.55</v>
      </c>
      <c r="I433" s="6">
        <v>1.4</v>
      </c>
      <c r="J433" s="6">
        <v>85.15</v>
      </c>
      <c r="K433" s="5">
        <v>191</v>
      </c>
      <c r="L433" s="13" t="str">
        <f t="shared" si="12"/>
        <v>Discount Applied</v>
      </c>
      <c r="M433" s="13" t="str">
        <f t="shared" si="13"/>
        <v>Platinum</v>
      </c>
      <c r="N433" s="13"/>
    </row>
    <row r="434" spans="1:14" x14ac:dyDescent="0.3">
      <c r="A434" s="3">
        <v>5636</v>
      </c>
      <c r="B434" s="3" t="s">
        <v>30</v>
      </c>
      <c r="C434" s="4">
        <v>45238</v>
      </c>
      <c r="D434" s="3" t="s">
        <v>22</v>
      </c>
      <c r="E434" s="3" t="s">
        <v>41</v>
      </c>
      <c r="F434" s="5">
        <v>2</v>
      </c>
      <c r="G434" s="6">
        <v>22.23</v>
      </c>
      <c r="H434" s="6">
        <v>44.46</v>
      </c>
      <c r="I434" s="6">
        <v>0</v>
      </c>
      <c r="J434" s="6">
        <v>44.46</v>
      </c>
      <c r="K434" s="5">
        <v>223</v>
      </c>
      <c r="L434" s="13" t="str">
        <f t="shared" si="12"/>
        <v>No Discount</v>
      </c>
      <c r="M434" s="13" t="str">
        <f t="shared" si="13"/>
        <v>Silver</v>
      </c>
      <c r="N434" s="13"/>
    </row>
    <row r="435" spans="1:14" x14ac:dyDescent="0.3">
      <c r="A435" s="3">
        <v>4180</v>
      </c>
      <c r="B435" s="3" t="s">
        <v>36</v>
      </c>
      <c r="C435" s="4">
        <v>45390</v>
      </c>
      <c r="D435" s="3" t="s">
        <v>34</v>
      </c>
      <c r="E435" s="3" t="s">
        <v>18</v>
      </c>
      <c r="F435" s="5">
        <v>5</v>
      </c>
      <c r="G435" s="6">
        <v>23.81</v>
      </c>
      <c r="H435" s="6">
        <v>119.05</v>
      </c>
      <c r="I435" s="6">
        <v>11.91</v>
      </c>
      <c r="J435" s="6">
        <v>107.14</v>
      </c>
      <c r="K435" s="5">
        <v>114</v>
      </c>
      <c r="L435" s="13" t="str">
        <f t="shared" si="12"/>
        <v>Discount Applied</v>
      </c>
      <c r="M435" s="13" t="str">
        <f t="shared" si="13"/>
        <v>Platinum</v>
      </c>
      <c r="N435" s="13"/>
    </row>
    <row r="436" spans="1:14" x14ac:dyDescent="0.3">
      <c r="A436" s="3">
        <v>4727</v>
      </c>
      <c r="B436" s="3" t="s">
        <v>30</v>
      </c>
      <c r="C436" s="4">
        <v>45722</v>
      </c>
      <c r="D436" s="3" t="s">
        <v>35</v>
      </c>
      <c r="E436" s="3" t="s">
        <v>41</v>
      </c>
      <c r="F436" s="5">
        <v>2</v>
      </c>
      <c r="G436" s="6">
        <v>22.13</v>
      </c>
      <c r="H436" s="6">
        <v>44.26</v>
      </c>
      <c r="I436" s="6">
        <v>1.1299999999999999</v>
      </c>
      <c r="J436" s="6">
        <v>43.13</v>
      </c>
      <c r="K436" s="5">
        <v>485</v>
      </c>
      <c r="L436" s="13" t="str">
        <f t="shared" si="12"/>
        <v>Discount Applied</v>
      </c>
      <c r="M436" s="13" t="str">
        <f t="shared" si="13"/>
        <v>Silver</v>
      </c>
      <c r="N436" s="13"/>
    </row>
    <row r="437" spans="1:14" x14ac:dyDescent="0.3">
      <c r="A437" s="3">
        <v>3939</v>
      </c>
      <c r="B437" s="3" t="s">
        <v>36</v>
      </c>
      <c r="C437" s="4">
        <v>45737</v>
      </c>
      <c r="D437" s="3" t="s">
        <v>28</v>
      </c>
      <c r="E437" s="3" t="s">
        <v>25</v>
      </c>
      <c r="F437" s="5">
        <v>5</v>
      </c>
      <c r="G437" s="6">
        <v>4.01</v>
      </c>
      <c r="H437" s="6">
        <v>20.05</v>
      </c>
      <c r="I437" s="6">
        <v>3.01</v>
      </c>
      <c r="J437" s="6">
        <v>17.04</v>
      </c>
      <c r="K437" s="5">
        <v>254</v>
      </c>
      <c r="L437" s="13" t="str">
        <f t="shared" si="12"/>
        <v>Discount Applied</v>
      </c>
      <c r="M437" s="13" t="str">
        <f t="shared" si="13"/>
        <v>Bronze</v>
      </c>
      <c r="N437" s="13"/>
    </row>
    <row r="438" spans="1:14" x14ac:dyDescent="0.3">
      <c r="A438" s="3">
        <v>1231</v>
      </c>
      <c r="B438" s="3" t="s">
        <v>11</v>
      </c>
      <c r="C438" s="4">
        <v>45293</v>
      </c>
      <c r="D438" s="3" t="s">
        <v>17</v>
      </c>
      <c r="E438" s="3" t="s">
        <v>23</v>
      </c>
      <c r="F438" s="5">
        <v>3</v>
      </c>
      <c r="G438" s="6">
        <v>5.86</v>
      </c>
      <c r="H438" s="6">
        <v>17.579999999999998</v>
      </c>
      <c r="I438" s="6">
        <v>0</v>
      </c>
      <c r="J438" s="6">
        <v>17.579999999999998</v>
      </c>
      <c r="K438" s="5">
        <v>453</v>
      </c>
      <c r="L438" s="13" t="str">
        <f t="shared" si="12"/>
        <v>No Discount</v>
      </c>
      <c r="M438" s="13" t="str">
        <f t="shared" si="13"/>
        <v>Bronze</v>
      </c>
      <c r="N438" s="13"/>
    </row>
    <row r="439" spans="1:14" x14ac:dyDescent="0.3">
      <c r="A439" s="3">
        <v>5494</v>
      </c>
      <c r="B439" s="3" t="s">
        <v>36</v>
      </c>
      <c r="C439" s="4">
        <v>45718</v>
      </c>
      <c r="D439" s="3" t="s">
        <v>45</v>
      </c>
      <c r="E439" s="3" t="s">
        <v>39</v>
      </c>
      <c r="F439" s="5">
        <v>3</v>
      </c>
      <c r="G439" s="6">
        <v>7.07</v>
      </c>
      <c r="H439" s="6">
        <v>21.21</v>
      </c>
      <c r="I439" s="6">
        <v>3.18</v>
      </c>
      <c r="J439" s="6">
        <v>18.03</v>
      </c>
      <c r="K439" s="5">
        <v>354</v>
      </c>
      <c r="L439" s="13" t="str">
        <f t="shared" si="12"/>
        <v>Discount Applied</v>
      </c>
      <c r="M439" s="13" t="str">
        <f t="shared" si="13"/>
        <v>Bronze</v>
      </c>
      <c r="N439" s="13"/>
    </row>
    <row r="440" spans="1:14" x14ac:dyDescent="0.3">
      <c r="A440" s="3">
        <v>1893</v>
      </c>
      <c r="B440" s="3" t="s">
        <v>30</v>
      </c>
      <c r="C440" s="4">
        <v>45359</v>
      </c>
      <c r="D440" s="3" t="s">
        <v>15</v>
      </c>
      <c r="E440" s="3" t="s">
        <v>39</v>
      </c>
      <c r="F440" s="5">
        <v>1</v>
      </c>
      <c r="G440" s="6">
        <v>12.18</v>
      </c>
      <c r="H440" s="6">
        <v>12.18</v>
      </c>
      <c r="I440" s="6">
        <v>2.44</v>
      </c>
      <c r="J440" s="6">
        <v>9.74</v>
      </c>
      <c r="K440" s="5">
        <v>375</v>
      </c>
      <c r="L440" s="13" t="str">
        <f t="shared" si="12"/>
        <v>Discount Applied</v>
      </c>
      <c r="M440" s="13" t="str">
        <f t="shared" si="13"/>
        <v>Bronze</v>
      </c>
      <c r="N440" s="13"/>
    </row>
    <row r="441" spans="1:14" x14ac:dyDescent="0.3">
      <c r="A441" s="3">
        <v>5786</v>
      </c>
      <c r="B441" s="3" t="s">
        <v>24</v>
      </c>
      <c r="C441" s="4">
        <v>45608</v>
      </c>
      <c r="D441" s="3" t="s">
        <v>45</v>
      </c>
      <c r="E441" s="3" t="s">
        <v>32</v>
      </c>
      <c r="F441" s="5">
        <v>3</v>
      </c>
      <c r="G441" s="6">
        <v>16.82</v>
      </c>
      <c r="H441" s="6">
        <v>50.46</v>
      </c>
      <c r="I441" s="6">
        <v>3.6</v>
      </c>
      <c r="J441" s="6">
        <v>46.86</v>
      </c>
      <c r="K441" s="5">
        <v>51</v>
      </c>
      <c r="L441" s="13" t="str">
        <f t="shared" si="12"/>
        <v>Discount Applied</v>
      </c>
      <c r="M441" s="13" t="str">
        <f t="shared" si="13"/>
        <v>Silver</v>
      </c>
      <c r="N441" s="13"/>
    </row>
    <row r="442" spans="1:14" x14ac:dyDescent="0.3">
      <c r="A442" s="3">
        <v>9042</v>
      </c>
      <c r="B442" s="3" t="s">
        <v>42</v>
      </c>
      <c r="C442" s="4">
        <v>45223</v>
      </c>
      <c r="D442" s="3" t="s">
        <v>34</v>
      </c>
      <c r="E442" s="3" t="s">
        <v>33</v>
      </c>
      <c r="F442" s="5">
        <v>1</v>
      </c>
      <c r="G442" s="6">
        <v>24.17</v>
      </c>
      <c r="H442" s="6">
        <v>24.17</v>
      </c>
      <c r="I442" s="6">
        <v>2.27</v>
      </c>
      <c r="J442" s="6">
        <v>21.9</v>
      </c>
      <c r="K442" s="5">
        <v>17</v>
      </c>
      <c r="L442" s="13" t="str">
        <f t="shared" si="12"/>
        <v>Discount Applied</v>
      </c>
      <c r="M442" s="13" t="str">
        <f t="shared" si="13"/>
        <v>Silver</v>
      </c>
      <c r="N442" s="13"/>
    </row>
    <row r="443" spans="1:14" x14ac:dyDescent="0.3">
      <c r="A443" s="3">
        <v>1200</v>
      </c>
      <c r="B443" s="3" t="s">
        <v>11</v>
      </c>
      <c r="C443" s="4">
        <v>45375</v>
      </c>
      <c r="D443" s="3" t="s">
        <v>15</v>
      </c>
      <c r="E443" s="3" t="s">
        <v>21</v>
      </c>
      <c r="F443" s="5">
        <v>2</v>
      </c>
      <c r="G443" s="6">
        <v>26.74</v>
      </c>
      <c r="H443" s="6">
        <v>53.48</v>
      </c>
      <c r="I443" s="6">
        <v>4.7699999999999996</v>
      </c>
      <c r="J443" s="6">
        <v>48.71</v>
      </c>
      <c r="K443" s="5">
        <v>82</v>
      </c>
      <c r="L443" s="13" t="str">
        <f t="shared" si="12"/>
        <v>Discount Applied</v>
      </c>
      <c r="M443" s="13" t="str">
        <f t="shared" si="13"/>
        <v>Silver</v>
      </c>
      <c r="N443" s="13"/>
    </row>
    <row r="444" spans="1:14" x14ac:dyDescent="0.3">
      <c r="A444" s="3">
        <v>5658</v>
      </c>
      <c r="B444" s="3" t="s">
        <v>11</v>
      </c>
      <c r="C444" s="4">
        <v>45425</v>
      </c>
      <c r="D444" s="3" t="s">
        <v>22</v>
      </c>
      <c r="E444" s="3" t="s">
        <v>47</v>
      </c>
      <c r="F444" s="5">
        <v>1</v>
      </c>
      <c r="G444" s="6">
        <v>13.5</v>
      </c>
      <c r="H444" s="6">
        <v>13.5</v>
      </c>
      <c r="I444" s="6">
        <v>4.5599999999999996</v>
      </c>
      <c r="J444" s="6">
        <v>8.94</v>
      </c>
      <c r="K444" s="5">
        <v>334</v>
      </c>
      <c r="L444" s="13" t="str">
        <f t="shared" si="12"/>
        <v>Discount Applied</v>
      </c>
      <c r="M444" s="13" t="str">
        <f t="shared" si="13"/>
        <v>Bronze</v>
      </c>
      <c r="N444" s="13"/>
    </row>
    <row r="445" spans="1:14" x14ac:dyDescent="0.3">
      <c r="A445" s="3">
        <v>8843</v>
      </c>
      <c r="B445" s="3" t="s">
        <v>19</v>
      </c>
      <c r="C445" s="4">
        <v>45379</v>
      </c>
      <c r="D445" s="3" t="s">
        <v>12</v>
      </c>
      <c r="E445" s="3" t="s">
        <v>48</v>
      </c>
      <c r="F445" s="5">
        <v>3</v>
      </c>
      <c r="G445" s="6">
        <v>6.95</v>
      </c>
      <c r="H445" s="6">
        <v>20.85</v>
      </c>
      <c r="I445" s="6">
        <v>0</v>
      </c>
      <c r="J445" s="6">
        <v>20.85</v>
      </c>
      <c r="K445" s="5">
        <v>97</v>
      </c>
      <c r="L445" s="13" t="str">
        <f t="shared" si="12"/>
        <v>No Discount</v>
      </c>
      <c r="M445" s="13" t="str">
        <f t="shared" si="13"/>
        <v>Silver</v>
      </c>
      <c r="N445" s="13"/>
    </row>
    <row r="446" spans="1:14" x14ac:dyDescent="0.3">
      <c r="A446" s="3">
        <v>6582</v>
      </c>
      <c r="B446" s="3" t="s">
        <v>14</v>
      </c>
      <c r="C446" s="4">
        <v>45694</v>
      </c>
      <c r="D446" s="3" t="s">
        <v>38</v>
      </c>
      <c r="E446" s="3" t="s">
        <v>13</v>
      </c>
      <c r="F446" s="5">
        <v>3</v>
      </c>
      <c r="G446" s="6">
        <v>9.61</v>
      </c>
      <c r="H446" s="6">
        <v>28.83</v>
      </c>
      <c r="I446" s="6">
        <v>2.88</v>
      </c>
      <c r="J446" s="6">
        <v>25.95</v>
      </c>
      <c r="K446" s="5">
        <v>49</v>
      </c>
      <c r="L446" s="13" t="str">
        <f t="shared" si="12"/>
        <v>Discount Applied</v>
      </c>
      <c r="M446" s="13" t="str">
        <f t="shared" si="13"/>
        <v>Silver</v>
      </c>
      <c r="N446" s="13"/>
    </row>
    <row r="447" spans="1:14" x14ac:dyDescent="0.3">
      <c r="A447" s="3">
        <v>1841</v>
      </c>
      <c r="B447" s="3" t="s">
        <v>14</v>
      </c>
      <c r="C447" s="4">
        <v>45243</v>
      </c>
      <c r="D447" s="3" t="s">
        <v>45</v>
      </c>
      <c r="E447" s="3" t="s">
        <v>41</v>
      </c>
      <c r="F447" s="5">
        <v>1</v>
      </c>
      <c r="G447" s="6">
        <v>11.45</v>
      </c>
      <c r="H447" s="6">
        <v>11.45</v>
      </c>
      <c r="I447" s="6">
        <v>1.72</v>
      </c>
      <c r="J447" s="6">
        <v>9.73</v>
      </c>
      <c r="K447" s="5">
        <v>218</v>
      </c>
      <c r="L447" s="13" t="str">
        <f t="shared" si="12"/>
        <v>Discount Applied</v>
      </c>
      <c r="M447" s="13" t="str">
        <f t="shared" si="13"/>
        <v>Bronze</v>
      </c>
      <c r="N447" s="13"/>
    </row>
    <row r="448" spans="1:14" x14ac:dyDescent="0.3">
      <c r="A448" s="3">
        <v>8827</v>
      </c>
      <c r="B448" s="3" t="s">
        <v>26</v>
      </c>
      <c r="C448" s="4">
        <v>45180</v>
      </c>
      <c r="D448" s="3" t="s">
        <v>17</v>
      </c>
      <c r="E448" s="3" t="s">
        <v>48</v>
      </c>
      <c r="F448" s="5">
        <v>1</v>
      </c>
      <c r="G448" s="6">
        <v>6.99</v>
      </c>
      <c r="H448" s="6">
        <v>6.99</v>
      </c>
      <c r="I448" s="6">
        <v>2.89</v>
      </c>
      <c r="J448" s="6">
        <v>4.0999999999999996</v>
      </c>
      <c r="K448" s="5">
        <v>326</v>
      </c>
      <c r="L448" s="13" t="str">
        <f t="shared" si="12"/>
        <v>Discount Applied</v>
      </c>
      <c r="M448" s="13" t="str">
        <f t="shared" si="13"/>
        <v>Bronze</v>
      </c>
      <c r="N448" s="13"/>
    </row>
    <row r="449" spans="1:14" x14ac:dyDescent="0.3">
      <c r="A449" s="3">
        <v>2070</v>
      </c>
      <c r="B449" s="3" t="s">
        <v>11</v>
      </c>
      <c r="C449" s="4">
        <v>45574</v>
      </c>
      <c r="D449" s="3" t="s">
        <v>35</v>
      </c>
      <c r="E449" s="3" t="s">
        <v>32</v>
      </c>
      <c r="F449" s="5">
        <v>4</v>
      </c>
      <c r="G449" s="6">
        <v>15.17</v>
      </c>
      <c r="H449" s="6">
        <v>60.68</v>
      </c>
      <c r="I449" s="6">
        <v>3.57</v>
      </c>
      <c r="J449" s="6">
        <v>57.11</v>
      </c>
      <c r="K449" s="5">
        <v>338</v>
      </c>
      <c r="L449" s="13" t="str">
        <f t="shared" si="12"/>
        <v>Discount Applied</v>
      </c>
      <c r="M449" s="13" t="str">
        <f t="shared" si="13"/>
        <v>Gold</v>
      </c>
      <c r="N449" s="13"/>
    </row>
    <row r="450" spans="1:14" x14ac:dyDescent="0.3">
      <c r="A450" s="3">
        <v>9056</v>
      </c>
      <c r="B450" s="3" t="s">
        <v>24</v>
      </c>
      <c r="C450" s="4">
        <v>45686</v>
      </c>
      <c r="D450" s="3" t="s">
        <v>34</v>
      </c>
      <c r="E450" s="3" t="s">
        <v>23</v>
      </c>
      <c r="F450" s="5">
        <v>4</v>
      </c>
      <c r="G450" s="6">
        <v>11.7</v>
      </c>
      <c r="H450" s="6">
        <v>46.8</v>
      </c>
      <c r="I450" s="6">
        <v>7.02</v>
      </c>
      <c r="J450" s="6">
        <v>39.78</v>
      </c>
      <c r="K450" s="5">
        <v>228</v>
      </c>
      <c r="L450" s="13" t="str">
        <f t="shared" si="12"/>
        <v>Discount Applied</v>
      </c>
      <c r="M450" s="13" t="str">
        <f t="shared" si="13"/>
        <v>Silver</v>
      </c>
      <c r="N450" s="13"/>
    </row>
    <row r="451" spans="1:14" x14ac:dyDescent="0.3">
      <c r="A451" s="3">
        <v>1878</v>
      </c>
      <c r="B451" s="3" t="s">
        <v>26</v>
      </c>
      <c r="C451" s="4">
        <v>45640</v>
      </c>
      <c r="D451" s="3" t="s">
        <v>45</v>
      </c>
      <c r="E451" s="3" t="s">
        <v>13</v>
      </c>
      <c r="F451" s="5">
        <v>2</v>
      </c>
      <c r="G451" s="6">
        <v>25.27</v>
      </c>
      <c r="H451" s="6">
        <v>50.54</v>
      </c>
      <c r="I451" s="6">
        <v>10.11</v>
      </c>
      <c r="J451" s="6">
        <v>40.43</v>
      </c>
      <c r="K451" s="5">
        <v>288</v>
      </c>
      <c r="L451" s="13" t="str">
        <f t="shared" ref="L451:L514" si="14">IF(I451&gt;0,"Discount Applied","No Discount")</f>
        <v>Discount Applied</v>
      </c>
      <c r="M451" s="13" t="str">
        <f t="shared" ref="M451:M514" si="15">IF(J451 &gt;= 70, "Platinum",
   IF(J451 &gt;= 50, "Gold",
      IF(J451 &gt;= 20, "Silver", "Bronze")))</f>
        <v>Silver</v>
      </c>
      <c r="N451" s="13"/>
    </row>
    <row r="452" spans="1:14" x14ac:dyDescent="0.3">
      <c r="A452" s="3">
        <v>3444</v>
      </c>
      <c r="B452" s="3" t="s">
        <v>11</v>
      </c>
      <c r="C452" s="4">
        <v>45224</v>
      </c>
      <c r="D452" s="3" t="s">
        <v>15</v>
      </c>
      <c r="E452" s="3" t="s">
        <v>23</v>
      </c>
      <c r="F452" s="5">
        <v>5</v>
      </c>
      <c r="G452" s="6">
        <v>13</v>
      </c>
      <c r="H452" s="6">
        <v>65</v>
      </c>
      <c r="I452" s="6">
        <v>1.24</v>
      </c>
      <c r="J452" s="6">
        <v>63.76</v>
      </c>
      <c r="K452" s="5">
        <v>387</v>
      </c>
      <c r="L452" s="13" t="str">
        <f t="shared" si="14"/>
        <v>Discount Applied</v>
      </c>
      <c r="M452" s="13" t="str">
        <f t="shared" si="15"/>
        <v>Gold</v>
      </c>
      <c r="N452" s="13"/>
    </row>
    <row r="453" spans="1:14" x14ac:dyDescent="0.3">
      <c r="A453" s="3">
        <v>5978</v>
      </c>
      <c r="B453" s="3" t="s">
        <v>24</v>
      </c>
      <c r="C453" s="4">
        <v>45590</v>
      </c>
      <c r="D453" s="3" t="s">
        <v>38</v>
      </c>
      <c r="E453" s="3" t="s">
        <v>16</v>
      </c>
      <c r="F453" s="5">
        <v>5</v>
      </c>
      <c r="G453" s="6">
        <v>20.91</v>
      </c>
      <c r="H453" s="6">
        <v>104.55</v>
      </c>
      <c r="I453" s="6">
        <v>4.53</v>
      </c>
      <c r="J453" s="6">
        <v>100.02</v>
      </c>
      <c r="K453" s="5">
        <v>479</v>
      </c>
      <c r="L453" s="13" t="str">
        <f t="shared" si="14"/>
        <v>Discount Applied</v>
      </c>
      <c r="M453" s="13" t="str">
        <f t="shared" si="15"/>
        <v>Platinum</v>
      </c>
      <c r="N453" s="13"/>
    </row>
    <row r="454" spans="1:14" x14ac:dyDescent="0.3">
      <c r="A454" s="3">
        <v>5066</v>
      </c>
      <c r="B454" s="3" t="s">
        <v>26</v>
      </c>
      <c r="C454" s="4">
        <v>45509</v>
      </c>
      <c r="D454" s="3" t="s">
        <v>35</v>
      </c>
      <c r="E454" s="3" t="s">
        <v>43</v>
      </c>
      <c r="F454" s="5">
        <v>4</v>
      </c>
      <c r="G454" s="6">
        <v>27.17</v>
      </c>
      <c r="H454" s="6">
        <v>108.68</v>
      </c>
      <c r="I454" s="6">
        <v>3.28</v>
      </c>
      <c r="J454" s="6">
        <v>105.4</v>
      </c>
      <c r="K454" s="5">
        <v>365</v>
      </c>
      <c r="L454" s="13" t="str">
        <f t="shared" si="14"/>
        <v>Discount Applied</v>
      </c>
      <c r="M454" s="13" t="str">
        <f t="shared" si="15"/>
        <v>Platinum</v>
      </c>
      <c r="N454" s="13"/>
    </row>
    <row r="455" spans="1:14" x14ac:dyDescent="0.3">
      <c r="A455" s="3">
        <v>7818</v>
      </c>
      <c r="B455" s="3" t="s">
        <v>14</v>
      </c>
      <c r="C455" s="4">
        <v>45487</v>
      </c>
      <c r="D455" s="3" t="s">
        <v>28</v>
      </c>
      <c r="E455" s="3" t="s">
        <v>41</v>
      </c>
      <c r="F455" s="5">
        <v>1</v>
      </c>
      <c r="G455" s="6">
        <v>28.52</v>
      </c>
      <c r="H455" s="6">
        <v>28.52</v>
      </c>
      <c r="I455" s="6">
        <v>5.7</v>
      </c>
      <c r="J455" s="6">
        <v>22.82</v>
      </c>
      <c r="K455" s="5">
        <v>229</v>
      </c>
      <c r="L455" s="13" t="str">
        <f t="shared" si="14"/>
        <v>Discount Applied</v>
      </c>
      <c r="M455" s="13" t="str">
        <f t="shared" si="15"/>
        <v>Silver</v>
      </c>
      <c r="N455" s="13"/>
    </row>
    <row r="456" spans="1:14" x14ac:dyDescent="0.3">
      <c r="A456" s="3">
        <v>4697</v>
      </c>
      <c r="B456" s="3" t="s">
        <v>42</v>
      </c>
      <c r="C456" s="4">
        <v>45288</v>
      </c>
      <c r="D456" s="3" t="s">
        <v>17</v>
      </c>
      <c r="E456" s="3" t="s">
        <v>41</v>
      </c>
      <c r="F456" s="5">
        <v>1</v>
      </c>
      <c r="G456" s="6">
        <v>13.27</v>
      </c>
      <c r="H456" s="6">
        <v>13.27</v>
      </c>
      <c r="I456" s="6">
        <v>2.65</v>
      </c>
      <c r="J456" s="6">
        <v>10.62</v>
      </c>
      <c r="K456" s="5">
        <v>349</v>
      </c>
      <c r="L456" s="13" t="str">
        <f t="shared" si="14"/>
        <v>Discount Applied</v>
      </c>
      <c r="M456" s="13" t="str">
        <f t="shared" si="15"/>
        <v>Bronze</v>
      </c>
      <c r="N456" s="13"/>
    </row>
    <row r="457" spans="1:14" x14ac:dyDescent="0.3">
      <c r="A457" s="3">
        <v>9561</v>
      </c>
      <c r="B457" s="3" t="s">
        <v>19</v>
      </c>
      <c r="C457" s="4">
        <v>45341</v>
      </c>
      <c r="D457" s="3" t="s">
        <v>28</v>
      </c>
      <c r="E457" s="3" t="s">
        <v>13</v>
      </c>
      <c r="F457" s="5">
        <v>3</v>
      </c>
      <c r="G457" s="6">
        <v>27.4</v>
      </c>
      <c r="H457" s="6">
        <v>82.2</v>
      </c>
      <c r="I457" s="6">
        <v>2.5499999999999998</v>
      </c>
      <c r="J457" s="6">
        <v>79.650000000000006</v>
      </c>
      <c r="K457" s="5">
        <v>468</v>
      </c>
      <c r="L457" s="13" t="str">
        <f t="shared" si="14"/>
        <v>Discount Applied</v>
      </c>
      <c r="M457" s="13" t="str">
        <f t="shared" si="15"/>
        <v>Platinum</v>
      </c>
      <c r="N457" s="13"/>
    </row>
    <row r="458" spans="1:14" x14ac:dyDescent="0.3">
      <c r="A458" s="3">
        <v>8381</v>
      </c>
      <c r="B458" s="3" t="s">
        <v>24</v>
      </c>
      <c r="C458" s="4">
        <v>45233</v>
      </c>
      <c r="D458" s="3" t="s">
        <v>38</v>
      </c>
      <c r="E458" s="3" t="s">
        <v>21</v>
      </c>
      <c r="F458" s="5">
        <v>3</v>
      </c>
      <c r="G458" s="6">
        <v>16.059999999999999</v>
      </c>
      <c r="H458" s="6">
        <v>48.18</v>
      </c>
      <c r="I458" s="6">
        <v>0</v>
      </c>
      <c r="J458" s="6">
        <v>48.18</v>
      </c>
      <c r="K458" s="5">
        <v>469</v>
      </c>
      <c r="L458" s="13" t="str">
        <f t="shared" si="14"/>
        <v>No Discount</v>
      </c>
      <c r="M458" s="13" t="str">
        <f t="shared" si="15"/>
        <v>Silver</v>
      </c>
      <c r="N458" s="13"/>
    </row>
    <row r="459" spans="1:14" x14ac:dyDescent="0.3">
      <c r="A459" s="3">
        <v>8253</v>
      </c>
      <c r="B459" s="3" t="s">
        <v>14</v>
      </c>
      <c r="C459" s="4">
        <v>45456</v>
      </c>
      <c r="D459" s="3" t="s">
        <v>20</v>
      </c>
      <c r="E459" s="3" t="s">
        <v>48</v>
      </c>
      <c r="F459" s="5">
        <v>4</v>
      </c>
      <c r="G459" s="6">
        <v>5.33</v>
      </c>
      <c r="H459" s="6">
        <v>21.32</v>
      </c>
      <c r="I459" s="6">
        <v>3.25</v>
      </c>
      <c r="J459" s="6">
        <v>18.07</v>
      </c>
      <c r="K459" s="5">
        <v>290</v>
      </c>
      <c r="L459" s="13" t="str">
        <f t="shared" si="14"/>
        <v>Discount Applied</v>
      </c>
      <c r="M459" s="13" t="str">
        <f t="shared" si="15"/>
        <v>Bronze</v>
      </c>
      <c r="N459" s="13"/>
    </row>
    <row r="460" spans="1:14" x14ac:dyDescent="0.3">
      <c r="A460" s="3">
        <v>8025</v>
      </c>
      <c r="B460" s="3" t="s">
        <v>11</v>
      </c>
      <c r="C460" s="4">
        <v>45202</v>
      </c>
      <c r="D460" s="3" t="s">
        <v>35</v>
      </c>
      <c r="E460" s="3" t="s">
        <v>18</v>
      </c>
      <c r="F460" s="5">
        <v>3</v>
      </c>
      <c r="G460" s="6">
        <v>26.45</v>
      </c>
      <c r="H460" s="6">
        <v>79.349999999999994</v>
      </c>
      <c r="I460" s="6">
        <v>0</v>
      </c>
      <c r="J460" s="6">
        <v>79.349999999999994</v>
      </c>
      <c r="K460" s="5">
        <v>135</v>
      </c>
      <c r="L460" s="13" t="str">
        <f t="shared" si="14"/>
        <v>No Discount</v>
      </c>
      <c r="M460" s="13" t="str">
        <f t="shared" si="15"/>
        <v>Platinum</v>
      </c>
      <c r="N460" s="13"/>
    </row>
    <row r="461" spans="1:14" x14ac:dyDescent="0.3">
      <c r="A461" s="3">
        <v>1986</v>
      </c>
      <c r="B461" s="3" t="s">
        <v>26</v>
      </c>
      <c r="C461" s="4">
        <v>45262</v>
      </c>
      <c r="D461" s="3" t="s">
        <v>28</v>
      </c>
      <c r="E461" s="3" t="s">
        <v>47</v>
      </c>
      <c r="F461" s="5">
        <v>1</v>
      </c>
      <c r="G461" s="6">
        <v>5.98</v>
      </c>
      <c r="H461" s="6">
        <v>5.98</v>
      </c>
      <c r="I461" s="6">
        <v>3.43</v>
      </c>
      <c r="J461" s="6">
        <v>2.5499999999999998</v>
      </c>
      <c r="K461" s="5">
        <v>206</v>
      </c>
      <c r="L461" s="13" t="str">
        <f t="shared" si="14"/>
        <v>Discount Applied</v>
      </c>
      <c r="M461" s="13" t="str">
        <f t="shared" si="15"/>
        <v>Bronze</v>
      </c>
      <c r="N461" s="13"/>
    </row>
    <row r="462" spans="1:14" x14ac:dyDescent="0.3">
      <c r="A462" s="3">
        <v>2625</v>
      </c>
      <c r="B462" s="3" t="s">
        <v>24</v>
      </c>
      <c r="C462" s="4">
        <v>45775</v>
      </c>
      <c r="D462" s="3" t="s">
        <v>12</v>
      </c>
      <c r="E462" s="3" t="s">
        <v>32</v>
      </c>
      <c r="F462" s="5">
        <v>3</v>
      </c>
      <c r="G462" s="6">
        <v>21.01</v>
      </c>
      <c r="H462" s="6">
        <v>63.03</v>
      </c>
      <c r="I462" s="6">
        <v>9.4499999999999993</v>
      </c>
      <c r="J462" s="6">
        <v>53.58</v>
      </c>
      <c r="K462" s="5">
        <v>25</v>
      </c>
      <c r="L462" s="13" t="str">
        <f t="shared" si="14"/>
        <v>Discount Applied</v>
      </c>
      <c r="M462" s="13" t="str">
        <f t="shared" si="15"/>
        <v>Gold</v>
      </c>
      <c r="N462" s="13"/>
    </row>
    <row r="463" spans="1:14" x14ac:dyDescent="0.3">
      <c r="A463" s="3">
        <v>4404</v>
      </c>
      <c r="B463" s="3" t="s">
        <v>36</v>
      </c>
      <c r="C463" s="4">
        <v>45211</v>
      </c>
      <c r="D463" s="3" t="s">
        <v>12</v>
      </c>
      <c r="E463" s="3" t="s">
        <v>21</v>
      </c>
      <c r="F463" s="5">
        <v>3</v>
      </c>
      <c r="G463" s="6">
        <v>10.01</v>
      </c>
      <c r="H463" s="6">
        <v>30.03</v>
      </c>
      <c r="I463" s="6">
        <v>0</v>
      </c>
      <c r="J463" s="6">
        <v>30.03</v>
      </c>
      <c r="K463" s="5">
        <v>431</v>
      </c>
      <c r="L463" s="13" t="str">
        <f t="shared" si="14"/>
        <v>No Discount</v>
      </c>
      <c r="M463" s="13" t="str">
        <f t="shared" si="15"/>
        <v>Silver</v>
      </c>
      <c r="N463" s="13"/>
    </row>
    <row r="464" spans="1:14" x14ac:dyDescent="0.3">
      <c r="A464" s="3">
        <v>4457</v>
      </c>
      <c r="B464" s="3" t="s">
        <v>11</v>
      </c>
      <c r="C464" s="4">
        <v>45237</v>
      </c>
      <c r="D464" s="3" t="s">
        <v>17</v>
      </c>
      <c r="E464" s="3" t="s">
        <v>41</v>
      </c>
      <c r="F464" s="5">
        <v>3</v>
      </c>
      <c r="G464" s="6">
        <v>29.24</v>
      </c>
      <c r="H464" s="6">
        <v>87.72</v>
      </c>
      <c r="I464" s="6">
        <v>13.16</v>
      </c>
      <c r="J464" s="6">
        <v>74.56</v>
      </c>
      <c r="K464" s="5">
        <v>226</v>
      </c>
      <c r="L464" s="13" t="str">
        <f t="shared" si="14"/>
        <v>Discount Applied</v>
      </c>
      <c r="M464" s="13" t="str">
        <f t="shared" si="15"/>
        <v>Platinum</v>
      </c>
      <c r="N464" s="13"/>
    </row>
    <row r="465" spans="1:14" x14ac:dyDescent="0.3">
      <c r="A465" s="3">
        <v>2330</v>
      </c>
      <c r="B465" s="3" t="s">
        <v>24</v>
      </c>
      <c r="C465" s="4">
        <v>45615</v>
      </c>
      <c r="D465" s="3" t="s">
        <v>28</v>
      </c>
      <c r="E465" s="3" t="s">
        <v>43</v>
      </c>
      <c r="F465" s="5">
        <v>2</v>
      </c>
      <c r="G465" s="6">
        <v>13.8</v>
      </c>
      <c r="H465" s="6">
        <v>27.6</v>
      </c>
      <c r="I465" s="6">
        <v>0</v>
      </c>
      <c r="J465" s="6">
        <v>27.6</v>
      </c>
      <c r="K465" s="5">
        <v>467</v>
      </c>
      <c r="L465" s="13" t="str">
        <f t="shared" si="14"/>
        <v>No Discount</v>
      </c>
      <c r="M465" s="13" t="str">
        <f t="shared" si="15"/>
        <v>Silver</v>
      </c>
      <c r="N465" s="13"/>
    </row>
    <row r="466" spans="1:14" x14ac:dyDescent="0.3">
      <c r="A466" s="3">
        <v>4929</v>
      </c>
      <c r="B466" s="3" t="s">
        <v>26</v>
      </c>
      <c r="C466" s="4">
        <v>45747</v>
      </c>
      <c r="D466" s="3" t="s">
        <v>38</v>
      </c>
      <c r="E466" s="3" t="s">
        <v>23</v>
      </c>
      <c r="F466" s="5">
        <v>1</v>
      </c>
      <c r="G466" s="6">
        <v>15.93</v>
      </c>
      <c r="H466" s="6">
        <v>15.93</v>
      </c>
      <c r="I466" s="6">
        <v>2.39</v>
      </c>
      <c r="J466" s="6">
        <v>13.54</v>
      </c>
      <c r="K466" s="5">
        <v>81</v>
      </c>
      <c r="L466" s="13" t="str">
        <f t="shared" si="14"/>
        <v>Discount Applied</v>
      </c>
      <c r="M466" s="13" t="str">
        <f t="shared" si="15"/>
        <v>Bronze</v>
      </c>
      <c r="N466" s="13"/>
    </row>
    <row r="467" spans="1:14" x14ac:dyDescent="0.3">
      <c r="A467" s="3">
        <v>2229</v>
      </c>
      <c r="B467" s="3" t="s">
        <v>14</v>
      </c>
      <c r="C467" s="4">
        <v>45440</v>
      </c>
      <c r="D467" s="3" t="s">
        <v>20</v>
      </c>
      <c r="E467" s="3" t="s">
        <v>41</v>
      </c>
      <c r="F467" s="5">
        <v>5</v>
      </c>
      <c r="G467" s="6">
        <v>26.49</v>
      </c>
      <c r="H467" s="6">
        <v>132.44999999999999</v>
      </c>
      <c r="I467" s="6">
        <v>26.49</v>
      </c>
      <c r="J467" s="6">
        <v>105.96</v>
      </c>
      <c r="K467" s="5">
        <v>14</v>
      </c>
      <c r="L467" s="13" t="str">
        <f t="shared" si="14"/>
        <v>Discount Applied</v>
      </c>
      <c r="M467" s="13" t="str">
        <f t="shared" si="15"/>
        <v>Platinum</v>
      </c>
      <c r="N467" s="13"/>
    </row>
    <row r="468" spans="1:14" x14ac:dyDescent="0.3">
      <c r="A468" s="3">
        <v>1043</v>
      </c>
      <c r="B468" s="3" t="s">
        <v>42</v>
      </c>
      <c r="C468" s="4">
        <v>45850</v>
      </c>
      <c r="D468" s="3" t="s">
        <v>12</v>
      </c>
      <c r="E468" s="3" t="s">
        <v>25</v>
      </c>
      <c r="F468" s="5">
        <v>1</v>
      </c>
      <c r="G468" s="6">
        <v>14.23</v>
      </c>
      <c r="H468" s="6">
        <v>14.23</v>
      </c>
      <c r="I468" s="6">
        <v>0</v>
      </c>
      <c r="J468" s="6">
        <v>14.23</v>
      </c>
      <c r="K468" s="5">
        <v>470</v>
      </c>
      <c r="L468" s="13" t="str">
        <f t="shared" si="14"/>
        <v>No Discount</v>
      </c>
      <c r="M468" s="13" t="str">
        <f t="shared" si="15"/>
        <v>Bronze</v>
      </c>
      <c r="N468" s="13"/>
    </row>
    <row r="469" spans="1:14" x14ac:dyDescent="0.3">
      <c r="A469" s="3">
        <v>8699</v>
      </c>
      <c r="B469" s="3" t="s">
        <v>42</v>
      </c>
      <c r="C469" s="4">
        <v>45375</v>
      </c>
      <c r="D469" s="3" t="s">
        <v>35</v>
      </c>
      <c r="E469" s="3" t="s">
        <v>23</v>
      </c>
      <c r="F469" s="5">
        <v>4</v>
      </c>
      <c r="G469" s="6">
        <v>15.64</v>
      </c>
      <c r="H469" s="6">
        <v>62.56</v>
      </c>
      <c r="I469" s="6">
        <v>0</v>
      </c>
      <c r="J469" s="6">
        <v>62.56</v>
      </c>
      <c r="K469" s="5">
        <v>325</v>
      </c>
      <c r="L469" s="13" t="str">
        <f t="shared" si="14"/>
        <v>No Discount</v>
      </c>
      <c r="M469" s="13" t="str">
        <f t="shared" si="15"/>
        <v>Gold</v>
      </c>
      <c r="N469" s="13"/>
    </row>
    <row r="470" spans="1:14" x14ac:dyDescent="0.3">
      <c r="A470" s="3">
        <v>1534</v>
      </c>
      <c r="B470" s="3" t="s">
        <v>31</v>
      </c>
      <c r="C470" s="4">
        <v>45382</v>
      </c>
      <c r="D470" s="3" t="s">
        <v>17</v>
      </c>
      <c r="E470" s="3" t="s">
        <v>23</v>
      </c>
      <c r="F470" s="5">
        <v>4</v>
      </c>
      <c r="G470" s="6">
        <v>18.22</v>
      </c>
      <c r="H470" s="6">
        <v>72.88</v>
      </c>
      <c r="I470" s="6">
        <v>3.21</v>
      </c>
      <c r="J470" s="6">
        <v>69.67</v>
      </c>
      <c r="K470" s="5">
        <v>90</v>
      </c>
      <c r="L470" s="13" t="str">
        <f t="shared" si="14"/>
        <v>Discount Applied</v>
      </c>
      <c r="M470" s="13" t="str">
        <f t="shared" si="15"/>
        <v>Gold</v>
      </c>
      <c r="N470" s="13"/>
    </row>
    <row r="471" spans="1:14" x14ac:dyDescent="0.3">
      <c r="A471" s="3">
        <v>5720</v>
      </c>
      <c r="B471" s="3" t="s">
        <v>36</v>
      </c>
      <c r="C471" s="4">
        <v>45618</v>
      </c>
      <c r="D471" s="3" t="s">
        <v>34</v>
      </c>
      <c r="E471" s="3" t="s">
        <v>13</v>
      </c>
      <c r="F471" s="5">
        <v>1</v>
      </c>
      <c r="G471" s="6">
        <v>9.26</v>
      </c>
      <c r="H471" s="6">
        <v>9.26</v>
      </c>
      <c r="I471" s="6">
        <v>1.85</v>
      </c>
      <c r="J471" s="6">
        <v>7.41</v>
      </c>
      <c r="K471" s="5">
        <v>197</v>
      </c>
      <c r="L471" s="13" t="str">
        <f t="shared" si="14"/>
        <v>Discount Applied</v>
      </c>
      <c r="M471" s="13" t="str">
        <f t="shared" si="15"/>
        <v>Bronze</v>
      </c>
      <c r="N471" s="13"/>
    </row>
    <row r="472" spans="1:14" x14ac:dyDescent="0.3">
      <c r="A472" s="3">
        <v>5632</v>
      </c>
      <c r="B472" s="3" t="s">
        <v>42</v>
      </c>
      <c r="C472" s="4">
        <v>45737</v>
      </c>
      <c r="D472" s="3" t="s">
        <v>17</v>
      </c>
      <c r="E472" s="3" t="s">
        <v>25</v>
      </c>
      <c r="F472" s="5">
        <v>2</v>
      </c>
      <c r="G472" s="6">
        <v>8.7899999999999991</v>
      </c>
      <c r="H472" s="6">
        <v>17.579999999999998</v>
      </c>
      <c r="I472" s="6">
        <v>0</v>
      </c>
      <c r="J472" s="6">
        <v>17.579999999999998</v>
      </c>
      <c r="K472" s="5">
        <v>209</v>
      </c>
      <c r="L472" s="13" t="str">
        <f t="shared" si="14"/>
        <v>No Discount</v>
      </c>
      <c r="M472" s="13" t="str">
        <f t="shared" si="15"/>
        <v>Bronze</v>
      </c>
      <c r="N472" s="13"/>
    </row>
    <row r="473" spans="1:14" x14ac:dyDescent="0.3">
      <c r="A473" s="3">
        <v>8438</v>
      </c>
      <c r="B473" s="3" t="s">
        <v>31</v>
      </c>
      <c r="C473" s="4">
        <v>45630</v>
      </c>
      <c r="D473" s="3" t="s">
        <v>45</v>
      </c>
      <c r="E473" s="3" t="s">
        <v>41</v>
      </c>
      <c r="F473" s="5">
        <v>2</v>
      </c>
      <c r="G473" s="6">
        <v>18.420000000000002</v>
      </c>
      <c r="H473" s="6">
        <v>36.840000000000003</v>
      </c>
      <c r="I473" s="6">
        <v>5.53</v>
      </c>
      <c r="J473" s="6">
        <v>31.31</v>
      </c>
      <c r="K473" s="5">
        <v>4</v>
      </c>
      <c r="L473" s="13" t="str">
        <f t="shared" si="14"/>
        <v>Discount Applied</v>
      </c>
      <c r="M473" s="13" t="str">
        <f t="shared" si="15"/>
        <v>Silver</v>
      </c>
      <c r="N473" s="13"/>
    </row>
    <row r="474" spans="1:14" x14ac:dyDescent="0.3">
      <c r="A474" s="3">
        <v>4824</v>
      </c>
      <c r="B474" s="3" t="s">
        <v>30</v>
      </c>
      <c r="C474" s="4">
        <v>45350</v>
      </c>
      <c r="D474" s="3" t="s">
        <v>27</v>
      </c>
      <c r="E474" s="3" t="s">
        <v>13</v>
      </c>
      <c r="F474" s="5">
        <v>4</v>
      </c>
      <c r="G474" s="6">
        <v>26.96</v>
      </c>
      <c r="H474" s="6">
        <v>107.84</v>
      </c>
      <c r="I474" s="6">
        <v>10.78</v>
      </c>
      <c r="J474" s="6">
        <v>97.06</v>
      </c>
      <c r="K474" s="5">
        <v>436</v>
      </c>
      <c r="L474" s="13" t="str">
        <f t="shared" si="14"/>
        <v>Discount Applied</v>
      </c>
      <c r="M474" s="13" t="str">
        <f t="shared" si="15"/>
        <v>Platinum</v>
      </c>
      <c r="N474" s="13"/>
    </row>
    <row r="475" spans="1:14" x14ac:dyDescent="0.3">
      <c r="A475" s="3">
        <v>5334</v>
      </c>
      <c r="B475" s="3" t="s">
        <v>30</v>
      </c>
      <c r="C475" s="4">
        <v>45266</v>
      </c>
      <c r="D475" s="3" t="s">
        <v>17</v>
      </c>
      <c r="E475" s="3" t="s">
        <v>33</v>
      </c>
      <c r="F475" s="5">
        <v>3</v>
      </c>
      <c r="G475" s="6">
        <v>20.63</v>
      </c>
      <c r="H475" s="6">
        <v>61.89</v>
      </c>
      <c r="I475" s="6">
        <v>1.41</v>
      </c>
      <c r="J475" s="6">
        <v>60.48</v>
      </c>
      <c r="K475" s="5">
        <v>422</v>
      </c>
      <c r="L475" s="13" t="str">
        <f t="shared" si="14"/>
        <v>Discount Applied</v>
      </c>
      <c r="M475" s="13" t="str">
        <f t="shared" si="15"/>
        <v>Gold</v>
      </c>
      <c r="N475" s="13"/>
    </row>
    <row r="476" spans="1:14" x14ac:dyDescent="0.3">
      <c r="A476" s="3">
        <v>4241</v>
      </c>
      <c r="B476" s="3" t="s">
        <v>14</v>
      </c>
      <c r="C476" s="4">
        <v>45280</v>
      </c>
      <c r="D476" s="3" t="s">
        <v>27</v>
      </c>
      <c r="E476" s="3" t="s">
        <v>23</v>
      </c>
      <c r="F476" s="5">
        <v>5</v>
      </c>
      <c r="G476" s="6">
        <v>19.760000000000002</v>
      </c>
      <c r="H476" s="6">
        <v>98.8</v>
      </c>
      <c r="I476" s="6">
        <v>14.82</v>
      </c>
      <c r="J476" s="6">
        <v>83.98</v>
      </c>
      <c r="K476" s="5">
        <v>311</v>
      </c>
      <c r="L476" s="13" t="str">
        <f t="shared" si="14"/>
        <v>Discount Applied</v>
      </c>
      <c r="M476" s="13" t="str">
        <f t="shared" si="15"/>
        <v>Platinum</v>
      </c>
      <c r="N476" s="13"/>
    </row>
    <row r="477" spans="1:14" x14ac:dyDescent="0.3">
      <c r="A477" s="3">
        <v>2880</v>
      </c>
      <c r="B477" s="3" t="s">
        <v>11</v>
      </c>
      <c r="C477" s="4">
        <v>45266</v>
      </c>
      <c r="D477" s="3" t="s">
        <v>45</v>
      </c>
      <c r="E477" s="3" t="s">
        <v>43</v>
      </c>
      <c r="F477" s="5">
        <v>3</v>
      </c>
      <c r="G477" s="6">
        <v>29.65</v>
      </c>
      <c r="H477" s="6">
        <v>88.95</v>
      </c>
      <c r="I477" s="6">
        <v>13.34</v>
      </c>
      <c r="J477" s="6">
        <v>75.61</v>
      </c>
      <c r="K477" s="5">
        <v>327</v>
      </c>
      <c r="L477" s="13" t="str">
        <f t="shared" si="14"/>
        <v>Discount Applied</v>
      </c>
      <c r="M477" s="13" t="str">
        <f t="shared" si="15"/>
        <v>Platinum</v>
      </c>
      <c r="N477" s="13"/>
    </row>
    <row r="478" spans="1:14" x14ac:dyDescent="0.3">
      <c r="A478" s="3">
        <v>4683</v>
      </c>
      <c r="B478" s="3" t="s">
        <v>30</v>
      </c>
      <c r="C478" s="4">
        <v>45462</v>
      </c>
      <c r="D478" s="3" t="s">
        <v>27</v>
      </c>
      <c r="E478" s="3" t="s">
        <v>37</v>
      </c>
      <c r="F478" s="5">
        <v>2</v>
      </c>
      <c r="G478" s="6">
        <v>5.34</v>
      </c>
      <c r="H478" s="6">
        <v>10.68</v>
      </c>
      <c r="I478" s="6">
        <v>4.22</v>
      </c>
      <c r="J478" s="6">
        <v>6.46</v>
      </c>
      <c r="K478" s="5">
        <v>391</v>
      </c>
      <c r="L478" s="13" t="str">
        <f t="shared" si="14"/>
        <v>Discount Applied</v>
      </c>
      <c r="M478" s="13" t="str">
        <f t="shared" si="15"/>
        <v>Bronze</v>
      </c>
      <c r="N478" s="13"/>
    </row>
    <row r="479" spans="1:14" x14ac:dyDescent="0.3">
      <c r="A479" s="3">
        <v>3441</v>
      </c>
      <c r="B479" s="3" t="s">
        <v>24</v>
      </c>
      <c r="C479" s="4">
        <v>45680</v>
      </c>
      <c r="D479" s="3" t="s">
        <v>27</v>
      </c>
      <c r="E479" s="3" t="s">
        <v>21</v>
      </c>
      <c r="F479" s="5">
        <v>2</v>
      </c>
      <c r="G479" s="6">
        <v>21.91</v>
      </c>
      <c r="H479" s="6">
        <v>43.82</v>
      </c>
      <c r="I479" s="6">
        <v>6.57</v>
      </c>
      <c r="J479" s="6">
        <v>37.25</v>
      </c>
      <c r="K479" s="5">
        <v>335</v>
      </c>
      <c r="L479" s="13" t="str">
        <f t="shared" si="14"/>
        <v>Discount Applied</v>
      </c>
      <c r="M479" s="13" t="str">
        <f t="shared" si="15"/>
        <v>Silver</v>
      </c>
      <c r="N479" s="13"/>
    </row>
    <row r="480" spans="1:14" x14ac:dyDescent="0.3">
      <c r="A480" s="3">
        <v>5352</v>
      </c>
      <c r="B480" s="3" t="s">
        <v>30</v>
      </c>
      <c r="C480" s="4">
        <v>45371</v>
      </c>
      <c r="D480" s="3" t="s">
        <v>20</v>
      </c>
      <c r="E480" s="3" t="s">
        <v>32</v>
      </c>
      <c r="F480" s="5">
        <v>4</v>
      </c>
      <c r="G480" s="6">
        <v>22.36</v>
      </c>
      <c r="H480" s="6">
        <v>89.44</v>
      </c>
      <c r="I480" s="6">
        <v>13.42</v>
      </c>
      <c r="J480" s="6">
        <v>76.02</v>
      </c>
      <c r="K480" s="5">
        <v>298</v>
      </c>
      <c r="L480" s="13" t="str">
        <f t="shared" si="14"/>
        <v>Discount Applied</v>
      </c>
      <c r="M480" s="13" t="str">
        <f t="shared" si="15"/>
        <v>Platinum</v>
      </c>
      <c r="N480" s="13"/>
    </row>
    <row r="481" spans="1:14" x14ac:dyDescent="0.3">
      <c r="A481" s="3">
        <v>3330</v>
      </c>
      <c r="B481" s="3" t="s">
        <v>42</v>
      </c>
      <c r="C481" s="4">
        <v>45324</v>
      </c>
      <c r="D481" s="3" t="s">
        <v>27</v>
      </c>
      <c r="E481" s="3" t="s">
        <v>18</v>
      </c>
      <c r="F481" s="5">
        <v>4</v>
      </c>
      <c r="G481" s="6">
        <v>27.28</v>
      </c>
      <c r="H481" s="6">
        <v>109.12</v>
      </c>
      <c r="I481" s="6">
        <v>2.2000000000000002</v>
      </c>
      <c r="J481" s="6">
        <v>106.92</v>
      </c>
      <c r="K481" s="5">
        <v>343</v>
      </c>
      <c r="L481" s="13" t="str">
        <f t="shared" si="14"/>
        <v>Discount Applied</v>
      </c>
      <c r="M481" s="13" t="str">
        <f t="shared" si="15"/>
        <v>Platinum</v>
      </c>
      <c r="N481" s="13"/>
    </row>
    <row r="482" spans="1:14" x14ac:dyDescent="0.3">
      <c r="A482" s="3">
        <v>1977</v>
      </c>
      <c r="B482" s="3" t="s">
        <v>19</v>
      </c>
      <c r="C482" s="4">
        <v>45694</v>
      </c>
      <c r="D482" s="3" t="s">
        <v>27</v>
      </c>
      <c r="E482" s="3" t="s">
        <v>18</v>
      </c>
      <c r="F482" s="5">
        <v>2</v>
      </c>
      <c r="G482" s="6">
        <v>9.51</v>
      </c>
      <c r="H482" s="6">
        <v>19.02</v>
      </c>
      <c r="I482" s="6">
        <v>0</v>
      </c>
      <c r="J482" s="6">
        <v>19.02</v>
      </c>
      <c r="K482" s="5">
        <v>241</v>
      </c>
      <c r="L482" s="13" t="str">
        <f t="shared" si="14"/>
        <v>No Discount</v>
      </c>
      <c r="M482" s="13" t="str">
        <f t="shared" si="15"/>
        <v>Bronze</v>
      </c>
      <c r="N482" s="13"/>
    </row>
    <row r="483" spans="1:14" x14ac:dyDescent="0.3">
      <c r="A483" s="3">
        <v>6039</v>
      </c>
      <c r="B483" s="3" t="s">
        <v>30</v>
      </c>
      <c r="C483" s="4">
        <v>45691</v>
      </c>
      <c r="D483" s="3" t="s">
        <v>38</v>
      </c>
      <c r="E483" s="3" t="s">
        <v>29</v>
      </c>
      <c r="F483" s="5">
        <v>3</v>
      </c>
      <c r="G483" s="6">
        <v>19.97</v>
      </c>
      <c r="H483" s="6">
        <v>59.91</v>
      </c>
      <c r="I483" s="6">
        <v>11.98</v>
      </c>
      <c r="J483" s="6">
        <v>47.93</v>
      </c>
      <c r="K483" s="5">
        <v>113</v>
      </c>
      <c r="L483" s="13" t="str">
        <f t="shared" si="14"/>
        <v>Discount Applied</v>
      </c>
      <c r="M483" s="13" t="str">
        <f t="shared" si="15"/>
        <v>Silver</v>
      </c>
      <c r="N483" s="13"/>
    </row>
    <row r="484" spans="1:14" x14ac:dyDescent="0.3">
      <c r="A484" s="3">
        <v>5728</v>
      </c>
      <c r="B484" s="3" t="s">
        <v>30</v>
      </c>
      <c r="C484" s="4">
        <v>45200</v>
      </c>
      <c r="D484" s="3" t="s">
        <v>20</v>
      </c>
      <c r="E484" s="3" t="s">
        <v>21</v>
      </c>
      <c r="F484" s="5">
        <v>3</v>
      </c>
      <c r="G484" s="6">
        <v>8.5500000000000007</v>
      </c>
      <c r="H484" s="6">
        <v>25.65</v>
      </c>
      <c r="I484" s="6">
        <v>2.88</v>
      </c>
      <c r="J484" s="6">
        <v>22.77</v>
      </c>
      <c r="K484" s="5">
        <v>150</v>
      </c>
      <c r="L484" s="13" t="str">
        <f t="shared" si="14"/>
        <v>Discount Applied</v>
      </c>
      <c r="M484" s="13" t="str">
        <f t="shared" si="15"/>
        <v>Silver</v>
      </c>
      <c r="N484" s="13"/>
    </row>
    <row r="485" spans="1:14" x14ac:dyDescent="0.3">
      <c r="A485" s="3">
        <v>3037</v>
      </c>
      <c r="B485" s="3" t="s">
        <v>11</v>
      </c>
      <c r="C485" s="4">
        <v>45862</v>
      </c>
      <c r="D485" s="3" t="s">
        <v>45</v>
      </c>
      <c r="E485" s="3" t="s">
        <v>44</v>
      </c>
      <c r="F485" s="5">
        <v>5</v>
      </c>
      <c r="G485" s="6">
        <v>4.46</v>
      </c>
      <c r="H485" s="6">
        <v>22.3</v>
      </c>
      <c r="I485" s="6">
        <v>2.19</v>
      </c>
      <c r="J485" s="6">
        <v>20.11</v>
      </c>
      <c r="K485" s="5">
        <v>348</v>
      </c>
      <c r="L485" s="13" t="str">
        <f t="shared" si="14"/>
        <v>Discount Applied</v>
      </c>
      <c r="M485" s="13" t="str">
        <f t="shared" si="15"/>
        <v>Silver</v>
      </c>
      <c r="N485" s="13"/>
    </row>
    <row r="486" spans="1:14" x14ac:dyDescent="0.3">
      <c r="A486" s="3">
        <v>5982</v>
      </c>
      <c r="B486" s="3" t="s">
        <v>31</v>
      </c>
      <c r="C486" s="4">
        <v>45756</v>
      </c>
      <c r="D486" s="3" t="s">
        <v>34</v>
      </c>
      <c r="E486" s="3" t="s">
        <v>41</v>
      </c>
      <c r="F486" s="5">
        <v>2</v>
      </c>
      <c r="G486" s="6">
        <v>10.93</v>
      </c>
      <c r="H486" s="6">
        <v>21.86</v>
      </c>
      <c r="I486" s="6">
        <v>4.37</v>
      </c>
      <c r="J486" s="6">
        <v>17.489999999999998</v>
      </c>
      <c r="K486" s="5">
        <v>291</v>
      </c>
      <c r="L486" s="13" t="str">
        <f t="shared" si="14"/>
        <v>Discount Applied</v>
      </c>
      <c r="M486" s="13" t="str">
        <f t="shared" si="15"/>
        <v>Bronze</v>
      </c>
      <c r="N486" s="13"/>
    </row>
    <row r="487" spans="1:14" x14ac:dyDescent="0.3">
      <c r="A487" s="3">
        <v>7594</v>
      </c>
      <c r="B487" s="3" t="s">
        <v>36</v>
      </c>
      <c r="C487" s="4">
        <v>45475</v>
      </c>
      <c r="D487" s="3" t="s">
        <v>34</v>
      </c>
      <c r="E487" s="3" t="s">
        <v>43</v>
      </c>
      <c r="F487" s="5">
        <v>4</v>
      </c>
      <c r="G487" s="6">
        <v>10.64</v>
      </c>
      <c r="H487" s="6">
        <v>42.56</v>
      </c>
      <c r="I487" s="6">
        <v>0</v>
      </c>
      <c r="J487" s="6">
        <v>42.56</v>
      </c>
      <c r="K487" s="5">
        <v>90</v>
      </c>
      <c r="L487" s="13" t="str">
        <f t="shared" si="14"/>
        <v>No Discount</v>
      </c>
      <c r="M487" s="13" t="str">
        <f t="shared" si="15"/>
        <v>Silver</v>
      </c>
      <c r="N487" s="13"/>
    </row>
    <row r="488" spans="1:14" x14ac:dyDescent="0.3">
      <c r="A488" s="3">
        <v>9199</v>
      </c>
      <c r="B488" s="3" t="s">
        <v>31</v>
      </c>
      <c r="C488" s="4">
        <v>45567</v>
      </c>
      <c r="D488" s="3" t="s">
        <v>12</v>
      </c>
      <c r="E488" s="3" t="s">
        <v>33</v>
      </c>
      <c r="F488" s="5">
        <v>3</v>
      </c>
      <c r="G488" s="6">
        <v>7.06</v>
      </c>
      <c r="H488" s="6">
        <v>21.18</v>
      </c>
      <c r="I488" s="6">
        <v>4.0599999999999996</v>
      </c>
      <c r="J488" s="6">
        <v>17.12</v>
      </c>
      <c r="K488" s="5">
        <v>396</v>
      </c>
      <c r="L488" s="13" t="str">
        <f t="shared" si="14"/>
        <v>Discount Applied</v>
      </c>
      <c r="M488" s="13" t="str">
        <f t="shared" si="15"/>
        <v>Bronze</v>
      </c>
      <c r="N488" s="13"/>
    </row>
    <row r="489" spans="1:14" x14ac:dyDescent="0.3">
      <c r="A489" s="3">
        <v>9090</v>
      </c>
      <c r="B489" s="3" t="s">
        <v>26</v>
      </c>
      <c r="C489" s="4">
        <v>45648</v>
      </c>
      <c r="D489" s="3" t="s">
        <v>15</v>
      </c>
      <c r="E489" s="3" t="s">
        <v>41</v>
      </c>
      <c r="F489" s="5">
        <v>5</v>
      </c>
      <c r="G489" s="6">
        <v>13.57</v>
      </c>
      <c r="H489" s="6">
        <v>67.849999999999994</v>
      </c>
      <c r="I489" s="6">
        <v>6.79</v>
      </c>
      <c r="J489" s="6">
        <v>61.06</v>
      </c>
      <c r="K489" s="5">
        <v>219</v>
      </c>
      <c r="L489" s="13" t="str">
        <f t="shared" si="14"/>
        <v>Discount Applied</v>
      </c>
      <c r="M489" s="13" t="str">
        <f t="shared" si="15"/>
        <v>Gold</v>
      </c>
      <c r="N489" s="13"/>
    </row>
    <row r="490" spans="1:14" x14ac:dyDescent="0.3">
      <c r="A490" s="3">
        <v>2317</v>
      </c>
      <c r="B490" s="3" t="s">
        <v>26</v>
      </c>
      <c r="C490" s="4">
        <v>45850</v>
      </c>
      <c r="D490" s="3" t="s">
        <v>20</v>
      </c>
      <c r="E490" s="3" t="s">
        <v>39</v>
      </c>
      <c r="F490" s="5">
        <v>1</v>
      </c>
      <c r="G490" s="6">
        <v>16.47</v>
      </c>
      <c r="H490" s="6">
        <v>16.47</v>
      </c>
      <c r="I490" s="6">
        <v>4.57</v>
      </c>
      <c r="J490" s="6">
        <v>11.9</v>
      </c>
      <c r="K490" s="5">
        <v>374</v>
      </c>
      <c r="L490" s="13" t="str">
        <f t="shared" si="14"/>
        <v>Discount Applied</v>
      </c>
      <c r="M490" s="13" t="str">
        <f t="shared" si="15"/>
        <v>Bronze</v>
      </c>
      <c r="N490" s="13"/>
    </row>
    <row r="491" spans="1:14" x14ac:dyDescent="0.3">
      <c r="A491" s="3">
        <v>8078</v>
      </c>
      <c r="B491" s="3" t="s">
        <v>14</v>
      </c>
      <c r="C491" s="4">
        <v>45787</v>
      </c>
      <c r="D491" s="3" t="s">
        <v>17</v>
      </c>
      <c r="E491" s="3" t="s">
        <v>39</v>
      </c>
      <c r="F491" s="5">
        <v>1</v>
      </c>
      <c r="G491" s="6">
        <v>19.16</v>
      </c>
      <c r="H491" s="6">
        <v>19.16</v>
      </c>
      <c r="I491" s="6">
        <v>0</v>
      </c>
      <c r="J491" s="6">
        <v>19.16</v>
      </c>
      <c r="K491" s="5">
        <v>127</v>
      </c>
      <c r="L491" s="13" t="str">
        <f t="shared" si="14"/>
        <v>No Discount</v>
      </c>
      <c r="M491" s="13" t="str">
        <f t="shared" si="15"/>
        <v>Bronze</v>
      </c>
      <c r="N491" s="13"/>
    </row>
    <row r="492" spans="1:14" x14ac:dyDescent="0.3">
      <c r="A492" s="3">
        <v>6280</v>
      </c>
      <c r="B492" s="3" t="s">
        <v>36</v>
      </c>
      <c r="C492" s="4">
        <v>45200</v>
      </c>
      <c r="D492" s="3" t="s">
        <v>35</v>
      </c>
      <c r="E492" s="3" t="s">
        <v>41</v>
      </c>
      <c r="F492" s="5">
        <v>1</v>
      </c>
      <c r="G492" s="6">
        <v>12.11</v>
      </c>
      <c r="H492" s="6">
        <v>12.11</v>
      </c>
      <c r="I492" s="6">
        <v>2.42</v>
      </c>
      <c r="J492" s="6">
        <v>9.69</v>
      </c>
      <c r="K492" s="5">
        <v>301</v>
      </c>
      <c r="L492" s="13" t="str">
        <f t="shared" si="14"/>
        <v>Discount Applied</v>
      </c>
      <c r="M492" s="13" t="str">
        <f t="shared" si="15"/>
        <v>Bronze</v>
      </c>
      <c r="N492" s="13"/>
    </row>
    <row r="493" spans="1:14" x14ac:dyDescent="0.3">
      <c r="A493" s="3">
        <v>5102</v>
      </c>
      <c r="B493" s="3" t="s">
        <v>11</v>
      </c>
      <c r="C493" s="4">
        <v>45273</v>
      </c>
      <c r="D493" s="3" t="s">
        <v>12</v>
      </c>
      <c r="E493" s="3" t="s">
        <v>37</v>
      </c>
      <c r="F493" s="5">
        <v>3</v>
      </c>
      <c r="G493" s="6">
        <v>14.21</v>
      </c>
      <c r="H493" s="6">
        <v>42.63</v>
      </c>
      <c r="I493" s="6">
        <v>4.26</v>
      </c>
      <c r="J493" s="6">
        <v>38.369999999999997</v>
      </c>
      <c r="K493" s="5">
        <v>266</v>
      </c>
      <c r="L493" s="13" t="str">
        <f t="shared" si="14"/>
        <v>Discount Applied</v>
      </c>
      <c r="M493" s="13" t="str">
        <f t="shared" si="15"/>
        <v>Silver</v>
      </c>
      <c r="N493" s="13"/>
    </row>
    <row r="494" spans="1:14" x14ac:dyDescent="0.3">
      <c r="A494" s="3">
        <v>2496</v>
      </c>
      <c r="B494" s="3" t="s">
        <v>19</v>
      </c>
      <c r="C494" s="4">
        <v>45607</v>
      </c>
      <c r="D494" s="3" t="s">
        <v>22</v>
      </c>
      <c r="E494" s="3" t="s">
        <v>47</v>
      </c>
      <c r="F494" s="5">
        <v>3</v>
      </c>
      <c r="G494" s="6">
        <v>22.74</v>
      </c>
      <c r="H494" s="6">
        <v>68.22</v>
      </c>
      <c r="I494" s="6">
        <v>1.91</v>
      </c>
      <c r="J494" s="6">
        <v>66.31</v>
      </c>
      <c r="K494" s="5">
        <v>84</v>
      </c>
      <c r="L494" s="13" t="str">
        <f t="shared" si="14"/>
        <v>Discount Applied</v>
      </c>
      <c r="M494" s="13" t="str">
        <f t="shared" si="15"/>
        <v>Gold</v>
      </c>
      <c r="N494" s="13"/>
    </row>
    <row r="495" spans="1:14" x14ac:dyDescent="0.3">
      <c r="A495" s="3">
        <v>1339</v>
      </c>
      <c r="B495" s="3" t="s">
        <v>19</v>
      </c>
      <c r="C495" s="4">
        <v>45486</v>
      </c>
      <c r="D495" s="3" t="s">
        <v>17</v>
      </c>
      <c r="E495" s="3" t="s">
        <v>39</v>
      </c>
      <c r="F495" s="5">
        <v>5</v>
      </c>
      <c r="G495" s="6">
        <v>15.62</v>
      </c>
      <c r="H495" s="6">
        <v>78.099999999999994</v>
      </c>
      <c r="I495" s="6">
        <v>0</v>
      </c>
      <c r="J495" s="6">
        <v>78.099999999999994</v>
      </c>
      <c r="K495" s="5">
        <v>63</v>
      </c>
      <c r="L495" s="13" t="str">
        <f t="shared" si="14"/>
        <v>No Discount</v>
      </c>
      <c r="M495" s="13" t="str">
        <f t="shared" si="15"/>
        <v>Platinum</v>
      </c>
      <c r="N495" s="13"/>
    </row>
    <row r="496" spans="1:14" x14ac:dyDescent="0.3">
      <c r="A496" s="3">
        <v>5415</v>
      </c>
      <c r="B496" s="3" t="s">
        <v>31</v>
      </c>
      <c r="C496" s="4">
        <v>45509</v>
      </c>
      <c r="D496" s="3" t="s">
        <v>20</v>
      </c>
      <c r="E496" s="3" t="s">
        <v>13</v>
      </c>
      <c r="F496" s="5">
        <v>5</v>
      </c>
      <c r="G496" s="6">
        <v>19.059999999999999</v>
      </c>
      <c r="H496" s="6">
        <v>95.3</v>
      </c>
      <c r="I496" s="6">
        <v>0</v>
      </c>
      <c r="J496" s="6">
        <v>95.3</v>
      </c>
      <c r="K496" s="5">
        <v>304</v>
      </c>
      <c r="L496" s="13" t="str">
        <f t="shared" si="14"/>
        <v>No Discount</v>
      </c>
      <c r="M496" s="13" t="str">
        <f t="shared" si="15"/>
        <v>Platinum</v>
      </c>
      <c r="N496" s="13"/>
    </row>
    <row r="497" spans="1:14" x14ac:dyDescent="0.3">
      <c r="A497" s="3">
        <v>3870</v>
      </c>
      <c r="B497" s="3" t="s">
        <v>11</v>
      </c>
      <c r="C497" s="4">
        <v>45688</v>
      </c>
      <c r="D497" s="3" t="s">
        <v>27</v>
      </c>
      <c r="E497" s="3" t="s">
        <v>39</v>
      </c>
      <c r="F497" s="5">
        <v>1</v>
      </c>
      <c r="G497" s="6">
        <v>20.99</v>
      </c>
      <c r="H497" s="6">
        <v>20.99</v>
      </c>
      <c r="I497" s="6">
        <v>2.1</v>
      </c>
      <c r="J497" s="6">
        <v>18.89</v>
      </c>
      <c r="K497" s="5">
        <v>213</v>
      </c>
      <c r="L497" s="13" t="str">
        <f t="shared" si="14"/>
        <v>Discount Applied</v>
      </c>
      <c r="M497" s="13" t="str">
        <f t="shared" si="15"/>
        <v>Bronze</v>
      </c>
      <c r="N497" s="13"/>
    </row>
    <row r="498" spans="1:14" x14ac:dyDescent="0.3">
      <c r="A498" s="3">
        <v>9502</v>
      </c>
      <c r="B498" s="3" t="s">
        <v>11</v>
      </c>
      <c r="C498" s="4">
        <v>45356</v>
      </c>
      <c r="D498" s="3" t="s">
        <v>38</v>
      </c>
      <c r="E498" s="3" t="s">
        <v>13</v>
      </c>
      <c r="F498" s="5">
        <v>4</v>
      </c>
      <c r="G498" s="6">
        <v>21.34</v>
      </c>
      <c r="H498" s="6">
        <v>85.36</v>
      </c>
      <c r="I498" s="6">
        <v>12.8</v>
      </c>
      <c r="J498" s="6">
        <v>72.56</v>
      </c>
      <c r="K498" s="5">
        <v>105</v>
      </c>
      <c r="L498" s="13" t="str">
        <f t="shared" si="14"/>
        <v>Discount Applied</v>
      </c>
      <c r="M498" s="13" t="str">
        <f t="shared" si="15"/>
        <v>Platinum</v>
      </c>
      <c r="N498" s="13"/>
    </row>
    <row r="499" spans="1:14" x14ac:dyDescent="0.3">
      <c r="A499" s="3">
        <v>8245</v>
      </c>
      <c r="B499" s="3" t="s">
        <v>24</v>
      </c>
      <c r="C499" s="4">
        <v>45564</v>
      </c>
      <c r="D499" s="3" t="s">
        <v>27</v>
      </c>
      <c r="E499" s="3" t="s">
        <v>48</v>
      </c>
      <c r="F499" s="5">
        <v>5</v>
      </c>
      <c r="G499" s="6">
        <v>8.82</v>
      </c>
      <c r="H499" s="6">
        <v>44.1</v>
      </c>
      <c r="I499" s="6">
        <v>4.41</v>
      </c>
      <c r="J499" s="6">
        <v>39.69</v>
      </c>
      <c r="K499" s="5">
        <v>310</v>
      </c>
      <c r="L499" s="13" t="str">
        <f t="shared" si="14"/>
        <v>Discount Applied</v>
      </c>
      <c r="M499" s="13" t="str">
        <f t="shared" si="15"/>
        <v>Silver</v>
      </c>
      <c r="N499" s="13"/>
    </row>
    <row r="500" spans="1:14" x14ac:dyDescent="0.3">
      <c r="A500" s="3">
        <v>8141</v>
      </c>
      <c r="B500" s="3" t="s">
        <v>11</v>
      </c>
      <c r="C500" s="4">
        <v>45485</v>
      </c>
      <c r="D500" s="3" t="s">
        <v>38</v>
      </c>
      <c r="E500" s="3" t="s">
        <v>48</v>
      </c>
      <c r="F500" s="5">
        <v>3</v>
      </c>
      <c r="G500" s="6">
        <v>4.3</v>
      </c>
      <c r="H500" s="6">
        <v>12.9</v>
      </c>
      <c r="I500" s="6">
        <v>2.58</v>
      </c>
      <c r="J500" s="6">
        <v>10.32</v>
      </c>
      <c r="K500" s="5">
        <v>54</v>
      </c>
      <c r="L500" s="13" t="str">
        <f t="shared" si="14"/>
        <v>Discount Applied</v>
      </c>
      <c r="M500" s="13" t="str">
        <f t="shared" si="15"/>
        <v>Bronze</v>
      </c>
      <c r="N500" s="13"/>
    </row>
    <row r="501" spans="1:14" x14ac:dyDescent="0.3">
      <c r="A501" s="3">
        <v>8700</v>
      </c>
      <c r="B501" s="3" t="s">
        <v>42</v>
      </c>
      <c r="C501" s="4">
        <v>45609</v>
      </c>
      <c r="D501" s="3" t="s">
        <v>35</v>
      </c>
      <c r="E501" s="3" t="s">
        <v>46</v>
      </c>
      <c r="F501" s="5">
        <v>2</v>
      </c>
      <c r="G501" s="6">
        <v>11.37</v>
      </c>
      <c r="H501" s="6">
        <v>22.74</v>
      </c>
      <c r="I501" s="6">
        <v>4.55</v>
      </c>
      <c r="J501" s="6">
        <v>18.190000000000001</v>
      </c>
      <c r="K501" s="5">
        <v>209</v>
      </c>
      <c r="L501" s="13" t="str">
        <f t="shared" si="14"/>
        <v>Discount Applied</v>
      </c>
      <c r="M501" s="13" t="str">
        <f t="shared" si="15"/>
        <v>Bronze</v>
      </c>
      <c r="N501" s="13"/>
    </row>
    <row r="502" spans="1:14" x14ac:dyDescent="0.3">
      <c r="A502" s="3">
        <v>7690</v>
      </c>
      <c r="B502" s="3" t="s">
        <v>31</v>
      </c>
      <c r="C502" s="4">
        <v>45835</v>
      </c>
      <c r="D502" s="3" t="s">
        <v>38</v>
      </c>
      <c r="E502" s="3" t="s">
        <v>47</v>
      </c>
      <c r="F502" s="5">
        <v>2</v>
      </c>
      <c r="G502" s="6">
        <v>20.95</v>
      </c>
      <c r="H502" s="6">
        <v>41.9</v>
      </c>
      <c r="I502" s="6">
        <v>8.3800000000000008</v>
      </c>
      <c r="J502" s="6">
        <v>33.520000000000003</v>
      </c>
      <c r="K502" s="5">
        <v>246</v>
      </c>
      <c r="L502" s="13" t="str">
        <f t="shared" si="14"/>
        <v>Discount Applied</v>
      </c>
      <c r="M502" s="13" t="str">
        <f t="shared" si="15"/>
        <v>Silver</v>
      </c>
      <c r="N502" s="13"/>
    </row>
    <row r="503" spans="1:14" x14ac:dyDescent="0.3">
      <c r="A503" s="3">
        <v>6260</v>
      </c>
      <c r="B503" s="3" t="s">
        <v>31</v>
      </c>
      <c r="C503" s="4">
        <v>45715</v>
      </c>
      <c r="D503" s="3" t="s">
        <v>12</v>
      </c>
      <c r="E503" s="3" t="s">
        <v>43</v>
      </c>
      <c r="F503" s="5">
        <v>1</v>
      </c>
      <c r="G503" s="6">
        <v>25.21</v>
      </c>
      <c r="H503" s="6">
        <v>25.21</v>
      </c>
      <c r="I503" s="6">
        <v>5.04</v>
      </c>
      <c r="J503" s="6">
        <v>20.170000000000002</v>
      </c>
      <c r="K503" s="5">
        <v>342</v>
      </c>
      <c r="L503" s="13" t="str">
        <f t="shared" si="14"/>
        <v>Discount Applied</v>
      </c>
      <c r="M503" s="13" t="str">
        <f t="shared" si="15"/>
        <v>Silver</v>
      </c>
      <c r="N503" s="13"/>
    </row>
    <row r="504" spans="1:14" x14ac:dyDescent="0.3">
      <c r="A504" s="3">
        <v>2713</v>
      </c>
      <c r="B504" s="3" t="s">
        <v>11</v>
      </c>
      <c r="C504" s="4">
        <v>45613</v>
      </c>
      <c r="D504" s="3" t="s">
        <v>38</v>
      </c>
      <c r="E504" s="3" t="s">
        <v>43</v>
      </c>
      <c r="F504" s="5">
        <v>1</v>
      </c>
      <c r="G504" s="6">
        <v>27.23</v>
      </c>
      <c r="H504" s="6">
        <v>27.23</v>
      </c>
      <c r="I504" s="6">
        <v>2.72</v>
      </c>
      <c r="J504" s="6">
        <v>24.51</v>
      </c>
      <c r="K504" s="5">
        <v>329</v>
      </c>
      <c r="L504" s="13" t="str">
        <f t="shared" si="14"/>
        <v>Discount Applied</v>
      </c>
      <c r="M504" s="13" t="str">
        <f t="shared" si="15"/>
        <v>Silver</v>
      </c>
      <c r="N504" s="13"/>
    </row>
    <row r="505" spans="1:14" x14ac:dyDescent="0.3">
      <c r="A505" s="3">
        <v>3634</v>
      </c>
      <c r="B505" s="3" t="s">
        <v>30</v>
      </c>
      <c r="C505" s="4">
        <v>45165</v>
      </c>
      <c r="D505" s="3" t="s">
        <v>35</v>
      </c>
      <c r="E505" s="3" t="s">
        <v>33</v>
      </c>
      <c r="F505" s="5">
        <v>1</v>
      </c>
      <c r="G505" s="6">
        <v>3.88</v>
      </c>
      <c r="H505" s="6">
        <v>3.88</v>
      </c>
      <c r="I505" s="6">
        <v>0.57999999999999996</v>
      </c>
      <c r="J505" s="6">
        <v>3.3</v>
      </c>
      <c r="K505" s="5">
        <v>89</v>
      </c>
      <c r="L505" s="13" t="str">
        <f t="shared" si="14"/>
        <v>Discount Applied</v>
      </c>
      <c r="M505" s="13" t="str">
        <f t="shared" si="15"/>
        <v>Bronze</v>
      </c>
      <c r="N505" s="13"/>
    </row>
    <row r="506" spans="1:14" x14ac:dyDescent="0.3">
      <c r="A506" s="3">
        <v>7744</v>
      </c>
      <c r="B506" s="3" t="s">
        <v>36</v>
      </c>
      <c r="C506" s="4">
        <v>45322</v>
      </c>
      <c r="D506" s="3" t="s">
        <v>27</v>
      </c>
      <c r="E506" s="3" t="s">
        <v>21</v>
      </c>
      <c r="F506" s="5">
        <v>4</v>
      </c>
      <c r="G506" s="6">
        <v>22.41</v>
      </c>
      <c r="H506" s="6">
        <v>89.64</v>
      </c>
      <c r="I506" s="6">
        <v>4.41</v>
      </c>
      <c r="J506" s="6">
        <v>85.23</v>
      </c>
      <c r="K506" s="5">
        <v>48</v>
      </c>
      <c r="L506" s="13" t="str">
        <f t="shared" si="14"/>
        <v>Discount Applied</v>
      </c>
      <c r="M506" s="13" t="str">
        <f t="shared" si="15"/>
        <v>Platinum</v>
      </c>
      <c r="N506" s="13"/>
    </row>
    <row r="507" spans="1:14" x14ac:dyDescent="0.3">
      <c r="A507" s="3">
        <v>9117</v>
      </c>
      <c r="B507" s="3" t="s">
        <v>19</v>
      </c>
      <c r="C507" s="4">
        <v>45739</v>
      </c>
      <c r="D507" s="3" t="s">
        <v>22</v>
      </c>
      <c r="E507" s="3" t="s">
        <v>23</v>
      </c>
      <c r="F507" s="5">
        <v>4</v>
      </c>
      <c r="G507" s="6">
        <v>28.69</v>
      </c>
      <c r="H507" s="6">
        <v>114.76</v>
      </c>
      <c r="I507" s="6">
        <v>17.21</v>
      </c>
      <c r="J507" s="6">
        <v>97.55</v>
      </c>
      <c r="K507" s="5">
        <v>137</v>
      </c>
      <c r="L507" s="13" t="str">
        <f t="shared" si="14"/>
        <v>Discount Applied</v>
      </c>
      <c r="M507" s="13" t="str">
        <f t="shared" si="15"/>
        <v>Platinum</v>
      </c>
      <c r="N507" s="13"/>
    </row>
    <row r="508" spans="1:14" x14ac:dyDescent="0.3">
      <c r="A508" s="3">
        <v>7561</v>
      </c>
      <c r="B508" s="3" t="s">
        <v>36</v>
      </c>
      <c r="C508" s="4">
        <v>45592</v>
      </c>
      <c r="D508" s="3" t="s">
        <v>34</v>
      </c>
      <c r="E508" s="3" t="s">
        <v>48</v>
      </c>
      <c r="F508" s="5">
        <v>4</v>
      </c>
      <c r="G508" s="6">
        <v>12.6</v>
      </c>
      <c r="H508" s="6">
        <v>50.4</v>
      </c>
      <c r="I508" s="6">
        <v>5.04</v>
      </c>
      <c r="J508" s="6">
        <v>45.36</v>
      </c>
      <c r="K508" s="5">
        <v>233</v>
      </c>
      <c r="L508" s="13" t="str">
        <f t="shared" si="14"/>
        <v>Discount Applied</v>
      </c>
      <c r="M508" s="13" t="str">
        <f t="shared" si="15"/>
        <v>Silver</v>
      </c>
      <c r="N508" s="13"/>
    </row>
    <row r="509" spans="1:14" x14ac:dyDescent="0.3">
      <c r="A509" s="3">
        <v>1601</v>
      </c>
      <c r="B509" s="3" t="s">
        <v>26</v>
      </c>
      <c r="C509" s="4">
        <v>45737</v>
      </c>
      <c r="D509" s="3" t="s">
        <v>20</v>
      </c>
      <c r="E509" s="3" t="s">
        <v>29</v>
      </c>
      <c r="F509" s="5">
        <v>1</v>
      </c>
      <c r="G509" s="6">
        <v>4.83</v>
      </c>
      <c r="H509" s="6">
        <v>4.83</v>
      </c>
      <c r="I509" s="6">
        <v>0.97</v>
      </c>
      <c r="J509" s="6">
        <v>3.86</v>
      </c>
      <c r="K509" s="5">
        <v>371</v>
      </c>
      <c r="L509" s="13" t="str">
        <f t="shared" si="14"/>
        <v>Discount Applied</v>
      </c>
      <c r="M509" s="13" t="str">
        <f t="shared" si="15"/>
        <v>Bronze</v>
      </c>
      <c r="N509" s="13"/>
    </row>
    <row r="510" spans="1:14" x14ac:dyDescent="0.3">
      <c r="A510" s="3">
        <v>2442</v>
      </c>
      <c r="B510" s="3" t="s">
        <v>11</v>
      </c>
      <c r="C510" s="4">
        <v>45510</v>
      </c>
      <c r="D510" s="3" t="s">
        <v>20</v>
      </c>
      <c r="E510" s="3" t="s">
        <v>47</v>
      </c>
      <c r="F510" s="5">
        <v>5</v>
      </c>
      <c r="G510" s="6">
        <v>20.66</v>
      </c>
      <c r="H510" s="6">
        <v>103.3</v>
      </c>
      <c r="I510" s="6">
        <v>15.49</v>
      </c>
      <c r="J510" s="6">
        <v>87.81</v>
      </c>
      <c r="K510" s="5">
        <v>92</v>
      </c>
      <c r="L510" s="13" t="str">
        <f t="shared" si="14"/>
        <v>Discount Applied</v>
      </c>
      <c r="M510" s="13" t="str">
        <f t="shared" si="15"/>
        <v>Platinum</v>
      </c>
      <c r="N510" s="13"/>
    </row>
    <row r="511" spans="1:14" x14ac:dyDescent="0.3">
      <c r="A511" s="3">
        <v>5135</v>
      </c>
      <c r="B511" s="3" t="s">
        <v>31</v>
      </c>
      <c r="C511" s="4">
        <v>45651</v>
      </c>
      <c r="D511" s="3" t="s">
        <v>27</v>
      </c>
      <c r="E511" s="3" t="s">
        <v>41</v>
      </c>
      <c r="F511" s="5">
        <v>4</v>
      </c>
      <c r="G511" s="6">
        <v>27.68</v>
      </c>
      <c r="H511" s="6">
        <v>110.72</v>
      </c>
      <c r="I511" s="6">
        <v>11.07</v>
      </c>
      <c r="J511" s="6">
        <v>99.65</v>
      </c>
      <c r="K511" s="5">
        <v>57</v>
      </c>
      <c r="L511" s="13" t="str">
        <f t="shared" si="14"/>
        <v>Discount Applied</v>
      </c>
      <c r="M511" s="13" t="str">
        <f t="shared" si="15"/>
        <v>Platinum</v>
      </c>
      <c r="N511" s="13"/>
    </row>
    <row r="512" spans="1:14" x14ac:dyDescent="0.3">
      <c r="A512" s="3">
        <v>2899</v>
      </c>
      <c r="B512" s="3" t="s">
        <v>31</v>
      </c>
      <c r="C512" s="4">
        <v>45856</v>
      </c>
      <c r="D512" s="3" t="s">
        <v>15</v>
      </c>
      <c r="E512" s="3" t="s">
        <v>13</v>
      </c>
      <c r="F512" s="5">
        <v>3</v>
      </c>
      <c r="G512" s="6">
        <v>1.35</v>
      </c>
      <c r="H512" s="6">
        <v>4.05</v>
      </c>
      <c r="I512" s="6">
        <v>0</v>
      </c>
      <c r="J512" s="6">
        <v>4.05</v>
      </c>
      <c r="K512" s="5">
        <v>444</v>
      </c>
      <c r="L512" s="13" t="str">
        <f t="shared" si="14"/>
        <v>No Discount</v>
      </c>
      <c r="M512" s="13" t="str">
        <f t="shared" si="15"/>
        <v>Bronze</v>
      </c>
      <c r="N512" s="13"/>
    </row>
    <row r="513" spans="1:14" x14ac:dyDescent="0.3">
      <c r="A513" s="3">
        <v>7622</v>
      </c>
      <c r="B513" s="3" t="s">
        <v>36</v>
      </c>
      <c r="C513" s="4">
        <v>45285</v>
      </c>
      <c r="D513" s="3" t="s">
        <v>38</v>
      </c>
      <c r="E513" s="3" t="s">
        <v>46</v>
      </c>
      <c r="F513" s="5">
        <v>5</v>
      </c>
      <c r="G513" s="6">
        <v>3.75</v>
      </c>
      <c r="H513" s="6">
        <v>18.75</v>
      </c>
      <c r="I513" s="6">
        <v>1.88</v>
      </c>
      <c r="J513" s="6">
        <v>16.87</v>
      </c>
      <c r="K513" s="5">
        <v>338</v>
      </c>
      <c r="L513" s="13" t="str">
        <f t="shared" si="14"/>
        <v>Discount Applied</v>
      </c>
      <c r="M513" s="13" t="str">
        <f t="shared" si="15"/>
        <v>Bronze</v>
      </c>
      <c r="N513" s="13"/>
    </row>
    <row r="514" spans="1:14" x14ac:dyDescent="0.3">
      <c r="A514" s="3">
        <v>9431</v>
      </c>
      <c r="B514" s="3" t="s">
        <v>36</v>
      </c>
      <c r="C514" s="4">
        <v>45638</v>
      </c>
      <c r="D514" s="3" t="s">
        <v>27</v>
      </c>
      <c r="E514" s="3" t="s">
        <v>32</v>
      </c>
      <c r="F514" s="5">
        <v>2</v>
      </c>
      <c r="G514" s="6">
        <v>25.32</v>
      </c>
      <c r="H514" s="6">
        <v>50.64</v>
      </c>
      <c r="I514" s="6">
        <v>3.57</v>
      </c>
      <c r="J514" s="6">
        <v>47.07</v>
      </c>
      <c r="K514" s="5">
        <v>285</v>
      </c>
      <c r="L514" s="13" t="str">
        <f t="shared" si="14"/>
        <v>Discount Applied</v>
      </c>
      <c r="M514" s="13" t="str">
        <f t="shared" si="15"/>
        <v>Silver</v>
      </c>
      <c r="N514" s="13"/>
    </row>
    <row r="515" spans="1:14" x14ac:dyDescent="0.3">
      <c r="A515" s="3">
        <v>1018</v>
      </c>
      <c r="B515" s="3" t="s">
        <v>19</v>
      </c>
      <c r="C515" s="4">
        <v>45215</v>
      </c>
      <c r="D515" s="3" t="s">
        <v>38</v>
      </c>
      <c r="E515" s="3" t="s">
        <v>47</v>
      </c>
      <c r="F515" s="5">
        <v>4</v>
      </c>
      <c r="G515" s="6">
        <v>26.2</v>
      </c>
      <c r="H515" s="6">
        <v>104.8</v>
      </c>
      <c r="I515" s="6">
        <v>15.72</v>
      </c>
      <c r="J515" s="6">
        <v>89.08</v>
      </c>
      <c r="K515" s="5">
        <v>38</v>
      </c>
      <c r="L515" s="13" t="str">
        <f t="shared" ref="L515:L578" si="16">IF(I515&gt;0,"Discount Applied","No Discount")</f>
        <v>Discount Applied</v>
      </c>
      <c r="M515" s="13" t="str">
        <f t="shared" ref="M515:M578" si="17">IF(J515 &gt;= 70, "Platinum",
   IF(J515 &gt;= 50, "Gold",
      IF(J515 &gt;= 20, "Silver", "Bronze")))</f>
        <v>Platinum</v>
      </c>
      <c r="N515" s="13"/>
    </row>
    <row r="516" spans="1:14" x14ac:dyDescent="0.3">
      <c r="A516" s="3">
        <v>9889</v>
      </c>
      <c r="B516" s="3" t="s">
        <v>42</v>
      </c>
      <c r="C516" s="4">
        <v>45415</v>
      </c>
      <c r="D516" s="3" t="s">
        <v>22</v>
      </c>
      <c r="E516" s="3" t="s">
        <v>13</v>
      </c>
      <c r="F516" s="5">
        <v>1</v>
      </c>
      <c r="G516" s="6">
        <v>15.69</v>
      </c>
      <c r="H516" s="6">
        <v>15.69</v>
      </c>
      <c r="I516" s="6">
        <v>1.57</v>
      </c>
      <c r="J516" s="6">
        <v>14.12</v>
      </c>
      <c r="K516" s="5">
        <v>281</v>
      </c>
      <c r="L516" s="13" t="str">
        <f t="shared" si="16"/>
        <v>Discount Applied</v>
      </c>
      <c r="M516" s="13" t="str">
        <f t="shared" si="17"/>
        <v>Bronze</v>
      </c>
      <c r="N516" s="13"/>
    </row>
    <row r="517" spans="1:14" x14ac:dyDescent="0.3">
      <c r="A517" s="3">
        <v>7770</v>
      </c>
      <c r="B517" s="3" t="s">
        <v>42</v>
      </c>
      <c r="C517" s="4">
        <v>45403</v>
      </c>
      <c r="D517" s="3" t="s">
        <v>15</v>
      </c>
      <c r="E517" s="3" t="s">
        <v>33</v>
      </c>
      <c r="F517" s="5">
        <v>4</v>
      </c>
      <c r="G517" s="6">
        <v>24.23</v>
      </c>
      <c r="H517" s="6">
        <v>96.92</v>
      </c>
      <c r="I517" s="6">
        <v>9.69</v>
      </c>
      <c r="J517" s="6">
        <v>87.23</v>
      </c>
      <c r="K517" s="5">
        <v>229</v>
      </c>
      <c r="L517" s="13" t="str">
        <f t="shared" si="16"/>
        <v>Discount Applied</v>
      </c>
      <c r="M517" s="13" t="str">
        <f t="shared" si="17"/>
        <v>Platinum</v>
      </c>
      <c r="N517" s="13"/>
    </row>
    <row r="518" spans="1:14" x14ac:dyDescent="0.3">
      <c r="A518" s="3">
        <v>4073</v>
      </c>
      <c r="B518" s="3" t="s">
        <v>26</v>
      </c>
      <c r="C518" s="4">
        <v>45665</v>
      </c>
      <c r="D518" s="3" t="s">
        <v>22</v>
      </c>
      <c r="E518" s="3" t="s">
        <v>48</v>
      </c>
      <c r="F518" s="5">
        <v>4</v>
      </c>
      <c r="G518" s="6">
        <v>22.6</v>
      </c>
      <c r="H518" s="6">
        <v>90.4</v>
      </c>
      <c r="I518" s="6">
        <v>9.0399999999999991</v>
      </c>
      <c r="J518" s="6">
        <v>81.36</v>
      </c>
      <c r="K518" s="5">
        <v>9</v>
      </c>
      <c r="L518" s="13" t="str">
        <f t="shared" si="16"/>
        <v>Discount Applied</v>
      </c>
      <c r="M518" s="13" t="str">
        <f t="shared" si="17"/>
        <v>Platinum</v>
      </c>
      <c r="N518" s="13"/>
    </row>
    <row r="519" spans="1:14" x14ac:dyDescent="0.3">
      <c r="A519" s="3">
        <v>6927</v>
      </c>
      <c r="B519" s="3" t="s">
        <v>24</v>
      </c>
      <c r="C519" s="4">
        <v>45811</v>
      </c>
      <c r="D519" s="3" t="s">
        <v>12</v>
      </c>
      <c r="E519" s="3" t="s">
        <v>18</v>
      </c>
      <c r="F519" s="5">
        <v>5</v>
      </c>
      <c r="G519" s="6">
        <v>0.99</v>
      </c>
      <c r="H519" s="6">
        <v>4.95</v>
      </c>
      <c r="I519" s="6">
        <v>3.25</v>
      </c>
      <c r="J519" s="6">
        <v>1.7</v>
      </c>
      <c r="K519" s="5">
        <v>46</v>
      </c>
      <c r="L519" s="13" t="str">
        <f t="shared" si="16"/>
        <v>Discount Applied</v>
      </c>
      <c r="M519" s="13" t="str">
        <f t="shared" si="17"/>
        <v>Bronze</v>
      </c>
      <c r="N519" s="13"/>
    </row>
    <row r="520" spans="1:14" x14ac:dyDescent="0.3">
      <c r="A520" s="3">
        <v>9167</v>
      </c>
      <c r="B520" s="3" t="s">
        <v>26</v>
      </c>
      <c r="C520" s="4">
        <v>45401</v>
      </c>
      <c r="D520" s="3" t="s">
        <v>22</v>
      </c>
      <c r="E520" s="3" t="s">
        <v>23</v>
      </c>
      <c r="F520" s="5">
        <v>1</v>
      </c>
      <c r="G520" s="6">
        <v>24.67</v>
      </c>
      <c r="H520" s="6">
        <v>24.67</v>
      </c>
      <c r="I520" s="6">
        <v>3.7</v>
      </c>
      <c r="J520" s="6">
        <v>20.97</v>
      </c>
      <c r="K520" s="5">
        <v>432</v>
      </c>
      <c r="L520" s="13" t="str">
        <f t="shared" si="16"/>
        <v>Discount Applied</v>
      </c>
      <c r="M520" s="13" t="str">
        <f t="shared" si="17"/>
        <v>Silver</v>
      </c>
      <c r="N520" s="13"/>
    </row>
    <row r="521" spans="1:14" x14ac:dyDescent="0.3">
      <c r="A521" s="3">
        <v>8242</v>
      </c>
      <c r="B521" s="3" t="s">
        <v>14</v>
      </c>
      <c r="C521" s="4">
        <v>45683</v>
      </c>
      <c r="D521" s="3" t="s">
        <v>28</v>
      </c>
      <c r="E521" s="3" t="s">
        <v>47</v>
      </c>
      <c r="F521" s="5">
        <v>3</v>
      </c>
      <c r="G521" s="6">
        <v>21.75</v>
      </c>
      <c r="H521" s="6">
        <v>65.25</v>
      </c>
      <c r="I521" s="6">
        <v>0</v>
      </c>
      <c r="J521" s="6">
        <v>65.25</v>
      </c>
      <c r="K521" s="5">
        <v>58</v>
      </c>
      <c r="L521" s="13" t="str">
        <f t="shared" si="16"/>
        <v>No Discount</v>
      </c>
      <c r="M521" s="13" t="str">
        <f t="shared" si="17"/>
        <v>Gold</v>
      </c>
      <c r="N521" s="13"/>
    </row>
    <row r="522" spans="1:14" x14ac:dyDescent="0.3">
      <c r="A522" s="3">
        <v>1845</v>
      </c>
      <c r="B522" s="3" t="s">
        <v>42</v>
      </c>
      <c r="C522" s="4">
        <v>45368</v>
      </c>
      <c r="D522" s="3" t="s">
        <v>12</v>
      </c>
      <c r="E522" s="3" t="s">
        <v>21</v>
      </c>
      <c r="F522" s="5">
        <v>3</v>
      </c>
      <c r="G522" s="6">
        <v>25.06</v>
      </c>
      <c r="H522" s="6">
        <v>75.180000000000007</v>
      </c>
      <c r="I522" s="6">
        <v>3.09</v>
      </c>
      <c r="J522" s="6">
        <v>72.09</v>
      </c>
      <c r="K522" s="5">
        <v>493</v>
      </c>
      <c r="L522" s="13" t="str">
        <f t="shared" si="16"/>
        <v>Discount Applied</v>
      </c>
      <c r="M522" s="13" t="str">
        <f t="shared" si="17"/>
        <v>Platinum</v>
      </c>
      <c r="N522" s="13"/>
    </row>
    <row r="523" spans="1:14" x14ac:dyDescent="0.3">
      <c r="A523" s="3">
        <v>5375</v>
      </c>
      <c r="B523" s="3" t="s">
        <v>11</v>
      </c>
      <c r="C523" s="4">
        <v>45776</v>
      </c>
      <c r="D523" s="3" t="s">
        <v>12</v>
      </c>
      <c r="E523" s="3" t="s">
        <v>29</v>
      </c>
      <c r="F523" s="5">
        <v>4</v>
      </c>
      <c r="G523" s="6">
        <v>5.0599999999999996</v>
      </c>
      <c r="H523" s="6">
        <v>20.239999999999998</v>
      </c>
      <c r="I523" s="6">
        <v>2.02</v>
      </c>
      <c r="J523" s="6">
        <v>18.22</v>
      </c>
      <c r="K523" s="5">
        <v>367</v>
      </c>
      <c r="L523" s="13" t="str">
        <f t="shared" si="16"/>
        <v>Discount Applied</v>
      </c>
      <c r="M523" s="13" t="str">
        <f t="shared" si="17"/>
        <v>Bronze</v>
      </c>
      <c r="N523" s="13"/>
    </row>
    <row r="524" spans="1:14" x14ac:dyDescent="0.3">
      <c r="A524" s="3">
        <v>3146</v>
      </c>
      <c r="B524" s="3" t="s">
        <v>42</v>
      </c>
      <c r="C524" s="4">
        <v>45498</v>
      </c>
      <c r="D524" s="3" t="s">
        <v>17</v>
      </c>
      <c r="E524" s="3" t="s">
        <v>48</v>
      </c>
      <c r="F524" s="5">
        <v>4</v>
      </c>
      <c r="G524" s="6">
        <v>7.24</v>
      </c>
      <c r="H524" s="6">
        <v>28.96</v>
      </c>
      <c r="I524" s="6">
        <v>0</v>
      </c>
      <c r="J524" s="6">
        <v>28.96</v>
      </c>
      <c r="K524" s="5">
        <v>422</v>
      </c>
      <c r="L524" s="13" t="str">
        <f t="shared" si="16"/>
        <v>No Discount</v>
      </c>
      <c r="M524" s="13" t="str">
        <f t="shared" si="17"/>
        <v>Silver</v>
      </c>
      <c r="N524" s="13"/>
    </row>
    <row r="525" spans="1:14" x14ac:dyDescent="0.3">
      <c r="A525" s="3">
        <v>5719</v>
      </c>
      <c r="B525" s="3" t="s">
        <v>36</v>
      </c>
      <c r="C525" s="4">
        <v>45389</v>
      </c>
      <c r="D525" s="3" t="s">
        <v>15</v>
      </c>
      <c r="E525" s="3" t="s">
        <v>16</v>
      </c>
      <c r="F525" s="5">
        <v>1</v>
      </c>
      <c r="G525" s="6">
        <v>27.86</v>
      </c>
      <c r="H525" s="6">
        <v>27.86</v>
      </c>
      <c r="I525" s="6">
        <v>2.79</v>
      </c>
      <c r="J525" s="6">
        <v>25.07</v>
      </c>
      <c r="K525" s="5">
        <v>428</v>
      </c>
      <c r="L525" s="13" t="str">
        <f t="shared" si="16"/>
        <v>Discount Applied</v>
      </c>
      <c r="M525" s="13" t="str">
        <f t="shared" si="17"/>
        <v>Silver</v>
      </c>
      <c r="N525" s="13"/>
    </row>
    <row r="526" spans="1:14" x14ac:dyDescent="0.3">
      <c r="A526" s="3">
        <v>8941</v>
      </c>
      <c r="B526" s="3" t="s">
        <v>26</v>
      </c>
      <c r="C526" s="4">
        <v>45396</v>
      </c>
      <c r="D526" s="3" t="s">
        <v>27</v>
      </c>
      <c r="E526" s="3" t="s">
        <v>46</v>
      </c>
      <c r="F526" s="5">
        <v>2</v>
      </c>
      <c r="G526" s="6">
        <v>28.94</v>
      </c>
      <c r="H526" s="6">
        <v>57.88</v>
      </c>
      <c r="I526" s="6">
        <v>4.74</v>
      </c>
      <c r="J526" s="6">
        <v>53.14</v>
      </c>
      <c r="K526" s="5">
        <v>2</v>
      </c>
      <c r="L526" s="13" t="str">
        <f t="shared" si="16"/>
        <v>Discount Applied</v>
      </c>
      <c r="M526" s="13" t="str">
        <f t="shared" si="17"/>
        <v>Gold</v>
      </c>
      <c r="N526" s="13"/>
    </row>
    <row r="527" spans="1:14" x14ac:dyDescent="0.3">
      <c r="A527" s="3">
        <v>1472</v>
      </c>
      <c r="B527" s="3" t="s">
        <v>26</v>
      </c>
      <c r="C527" s="4">
        <v>45745</v>
      </c>
      <c r="D527" s="3" t="s">
        <v>38</v>
      </c>
      <c r="E527" s="3" t="s">
        <v>29</v>
      </c>
      <c r="F527" s="5">
        <v>5</v>
      </c>
      <c r="G527" s="6">
        <v>6.03</v>
      </c>
      <c r="H527" s="6">
        <v>30.15</v>
      </c>
      <c r="I527" s="6">
        <v>2.5499999999999998</v>
      </c>
      <c r="J527" s="6">
        <v>27.6</v>
      </c>
      <c r="K527" s="5">
        <v>417</v>
      </c>
      <c r="L527" s="13" t="str">
        <f t="shared" si="16"/>
        <v>Discount Applied</v>
      </c>
      <c r="M527" s="13" t="str">
        <f t="shared" si="17"/>
        <v>Silver</v>
      </c>
      <c r="N527" s="13"/>
    </row>
    <row r="528" spans="1:14" x14ac:dyDescent="0.3">
      <c r="A528" s="3">
        <v>4920</v>
      </c>
      <c r="B528" s="3" t="s">
        <v>36</v>
      </c>
      <c r="C528" s="4">
        <v>45816</v>
      </c>
      <c r="D528" s="3" t="s">
        <v>38</v>
      </c>
      <c r="E528" s="3" t="s">
        <v>32</v>
      </c>
      <c r="F528" s="5">
        <v>4</v>
      </c>
      <c r="G528" s="6">
        <v>29.4</v>
      </c>
      <c r="H528" s="6">
        <v>117.6</v>
      </c>
      <c r="I528" s="6">
        <v>17.64</v>
      </c>
      <c r="J528" s="6">
        <v>99.96</v>
      </c>
      <c r="K528" s="5">
        <v>468</v>
      </c>
      <c r="L528" s="13" t="str">
        <f t="shared" si="16"/>
        <v>Discount Applied</v>
      </c>
      <c r="M528" s="13" t="str">
        <f t="shared" si="17"/>
        <v>Platinum</v>
      </c>
      <c r="N528" s="13"/>
    </row>
    <row r="529" spans="1:14" x14ac:dyDescent="0.3">
      <c r="A529" s="3">
        <v>3594</v>
      </c>
      <c r="B529" s="3" t="s">
        <v>24</v>
      </c>
      <c r="C529" s="4">
        <v>45785</v>
      </c>
      <c r="D529" s="3" t="s">
        <v>22</v>
      </c>
      <c r="E529" s="3" t="s">
        <v>37</v>
      </c>
      <c r="F529" s="5">
        <v>4</v>
      </c>
      <c r="G529" s="6">
        <v>24.33</v>
      </c>
      <c r="H529" s="6">
        <v>97.32</v>
      </c>
      <c r="I529" s="6">
        <v>3.8</v>
      </c>
      <c r="J529" s="6">
        <v>93.52</v>
      </c>
      <c r="K529" s="5">
        <v>70</v>
      </c>
      <c r="L529" s="13" t="str">
        <f t="shared" si="16"/>
        <v>Discount Applied</v>
      </c>
      <c r="M529" s="13" t="str">
        <f t="shared" si="17"/>
        <v>Platinum</v>
      </c>
      <c r="N529" s="13"/>
    </row>
    <row r="530" spans="1:14" x14ac:dyDescent="0.3">
      <c r="A530" s="3">
        <v>1224</v>
      </c>
      <c r="B530" s="3" t="s">
        <v>14</v>
      </c>
      <c r="C530" s="4">
        <v>45655</v>
      </c>
      <c r="D530" s="3" t="s">
        <v>35</v>
      </c>
      <c r="E530" s="3" t="s">
        <v>18</v>
      </c>
      <c r="F530" s="5">
        <v>3</v>
      </c>
      <c r="G530" s="6">
        <v>21.63</v>
      </c>
      <c r="H530" s="6">
        <v>64.89</v>
      </c>
      <c r="I530" s="6">
        <v>12.98</v>
      </c>
      <c r="J530" s="6">
        <v>51.91</v>
      </c>
      <c r="K530" s="5">
        <v>478</v>
      </c>
      <c r="L530" s="13" t="str">
        <f t="shared" si="16"/>
        <v>Discount Applied</v>
      </c>
      <c r="M530" s="13" t="str">
        <f t="shared" si="17"/>
        <v>Gold</v>
      </c>
      <c r="N530" s="13"/>
    </row>
    <row r="531" spans="1:14" x14ac:dyDescent="0.3">
      <c r="A531" s="3">
        <v>7684</v>
      </c>
      <c r="B531" s="3" t="s">
        <v>42</v>
      </c>
      <c r="C531" s="4">
        <v>45503</v>
      </c>
      <c r="D531" s="3" t="s">
        <v>28</v>
      </c>
      <c r="E531" s="3" t="s">
        <v>37</v>
      </c>
      <c r="F531" s="5">
        <v>3</v>
      </c>
      <c r="G531" s="6">
        <v>27.7</v>
      </c>
      <c r="H531" s="6">
        <v>83.1</v>
      </c>
      <c r="I531" s="6">
        <v>3.17</v>
      </c>
      <c r="J531" s="6">
        <v>79.930000000000007</v>
      </c>
      <c r="K531" s="5">
        <v>67</v>
      </c>
      <c r="L531" s="13" t="str">
        <f t="shared" si="16"/>
        <v>Discount Applied</v>
      </c>
      <c r="M531" s="13" t="str">
        <f t="shared" si="17"/>
        <v>Platinum</v>
      </c>
      <c r="N531" s="13"/>
    </row>
    <row r="532" spans="1:14" x14ac:dyDescent="0.3">
      <c r="A532" s="3">
        <v>2858</v>
      </c>
      <c r="B532" s="3" t="s">
        <v>36</v>
      </c>
      <c r="C532" s="4">
        <v>45187</v>
      </c>
      <c r="D532" s="3" t="s">
        <v>15</v>
      </c>
      <c r="E532" s="3" t="s">
        <v>23</v>
      </c>
      <c r="F532" s="5">
        <v>5</v>
      </c>
      <c r="G532" s="6">
        <v>14.92</v>
      </c>
      <c r="H532" s="6">
        <v>74.599999999999994</v>
      </c>
      <c r="I532" s="6">
        <v>0</v>
      </c>
      <c r="J532" s="6">
        <v>74.599999999999994</v>
      </c>
      <c r="K532" s="5">
        <v>292</v>
      </c>
      <c r="L532" s="13" t="str">
        <f t="shared" si="16"/>
        <v>No Discount</v>
      </c>
      <c r="M532" s="13" t="str">
        <f t="shared" si="17"/>
        <v>Platinum</v>
      </c>
      <c r="N532" s="13"/>
    </row>
    <row r="533" spans="1:14" x14ac:dyDescent="0.3">
      <c r="A533" s="3">
        <v>2924</v>
      </c>
      <c r="B533" s="3" t="s">
        <v>14</v>
      </c>
      <c r="C533" s="4">
        <v>45547</v>
      </c>
      <c r="D533" s="3" t="s">
        <v>35</v>
      </c>
      <c r="E533" s="3" t="s">
        <v>16</v>
      </c>
      <c r="F533" s="5">
        <v>1</v>
      </c>
      <c r="G533" s="6">
        <v>16.149999999999999</v>
      </c>
      <c r="H533" s="6">
        <v>16.149999999999999</v>
      </c>
      <c r="I533" s="6">
        <v>3.23</v>
      </c>
      <c r="J533" s="6">
        <v>12.92</v>
      </c>
      <c r="K533" s="5">
        <v>12</v>
      </c>
      <c r="L533" s="13" t="str">
        <f t="shared" si="16"/>
        <v>Discount Applied</v>
      </c>
      <c r="M533" s="13" t="str">
        <f t="shared" si="17"/>
        <v>Bronze</v>
      </c>
      <c r="N533" s="13"/>
    </row>
    <row r="534" spans="1:14" x14ac:dyDescent="0.3">
      <c r="A534" s="3">
        <v>3522</v>
      </c>
      <c r="B534" s="3" t="s">
        <v>31</v>
      </c>
      <c r="C534" s="4">
        <v>45628</v>
      </c>
      <c r="D534" s="3" t="s">
        <v>27</v>
      </c>
      <c r="E534" s="3" t="s">
        <v>40</v>
      </c>
      <c r="F534" s="5">
        <v>2</v>
      </c>
      <c r="G534" s="6">
        <v>8.73</v>
      </c>
      <c r="H534" s="6">
        <v>17.46</v>
      </c>
      <c r="I534" s="6">
        <v>2.62</v>
      </c>
      <c r="J534" s="6">
        <v>14.84</v>
      </c>
      <c r="K534" s="5">
        <v>402</v>
      </c>
      <c r="L534" s="13" t="str">
        <f t="shared" si="16"/>
        <v>Discount Applied</v>
      </c>
      <c r="M534" s="13" t="str">
        <f t="shared" si="17"/>
        <v>Bronze</v>
      </c>
      <c r="N534" s="13"/>
    </row>
    <row r="535" spans="1:14" x14ac:dyDescent="0.3">
      <c r="A535" s="3">
        <v>5781</v>
      </c>
      <c r="B535" s="3" t="s">
        <v>30</v>
      </c>
      <c r="C535" s="4">
        <v>45630</v>
      </c>
      <c r="D535" s="3" t="s">
        <v>34</v>
      </c>
      <c r="E535" s="3" t="s">
        <v>40</v>
      </c>
      <c r="F535" s="5">
        <v>3</v>
      </c>
      <c r="G535" s="6">
        <v>6.91</v>
      </c>
      <c r="H535" s="6">
        <v>20.73</v>
      </c>
      <c r="I535" s="6">
        <v>3.11</v>
      </c>
      <c r="J535" s="6">
        <v>17.62</v>
      </c>
      <c r="K535" s="5">
        <v>277</v>
      </c>
      <c r="L535" s="13" t="str">
        <f t="shared" si="16"/>
        <v>Discount Applied</v>
      </c>
      <c r="M535" s="13" t="str">
        <f t="shared" si="17"/>
        <v>Bronze</v>
      </c>
      <c r="N535" s="13"/>
    </row>
    <row r="536" spans="1:14" x14ac:dyDescent="0.3">
      <c r="A536" s="3">
        <v>5479</v>
      </c>
      <c r="B536" s="3" t="s">
        <v>26</v>
      </c>
      <c r="C536" s="4">
        <v>45735</v>
      </c>
      <c r="D536" s="3" t="s">
        <v>15</v>
      </c>
      <c r="E536" s="3" t="s">
        <v>18</v>
      </c>
      <c r="F536" s="5">
        <v>2</v>
      </c>
      <c r="G536" s="6">
        <v>22.52</v>
      </c>
      <c r="H536" s="6">
        <v>45.04</v>
      </c>
      <c r="I536" s="6">
        <v>9.01</v>
      </c>
      <c r="J536" s="6">
        <v>36.03</v>
      </c>
      <c r="K536" s="5">
        <v>287</v>
      </c>
      <c r="L536" s="13" t="str">
        <f t="shared" si="16"/>
        <v>Discount Applied</v>
      </c>
      <c r="M536" s="13" t="str">
        <f t="shared" si="17"/>
        <v>Silver</v>
      </c>
      <c r="N536" s="13"/>
    </row>
    <row r="537" spans="1:14" x14ac:dyDescent="0.3">
      <c r="A537" s="3">
        <v>8905</v>
      </c>
      <c r="B537" s="3" t="s">
        <v>14</v>
      </c>
      <c r="C537" s="4">
        <v>45303</v>
      </c>
      <c r="D537" s="3" t="s">
        <v>35</v>
      </c>
      <c r="E537" s="3" t="s">
        <v>40</v>
      </c>
      <c r="F537" s="5">
        <v>4</v>
      </c>
      <c r="G537" s="6">
        <v>12.23</v>
      </c>
      <c r="H537" s="6">
        <v>48.92</v>
      </c>
      <c r="I537" s="6">
        <v>1.22</v>
      </c>
      <c r="J537" s="6">
        <v>47.7</v>
      </c>
      <c r="K537" s="5">
        <v>489</v>
      </c>
      <c r="L537" s="13" t="str">
        <f t="shared" si="16"/>
        <v>Discount Applied</v>
      </c>
      <c r="M537" s="13" t="str">
        <f t="shared" si="17"/>
        <v>Silver</v>
      </c>
      <c r="N537" s="13"/>
    </row>
    <row r="538" spans="1:14" x14ac:dyDescent="0.3">
      <c r="A538" s="3">
        <v>4993</v>
      </c>
      <c r="B538" s="3" t="s">
        <v>30</v>
      </c>
      <c r="C538" s="4">
        <v>45571</v>
      </c>
      <c r="D538" s="3" t="s">
        <v>17</v>
      </c>
      <c r="E538" s="3" t="s">
        <v>33</v>
      </c>
      <c r="F538" s="5">
        <v>2</v>
      </c>
      <c r="G538" s="6">
        <v>27.42</v>
      </c>
      <c r="H538" s="6">
        <v>54.84</v>
      </c>
      <c r="I538" s="6">
        <v>3.19</v>
      </c>
      <c r="J538" s="6">
        <v>51.65</v>
      </c>
      <c r="K538" s="5">
        <v>360</v>
      </c>
      <c r="L538" s="13" t="str">
        <f t="shared" si="16"/>
        <v>Discount Applied</v>
      </c>
      <c r="M538" s="13" t="str">
        <f t="shared" si="17"/>
        <v>Gold</v>
      </c>
      <c r="N538" s="13"/>
    </row>
    <row r="539" spans="1:14" x14ac:dyDescent="0.3">
      <c r="A539" s="3">
        <v>3369</v>
      </c>
      <c r="B539" s="3" t="s">
        <v>42</v>
      </c>
      <c r="C539" s="4">
        <v>45865</v>
      </c>
      <c r="D539" s="3" t="s">
        <v>17</v>
      </c>
      <c r="E539" s="3" t="s">
        <v>37</v>
      </c>
      <c r="F539" s="5">
        <v>4</v>
      </c>
      <c r="G539" s="6">
        <v>6.14</v>
      </c>
      <c r="H539" s="6">
        <v>24.56</v>
      </c>
      <c r="I539" s="6">
        <v>4.91</v>
      </c>
      <c r="J539" s="6">
        <v>19.649999999999999</v>
      </c>
      <c r="K539" s="5">
        <v>349</v>
      </c>
      <c r="L539" s="13" t="str">
        <f t="shared" si="16"/>
        <v>Discount Applied</v>
      </c>
      <c r="M539" s="13" t="str">
        <f t="shared" si="17"/>
        <v>Bronze</v>
      </c>
      <c r="N539" s="13"/>
    </row>
    <row r="540" spans="1:14" x14ac:dyDescent="0.3">
      <c r="A540" s="3">
        <v>4122</v>
      </c>
      <c r="B540" s="3" t="s">
        <v>19</v>
      </c>
      <c r="C540" s="4">
        <v>45485</v>
      </c>
      <c r="D540" s="3" t="s">
        <v>38</v>
      </c>
      <c r="E540" s="3" t="s">
        <v>48</v>
      </c>
      <c r="F540" s="5">
        <v>4</v>
      </c>
      <c r="G540" s="6">
        <v>2.17</v>
      </c>
      <c r="H540" s="6">
        <v>8.68</v>
      </c>
      <c r="I540" s="6">
        <v>1.74</v>
      </c>
      <c r="J540" s="6">
        <v>6.94</v>
      </c>
      <c r="K540" s="5">
        <v>142</v>
      </c>
      <c r="L540" s="13" t="str">
        <f t="shared" si="16"/>
        <v>Discount Applied</v>
      </c>
      <c r="M540" s="13" t="str">
        <f t="shared" si="17"/>
        <v>Bronze</v>
      </c>
      <c r="N540" s="13"/>
    </row>
    <row r="541" spans="1:14" x14ac:dyDescent="0.3">
      <c r="A541" s="3">
        <v>9327</v>
      </c>
      <c r="B541" s="3" t="s">
        <v>19</v>
      </c>
      <c r="C541" s="4">
        <v>45239</v>
      </c>
      <c r="D541" s="3" t="s">
        <v>28</v>
      </c>
      <c r="E541" s="3" t="s">
        <v>13</v>
      </c>
      <c r="F541" s="5">
        <v>1</v>
      </c>
      <c r="G541" s="6">
        <v>10.58</v>
      </c>
      <c r="H541" s="6">
        <v>10.58</v>
      </c>
      <c r="I541" s="6">
        <v>1.61</v>
      </c>
      <c r="J541" s="6">
        <v>8.9700000000000006</v>
      </c>
      <c r="K541" s="5">
        <v>363</v>
      </c>
      <c r="L541" s="13" t="str">
        <f t="shared" si="16"/>
        <v>Discount Applied</v>
      </c>
      <c r="M541" s="13" t="str">
        <f t="shared" si="17"/>
        <v>Bronze</v>
      </c>
      <c r="N541" s="13"/>
    </row>
    <row r="542" spans="1:14" x14ac:dyDescent="0.3">
      <c r="A542" s="3">
        <v>3236</v>
      </c>
      <c r="B542" s="3"/>
      <c r="C542" s="4">
        <v>45634</v>
      </c>
      <c r="D542" s="3" t="s">
        <v>28</v>
      </c>
      <c r="E542" s="3" t="s">
        <v>40</v>
      </c>
      <c r="F542" s="5">
        <v>5</v>
      </c>
      <c r="G542" s="6">
        <v>25.44</v>
      </c>
      <c r="H542" s="6">
        <v>127.2</v>
      </c>
      <c r="I542" s="6">
        <v>3.2</v>
      </c>
      <c r="J542" s="6">
        <v>124</v>
      </c>
      <c r="K542" s="5">
        <v>154</v>
      </c>
      <c r="L542" s="13" t="str">
        <f t="shared" si="16"/>
        <v>Discount Applied</v>
      </c>
      <c r="M542" s="13" t="str">
        <f t="shared" si="17"/>
        <v>Platinum</v>
      </c>
      <c r="N542" s="13"/>
    </row>
    <row r="543" spans="1:14" x14ac:dyDescent="0.3">
      <c r="A543" s="3">
        <v>2143</v>
      </c>
      <c r="B543" s="3" t="s">
        <v>11</v>
      </c>
      <c r="C543" s="4">
        <v>45696</v>
      </c>
      <c r="D543" s="3" t="s">
        <v>22</v>
      </c>
      <c r="E543" s="3" t="s">
        <v>46</v>
      </c>
      <c r="F543" s="5">
        <v>2</v>
      </c>
      <c r="G543" s="6">
        <v>28.74</v>
      </c>
      <c r="H543" s="6">
        <v>57.48</v>
      </c>
      <c r="I543" s="6">
        <v>1.64</v>
      </c>
      <c r="J543" s="6">
        <v>55.84</v>
      </c>
      <c r="K543" s="5">
        <v>266</v>
      </c>
      <c r="L543" s="13" t="str">
        <f t="shared" si="16"/>
        <v>Discount Applied</v>
      </c>
      <c r="M543" s="13" t="str">
        <f t="shared" si="17"/>
        <v>Gold</v>
      </c>
      <c r="N543" s="13"/>
    </row>
    <row r="544" spans="1:14" x14ac:dyDescent="0.3">
      <c r="A544" s="3">
        <v>7798</v>
      </c>
      <c r="B544" s="3" t="s">
        <v>14</v>
      </c>
      <c r="C544" s="4">
        <v>45386</v>
      </c>
      <c r="D544" s="3" t="s">
        <v>38</v>
      </c>
      <c r="E544" s="3" t="s">
        <v>32</v>
      </c>
      <c r="F544" s="5">
        <v>1</v>
      </c>
      <c r="G544" s="6">
        <v>11.12</v>
      </c>
      <c r="H544" s="6">
        <v>11.12</v>
      </c>
      <c r="I544" s="6">
        <v>0</v>
      </c>
      <c r="J544" s="6">
        <v>11.12</v>
      </c>
      <c r="K544" s="5">
        <v>452</v>
      </c>
      <c r="L544" s="13" t="str">
        <f t="shared" si="16"/>
        <v>No Discount</v>
      </c>
      <c r="M544" s="13" t="str">
        <f t="shared" si="17"/>
        <v>Bronze</v>
      </c>
      <c r="N544" s="13"/>
    </row>
    <row r="545" spans="1:14" x14ac:dyDescent="0.3">
      <c r="A545" s="3">
        <v>9318</v>
      </c>
      <c r="B545" s="3" t="s">
        <v>36</v>
      </c>
      <c r="C545" s="4">
        <v>45573</v>
      </c>
      <c r="D545" s="3" t="s">
        <v>22</v>
      </c>
      <c r="E545" s="3" t="s">
        <v>23</v>
      </c>
      <c r="F545" s="5">
        <v>3</v>
      </c>
      <c r="G545" s="6">
        <v>7.32</v>
      </c>
      <c r="H545" s="6">
        <v>21.96</v>
      </c>
      <c r="I545" s="6">
        <v>4.29</v>
      </c>
      <c r="J545" s="6">
        <v>17.670000000000002</v>
      </c>
      <c r="K545" s="5">
        <v>385</v>
      </c>
      <c r="L545" s="13" t="str">
        <f t="shared" si="16"/>
        <v>Discount Applied</v>
      </c>
      <c r="M545" s="13" t="str">
        <f t="shared" si="17"/>
        <v>Bronze</v>
      </c>
      <c r="N545" s="13"/>
    </row>
    <row r="546" spans="1:14" x14ac:dyDescent="0.3">
      <c r="A546" s="3">
        <v>1042</v>
      </c>
      <c r="B546" s="3" t="s">
        <v>31</v>
      </c>
      <c r="C546" s="4">
        <v>45217</v>
      </c>
      <c r="D546" s="3" t="s">
        <v>15</v>
      </c>
      <c r="E546" s="3" t="s">
        <v>23</v>
      </c>
      <c r="F546" s="5">
        <v>4</v>
      </c>
      <c r="G546" s="6">
        <v>7.96</v>
      </c>
      <c r="H546" s="6">
        <v>31.84</v>
      </c>
      <c r="I546" s="6">
        <v>3.73</v>
      </c>
      <c r="J546" s="6">
        <v>28.11</v>
      </c>
      <c r="K546" s="5">
        <v>328</v>
      </c>
      <c r="L546" s="13" t="str">
        <f t="shared" si="16"/>
        <v>Discount Applied</v>
      </c>
      <c r="M546" s="13" t="str">
        <f t="shared" si="17"/>
        <v>Silver</v>
      </c>
      <c r="N546" s="13"/>
    </row>
    <row r="547" spans="1:14" x14ac:dyDescent="0.3">
      <c r="A547" s="3">
        <v>5891</v>
      </c>
      <c r="B547" s="3" t="s">
        <v>36</v>
      </c>
      <c r="C547" s="4">
        <v>45798</v>
      </c>
      <c r="D547" s="3" t="s">
        <v>20</v>
      </c>
      <c r="E547" s="3" t="s">
        <v>48</v>
      </c>
      <c r="F547" s="5">
        <v>4</v>
      </c>
      <c r="G547" s="6">
        <v>8.43</v>
      </c>
      <c r="H547" s="6">
        <v>33.72</v>
      </c>
      <c r="I547" s="6">
        <v>4.6500000000000004</v>
      </c>
      <c r="J547" s="6">
        <v>29.07</v>
      </c>
      <c r="K547" s="5">
        <v>370</v>
      </c>
      <c r="L547" s="13" t="str">
        <f t="shared" si="16"/>
        <v>Discount Applied</v>
      </c>
      <c r="M547" s="13" t="str">
        <f t="shared" si="17"/>
        <v>Silver</v>
      </c>
      <c r="N547" s="13"/>
    </row>
    <row r="548" spans="1:14" x14ac:dyDescent="0.3">
      <c r="A548" s="3">
        <v>9022</v>
      </c>
      <c r="B548" s="3" t="s">
        <v>36</v>
      </c>
      <c r="C548" s="4">
        <v>45503</v>
      </c>
      <c r="D548" s="3" t="s">
        <v>38</v>
      </c>
      <c r="E548" s="3" t="s">
        <v>46</v>
      </c>
      <c r="F548" s="5">
        <v>4</v>
      </c>
      <c r="G548" s="6">
        <v>15.11</v>
      </c>
      <c r="H548" s="6">
        <v>60.44</v>
      </c>
      <c r="I548" s="6">
        <v>9.07</v>
      </c>
      <c r="J548" s="6">
        <v>51.37</v>
      </c>
      <c r="K548" s="5">
        <v>151</v>
      </c>
      <c r="L548" s="13" t="str">
        <f t="shared" si="16"/>
        <v>Discount Applied</v>
      </c>
      <c r="M548" s="13" t="str">
        <f t="shared" si="17"/>
        <v>Gold</v>
      </c>
      <c r="N548" s="13"/>
    </row>
    <row r="549" spans="1:14" x14ac:dyDescent="0.3">
      <c r="A549" s="3">
        <v>3434</v>
      </c>
      <c r="B549" s="3" t="s">
        <v>14</v>
      </c>
      <c r="C549" s="4">
        <v>45648</v>
      </c>
      <c r="D549" s="3" t="s">
        <v>15</v>
      </c>
      <c r="E549" s="3" t="s">
        <v>48</v>
      </c>
      <c r="F549" s="5">
        <v>2</v>
      </c>
      <c r="G549" s="6">
        <v>29.17</v>
      </c>
      <c r="H549" s="6">
        <v>58.34</v>
      </c>
      <c r="I549" s="6">
        <v>0</v>
      </c>
      <c r="J549" s="6">
        <v>58.34</v>
      </c>
      <c r="K549" s="5">
        <v>395</v>
      </c>
      <c r="L549" s="13" t="str">
        <f t="shared" si="16"/>
        <v>No Discount</v>
      </c>
      <c r="M549" s="13" t="str">
        <f t="shared" si="17"/>
        <v>Gold</v>
      </c>
      <c r="N549" s="13"/>
    </row>
    <row r="550" spans="1:14" x14ac:dyDescent="0.3">
      <c r="A550" s="3">
        <v>9824</v>
      </c>
      <c r="B550" s="3" t="s">
        <v>11</v>
      </c>
      <c r="C550" s="4">
        <v>45532</v>
      </c>
      <c r="D550" s="3" t="s">
        <v>17</v>
      </c>
      <c r="E550" s="3" t="s">
        <v>44</v>
      </c>
      <c r="F550" s="5">
        <v>4</v>
      </c>
      <c r="G550" s="6">
        <v>25.22</v>
      </c>
      <c r="H550" s="6">
        <v>100.88</v>
      </c>
      <c r="I550" s="6">
        <v>0</v>
      </c>
      <c r="J550" s="6">
        <v>100.88</v>
      </c>
      <c r="K550" s="5">
        <v>105</v>
      </c>
      <c r="L550" s="13" t="str">
        <f t="shared" si="16"/>
        <v>No Discount</v>
      </c>
      <c r="M550" s="13" t="str">
        <f t="shared" si="17"/>
        <v>Platinum</v>
      </c>
      <c r="N550" s="13"/>
    </row>
    <row r="551" spans="1:14" x14ac:dyDescent="0.3">
      <c r="A551" s="3">
        <v>6654</v>
      </c>
      <c r="B551" s="3" t="s">
        <v>11</v>
      </c>
      <c r="C551" s="4">
        <v>45540</v>
      </c>
      <c r="D551" s="3" t="s">
        <v>27</v>
      </c>
      <c r="E551" s="3" t="s">
        <v>41</v>
      </c>
      <c r="F551" s="5">
        <v>1</v>
      </c>
      <c r="G551" s="6">
        <v>14.31</v>
      </c>
      <c r="H551" s="6">
        <v>14.31</v>
      </c>
      <c r="I551" s="6">
        <v>1.29</v>
      </c>
      <c r="J551" s="6">
        <v>13.02</v>
      </c>
      <c r="K551" s="5">
        <v>169</v>
      </c>
      <c r="L551" s="13" t="str">
        <f t="shared" si="16"/>
        <v>Discount Applied</v>
      </c>
      <c r="M551" s="13" t="str">
        <f t="shared" si="17"/>
        <v>Bronze</v>
      </c>
      <c r="N551" s="13"/>
    </row>
    <row r="552" spans="1:14" x14ac:dyDescent="0.3">
      <c r="A552" s="3">
        <v>9903</v>
      </c>
      <c r="B552" s="3" t="s">
        <v>19</v>
      </c>
      <c r="C552" s="4">
        <v>45467</v>
      </c>
      <c r="D552" s="3" t="s">
        <v>35</v>
      </c>
      <c r="E552" s="3" t="s">
        <v>18</v>
      </c>
      <c r="F552" s="5">
        <v>1</v>
      </c>
      <c r="G552" s="6">
        <v>17.66</v>
      </c>
      <c r="H552" s="6">
        <v>17.66</v>
      </c>
      <c r="I552" s="6">
        <v>1.77</v>
      </c>
      <c r="J552" s="6">
        <v>15.89</v>
      </c>
      <c r="K552" s="5">
        <v>116</v>
      </c>
      <c r="L552" s="13" t="str">
        <f t="shared" si="16"/>
        <v>Discount Applied</v>
      </c>
      <c r="M552" s="13" t="str">
        <f t="shared" si="17"/>
        <v>Bronze</v>
      </c>
      <c r="N552" s="13"/>
    </row>
    <row r="553" spans="1:14" x14ac:dyDescent="0.3">
      <c r="A553" s="3">
        <v>8460</v>
      </c>
      <c r="B553" s="3" t="s">
        <v>24</v>
      </c>
      <c r="C553" s="4">
        <v>45511</v>
      </c>
      <c r="D553" s="3" t="s">
        <v>45</v>
      </c>
      <c r="E553" s="3" t="s">
        <v>32</v>
      </c>
      <c r="F553" s="5">
        <v>4</v>
      </c>
      <c r="G553" s="6">
        <v>10.17</v>
      </c>
      <c r="H553" s="6">
        <v>40.68</v>
      </c>
      <c r="I553" s="6">
        <v>1.02</v>
      </c>
      <c r="J553" s="6">
        <v>39.659999999999997</v>
      </c>
      <c r="K553" s="5">
        <v>199</v>
      </c>
      <c r="L553" s="13" t="str">
        <f t="shared" si="16"/>
        <v>Discount Applied</v>
      </c>
      <c r="M553" s="13" t="str">
        <f t="shared" si="17"/>
        <v>Silver</v>
      </c>
      <c r="N553" s="13"/>
    </row>
    <row r="554" spans="1:14" x14ac:dyDescent="0.3">
      <c r="A554" s="3">
        <v>6272</v>
      </c>
      <c r="B554" s="3" t="s">
        <v>11</v>
      </c>
      <c r="C554" s="4">
        <v>45499</v>
      </c>
      <c r="D554" s="3" t="s">
        <v>28</v>
      </c>
      <c r="E554" s="3" t="s">
        <v>40</v>
      </c>
      <c r="F554" s="5">
        <v>1</v>
      </c>
      <c r="G554" s="6">
        <v>11.36</v>
      </c>
      <c r="H554" s="6">
        <v>11.36</v>
      </c>
      <c r="I554" s="6">
        <v>1.7</v>
      </c>
      <c r="J554" s="6">
        <v>9.66</v>
      </c>
      <c r="K554" s="5">
        <v>257</v>
      </c>
      <c r="L554" s="13" t="str">
        <f t="shared" si="16"/>
        <v>Discount Applied</v>
      </c>
      <c r="M554" s="13" t="str">
        <f t="shared" si="17"/>
        <v>Bronze</v>
      </c>
      <c r="N554" s="13"/>
    </row>
    <row r="555" spans="1:14" x14ac:dyDescent="0.3">
      <c r="A555" s="3">
        <v>4090</v>
      </c>
      <c r="B555" s="3" t="s">
        <v>30</v>
      </c>
      <c r="C555" s="4">
        <v>45442</v>
      </c>
      <c r="D555" s="3" t="s">
        <v>28</v>
      </c>
      <c r="E555" s="3" t="s">
        <v>43</v>
      </c>
      <c r="F555" s="5">
        <v>3</v>
      </c>
      <c r="G555" s="6">
        <v>23.18</v>
      </c>
      <c r="H555" s="6">
        <v>69.540000000000006</v>
      </c>
      <c r="I555" s="6">
        <v>6.95</v>
      </c>
      <c r="J555" s="6">
        <v>62.59</v>
      </c>
      <c r="K555" s="5">
        <v>224</v>
      </c>
      <c r="L555" s="13" t="str">
        <f t="shared" si="16"/>
        <v>Discount Applied</v>
      </c>
      <c r="M555" s="13" t="str">
        <f t="shared" si="17"/>
        <v>Gold</v>
      </c>
      <c r="N555" s="13"/>
    </row>
    <row r="556" spans="1:14" x14ac:dyDescent="0.3">
      <c r="A556" s="3">
        <v>4912</v>
      </c>
      <c r="B556" s="3" t="s">
        <v>31</v>
      </c>
      <c r="C556" s="4">
        <v>45861</v>
      </c>
      <c r="D556" s="3" t="s">
        <v>45</v>
      </c>
      <c r="E556" s="3" t="s">
        <v>29</v>
      </c>
      <c r="F556" s="5">
        <v>5</v>
      </c>
      <c r="G556" s="6">
        <v>7.37</v>
      </c>
      <c r="H556" s="6">
        <v>36.85</v>
      </c>
      <c r="I556" s="6">
        <v>2.1800000000000002</v>
      </c>
      <c r="J556" s="6">
        <v>34.67</v>
      </c>
      <c r="K556" s="5">
        <v>382</v>
      </c>
      <c r="L556" s="13" t="str">
        <f t="shared" si="16"/>
        <v>Discount Applied</v>
      </c>
      <c r="M556" s="13" t="str">
        <f t="shared" si="17"/>
        <v>Silver</v>
      </c>
      <c r="N556" s="13"/>
    </row>
    <row r="557" spans="1:14" x14ac:dyDescent="0.3">
      <c r="A557" s="3">
        <v>7274</v>
      </c>
      <c r="B557" s="3" t="s">
        <v>19</v>
      </c>
      <c r="C557" s="4">
        <v>45724</v>
      </c>
      <c r="D557" s="3" t="s">
        <v>35</v>
      </c>
      <c r="E557" s="3" t="s">
        <v>23</v>
      </c>
      <c r="F557" s="5">
        <v>1</v>
      </c>
      <c r="G557" s="6">
        <v>17.04</v>
      </c>
      <c r="H557" s="6">
        <v>17.04</v>
      </c>
      <c r="I557" s="6">
        <v>1.17</v>
      </c>
      <c r="J557" s="6">
        <v>15.87</v>
      </c>
      <c r="K557" s="5">
        <v>284</v>
      </c>
      <c r="L557" s="13" t="str">
        <f t="shared" si="16"/>
        <v>Discount Applied</v>
      </c>
      <c r="M557" s="13" t="str">
        <f t="shared" si="17"/>
        <v>Bronze</v>
      </c>
      <c r="N557" s="13"/>
    </row>
    <row r="558" spans="1:14" x14ac:dyDescent="0.3">
      <c r="A558" s="3">
        <v>7730</v>
      </c>
      <c r="B558" s="3" t="s">
        <v>24</v>
      </c>
      <c r="C558" s="4">
        <v>45816</v>
      </c>
      <c r="D558" s="3" t="s">
        <v>38</v>
      </c>
      <c r="E558" s="3" t="s">
        <v>18</v>
      </c>
      <c r="F558" s="5">
        <v>1</v>
      </c>
      <c r="G558" s="6">
        <v>9.83</v>
      </c>
      <c r="H558" s="6">
        <v>9.83</v>
      </c>
      <c r="I558" s="6">
        <v>1.97</v>
      </c>
      <c r="J558" s="6">
        <v>7.86</v>
      </c>
      <c r="K558" s="5">
        <v>383</v>
      </c>
      <c r="L558" s="13" t="str">
        <f t="shared" si="16"/>
        <v>Discount Applied</v>
      </c>
      <c r="M558" s="13" t="str">
        <f t="shared" si="17"/>
        <v>Bronze</v>
      </c>
      <c r="N558" s="13"/>
    </row>
    <row r="559" spans="1:14" x14ac:dyDescent="0.3">
      <c r="A559" s="3">
        <v>6213</v>
      </c>
      <c r="B559" s="3" t="s">
        <v>24</v>
      </c>
      <c r="C559" s="4">
        <v>45359</v>
      </c>
      <c r="D559" s="3" t="s">
        <v>27</v>
      </c>
      <c r="E559" s="3" t="s">
        <v>46</v>
      </c>
      <c r="F559" s="5">
        <v>2</v>
      </c>
      <c r="G559" s="6">
        <v>5.66</v>
      </c>
      <c r="H559" s="6">
        <v>11.32</v>
      </c>
      <c r="I559" s="6">
        <v>2.2599999999999998</v>
      </c>
      <c r="J559" s="6">
        <v>9.06</v>
      </c>
      <c r="K559" s="5">
        <v>113</v>
      </c>
      <c r="L559" s="13" t="str">
        <f t="shared" si="16"/>
        <v>Discount Applied</v>
      </c>
      <c r="M559" s="13" t="str">
        <f t="shared" si="17"/>
        <v>Bronze</v>
      </c>
      <c r="N559" s="13"/>
    </row>
    <row r="560" spans="1:14" x14ac:dyDescent="0.3">
      <c r="A560" s="3">
        <v>7246</v>
      </c>
      <c r="B560" s="3" t="s">
        <v>11</v>
      </c>
      <c r="C560" s="4">
        <v>45408</v>
      </c>
      <c r="D560" s="3" t="s">
        <v>34</v>
      </c>
      <c r="E560" s="3" t="s">
        <v>40</v>
      </c>
      <c r="F560" s="5">
        <v>5</v>
      </c>
      <c r="G560" s="6">
        <v>14.37</v>
      </c>
      <c r="H560" s="6">
        <v>71.849999999999994</v>
      </c>
      <c r="I560" s="6">
        <v>10.78</v>
      </c>
      <c r="J560" s="6">
        <v>61.07</v>
      </c>
      <c r="K560" s="5">
        <v>281</v>
      </c>
      <c r="L560" s="13" t="str">
        <f t="shared" si="16"/>
        <v>Discount Applied</v>
      </c>
      <c r="M560" s="13" t="str">
        <f t="shared" si="17"/>
        <v>Gold</v>
      </c>
      <c r="N560" s="13"/>
    </row>
    <row r="561" spans="1:14" x14ac:dyDescent="0.3">
      <c r="A561" s="3">
        <v>3492</v>
      </c>
      <c r="B561" s="3" t="s">
        <v>11</v>
      </c>
      <c r="C561" s="4">
        <v>45352</v>
      </c>
      <c r="D561" s="3" t="s">
        <v>35</v>
      </c>
      <c r="E561" s="3" t="s">
        <v>48</v>
      </c>
      <c r="F561" s="5">
        <v>2</v>
      </c>
      <c r="G561" s="6">
        <v>22.03</v>
      </c>
      <c r="H561" s="6">
        <v>44.06</v>
      </c>
      <c r="I561" s="6">
        <v>6.61</v>
      </c>
      <c r="J561" s="6">
        <v>37.450000000000003</v>
      </c>
      <c r="K561" s="5">
        <v>249</v>
      </c>
      <c r="L561" s="13" t="str">
        <f t="shared" si="16"/>
        <v>Discount Applied</v>
      </c>
      <c r="M561" s="13" t="str">
        <f t="shared" si="17"/>
        <v>Silver</v>
      </c>
      <c r="N561" s="13"/>
    </row>
    <row r="562" spans="1:14" x14ac:dyDescent="0.3">
      <c r="A562" s="3">
        <v>1606</v>
      </c>
      <c r="B562" s="3" t="s">
        <v>19</v>
      </c>
      <c r="C562" s="4">
        <v>45364</v>
      </c>
      <c r="D562" s="3" t="s">
        <v>27</v>
      </c>
      <c r="E562" s="3" t="s">
        <v>25</v>
      </c>
      <c r="F562" s="5">
        <v>1</v>
      </c>
      <c r="G562" s="6">
        <v>9.26</v>
      </c>
      <c r="H562" s="6">
        <v>9.26</v>
      </c>
      <c r="I562" s="6">
        <v>1.39</v>
      </c>
      <c r="J562" s="6">
        <v>7.87</v>
      </c>
      <c r="K562" s="5">
        <v>35</v>
      </c>
      <c r="L562" s="13" t="str">
        <f t="shared" si="16"/>
        <v>Discount Applied</v>
      </c>
      <c r="M562" s="13" t="str">
        <f t="shared" si="17"/>
        <v>Bronze</v>
      </c>
      <c r="N562" s="13"/>
    </row>
    <row r="563" spans="1:14" x14ac:dyDescent="0.3">
      <c r="A563" s="3">
        <v>9229</v>
      </c>
      <c r="B563" s="3" t="s">
        <v>26</v>
      </c>
      <c r="C563" s="4">
        <v>45795</v>
      </c>
      <c r="D563" s="3" t="s">
        <v>45</v>
      </c>
      <c r="E563" s="3" t="s">
        <v>21</v>
      </c>
      <c r="F563" s="5">
        <v>5</v>
      </c>
      <c r="G563" s="6">
        <v>20.11</v>
      </c>
      <c r="H563" s="6">
        <v>100.55</v>
      </c>
      <c r="I563" s="6">
        <v>3.27</v>
      </c>
      <c r="J563" s="6">
        <v>97.28</v>
      </c>
      <c r="K563" s="5">
        <v>355</v>
      </c>
      <c r="L563" s="13" t="str">
        <f t="shared" si="16"/>
        <v>Discount Applied</v>
      </c>
      <c r="M563" s="13" t="str">
        <f t="shared" si="17"/>
        <v>Platinum</v>
      </c>
      <c r="N563" s="13"/>
    </row>
    <row r="564" spans="1:14" x14ac:dyDescent="0.3">
      <c r="A564" s="3">
        <v>6439</v>
      </c>
      <c r="B564" s="3" t="s">
        <v>36</v>
      </c>
      <c r="C564" s="4">
        <v>45817</v>
      </c>
      <c r="D564" s="3" t="s">
        <v>20</v>
      </c>
      <c r="E564" s="3" t="s">
        <v>29</v>
      </c>
      <c r="F564" s="5">
        <v>1</v>
      </c>
      <c r="G564" s="6">
        <v>10.07</v>
      </c>
      <c r="H564" s="6">
        <v>10.07</v>
      </c>
      <c r="I564" s="6">
        <v>0</v>
      </c>
      <c r="J564" s="6">
        <v>10.07</v>
      </c>
      <c r="K564" s="5">
        <v>402</v>
      </c>
      <c r="L564" s="13" t="str">
        <f t="shared" si="16"/>
        <v>No Discount</v>
      </c>
      <c r="M564" s="13" t="str">
        <f t="shared" si="17"/>
        <v>Bronze</v>
      </c>
      <c r="N564" s="13"/>
    </row>
    <row r="565" spans="1:14" x14ac:dyDescent="0.3">
      <c r="A565" s="3">
        <v>2644</v>
      </c>
      <c r="B565" s="3" t="s">
        <v>24</v>
      </c>
      <c r="C565" s="4">
        <v>45491</v>
      </c>
      <c r="D565" s="3" t="s">
        <v>35</v>
      </c>
      <c r="E565" s="3" t="s">
        <v>23</v>
      </c>
      <c r="F565" s="5">
        <v>2</v>
      </c>
      <c r="G565" s="6">
        <v>20.7</v>
      </c>
      <c r="H565" s="6">
        <v>41.4</v>
      </c>
      <c r="I565" s="6">
        <v>4.1399999999999997</v>
      </c>
      <c r="J565" s="6">
        <v>37.26</v>
      </c>
      <c r="K565" s="5">
        <v>169</v>
      </c>
      <c r="L565" s="13" t="str">
        <f t="shared" si="16"/>
        <v>Discount Applied</v>
      </c>
      <c r="M565" s="13" t="str">
        <f t="shared" si="17"/>
        <v>Silver</v>
      </c>
      <c r="N565" s="13"/>
    </row>
    <row r="566" spans="1:14" x14ac:dyDescent="0.3">
      <c r="A566" s="3">
        <v>8213</v>
      </c>
      <c r="B566" s="3" t="s">
        <v>26</v>
      </c>
      <c r="C566" s="4">
        <v>45521</v>
      </c>
      <c r="D566" s="3" t="s">
        <v>22</v>
      </c>
      <c r="E566" s="3" t="s">
        <v>37</v>
      </c>
      <c r="F566" s="5">
        <v>4</v>
      </c>
      <c r="G566" s="6">
        <v>16.989999999999998</v>
      </c>
      <c r="H566" s="6">
        <v>67.959999999999994</v>
      </c>
      <c r="I566" s="6">
        <v>10.19</v>
      </c>
      <c r="J566" s="6">
        <v>57.77</v>
      </c>
      <c r="K566" s="5">
        <v>89</v>
      </c>
      <c r="L566" s="13" t="str">
        <f t="shared" si="16"/>
        <v>Discount Applied</v>
      </c>
      <c r="M566" s="13" t="str">
        <f t="shared" si="17"/>
        <v>Gold</v>
      </c>
      <c r="N566" s="13"/>
    </row>
    <row r="567" spans="1:14" x14ac:dyDescent="0.3">
      <c r="A567" s="3">
        <v>9617</v>
      </c>
      <c r="B567" s="3" t="s">
        <v>19</v>
      </c>
      <c r="C567" s="4">
        <v>45403</v>
      </c>
      <c r="D567" s="3" t="s">
        <v>38</v>
      </c>
      <c r="E567" s="3" t="s">
        <v>44</v>
      </c>
      <c r="F567" s="5">
        <v>3</v>
      </c>
      <c r="G567" s="6">
        <v>22.26</v>
      </c>
      <c r="H567" s="6">
        <v>66.78</v>
      </c>
      <c r="I567" s="6">
        <v>0</v>
      </c>
      <c r="J567" s="6">
        <v>66.78</v>
      </c>
      <c r="K567" s="5">
        <v>320</v>
      </c>
      <c r="L567" s="13" t="str">
        <f t="shared" si="16"/>
        <v>No Discount</v>
      </c>
      <c r="M567" s="13" t="str">
        <f t="shared" si="17"/>
        <v>Gold</v>
      </c>
      <c r="N567" s="13"/>
    </row>
    <row r="568" spans="1:14" x14ac:dyDescent="0.3">
      <c r="A568" s="3">
        <v>8486</v>
      </c>
      <c r="B568" s="3" t="s">
        <v>11</v>
      </c>
      <c r="C568" s="4">
        <v>45437</v>
      </c>
      <c r="D568" s="3" t="s">
        <v>12</v>
      </c>
      <c r="E568" s="3" t="s">
        <v>46</v>
      </c>
      <c r="F568" s="5">
        <v>1</v>
      </c>
      <c r="G568" s="6">
        <v>24.56</v>
      </c>
      <c r="H568" s="6">
        <v>24.56</v>
      </c>
      <c r="I568" s="6">
        <v>1.85</v>
      </c>
      <c r="J568" s="6">
        <v>22.71</v>
      </c>
      <c r="K568" s="5">
        <v>296</v>
      </c>
      <c r="L568" s="13" t="str">
        <f t="shared" si="16"/>
        <v>Discount Applied</v>
      </c>
      <c r="M568" s="13" t="str">
        <f t="shared" si="17"/>
        <v>Silver</v>
      </c>
      <c r="N568" s="13"/>
    </row>
    <row r="569" spans="1:14" x14ac:dyDescent="0.3">
      <c r="A569" s="3">
        <v>3361</v>
      </c>
      <c r="B569" s="3" t="s">
        <v>31</v>
      </c>
      <c r="C569" s="4">
        <v>45869</v>
      </c>
      <c r="D569" s="3" t="s">
        <v>38</v>
      </c>
      <c r="E569" s="3" t="s">
        <v>13</v>
      </c>
      <c r="F569" s="5">
        <v>5</v>
      </c>
      <c r="G569" s="6">
        <v>26.92</v>
      </c>
      <c r="H569" s="6">
        <v>134.6</v>
      </c>
      <c r="I569" s="6">
        <v>0</v>
      </c>
      <c r="J569" s="6">
        <v>134.6</v>
      </c>
      <c r="K569" s="5">
        <v>276</v>
      </c>
      <c r="L569" s="13" t="str">
        <f t="shared" si="16"/>
        <v>No Discount</v>
      </c>
      <c r="M569" s="13" t="str">
        <f t="shared" si="17"/>
        <v>Platinum</v>
      </c>
      <c r="N569" s="13"/>
    </row>
    <row r="570" spans="1:14" x14ac:dyDescent="0.3">
      <c r="A570" s="3">
        <v>3529</v>
      </c>
      <c r="B570" s="3" t="s">
        <v>19</v>
      </c>
      <c r="C570" s="4">
        <v>45820</v>
      </c>
      <c r="D570" s="3" t="s">
        <v>22</v>
      </c>
      <c r="E570" s="3" t="s">
        <v>32</v>
      </c>
      <c r="F570" s="5">
        <v>2</v>
      </c>
      <c r="G570" s="6">
        <v>26.84</v>
      </c>
      <c r="H570" s="6">
        <v>53.68</v>
      </c>
      <c r="I570" s="6">
        <v>10.74</v>
      </c>
      <c r="J570" s="6">
        <v>42.94</v>
      </c>
      <c r="K570" s="5">
        <v>301</v>
      </c>
      <c r="L570" s="13" t="str">
        <f t="shared" si="16"/>
        <v>Discount Applied</v>
      </c>
      <c r="M570" s="13" t="str">
        <f t="shared" si="17"/>
        <v>Silver</v>
      </c>
      <c r="N570" s="13"/>
    </row>
    <row r="571" spans="1:14" x14ac:dyDescent="0.3">
      <c r="A571" s="3">
        <v>8692</v>
      </c>
      <c r="B571" s="3" t="s">
        <v>26</v>
      </c>
      <c r="C571" s="4">
        <v>45686</v>
      </c>
      <c r="D571" s="3" t="s">
        <v>38</v>
      </c>
      <c r="E571" s="3" t="s">
        <v>46</v>
      </c>
      <c r="F571" s="5">
        <v>1</v>
      </c>
      <c r="G571" s="6">
        <v>12.5</v>
      </c>
      <c r="H571" s="6">
        <v>12.5</v>
      </c>
      <c r="I571" s="6">
        <v>0</v>
      </c>
      <c r="J571" s="6">
        <v>12.5</v>
      </c>
      <c r="K571" s="5">
        <v>257</v>
      </c>
      <c r="L571" s="13" t="str">
        <f t="shared" si="16"/>
        <v>No Discount</v>
      </c>
      <c r="M571" s="13" t="str">
        <f t="shared" si="17"/>
        <v>Bronze</v>
      </c>
      <c r="N571" s="13"/>
    </row>
    <row r="572" spans="1:14" x14ac:dyDescent="0.3">
      <c r="A572" s="3">
        <v>5342</v>
      </c>
      <c r="B572" s="3" t="s">
        <v>42</v>
      </c>
      <c r="C572" s="4">
        <v>45589</v>
      </c>
      <c r="D572" s="3" t="s">
        <v>28</v>
      </c>
      <c r="E572" s="3" t="s">
        <v>29</v>
      </c>
      <c r="F572" s="5">
        <v>5</v>
      </c>
      <c r="G572" s="6">
        <v>5.0599999999999996</v>
      </c>
      <c r="H572" s="6">
        <v>25.3</v>
      </c>
      <c r="I572" s="6">
        <v>4.79</v>
      </c>
      <c r="J572" s="6">
        <v>20.51</v>
      </c>
      <c r="K572" s="5">
        <v>81</v>
      </c>
      <c r="L572" s="13" t="str">
        <f t="shared" si="16"/>
        <v>Discount Applied</v>
      </c>
      <c r="M572" s="13" t="str">
        <f t="shared" si="17"/>
        <v>Silver</v>
      </c>
      <c r="N572" s="13"/>
    </row>
    <row r="573" spans="1:14" x14ac:dyDescent="0.3">
      <c r="A573" s="3">
        <v>7512</v>
      </c>
      <c r="B573" s="3" t="s">
        <v>19</v>
      </c>
      <c r="C573" s="4">
        <v>45326</v>
      </c>
      <c r="D573" s="3" t="s">
        <v>45</v>
      </c>
      <c r="E573" s="3" t="s">
        <v>23</v>
      </c>
      <c r="F573" s="5">
        <v>1</v>
      </c>
      <c r="G573" s="6">
        <v>7.34</v>
      </c>
      <c r="H573" s="6">
        <v>7.34</v>
      </c>
      <c r="I573" s="6">
        <v>2.06</v>
      </c>
      <c r="J573" s="6">
        <v>5.28</v>
      </c>
      <c r="K573" s="5">
        <v>249</v>
      </c>
      <c r="L573" s="13" t="str">
        <f t="shared" si="16"/>
        <v>Discount Applied</v>
      </c>
      <c r="M573" s="13" t="str">
        <f t="shared" si="17"/>
        <v>Bronze</v>
      </c>
      <c r="N573" s="13"/>
    </row>
    <row r="574" spans="1:14" x14ac:dyDescent="0.3">
      <c r="A574" s="3">
        <v>2315</v>
      </c>
      <c r="B574" s="3" t="s">
        <v>42</v>
      </c>
      <c r="C574" s="4">
        <v>45178</v>
      </c>
      <c r="D574" s="3" t="s">
        <v>12</v>
      </c>
      <c r="E574" s="3" t="s">
        <v>44</v>
      </c>
      <c r="F574" s="5">
        <v>5</v>
      </c>
      <c r="G574" s="6">
        <v>27.31</v>
      </c>
      <c r="H574" s="6">
        <v>136.55000000000001</v>
      </c>
      <c r="I574" s="6">
        <v>13.66</v>
      </c>
      <c r="J574" s="6">
        <v>122.89</v>
      </c>
      <c r="K574" s="5">
        <v>184</v>
      </c>
      <c r="L574" s="13" t="str">
        <f t="shared" si="16"/>
        <v>Discount Applied</v>
      </c>
      <c r="M574" s="13" t="str">
        <f t="shared" si="17"/>
        <v>Platinum</v>
      </c>
      <c r="N574" s="13"/>
    </row>
    <row r="575" spans="1:14" x14ac:dyDescent="0.3">
      <c r="A575" s="3">
        <v>6383</v>
      </c>
      <c r="B575" s="3" t="s">
        <v>26</v>
      </c>
      <c r="C575" s="4">
        <v>45723</v>
      </c>
      <c r="D575" s="3" t="s">
        <v>12</v>
      </c>
      <c r="E575" s="3" t="s">
        <v>40</v>
      </c>
      <c r="F575" s="5">
        <v>3</v>
      </c>
      <c r="G575" s="6">
        <v>3.98</v>
      </c>
      <c r="H575" s="6">
        <v>11.94</v>
      </c>
      <c r="I575" s="6">
        <v>0</v>
      </c>
      <c r="J575" s="6">
        <v>11.94</v>
      </c>
      <c r="K575" s="5">
        <v>495</v>
      </c>
      <c r="L575" s="13" t="str">
        <f t="shared" si="16"/>
        <v>No Discount</v>
      </c>
      <c r="M575" s="13" t="str">
        <f t="shared" si="17"/>
        <v>Bronze</v>
      </c>
      <c r="N575" s="13"/>
    </row>
    <row r="576" spans="1:14" x14ac:dyDescent="0.3">
      <c r="A576" s="3">
        <v>9742</v>
      </c>
      <c r="B576" s="3" t="s">
        <v>30</v>
      </c>
      <c r="C576" s="4">
        <v>45692</v>
      </c>
      <c r="D576" s="3" t="s">
        <v>28</v>
      </c>
      <c r="E576" s="3" t="s">
        <v>18</v>
      </c>
      <c r="F576" s="5">
        <v>5</v>
      </c>
      <c r="G576" s="6">
        <v>6.03</v>
      </c>
      <c r="H576" s="6">
        <v>30.15</v>
      </c>
      <c r="I576" s="6">
        <v>4.5199999999999996</v>
      </c>
      <c r="J576" s="6">
        <v>25.63</v>
      </c>
      <c r="K576" s="5">
        <v>334</v>
      </c>
      <c r="L576" s="13" t="str">
        <f t="shared" si="16"/>
        <v>Discount Applied</v>
      </c>
      <c r="M576" s="13" t="str">
        <f t="shared" si="17"/>
        <v>Silver</v>
      </c>
      <c r="N576" s="13"/>
    </row>
    <row r="577" spans="1:14" x14ac:dyDescent="0.3">
      <c r="A577" s="3">
        <v>6188</v>
      </c>
      <c r="B577" s="3" t="s">
        <v>11</v>
      </c>
      <c r="C577" s="4">
        <v>45444</v>
      </c>
      <c r="D577" s="3" t="s">
        <v>38</v>
      </c>
      <c r="E577" s="3" t="s">
        <v>13</v>
      </c>
      <c r="F577" s="5">
        <v>4</v>
      </c>
      <c r="G577" s="6">
        <v>29.2</v>
      </c>
      <c r="H577" s="6">
        <v>116.8</v>
      </c>
      <c r="I577" s="6">
        <v>17.52</v>
      </c>
      <c r="J577" s="6">
        <v>99.28</v>
      </c>
      <c r="K577" s="5">
        <v>114</v>
      </c>
      <c r="L577" s="13" t="str">
        <f t="shared" si="16"/>
        <v>Discount Applied</v>
      </c>
      <c r="M577" s="13" t="str">
        <f t="shared" si="17"/>
        <v>Platinum</v>
      </c>
      <c r="N577" s="13"/>
    </row>
    <row r="578" spans="1:14" x14ac:dyDescent="0.3">
      <c r="A578" s="3">
        <v>8994</v>
      </c>
      <c r="B578" s="3" t="s">
        <v>36</v>
      </c>
      <c r="C578" s="4">
        <v>45529</v>
      </c>
      <c r="D578" s="3" t="s">
        <v>45</v>
      </c>
      <c r="E578" s="3" t="s">
        <v>47</v>
      </c>
      <c r="F578" s="5">
        <v>5</v>
      </c>
      <c r="G578" s="6">
        <v>1.18</v>
      </c>
      <c r="H578" s="6">
        <v>5.9</v>
      </c>
      <c r="I578" s="6">
        <v>0.59</v>
      </c>
      <c r="J578" s="6">
        <v>5.31</v>
      </c>
      <c r="K578" s="5">
        <v>451</v>
      </c>
      <c r="L578" s="13" t="str">
        <f t="shared" si="16"/>
        <v>Discount Applied</v>
      </c>
      <c r="M578" s="13" t="str">
        <f t="shared" si="17"/>
        <v>Bronze</v>
      </c>
      <c r="N578" s="13"/>
    </row>
    <row r="579" spans="1:14" x14ac:dyDescent="0.3">
      <c r="A579" s="3">
        <v>9864</v>
      </c>
      <c r="B579" s="3" t="s">
        <v>19</v>
      </c>
      <c r="C579" s="4">
        <v>45243</v>
      </c>
      <c r="D579" s="3" t="s">
        <v>17</v>
      </c>
      <c r="E579" s="3" t="s">
        <v>43</v>
      </c>
      <c r="F579" s="5">
        <v>5</v>
      </c>
      <c r="G579" s="6">
        <v>19.649999999999999</v>
      </c>
      <c r="H579" s="6">
        <v>98.25</v>
      </c>
      <c r="I579" s="6">
        <v>19.649999999999999</v>
      </c>
      <c r="J579" s="6">
        <v>78.599999999999994</v>
      </c>
      <c r="K579" s="5">
        <v>108</v>
      </c>
      <c r="L579" s="13" t="str">
        <f t="shared" ref="L579:L642" si="18">IF(I579&gt;0,"Discount Applied","No Discount")</f>
        <v>Discount Applied</v>
      </c>
      <c r="M579" s="13" t="str">
        <f t="shared" ref="M579:M642" si="19">IF(J579 &gt;= 70, "Platinum",
   IF(J579 &gt;= 50, "Gold",
      IF(J579 &gt;= 20, "Silver", "Bronze")))</f>
        <v>Platinum</v>
      </c>
      <c r="N579" s="13"/>
    </row>
    <row r="580" spans="1:14" x14ac:dyDescent="0.3">
      <c r="A580" s="3">
        <v>2121</v>
      </c>
      <c r="B580" s="3" t="s">
        <v>19</v>
      </c>
      <c r="C580" s="4">
        <v>45603</v>
      </c>
      <c r="D580" s="3" t="s">
        <v>22</v>
      </c>
      <c r="E580" s="3" t="s">
        <v>48</v>
      </c>
      <c r="F580" s="5">
        <v>2</v>
      </c>
      <c r="G580" s="6">
        <v>13.01</v>
      </c>
      <c r="H580" s="6">
        <v>26.02</v>
      </c>
      <c r="I580" s="6">
        <v>2.6</v>
      </c>
      <c r="J580" s="6">
        <v>23.42</v>
      </c>
      <c r="K580" s="5">
        <v>169</v>
      </c>
      <c r="L580" s="13" t="str">
        <f t="shared" si="18"/>
        <v>Discount Applied</v>
      </c>
      <c r="M580" s="13" t="str">
        <f t="shared" si="19"/>
        <v>Silver</v>
      </c>
      <c r="N580" s="13"/>
    </row>
    <row r="581" spans="1:14" x14ac:dyDescent="0.3">
      <c r="A581" s="3">
        <v>5708</v>
      </c>
      <c r="B581" s="3" t="s">
        <v>26</v>
      </c>
      <c r="C581" s="4">
        <v>45820</v>
      </c>
      <c r="D581" s="3" t="s">
        <v>45</v>
      </c>
      <c r="E581" s="3" t="s">
        <v>44</v>
      </c>
      <c r="F581" s="5">
        <v>5</v>
      </c>
      <c r="G581" s="6">
        <v>5.67</v>
      </c>
      <c r="H581" s="6">
        <v>28.35</v>
      </c>
      <c r="I581" s="6">
        <v>1.97</v>
      </c>
      <c r="J581" s="6">
        <v>26.38</v>
      </c>
      <c r="K581" s="5">
        <v>426</v>
      </c>
      <c r="L581" s="13" t="str">
        <f t="shared" si="18"/>
        <v>Discount Applied</v>
      </c>
      <c r="M581" s="13" t="str">
        <f t="shared" si="19"/>
        <v>Silver</v>
      </c>
      <c r="N581" s="13"/>
    </row>
    <row r="582" spans="1:14" x14ac:dyDescent="0.3">
      <c r="A582" s="3">
        <v>2480</v>
      </c>
      <c r="B582" s="3" t="s">
        <v>19</v>
      </c>
      <c r="C582" s="4">
        <v>45824</v>
      </c>
      <c r="D582" s="3" t="s">
        <v>28</v>
      </c>
      <c r="E582" s="3" t="s">
        <v>29</v>
      </c>
      <c r="F582" s="5">
        <v>2</v>
      </c>
      <c r="G582" s="6">
        <v>19.25</v>
      </c>
      <c r="H582" s="6">
        <v>38.5</v>
      </c>
      <c r="I582" s="6">
        <v>1.67</v>
      </c>
      <c r="J582" s="6">
        <v>36.83</v>
      </c>
      <c r="K582" s="5">
        <v>20</v>
      </c>
      <c r="L582" s="13" t="str">
        <f t="shared" si="18"/>
        <v>Discount Applied</v>
      </c>
      <c r="M582" s="13" t="str">
        <f t="shared" si="19"/>
        <v>Silver</v>
      </c>
      <c r="N582" s="13"/>
    </row>
    <row r="583" spans="1:14" x14ac:dyDescent="0.3">
      <c r="A583" s="3">
        <v>2646</v>
      </c>
      <c r="B583" s="3" t="s">
        <v>19</v>
      </c>
      <c r="C583" s="4">
        <v>45222</v>
      </c>
      <c r="D583" s="3" t="s">
        <v>38</v>
      </c>
      <c r="E583" s="3" t="s">
        <v>32</v>
      </c>
      <c r="F583" s="5">
        <v>5</v>
      </c>
      <c r="G583" s="6">
        <v>29.1</v>
      </c>
      <c r="H583" s="6">
        <v>145.5</v>
      </c>
      <c r="I583" s="6">
        <v>0</v>
      </c>
      <c r="J583" s="6">
        <v>145.5</v>
      </c>
      <c r="K583" s="5">
        <v>326</v>
      </c>
      <c r="L583" s="13" t="str">
        <f t="shared" si="18"/>
        <v>No Discount</v>
      </c>
      <c r="M583" s="13" t="str">
        <f t="shared" si="19"/>
        <v>Platinum</v>
      </c>
      <c r="N583" s="13"/>
    </row>
    <row r="584" spans="1:14" x14ac:dyDescent="0.3">
      <c r="A584" s="3">
        <v>3725</v>
      </c>
      <c r="B584" s="3" t="s">
        <v>30</v>
      </c>
      <c r="C584" s="4">
        <v>45852</v>
      </c>
      <c r="D584" s="3" t="s">
        <v>15</v>
      </c>
      <c r="E584" s="3" t="s">
        <v>44</v>
      </c>
      <c r="F584" s="5">
        <v>4</v>
      </c>
      <c r="G584" s="6">
        <v>18.579999999999998</v>
      </c>
      <c r="H584" s="6">
        <v>74.319999999999993</v>
      </c>
      <c r="I584" s="6">
        <v>14.86</v>
      </c>
      <c r="J584" s="6">
        <v>59.46</v>
      </c>
      <c r="K584" s="5">
        <v>241</v>
      </c>
      <c r="L584" s="13" t="str">
        <f t="shared" si="18"/>
        <v>Discount Applied</v>
      </c>
      <c r="M584" s="13" t="str">
        <f t="shared" si="19"/>
        <v>Gold</v>
      </c>
      <c r="N584" s="13"/>
    </row>
    <row r="585" spans="1:14" x14ac:dyDescent="0.3">
      <c r="A585" s="3">
        <v>5906</v>
      </c>
      <c r="B585" s="3" t="s">
        <v>42</v>
      </c>
      <c r="C585" s="4">
        <v>45156</v>
      </c>
      <c r="D585" s="3" t="s">
        <v>20</v>
      </c>
      <c r="E585" s="3" t="s">
        <v>41</v>
      </c>
      <c r="F585" s="5">
        <v>5</v>
      </c>
      <c r="G585" s="6">
        <v>24.78</v>
      </c>
      <c r="H585" s="6">
        <v>123.9</v>
      </c>
      <c r="I585" s="6">
        <v>24.78</v>
      </c>
      <c r="J585" s="6">
        <v>99.12</v>
      </c>
      <c r="K585" s="5">
        <v>93</v>
      </c>
      <c r="L585" s="13" t="str">
        <f t="shared" si="18"/>
        <v>Discount Applied</v>
      </c>
      <c r="M585" s="13" t="str">
        <f t="shared" si="19"/>
        <v>Platinum</v>
      </c>
      <c r="N585" s="13"/>
    </row>
    <row r="586" spans="1:14" x14ac:dyDescent="0.3">
      <c r="A586" s="3">
        <v>1474</v>
      </c>
      <c r="B586" s="3" t="s">
        <v>36</v>
      </c>
      <c r="C586" s="4">
        <v>45463</v>
      </c>
      <c r="D586" s="3" t="s">
        <v>45</v>
      </c>
      <c r="E586" s="3" t="s">
        <v>43</v>
      </c>
      <c r="F586" s="5">
        <v>2</v>
      </c>
      <c r="G586" s="6">
        <v>11.96</v>
      </c>
      <c r="H586" s="6">
        <v>23.92</v>
      </c>
      <c r="I586" s="6">
        <v>1.81</v>
      </c>
      <c r="J586" s="6">
        <v>22.11</v>
      </c>
      <c r="K586" s="5">
        <v>67</v>
      </c>
      <c r="L586" s="13" t="str">
        <f t="shared" si="18"/>
        <v>Discount Applied</v>
      </c>
      <c r="M586" s="13" t="str">
        <f t="shared" si="19"/>
        <v>Silver</v>
      </c>
      <c r="N586" s="13"/>
    </row>
    <row r="587" spans="1:14" x14ac:dyDescent="0.3">
      <c r="A587" s="3">
        <v>6314</v>
      </c>
      <c r="B587" s="3" t="s">
        <v>14</v>
      </c>
      <c r="C587" s="4">
        <v>45203</v>
      </c>
      <c r="D587" s="3" t="s">
        <v>27</v>
      </c>
      <c r="E587" s="3" t="s">
        <v>16</v>
      </c>
      <c r="F587" s="5">
        <v>2</v>
      </c>
      <c r="G587" s="6">
        <v>18.55</v>
      </c>
      <c r="H587" s="6">
        <v>37.1</v>
      </c>
      <c r="I587" s="6">
        <v>3.4</v>
      </c>
      <c r="J587" s="6">
        <v>33.700000000000003</v>
      </c>
      <c r="K587" s="5">
        <v>90</v>
      </c>
      <c r="L587" s="13" t="str">
        <f t="shared" si="18"/>
        <v>Discount Applied</v>
      </c>
      <c r="M587" s="13" t="str">
        <f t="shared" si="19"/>
        <v>Silver</v>
      </c>
      <c r="N587" s="13"/>
    </row>
    <row r="588" spans="1:14" x14ac:dyDescent="0.3">
      <c r="A588" s="3">
        <v>1919</v>
      </c>
      <c r="B588" s="3" t="s">
        <v>14</v>
      </c>
      <c r="C588" s="4">
        <v>45752</v>
      </c>
      <c r="D588" s="3" t="s">
        <v>38</v>
      </c>
      <c r="E588" s="3" t="s">
        <v>48</v>
      </c>
      <c r="F588" s="5">
        <v>1</v>
      </c>
      <c r="G588" s="6">
        <v>14.97</v>
      </c>
      <c r="H588" s="6">
        <v>14.97</v>
      </c>
      <c r="I588" s="6">
        <v>0</v>
      </c>
      <c r="J588" s="6">
        <v>14.97</v>
      </c>
      <c r="K588" s="5">
        <v>66</v>
      </c>
      <c r="L588" s="13" t="str">
        <f t="shared" si="18"/>
        <v>No Discount</v>
      </c>
      <c r="M588" s="13" t="str">
        <f t="shared" si="19"/>
        <v>Bronze</v>
      </c>
      <c r="N588" s="13"/>
    </row>
    <row r="589" spans="1:14" x14ac:dyDescent="0.3">
      <c r="A589" s="3">
        <v>6873</v>
      </c>
      <c r="B589" s="3" t="s">
        <v>24</v>
      </c>
      <c r="C589" s="4">
        <v>45407</v>
      </c>
      <c r="D589" s="3" t="s">
        <v>38</v>
      </c>
      <c r="E589" s="3" t="s">
        <v>16</v>
      </c>
      <c r="F589" s="5">
        <v>3</v>
      </c>
      <c r="G589" s="6">
        <v>26.36</v>
      </c>
      <c r="H589" s="6">
        <v>79.08</v>
      </c>
      <c r="I589" s="6">
        <v>15.82</v>
      </c>
      <c r="J589" s="6">
        <v>63.26</v>
      </c>
      <c r="K589" s="5">
        <v>357</v>
      </c>
      <c r="L589" s="13" t="str">
        <f t="shared" si="18"/>
        <v>Discount Applied</v>
      </c>
      <c r="M589" s="13" t="str">
        <f t="shared" si="19"/>
        <v>Gold</v>
      </c>
      <c r="N589" s="13"/>
    </row>
    <row r="590" spans="1:14" x14ac:dyDescent="0.3">
      <c r="A590" s="3">
        <v>8056</v>
      </c>
      <c r="B590" s="3" t="s">
        <v>26</v>
      </c>
      <c r="C590" s="4">
        <v>45649</v>
      </c>
      <c r="D590" s="3" t="s">
        <v>20</v>
      </c>
      <c r="E590" s="3" t="s">
        <v>23</v>
      </c>
      <c r="F590" s="5">
        <v>5</v>
      </c>
      <c r="G590" s="6">
        <v>24.32</v>
      </c>
      <c r="H590" s="6">
        <v>121.6</v>
      </c>
      <c r="I590" s="6">
        <v>12.16</v>
      </c>
      <c r="J590" s="6">
        <v>109.44</v>
      </c>
      <c r="K590" s="5">
        <v>464</v>
      </c>
      <c r="L590" s="13" t="str">
        <f t="shared" si="18"/>
        <v>Discount Applied</v>
      </c>
      <c r="M590" s="13" t="str">
        <f t="shared" si="19"/>
        <v>Platinum</v>
      </c>
      <c r="N590" s="13"/>
    </row>
    <row r="591" spans="1:14" x14ac:dyDescent="0.3">
      <c r="A591" s="3">
        <v>5000</v>
      </c>
      <c r="B591" s="3" t="s">
        <v>19</v>
      </c>
      <c r="C591" s="4">
        <v>45806</v>
      </c>
      <c r="D591" s="3" t="s">
        <v>35</v>
      </c>
      <c r="E591" s="3" t="s">
        <v>47</v>
      </c>
      <c r="F591" s="5">
        <v>2</v>
      </c>
      <c r="G591" s="6">
        <v>27.38</v>
      </c>
      <c r="H591" s="6">
        <v>54.76</v>
      </c>
      <c r="I591" s="6">
        <v>4.51</v>
      </c>
      <c r="J591" s="6">
        <v>50.25</v>
      </c>
      <c r="K591" s="5">
        <v>42</v>
      </c>
      <c r="L591" s="13" t="str">
        <f t="shared" si="18"/>
        <v>Discount Applied</v>
      </c>
      <c r="M591" s="13" t="str">
        <f t="shared" si="19"/>
        <v>Gold</v>
      </c>
      <c r="N591" s="13"/>
    </row>
    <row r="592" spans="1:14" x14ac:dyDescent="0.3">
      <c r="A592" s="3">
        <v>7751</v>
      </c>
      <c r="B592" s="3" t="s">
        <v>24</v>
      </c>
      <c r="C592" s="4">
        <v>45807</v>
      </c>
      <c r="D592" s="3" t="s">
        <v>35</v>
      </c>
      <c r="E592" s="3" t="s">
        <v>44</v>
      </c>
      <c r="F592" s="5">
        <v>1</v>
      </c>
      <c r="G592" s="6">
        <v>21.56</v>
      </c>
      <c r="H592" s="6">
        <v>21.56</v>
      </c>
      <c r="I592" s="6">
        <v>3.09</v>
      </c>
      <c r="J592" s="6">
        <v>18.47</v>
      </c>
      <c r="K592" s="5">
        <v>404</v>
      </c>
      <c r="L592" s="13" t="str">
        <f t="shared" si="18"/>
        <v>Discount Applied</v>
      </c>
      <c r="M592" s="13" t="str">
        <f t="shared" si="19"/>
        <v>Bronze</v>
      </c>
      <c r="N592" s="13"/>
    </row>
    <row r="593" spans="1:14" x14ac:dyDescent="0.3">
      <c r="A593" s="3">
        <v>3950</v>
      </c>
      <c r="B593" s="3" t="s">
        <v>14</v>
      </c>
      <c r="C593" s="4">
        <v>45440</v>
      </c>
      <c r="D593" s="3" t="s">
        <v>12</v>
      </c>
      <c r="E593" s="3" t="s">
        <v>32</v>
      </c>
      <c r="F593" s="5">
        <v>2</v>
      </c>
      <c r="G593" s="6">
        <v>20.94</v>
      </c>
      <c r="H593" s="6">
        <v>41.88</v>
      </c>
      <c r="I593" s="6">
        <v>6.28</v>
      </c>
      <c r="J593" s="6">
        <v>35.6</v>
      </c>
      <c r="K593" s="5">
        <v>161</v>
      </c>
      <c r="L593" s="13" t="str">
        <f t="shared" si="18"/>
        <v>Discount Applied</v>
      </c>
      <c r="M593" s="13" t="str">
        <f t="shared" si="19"/>
        <v>Silver</v>
      </c>
      <c r="N593" s="13"/>
    </row>
    <row r="594" spans="1:14" x14ac:dyDescent="0.3">
      <c r="A594" s="3">
        <v>3868</v>
      </c>
      <c r="B594" s="3" t="s">
        <v>11</v>
      </c>
      <c r="C594" s="4">
        <v>45631</v>
      </c>
      <c r="D594" s="3" t="s">
        <v>34</v>
      </c>
      <c r="E594" s="3" t="s">
        <v>16</v>
      </c>
      <c r="F594" s="5">
        <v>5</v>
      </c>
      <c r="G594" s="6">
        <v>8.35</v>
      </c>
      <c r="H594" s="6">
        <v>41.75</v>
      </c>
      <c r="I594" s="6">
        <v>2.46</v>
      </c>
      <c r="J594" s="6">
        <v>39.29</v>
      </c>
      <c r="K594" s="5">
        <v>437</v>
      </c>
      <c r="L594" s="13" t="str">
        <f t="shared" si="18"/>
        <v>Discount Applied</v>
      </c>
      <c r="M594" s="13" t="str">
        <f t="shared" si="19"/>
        <v>Silver</v>
      </c>
      <c r="N594" s="13"/>
    </row>
    <row r="595" spans="1:14" x14ac:dyDescent="0.3">
      <c r="A595" s="3">
        <v>7267</v>
      </c>
      <c r="B595" s="3" t="s">
        <v>30</v>
      </c>
      <c r="C595" s="4">
        <v>45822</v>
      </c>
      <c r="D595" s="3" t="s">
        <v>27</v>
      </c>
      <c r="E595" s="3" t="s">
        <v>32</v>
      </c>
      <c r="F595" s="5">
        <v>2</v>
      </c>
      <c r="G595" s="6">
        <v>12.97</v>
      </c>
      <c r="H595" s="6">
        <v>25.94</v>
      </c>
      <c r="I595" s="6">
        <v>5.19</v>
      </c>
      <c r="J595" s="6">
        <v>20.75</v>
      </c>
      <c r="K595" s="5">
        <v>401</v>
      </c>
      <c r="L595" s="13" t="str">
        <f t="shared" si="18"/>
        <v>Discount Applied</v>
      </c>
      <c r="M595" s="13" t="str">
        <f t="shared" si="19"/>
        <v>Silver</v>
      </c>
      <c r="N595" s="13"/>
    </row>
    <row r="596" spans="1:14" x14ac:dyDescent="0.3">
      <c r="A596" s="3">
        <v>4945</v>
      </c>
      <c r="B596" s="3" t="s">
        <v>36</v>
      </c>
      <c r="C596" s="4">
        <v>45172</v>
      </c>
      <c r="D596" s="3" t="s">
        <v>38</v>
      </c>
      <c r="E596" s="3" t="s">
        <v>18</v>
      </c>
      <c r="F596" s="5">
        <v>4</v>
      </c>
      <c r="G596" s="6">
        <v>8.35</v>
      </c>
      <c r="H596" s="6">
        <v>33.4</v>
      </c>
      <c r="I596" s="6">
        <v>0</v>
      </c>
      <c r="J596" s="6">
        <v>33.4</v>
      </c>
      <c r="K596" s="5">
        <v>157</v>
      </c>
      <c r="L596" s="13" t="str">
        <f t="shared" si="18"/>
        <v>No Discount</v>
      </c>
      <c r="M596" s="13" t="str">
        <f t="shared" si="19"/>
        <v>Silver</v>
      </c>
      <c r="N596" s="13"/>
    </row>
    <row r="597" spans="1:14" x14ac:dyDescent="0.3">
      <c r="A597" s="3">
        <v>3344</v>
      </c>
      <c r="B597" s="3" t="s">
        <v>24</v>
      </c>
      <c r="C597" s="4">
        <v>45327</v>
      </c>
      <c r="D597" s="3" t="s">
        <v>34</v>
      </c>
      <c r="E597" s="3" t="s">
        <v>48</v>
      </c>
      <c r="F597" s="5">
        <v>2</v>
      </c>
      <c r="G597" s="6">
        <v>13.94</v>
      </c>
      <c r="H597" s="6">
        <v>27.88</v>
      </c>
      <c r="I597" s="6">
        <v>1.86</v>
      </c>
      <c r="J597" s="6">
        <v>26.02</v>
      </c>
      <c r="K597" s="5">
        <v>358</v>
      </c>
      <c r="L597" s="13" t="str">
        <f t="shared" si="18"/>
        <v>Discount Applied</v>
      </c>
      <c r="M597" s="13" t="str">
        <f t="shared" si="19"/>
        <v>Silver</v>
      </c>
      <c r="N597" s="13"/>
    </row>
    <row r="598" spans="1:14" x14ac:dyDescent="0.3">
      <c r="A598" s="3">
        <v>8555</v>
      </c>
      <c r="B598" s="3" t="s">
        <v>24</v>
      </c>
      <c r="C598" s="4">
        <v>45321</v>
      </c>
      <c r="D598" s="3" t="s">
        <v>22</v>
      </c>
      <c r="E598" s="3" t="s">
        <v>18</v>
      </c>
      <c r="F598" s="5">
        <v>5</v>
      </c>
      <c r="G598" s="6">
        <v>21.2</v>
      </c>
      <c r="H598" s="6">
        <v>106</v>
      </c>
      <c r="I598" s="6">
        <v>21.2</v>
      </c>
      <c r="J598" s="6">
        <v>84.8</v>
      </c>
      <c r="K598" s="5">
        <v>361</v>
      </c>
      <c r="L598" s="13" t="str">
        <f t="shared" si="18"/>
        <v>Discount Applied</v>
      </c>
      <c r="M598" s="13" t="str">
        <f t="shared" si="19"/>
        <v>Platinum</v>
      </c>
      <c r="N598" s="13"/>
    </row>
    <row r="599" spans="1:14" x14ac:dyDescent="0.3">
      <c r="A599" s="3">
        <v>5161</v>
      </c>
      <c r="B599" s="3" t="s">
        <v>24</v>
      </c>
      <c r="C599" s="4">
        <v>45482</v>
      </c>
      <c r="D599" s="3" t="s">
        <v>27</v>
      </c>
      <c r="E599" s="3" t="s">
        <v>39</v>
      </c>
      <c r="F599" s="5">
        <v>1</v>
      </c>
      <c r="G599" s="6">
        <v>24.86</v>
      </c>
      <c r="H599" s="6">
        <v>24.86</v>
      </c>
      <c r="I599" s="6">
        <v>1.26</v>
      </c>
      <c r="J599" s="6">
        <v>23.6</v>
      </c>
      <c r="K599" s="5">
        <v>241</v>
      </c>
      <c r="L599" s="13" t="str">
        <f t="shared" si="18"/>
        <v>Discount Applied</v>
      </c>
      <c r="M599" s="13" t="str">
        <f t="shared" si="19"/>
        <v>Silver</v>
      </c>
      <c r="N599" s="13"/>
    </row>
    <row r="600" spans="1:14" x14ac:dyDescent="0.3">
      <c r="A600" s="3">
        <v>5183</v>
      </c>
      <c r="B600" s="3" t="s">
        <v>42</v>
      </c>
      <c r="C600" s="4">
        <v>45735</v>
      </c>
      <c r="D600" s="3" t="s">
        <v>22</v>
      </c>
      <c r="E600" s="3" t="s">
        <v>43</v>
      </c>
      <c r="F600" s="5">
        <v>5</v>
      </c>
      <c r="G600" s="6">
        <v>2.08</v>
      </c>
      <c r="H600" s="6">
        <v>10.4</v>
      </c>
      <c r="I600" s="6">
        <v>3.62</v>
      </c>
      <c r="J600" s="6">
        <v>6.78</v>
      </c>
      <c r="K600" s="5">
        <v>196</v>
      </c>
      <c r="L600" s="13" t="str">
        <f t="shared" si="18"/>
        <v>Discount Applied</v>
      </c>
      <c r="M600" s="13" t="str">
        <f t="shared" si="19"/>
        <v>Bronze</v>
      </c>
      <c r="N600" s="13"/>
    </row>
    <row r="601" spans="1:14" x14ac:dyDescent="0.3">
      <c r="A601" s="3">
        <v>1153</v>
      </c>
      <c r="B601" s="3" t="s">
        <v>30</v>
      </c>
      <c r="C601" s="4">
        <v>45489</v>
      </c>
      <c r="D601" s="3" t="s">
        <v>28</v>
      </c>
      <c r="E601" s="3" t="s">
        <v>40</v>
      </c>
      <c r="F601" s="5">
        <v>2</v>
      </c>
      <c r="G601" s="6">
        <v>19.559999999999999</v>
      </c>
      <c r="H601" s="6">
        <v>39.119999999999997</v>
      </c>
      <c r="I601" s="6">
        <v>7.82</v>
      </c>
      <c r="J601" s="6">
        <v>31.3</v>
      </c>
      <c r="K601" s="5">
        <v>224</v>
      </c>
      <c r="L601" s="13" t="str">
        <f t="shared" si="18"/>
        <v>Discount Applied</v>
      </c>
      <c r="M601" s="13" t="str">
        <f t="shared" si="19"/>
        <v>Silver</v>
      </c>
      <c r="N601" s="13"/>
    </row>
    <row r="602" spans="1:14" x14ac:dyDescent="0.3">
      <c r="A602" s="3">
        <v>8622</v>
      </c>
      <c r="B602" s="3" t="s">
        <v>14</v>
      </c>
      <c r="C602" s="4">
        <v>45684</v>
      </c>
      <c r="D602" s="3" t="s">
        <v>35</v>
      </c>
      <c r="E602" s="3" t="s">
        <v>44</v>
      </c>
      <c r="F602" s="5">
        <v>1</v>
      </c>
      <c r="G602" s="6">
        <v>23.72</v>
      </c>
      <c r="H602" s="6">
        <v>23.72</v>
      </c>
      <c r="I602" s="6">
        <v>1.68</v>
      </c>
      <c r="J602" s="6">
        <v>22.04</v>
      </c>
      <c r="K602" s="5">
        <v>261</v>
      </c>
      <c r="L602" s="13" t="str">
        <f t="shared" si="18"/>
        <v>Discount Applied</v>
      </c>
      <c r="M602" s="13" t="str">
        <f t="shared" si="19"/>
        <v>Silver</v>
      </c>
      <c r="N602" s="13"/>
    </row>
    <row r="603" spans="1:14" x14ac:dyDescent="0.3">
      <c r="A603" s="3">
        <v>5712</v>
      </c>
      <c r="B603" s="3" t="s">
        <v>31</v>
      </c>
      <c r="C603" s="4">
        <v>45846</v>
      </c>
      <c r="D603" s="3" t="s">
        <v>22</v>
      </c>
      <c r="E603" s="3" t="s">
        <v>25</v>
      </c>
      <c r="F603" s="5">
        <v>1</v>
      </c>
      <c r="G603" s="6">
        <v>29.28</v>
      </c>
      <c r="H603" s="6">
        <v>29.28</v>
      </c>
      <c r="I603" s="6">
        <v>2.93</v>
      </c>
      <c r="J603" s="6">
        <v>26.35</v>
      </c>
      <c r="K603" s="5">
        <v>44</v>
      </c>
      <c r="L603" s="13" t="str">
        <f t="shared" si="18"/>
        <v>Discount Applied</v>
      </c>
      <c r="M603" s="13" t="str">
        <f t="shared" si="19"/>
        <v>Silver</v>
      </c>
      <c r="N603" s="13"/>
    </row>
    <row r="604" spans="1:14" x14ac:dyDescent="0.3">
      <c r="A604" s="3">
        <v>9955</v>
      </c>
      <c r="B604" s="3" t="s">
        <v>36</v>
      </c>
      <c r="C604" s="4">
        <v>45180</v>
      </c>
      <c r="D604" s="3" t="s">
        <v>27</v>
      </c>
      <c r="E604" s="3" t="s">
        <v>32</v>
      </c>
      <c r="F604" s="5">
        <v>4</v>
      </c>
      <c r="G604" s="6">
        <v>17.989999999999998</v>
      </c>
      <c r="H604" s="6">
        <v>71.959999999999994</v>
      </c>
      <c r="I604" s="6">
        <v>0</v>
      </c>
      <c r="J604" s="6">
        <v>71.959999999999994</v>
      </c>
      <c r="K604" s="5">
        <v>265</v>
      </c>
      <c r="L604" s="13" t="str">
        <f t="shared" si="18"/>
        <v>No Discount</v>
      </c>
      <c r="M604" s="13" t="str">
        <f t="shared" si="19"/>
        <v>Platinum</v>
      </c>
      <c r="N604" s="13"/>
    </row>
    <row r="605" spans="1:14" x14ac:dyDescent="0.3">
      <c r="A605" s="3">
        <v>2210</v>
      </c>
      <c r="B605" s="3" t="s">
        <v>11</v>
      </c>
      <c r="C605" s="4">
        <v>45763</v>
      </c>
      <c r="D605" s="3" t="s">
        <v>15</v>
      </c>
      <c r="E605" s="3" t="s">
        <v>18</v>
      </c>
      <c r="F605" s="5">
        <v>3</v>
      </c>
      <c r="G605" s="6">
        <v>22.05</v>
      </c>
      <c r="H605" s="6">
        <v>66.150000000000006</v>
      </c>
      <c r="I605" s="6">
        <v>9.92</v>
      </c>
      <c r="J605" s="6">
        <v>56.23</v>
      </c>
      <c r="K605" s="5">
        <v>286</v>
      </c>
      <c r="L605" s="13" t="str">
        <f t="shared" si="18"/>
        <v>Discount Applied</v>
      </c>
      <c r="M605" s="13" t="str">
        <f t="shared" si="19"/>
        <v>Gold</v>
      </c>
      <c r="N605" s="13"/>
    </row>
    <row r="606" spans="1:14" x14ac:dyDescent="0.3">
      <c r="A606" s="3">
        <v>6661</v>
      </c>
      <c r="B606" s="3"/>
      <c r="C606" s="4">
        <v>45372</v>
      </c>
      <c r="D606" s="3" t="s">
        <v>17</v>
      </c>
      <c r="E606" s="3" t="s">
        <v>44</v>
      </c>
      <c r="F606" s="5">
        <v>4</v>
      </c>
      <c r="G606" s="6">
        <v>27.95</v>
      </c>
      <c r="H606" s="6">
        <v>111.8</v>
      </c>
      <c r="I606" s="6">
        <v>16.77</v>
      </c>
      <c r="J606" s="6">
        <v>95.03</v>
      </c>
      <c r="K606" s="5">
        <v>294</v>
      </c>
      <c r="L606" s="13" t="str">
        <f t="shared" si="18"/>
        <v>Discount Applied</v>
      </c>
      <c r="M606" s="13" t="str">
        <f t="shared" si="19"/>
        <v>Platinum</v>
      </c>
      <c r="N606" s="13"/>
    </row>
    <row r="607" spans="1:14" x14ac:dyDescent="0.3">
      <c r="A607" s="3">
        <v>5901</v>
      </c>
      <c r="B607" s="3" t="s">
        <v>19</v>
      </c>
      <c r="C607" s="4">
        <v>45436</v>
      </c>
      <c r="D607" s="3" t="s">
        <v>20</v>
      </c>
      <c r="E607" s="3" t="s">
        <v>46</v>
      </c>
      <c r="F607" s="5">
        <v>1</v>
      </c>
      <c r="G607" s="6">
        <v>17.190000000000001</v>
      </c>
      <c r="H607" s="6">
        <v>17.190000000000001</v>
      </c>
      <c r="I607" s="6">
        <v>2.58</v>
      </c>
      <c r="J607" s="6">
        <v>14.61</v>
      </c>
      <c r="K607" s="5">
        <v>257</v>
      </c>
      <c r="L607" s="13" t="str">
        <f t="shared" si="18"/>
        <v>Discount Applied</v>
      </c>
      <c r="M607" s="13" t="str">
        <f t="shared" si="19"/>
        <v>Bronze</v>
      </c>
      <c r="N607" s="13"/>
    </row>
    <row r="608" spans="1:14" x14ac:dyDescent="0.3">
      <c r="A608" s="3">
        <v>7951</v>
      </c>
      <c r="B608" s="3" t="s">
        <v>11</v>
      </c>
      <c r="C608" s="4">
        <v>45258</v>
      </c>
      <c r="D608" s="3" t="s">
        <v>38</v>
      </c>
      <c r="E608" s="3" t="s">
        <v>13</v>
      </c>
      <c r="F608" s="5">
        <v>5</v>
      </c>
      <c r="G608" s="6">
        <v>24.57</v>
      </c>
      <c r="H608" s="6">
        <v>122.85</v>
      </c>
      <c r="I608" s="6">
        <v>0</v>
      </c>
      <c r="J608" s="6">
        <v>122.85</v>
      </c>
      <c r="K608" s="5">
        <v>294</v>
      </c>
      <c r="L608" s="13" t="str">
        <f t="shared" si="18"/>
        <v>No Discount</v>
      </c>
      <c r="M608" s="13" t="str">
        <f t="shared" si="19"/>
        <v>Platinum</v>
      </c>
      <c r="N608" s="13"/>
    </row>
    <row r="609" spans="1:14" x14ac:dyDescent="0.3">
      <c r="A609" s="3">
        <v>5097</v>
      </c>
      <c r="B609" s="3" t="s">
        <v>26</v>
      </c>
      <c r="C609" s="4">
        <v>45557</v>
      </c>
      <c r="D609" s="3" t="s">
        <v>20</v>
      </c>
      <c r="E609" s="3" t="s">
        <v>47</v>
      </c>
      <c r="F609" s="5">
        <v>2</v>
      </c>
      <c r="G609" s="6">
        <v>22.96</v>
      </c>
      <c r="H609" s="6">
        <v>45.92</v>
      </c>
      <c r="I609" s="6">
        <v>0</v>
      </c>
      <c r="J609" s="6">
        <v>45.92</v>
      </c>
      <c r="K609" s="5">
        <v>492</v>
      </c>
      <c r="L609" s="13" t="str">
        <f t="shared" si="18"/>
        <v>No Discount</v>
      </c>
      <c r="M609" s="13" t="str">
        <f t="shared" si="19"/>
        <v>Silver</v>
      </c>
      <c r="N609" s="13"/>
    </row>
    <row r="610" spans="1:14" x14ac:dyDescent="0.3">
      <c r="A610" s="3">
        <v>5949</v>
      </c>
      <c r="B610" s="3" t="s">
        <v>26</v>
      </c>
      <c r="C610" s="4">
        <v>45584</v>
      </c>
      <c r="D610" s="3" t="s">
        <v>28</v>
      </c>
      <c r="E610" s="3" t="s">
        <v>39</v>
      </c>
      <c r="F610" s="5">
        <v>4</v>
      </c>
      <c r="G610" s="6">
        <v>4.3600000000000003</v>
      </c>
      <c r="H610" s="6">
        <v>17.440000000000001</v>
      </c>
      <c r="I610" s="6">
        <v>0</v>
      </c>
      <c r="J610" s="6">
        <v>17.440000000000001</v>
      </c>
      <c r="K610" s="5">
        <v>34</v>
      </c>
      <c r="L610" s="13" t="str">
        <f t="shared" si="18"/>
        <v>No Discount</v>
      </c>
      <c r="M610" s="13" t="str">
        <f t="shared" si="19"/>
        <v>Bronze</v>
      </c>
      <c r="N610" s="13"/>
    </row>
    <row r="611" spans="1:14" x14ac:dyDescent="0.3">
      <c r="A611" s="3">
        <v>7302</v>
      </c>
      <c r="B611" s="3" t="s">
        <v>42</v>
      </c>
      <c r="C611" s="4">
        <v>45277</v>
      </c>
      <c r="D611" s="3" t="s">
        <v>27</v>
      </c>
      <c r="E611" s="3" t="s">
        <v>25</v>
      </c>
      <c r="F611" s="5">
        <v>3</v>
      </c>
      <c r="G611" s="6">
        <v>12.95</v>
      </c>
      <c r="H611" s="6">
        <v>38.85</v>
      </c>
      <c r="I611" s="6">
        <v>0</v>
      </c>
      <c r="J611" s="6">
        <v>38.85</v>
      </c>
      <c r="K611" s="5">
        <v>180</v>
      </c>
      <c r="L611" s="13" t="str">
        <f t="shared" si="18"/>
        <v>No Discount</v>
      </c>
      <c r="M611" s="13" t="str">
        <f t="shared" si="19"/>
        <v>Silver</v>
      </c>
      <c r="N611" s="13"/>
    </row>
    <row r="612" spans="1:14" x14ac:dyDescent="0.3">
      <c r="A612" s="3">
        <v>8916</v>
      </c>
      <c r="B612" s="3" t="s">
        <v>30</v>
      </c>
      <c r="C612" s="4">
        <v>45206</v>
      </c>
      <c r="D612" s="3" t="s">
        <v>17</v>
      </c>
      <c r="E612" s="3" t="s">
        <v>37</v>
      </c>
      <c r="F612" s="5">
        <v>1</v>
      </c>
      <c r="G612" s="6">
        <v>12.56</v>
      </c>
      <c r="H612" s="6">
        <v>12.56</v>
      </c>
      <c r="I612" s="6">
        <v>3.22</v>
      </c>
      <c r="J612" s="6">
        <v>9.34</v>
      </c>
      <c r="K612" s="5">
        <v>383</v>
      </c>
      <c r="L612" s="13" t="str">
        <f t="shared" si="18"/>
        <v>Discount Applied</v>
      </c>
      <c r="M612" s="13" t="str">
        <f t="shared" si="19"/>
        <v>Bronze</v>
      </c>
      <c r="N612" s="13"/>
    </row>
    <row r="613" spans="1:14" x14ac:dyDescent="0.3">
      <c r="A613" s="3">
        <v>4886</v>
      </c>
      <c r="B613" s="3" t="s">
        <v>19</v>
      </c>
      <c r="C613" s="4">
        <v>45626</v>
      </c>
      <c r="D613" s="3" t="s">
        <v>45</v>
      </c>
      <c r="E613" s="3" t="s">
        <v>21</v>
      </c>
      <c r="F613" s="5">
        <v>3</v>
      </c>
      <c r="G613" s="6">
        <v>7.33</v>
      </c>
      <c r="H613" s="6">
        <v>21.99</v>
      </c>
      <c r="I613" s="6">
        <v>4.4000000000000004</v>
      </c>
      <c r="J613" s="6">
        <v>17.59</v>
      </c>
      <c r="K613" s="5">
        <v>293</v>
      </c>
      <c r="L613" s="13" t="str">
        <f t="shared" si="18"/>
        <v>Discount Applied</v>
      </c>
      <c r="M613" s="13" t="str">
        <f t="shared" si="19"/>
        <v>Bronze</v>
      </c>
      <c r="N613" s="13"/>
    </row>
    <row r="614" spans="1:14" x14ac:dyDescent="0.3">
      <c r="A614" s="3">
        <v>6881</v>
      </c>
      <c r="B614" s="3" t="s">
        <v>42</v>
      </c>
      <c r="C614" s="4">
        <v>45531</v>
      </c>
      <c r="D614" s="3" t="s">
        <v>45</v>
      </c>
      <c r="E614" s="3" t="s">
        <v>44</v>
      </c>
      <c r="F614" s="5">
        <v>2</v>
      </c>
      <c r="G614" s="6">
        <v>22.32</v>
      </c>
      <c r="H614" s="6">
        <v>44.64</v>
      </c>
      <c r="I614" s="6">
        <v>8.93</v>
      </c>
      <c r="J614" s="6">
        <v>35.71</v>
      </c>
      <c r="K614" s="5">
        <v>446</v>
      </c>
      <c r="L614" s="13" t="str">
        <f t="shared" si="18"/>
        <v>Discount Applied</v>
      </c>
      <c r="M614" s="13" t="str">
        <f t="shared" si="19"/>
        <v>Silver</v>
      </c>
      <c r="N614" s="13"/>
    </row>
    <row r="615" spans="1:14" x14ac:dyDescent="0.3">
      <c r="A615" s="3">
        <v>5847</v>
      </c>
      <c r="B615" s="3" t="s">
        <v>42</v>
      </c>
      <c r="C615" s="4">
        <v>45325</v>
      </c>
      <c r="D615" s="3" t="s">
        <v>17</v>
      </c>
      <c r="E615" s="3" t="s">
        <v>25</v>
      </c>
      <c r="F615" s="5">
        <v>5</v>
      </c>
      <c r="G615" s="6">
        <v>11.31</v>
      </c>
      <c r="H615" s="6">
        <v>56.55</v>
      </c>
      <c r="I615" s="6">
        <v>4.68</v>
      </c>
      <c r="J615" s="6">
        <v>51.87</v>
      </c>
      <c r="K615" s="5">
        <v>398</v>
      </c>
      <c r="L615" s="13" t="str">
        <f t="shared" si="18"/>
        <v>Discount Applied</v>
      </c>
      <c r="M615" s="13" t="str">
        <f t="shared" si="19"/>
        <v>Gold</v>
      </c>
      <c r="N615" s="13"/>
    </row>
    <row r="616" spans="1:14" x14ac:dyDescent="0.3">
      <c r="A616" s="3">
        <v>5837</v>
      </c>
      <c r="B616" s="3" t="s">
        <v>26</v>
      </c>
      <c r="C616" s="4">
        <v>45640</v>
      </c>
      <c r="D616" s="3" t="s">
        <v>28</v>
      </c>
      <c r="E616" s="3" t="s">
        <v>39</v>
      </c>
      <c r="F616" s="5">
        <v>5</v>
      </c>
      <c r="G616" s="6">
        <v>28.77</v>
      </c>
      <c r="H616" s="6">
        <v>143.85</v>
      </c>
      <c r="I616" s="6">
        <v>21.58</v>
      </c>
      <c r="J616" s="6">
        <v>122.27</v>
      </c>
      <c r="K616" s="5">
        <v>434</v>
      </c>
      <c r="L616" s="13" t="str">
        <f t="shared" si="18"/>
        <v>Discount Applied</v>
      </c>
      <c r="M616" s="13" t="str">
        <f t="shared" si="19"/>
        <v>Platinum</v>
      </c>
      <c r="N616" s="13"/>
    </row>
    <row r="617" spans="1:14" x14ac:dyDescent="0.3">
      <c r="A617" s="3">
        <v>7484</v>
      </c>
      <c r="B617" s="3" t="s">
        <v>36</v>
      </c>
      <c r="C617" s="4">
        <v>45501</v>
      </c>
      <c r="D617" s="3" t="s">
        <v>45</v>
      </c>
      <c r="E617" s="3" t="s">
        <v>13</v>
      </c>
      <c r="F617" s="5">
        <v>4</v>
      </c>
      <c r="G617" s="6">
        <v>6.29</v>
      </c>
      <c r="H617" s="6">
        <v>25.16</v>
      </c>
      <c r="I617" s="6">
        <v>2.52</v>
      </c>
      <c r="J617" s="6">
        <v>22.64</v>
      </c>
      <c r="K617" s="5">
        <v>391</v>
      </c>
      <c r="L617" s="13" t="str">
        <f t="shared" si="18"/>
        <v>Discount Applied</v>
      </c>
      <c r="M617" s="13" t="str">
        <f t="shared" si="19"/>
        <v>Silver</v>
      </c>
      <c r="N617" s="13"/>
    </row>
    <row r="618" spans="1:14" x14ac:dyDescent="0.3">
      <c r="A618" s="3">
        <v>1132</v>
      </c>
      <c r="B618" s="3" t="s">
        <v>42</v>
      </c>
      <c r="C618" s="4">
        <v>45662</v>
      </c>
      <c r="D618" s="3" t="s">
        <v>28</v>
      </c>
      <c r="E618" s="3" t="s">
        <v>41</v>
      </c>
      <c r="F618" s="5">
        <v>1</v>
      </c>
      <c r="G618" s="6">
        <v>16.239999999999998</v>
      </c>
      <c r="H618" s="6">
        <v>16.239999999999998</v>
      </c>
      <c r="I618" s="6">
        <v>1.1299999999999999</v>
      </c>
      <c r="J618" s="6">
        <v>15.11</v>
      </c>
      <c r="K618" s="5">
        <v>216</v>
      </c>
      <c r="L618" s="13" t="str">
        <f t="shared" si="18"/>
        <v>Discount Applied</v>
      </c>
      <c r="M618" s="13" t="str">
        <f t="shared" si="19"/>
        <v>Bronze</v>
      </c>
      <c r="N618" s="13"/>
    </row>
    <row r="619" spans="1:14" x14ac:dyDescent="0.3">
      <c r="A619" s="3">
        <v>1803</v>
      </c>
      <c r="B619" s="3" t="s">
        <v>36</v>
      </c>
      <c r="C619" s="4">
        <v>45843</v>
      </c>
      <c r="D619" s="3" t="s">
        <v>20</v>
      </c>
      <c r="E619" s="3" t="s">
        <v>29</v>
      </c>
      <c r="F619" s="5">
        <v>4</v>
      </c>
      <c r="G619" s="6">
        <v>29.31</v>
      </c>
      <c r="H619" s="6">
        <v>117.24</v>
      </c>
      <c r="I619" s="6">
        <v>17.59</v>
      </c>
      <c r="J619" s="6">
        <v>99.65</v>
      </c>
      <c r="K619" s="5">
        <v>357</v>
      </c>
      <c r="L619" s="13" t="str">
        <f t="shared" si="18"/>
        <v>Discount Applied</v>
      </c>
      <c r="M619" s="13" t="str">
        <f t="shared" si="19"/>
        <v>Platinum</v>
      </c>
      <c r="N619" s="13"/>
    </row>
    <row r="620" spans="1:14" x14ac:dyDescent="0.3">
      <c r="A620" s="3">
        <v>9138</v>
      </c>
      <c r="B620" s="3" t="s">
        <v>31</v>
      </c>
      <c r="C620" s="4">
        <v>45844</v>
      </c>
      <c r="D620" s="3" t="s">
        <v>12</v>
      </c>
      <c r="E620" s="3" t="s">
        <v>44</v>
      </c>
      <c r="F620" s="5">
        <v>4</v>
      </c>
      <c r="G620" s="6">
        <v>17.84</v>
      </c>
      <c r="H620" s="6">
        <v>71.36</v>
      </c>
      <c r="I620" s="6">
        <v>4.45</v>
      </c>
      <c r="J620" s="6">
        <v>66.91</v>
      </c>
      <c r="K620" s="5">
        <v>166</v>
      </c>
      <c r="L620" s="13" t="str">
        <f t="shared" si="18"/>
        <v>Discount Applied</v>
      </c>
      <c r="M620" s="13" t="str">
        <f t="shared" si="19"/>
        <v>Gold</v>
      </c>
      <c r="N620" s="13"/>
    </row>
    <row r="621" spans="1:14" x14ac:dyDescent="0.3">
      <c r="A621" s="3">
        <v>5689</v>
      </c>
      <c r="B621" s="3" t="s">
        <v>19</v>
      </c>
      <c r="C621" s="4">
        <v>45671</v>
      </c>
      <c r="D621" s="3" t="s">
        <v>38</v>
      </c>
      <c r="E621" s="3" t="s">
        <v>13</v>
      </c>
      <c r="F621" s="5">
        <v>2</v>
      </c>
      <c r="G621" s="6">
        <v>8.8000000000000007</v>
      </c>
      <c r="H621" s="6">
        <v>17.600000000000001</v>
      </c>
      <c r="I621" s="6">
        <v>2.64</v>
      </c>
      <c r="J621" s="6">
        <v>14.96</v>
      </c>
      <c r="K621" s="5">
        <v>490</v>
      </c>
      <c r="L621" s="13" t="str">
        <f t="shared" si="18"/>
        <v>Discount Applied</v>
      </c>
      <c r="M621" s="13" t="str">
        <f t="shared" si="19"/>
        <v>Bronze</v>
      </c>
      <c r="N621" s="13"/>
    </row>
    <row r="622" spans="1:14" x14ac:dyDescent="0.3">
      <c r="A622" s="3">
        <v>6772</v>
      </c>
      <c r="B622" s="3" t="s">
        <v>19</v>
      </c>
      <c r="C622" s="4">
        <v>45267</v>
      </c>
      <c r="D622" s="3" t="s">
        <v>45</v>
      </c>
      <c r="E622" s="3" t="s">
        <v>16</v>
      </c>
      <c r="F622" s="5">
        <v>2</v>
      </c>
      <c r="G622" s="6">
        <v>13.14</v>
      </c>
      <c r="H622" s="6">
        <v>26.28</v>
      </c>
      <c r="I622" s="6">
        <v>3.94</v>
      </c>
      <c r="J622" s="6">
        <v>22.34</v>
      </c>
      <c r="K622" s="5">
        <v>385</v>
      </c>
      <c r="L622" s="13" t="str">
        <f t="shared" si="18"/>
        <v>Discount Applied</v>
      </c>
      <c r="M622" s="13" t="str">
        <f t="shared" si="19"/>
        <v>Silver</v>
      </c>
      <c r="N622" s="13"/>
    </row>
    <row r="623" spans="1:14" x14ac:dyDescent="0.3">
      <c r="A623" s="3">
        <v>4115</v>
      </c>
      <c r="B623" s="3" t="s">
        <v>24</v>
      </c>
      <c r="C623" s="4">
        <v>45488</v>
      </c>
      <c r="D623" s="3" t="s">
        <v>35</v>
      </c>
      <c r="E623" s="3" t="s">
        <v>33</v>
      </c>
      <c r="F623" s="5">
        <v>2</v>
      </c>
      <c r="G623" s="6">
        <v>17.559999999999999</v>
      </c>
      <c r="H623" s="6">
        <v>35.119999999999997</v>
      </c>
      <c r="I623" s="6">
        <v>3.88</v>
      </c>
      <c r="J623" s="6">
        <v>31.24</v>
      </c>
      <c r="K623" s="5">
        <v>294</v>
      </c>
      <c r="L623" s="13" t="str">
        <f t="shared" si="18"/>
        <v>Discount Applied</v>
      </c>
      <c r="M623" s="13" t="str">
        <f t="shared" si="19"/>
        <v>Silver</v>
      </c>
      <c r="N623" s="13"/>
    </row>
    <row r="624" spans="1:14" x14ac:dyDescent="0.3">
      <c r="A624" s="3">
        <v>5106</v>
      </c>
      <c r="B624" s="3" t="s">
        <v>42</v>
      </c>
      <c r="C624" s="4">
        <v>45601</v>
      </c>
      <c r="D624" s="3" t="s">
        <v>38</v>
      </c>
      <c r="E624" s="3" t="s">
        <v>16</v>
      </c>
      <c r="F624" s="5">
        <v>4</v>
      </c>
      <c r="G624" s="6">
        <v>6.68</v>
      </c>
      <c r="H624" s="6">
        <v>26.72</v>
      </c>
      <c r="I624" s="6">
        <v>2.67</v>
      </c>
      <c r="J624" s="6">
        <v>24.05</v>
      </c>
      <c r="K624" s="5">
        <v>409</v>
      </c>
      <c r="L624" s="13" t="str">
        <f t="shared" si="18"/>
        <v>Discount Applied</v>
      </c>
      <c r="M624" s="13" t="str">
        <f t="shared" si="19"/>
        <v>Silver</v>
      </c>
      <c r="N624" s="13"/>
    </row>
    <row r="625" spans="1:14" x14ac:dyDescent="0.3">
      <c r="A625" s="3">
        <v>3240</v>
      </c>
      <c r="B625" s="3" t="s">
        <v>31</v>
      </c>
      <c r="C625" s="4">
        <v>45641</v>
      </c>
      <c r="D625" s="3" t="s">
        <v>34</v>
      </c>
      <c r="E625" s="3" t="s">
        <v>16</v>
      </c>
      <c r="F625" s="5">
        <v>4</v>
      </c>
      <c r="G625" s="6">
        <v>4.8899999999999997</v>
      </c>
      <c r="H625" s="6">
        <v>19.559999999999999</v>
      </c>
      <c r="I625" s="6">
        <v>1.96</v>
      </c>
      <c r="J625" s="6">
        <v>17.600000000000001</v>
      </c>
      <c r="K625" s="5">
        <v>457</v>
      </c>
      <c r="L625" s="13" t="str">
        <f t="shared" si="18"/>
        <v>Discount Applied</v>
      </c>
      <c r="M625" s="13" t="str">
        <f t="shared" si="19"/>
        <v>Bronze</v>
      </c>
      <c r="N625" s="13"/>
    </row>
    <row r="626" spans="1:14" x14ac:dyDescent="0.3">
      <c r="A626" s="3">
        <v>2591</v>
      </c>
      <c r="B626" s="3" t="s">
        <v>30</v>
      </c>
      <c r="C626" s="4">
        <v>45681</v>
      </c>
      <c r="D626" s="3" t="s">
        <v>35</v>
      </c>
      <c r="E626" s="3" t="s">
        <v>18</v>
      </c>
      <c r="F626" s="5">
        <v>5</v>
      </c>
      <c r="G626" s="6">
        <v>2.37</v>
      </c>
      <c r="H626" s="6">
        <v>11.85</v>
      </c>
      <c r="I626" s="6">
        <v>1.86</v>
      </c>
      <c r="J626" s="6">
        <v>9.99</v>
      </c>
      <c r="K626" s="5">
        <v>50</v>
      </c>
      <c r="L626" s="13" t="str">
        <f t="shared" si="18"/>
        <v>Discount Applied</v>
      </c>
      <c r="M626" s="13" t="str">
        <f t="shared" si="19"/>
        <v>Bronze</v>
      </c>
      <c r="N626" s="13"/>
    </row>
    <row r="627" spans="1:14" x14ac:dyDescent="0.3">
      <c r="A627" s="3">
        <v>1645</v>
      </c>
      <c r="B627" s="3" t="s">
        <v>30</v>
      </c>
      <c r="C627" s="4">
        <v>45499</v>
      </c>
      <c r="D627" s="3" t="s">
        <v>45</v>
      </c>
      <c r="E627" s="3" t="s">
        <v>48</v>
      </c>
      <c r="F627" s="5">
        <v>4</v>
      </c>
      <c r="G627" s="6">
        <v>22.58</v>
      </c>
      <c r="H627" s="6">
        <v>90.32</v>
      </c>
      <c r="I627" s="6">
        <v>13.55</v>
      </c>
      <c r="J627" s="6">
        <v>76.77</v>
      </c>
      <c r="K627" s="5">
        <v>133</v>
      </c>
      <c r="L627" s="13" t="str">
        <f t="shared" si="18"/>
        <v>Discount Applied</v>
      </c>
      <c r="M627" s="13" t="str">
        <f t="shared" si="19"/>
        <v>Platinum</v>
      </c>
      <c r="N627" s="13"/>
    </row>
    <row r="628" spans="1:14" x14ac:dyDescent="0.3">
      <c r="A628" s="3">
        <v>8222</v>
      </c>
      <c r="B628" s="3" t="s">
        <v>14</v>
      </c>
      <c r="C628" s="4">
        <v>45299</v>
      </c>
      <c r="D628" s="3" t="s">
        <v>38</v>
      </c>
      <c r="E628" s="3" t="s">
        <v>13</v>
      </c>
      <c r="F628" s="5">
        <v>3</v>
      </c>
      <c r="G628" s="6">
        <v>1.57</v>
      </c>
      <c r="H628" s="6">
        <v>4.71</v>
      </c>
      <c r="I628" s="6">
        <v>0</v>
      </c>
      <c r="J628" s="6">
        <v>4.71</v>
      </c>
      <c r="K628" s="5">
        <v>62</v>
      </c>
      <c r="L628" s="13" t="str">
        <f t="shared" si="18"/>
        <v>No Discount</v>
      </c>
      <c r="M628" s="13" t="str">
        <f t="shared" si="19"/>
        <v>Bronze</v>
      </c>
      <c r="N628" s="13"/>
    </row>
    <row r="629" spans="1:14" x14ac:dyDescent="0.3">
      <c r="A629" s="3">
        <v>3153</v>
      </c>
      <c r="B629" s="3" t="s">
        <v>42</v>
      </c>
      <c r="C629" s="4">
        <v>45807</v>
      </c>
      <c r="D629" s="3" t="s">
        <v>28</v>
      </c>
      <c r="E629" s="3" t="s">
        <v>18</v>
      </c>
      <c r="F629" s="5">
        <v>2</v>
      </c>
      <c r="G629" s="6">
        <v>29.39</v>
      </c>
      <c r="H629" s="6">
        <v>58.78</v>
      </c>
      <c r="I629" s="6">
        <v>8.82</v>
      </c>
      <c r="J629" s="6">
        <v>49.96</v>
      </c>
      <c r="K629" s="5">
        <v>145</v>
      </c>
      <c r="L629" s="13" t="str">
        <f t="shared" si="18"/>
        <v>Discount Applied</v>
      </c>
      <c r="M629" s="13" t="str">
        <f t="shared" si="19"/>
        <v>Silver</v>
      </c>
      <c r="N629" s="13"/>
    </row>
    <row r="630" spans="1:14" x14ac:dyDescent="0.3">
      <c r="A630" s="3">
        <v>5835</v>
      </c>
      <c r="B630" s="3" t="s">
        <v>14</v>
      </c>
      <c r="C630" s="4">
        <v>45227</v>
      </c>
      <c r="D630" s="3" t="s">
        <v>45</v>
      </c>
      <c r="E630" s="3" t="s">
        <v>33</v>
      </c>
      <c r="F630" s="5">
        <v>1</v>
      </c>
      <c r="G630" s="6">
        <v>12.04</v>
      </c>
      <c r="H630" s="6">
        <v>12.04</v>
      </c>
      <c r="I630" s="6">
        <v>0</v>
      </c>
      <c r="J630" s="6">
        <v>12.04</v>
      </c>
      <c r="K630" s="5">
        <v>146</v>
      </c>
      <c r="L630" s="13" t="str">
        <f t="shared" si="18"/>
        <v>No Discount</v>
      </c>
      <c r="M630" s="13" t="str">
        <f t="shared" si="19"/>
        <v>Bronze</v>
      </c>
      <c r="N630" s="13"/>
    </row>
    <row r="631" spans="1:14" x14ac:dyDescent="0.3">
      <c r="A631" s="3">
        <v>7807</v>
      </c>
      <c r="B631" s="3" t="s">
        <v>19</v>
      </c>
      <c r="C631" s="4">
        <v>45441</v>
      </c>
      <c r="D631" s="3" t="s">
        <v>34</v>
      </c>
      <c r="E631" s="3" t="s">
        <v>21</v>
      </c>
      <c r="F631" s="5">
        <v>4</v>
      </c>
      <c r="G631" s="6">
        <v>19.3</v>
      </c>
      <c r="H631" s="6">
        <v>77.2</v>
      </c>
      <c r="I631" s="6">
        <v>1.32</v>
      </c>
      <c r="J631" s="6">
        <v>75.88</v>
      </c>
      <c r="K631" s="5">
        <v>292</v>
      </c>
      <c r="L631" s="13" t="str">
        <f t="shared" si="18"/>
        <v>Discount Applied</v>
      </c>
      <c r="M631" s="13" t="str">
        <f t="shared" si="19"/>
        <v>Platinum</v>
      </c>
      <c r="N631" s="13"/>
    </row>
    <row r="632" spans="1:14" x14ac:dyDescent="0.3">
      <c r="A632" s="3">
        <v>4289</v>
      </c>
      <c r="B632" s="3" t="s">
        <v>36</v>
      </c>
      <c r="C632" s="4">
        <v>45591</v>
      </c>
      <c r="D632" s="3" t="s">
        <v>17</v>
      </c>
      <c r="E632" s="3" t="s">
        <v>21</v>
      </c>
      <c r="F632" s="5">
        <v>3</v>
      </c>
      <c r="G632" s="6">
        <v>19.93</v>
      </c>
      <c r="H632" s="6">
        <v>59.79</v>
      </c>
      <c r="I632" s="6">
        <v>3.58</v>
      </c>
      <c r="J632" s="6">
        <v>56.21</v>
      </c>
      <c r="K632" s="5">
        <v>363</v>
      </c>
      <c r="L632" s="13" t="str">
        <f t="shared" si="18"/>
        <v>Discount Applied</v>
      </c>
      <c r="M632" s="13" t="str">
        <f t="shared" si="19"/>
        <v>Gold</v>
      </c>
      <c r="N632" s="13"/>
    </row>
    <row r="633" spans="1:14" x14ac:dyDescent="0.3">
      <c r="A633" s="3">
        <v>6994</v>
      </c>
      <c r="B633" s="3" t="s">
        <v>30</v>
      </c>
      <c r="C633" s="4">
        <v>45688</v>
      </c>
      <c r="D633" s="3" t="s">
        <v>45</v>
      </c>
      <c r="E633" s="3" t="s">
        <v>23</v>
      </c>
      <c r="F633" s="5">
        <v>5</v>
      </c>
      <c r="G633" s="6">
        <v>16.100000000000001</v>
      </c>
      <c r="H633" s="6">
        <v>80.5</v>
      </c>
      <c r="I633" s="6">
        <v>16.100000000000001</v>
      </c>
      <c r="J633" s="6">
        <v>64.400000000000006</v>
      </c>
      <c r="K633" s="5">
        <v>230</v>
      </c>
      <c r="L633" s="13" t="str">
        <f t="shared" si="18"/>
        <v>Discount Applied</v>
      </c>
      <c r="M633" s="13" t="str">
        <f t="shared" si="19"/>
        <v>Gold</v>
      </c>
      <c r="N633" s="13"/>
    </row>
    <row r="634" spans="1:14" x14ac:dyDescent="0.3">
      <c r="A634" s="3">
        <v>9221</v>
      </c>
      <c r="B634" s="3" t="s">
        <v>19</v>
      </c>
      <c r="C634" s="4">
        <v>45162</v>
      </c>
      <c r="D634" s="3" t="s">
        <v>12</v>
      </c>
      <c r="E634" s="3" t="s">
        <v>41</v>
      </c>
      <c r="F634" s="5">
        <v>2</v>
      </c>
      <c r="G634" s="6">
        <v>20.190000000000001</v>
      </c>
      <c r="H634" s="6">
        <v>40.380000000000003</v>
      </c>
      <c r="I634" s="6">
        <v>8.08</v>
      </c>
      <c r="J634" s="6">
        <v>32.299999999999997</v>
      </c>
      <c r="K634" s="5">
        <v>481</v>
      </c>
      <c r="L634" s="13" t="str">
        <f t="shared" si="18"/>
        <v>Discount Applied</v>
      </c>
      <c r="M634" s="13" t="str">
        <f t="shared" si="19"/>
        <v>Silver</v>
      </c>
      <c r="N634" s="13"/>
    </row>
    <row r="635" spans="1:14" x14ac:dyDescent="0.3">
      <c r="A635" s="3">
        <v>5465</v>
      </c>
      <c r="B635" s="3" t="s">
        <v>19</v>
      </c>
      <c r="C635" s="4">
        <v>45358</v>
      </c>
      <c r="D635" s="3" t="s">
        <v>20</v>
      </c>
      <c r="E635" s="3" t="s">
        <v>48</v>
      </c>
      <c r="F635" s="5">
        <v>1</v>
      </c>
      <c r="G635" s="6">
        <v>2.84</v>
      </c>
      <c r="H635" s="6">
        <v>2.84</v>
      </c>
      <c r="I635" s="6">
        <v>1.22</v>
      </c>
      <c r="J635" s="6">
        <v>1.62</v>
      </c>
      <c r="K635" s="5">
        <v>449</v>
      </c>
      <c r="L635" s="13" t="str">
        <f t="shared" si="18"/>
        <v>Discount Applied</v>
      </c>
      <c r="M635" s="13" t="str">
        <f t="shared" si="19"/>
        <v>Bronze</v>
      </c>
      <c r="N635" s="13"/>
    </row>
    <row r="636" spans="1:14" x14ac:dyDescent="0.3">
      <c r="A636" s="3">
        <v>3695</v>
      </c>
      <c r="B636" s="3" t="s">
        <v>24</v>
      </c>
      <c r="C636" s="4">
        <v>45584</v>
      </c>
      <c r="D636" s="3" t="s">
        <v>38</v>
      </c>
      <c r="E636" s="3" t="s">
        <v>43</v>
      </c>
      <c r="F636" s="5">
        <v>1</v>
      </c>
      <c r="G636" s="6">
        <v>8.6</v>
      </c>
      <c r="H636" s="6">
        <v>8.6</v>
      </c>
      <c r="I636" s="6">
        <v>0</v>
      </c>
      <c r="J636" s="6">
        <v>8.6</v>
      </c>
      <c r="K636" s="5">
        <v>79</v>
      </c>
      <c r="L636" s="13" t="str">
        <f t="shared" si="18"/>
        <v>No Discount</v>
      </c>
      <c r="M636" s="13" t="str">
        <f t="shared" si="19"/>
        <v>Bronze</v>
      </c>
      <c r="N636" s="13"/>
    </row>
    <row r="637" spans="1:14" x14ac:dyDescent="0.3">
      <c r="A637" s="3">
        <v>8894</v>
      </c>
      <c r="B637" s="3" t="s">
        <v>24</v>
      </c>
      <c r="C637" s="4">
        <v>45852</v>
      </c>
      <c r="D637" s="3" t="s">
        <v>35</v>
      </c>
      <c r="E637" s="3" t="s">
        <v>25</v>
      </c>
      <c r="F637" s="5">
        <v>2</v>
      </c>
      <c r="G637" s="6">
        <v>22.38</v>
      </c>
      <c r="H637" s="6">
        <v>44.76</v>
      </c>
      <c r="I637" s="6">
        <v>8.9499999999999993</v>
      </c>
      <c r="J637" s="6">
        <v>35.81</v>
      </c>
      <c r="K637" s="5">
        <v>226</v>
      </c>
      <c r="L637" s="13" t="str">
        <f t="shared" si="18"/>
        <v>Discount Applied</v>
      </c>
      <c r="M637" s="13" t="str">
        <f t="shared" si="19"/>
        <v>Silver</v>
      </c>
      <c r="N637" s="13"/>
    </row>
    <row r="638" spans="1:14" x14ac:dyDescent="0.3">
      <c r="A638" s="3">
        <v>6549</v>
      </c>
      <c r="B638" s="3" t="s">
        <v>14</v>
      </c>
      <c r="C638" s="4">
        <v>45791</v>
      </c>
      <c r="D638" s="3" t="s">
        <v>34</v>
      </c>
      <c r="E638" s="3" t="s">
        <v>39</v>
      </c>
      <c r="F638" s="5">
        <v>1</v>
      </c>
      <c r="G638" s="6">
        <v>20.23</v>
      </c>
      <c r="H638" s="6">
        <v>20.23</v>
      </c>
      <c r="I638" s="6">
        <v>2.02</v>
      </c>
      <c r="J638" s="6">
        <v>18.21</v>
      </c>
      <c r="K638" s="5">
        <v>440</v>
      </c>
      <c r="L638" s="13" t="str">
        <f t="shared" si="18"/>
        <v>Discount Applied</v>
      </c>
      <c r="M638" s="13" t="str">
        <f t="shared" si="19"/>
        <v>Bronze</v>
      </c>
      <c r="N638" s="13"/>
    </row>
    <row r="639" spans="1:14" x14ac:dyDescent="0.3">
      <c r="A639" s="3">
        <v>2886</v>
      </c>
      <c r="B639" s="3" t="s">
        <v>26</v>
      </c>
      <c r="C639" s="4">
        <v>45747</v>
      </c>
      <c r="D639" s="3" t="s">
        <v>38</v>
      </c>
      <c r="E639" s="3" t="s">
        <v>13</v>
      </c>
      <c r="F639" s="5">
        <v>5</v>
      </c>
      <c r="G639" s="6">
        <v>13.89</v>
      </c>
      <c r="H639" s="6">
        <v>69.45</v>
      </c>
      <c r="I639" s="6">
        <v>3.39</v>
      </c>
      <c r="J639" s="6">
        <v>66.06</v>
      </c>
      <c r="K639" s="5">
        <v>496</v>
      </c>
      <c r="L639" s="13" t="str">
        <f t="shared" si="18"/>
        <v>Discount Applied</v>
      </c>
      <c r="M639" s="13" t="str">
        <f t="shared" si="19"/>
        <v>Gold</v>
      </c>
      <c r="N639" s="13"/>
    </row>
    <row r="640" spans="1:14" x14ac:dyDescent="0.3">
      <c r="A640" s="3">
        <v>2233</v>
      </c>
      <c r="B640" s="3" t="s">
        <v>24</v>
      </c>
      <c r="C640" s="4">
        <v>45616</v>
      </c>
      <c r="D640" s="3" t="s">
        <v>38</v>
      </c>
      <c r="E640" s="3" t="s">
        <v>18</v>
      </c>
      <c r="F640" s="5">
        <v>3</v>
      </c>
      <c r="G640" s="6">
        <v>27.35</v>
      </c>
      <c r="H640" s="6">
        <v>82.05</v>
      </c>
      <c r="I640" s="6">
        <v>2.77</v>
      </c>
      <c r="J640" s="6">
        <v>79.28</v>
      </c>
      <c r="K640" s="5">
        <v>246</v>
      </c>
      <c r="L640" s="13" t="str">
        <f t="shared" si="18"/>
        <v>Discount Applied</v>
      </c>
      <c r="M640" s="13" t="str">
        <f t="shared" si="19"/>
        <v>Platinum</v>
      </c>
      <c r="N640" s="13"/>
    </row>
    <row r="641" spans="1:14" x14ac:dyDescent="0.3">
      <c r="A641" s="3">
        <v>4696</v>
      </c>
      <c r="B641" s="3" t="s">
        <v>36</v>
      </c>
      <c r="C641" s="4">
        <v>45315</v>
      </c>
      <c r="D641" s="3" t="s">
        <v>20</v>
      </c>
      <c r="E641" s="3" t="s">
        <v>13</v>
      </c>
      <c r="F641" s="5">
        <v>2</v>
      </c>
      <c r="G641" s="6">
        <v>9.7899999999999991</v>
      </c>
      <c r="H641" s="6">
        <v>19.579999999999998</v>
      </c>
      <c r="I641" s="6">
        <v>2.94</v>
      </c>
      <c r="J641" s="6">
        <v>16.64</v>
      </c>
      <c r="K641" s="5">
        <v>0</v>
      </c>
      <c r="L641" s="13" t="str">
        <f t="shared" si="18"/>
        <v>Discount Applied</v>
      </c>
      <c r="M641" s="13" t="str">
        <f t="shared" si="19"/>
        <v>Bronze</v>
      </c>
      <c r="N641" s="13"/>
    </row>
    <row r="642" spans="1:14" x14ac:dyDescent="0.3">
      <c r="A642" s="3">
        <v>7511</v>
      </c>
      <c r="B642" s="3" t="s">
        <v>30</v>
      </c>
      <c r="C642" s="4">
        <v>45627</v>
      </c>
      <c r="D642" s="3" t="s">
        <v>45</v>
      </c>
      <c r="E642" s="3" t="s">
        <v>18</v>
      </c>
      <c r="F642" s="5">
        <v>1</v>
      </c>
      <c r="G642" s="6">
        <v>20.94</v>
      </c>
      <c r="H642" s="6">
        <v>20.94</v>
      </c>
      <c r="I642" s="6">
        <v>3.14</v>
      </c>
      <c r="J642" s="6">
        <v>17.8</v>
      </c>
      <c r="K642" s="5">
        <v>251</v>
      </c>
      <c r="L642" s="13" t="str">
        <f t="shared" si="18"/>
        <v>Discount Applied</v>
      </c>
      <c r="M642" s="13" t="str">
        <f t="shared" si="19"/>
        <v>Bronze</v>
      </c>
      <c r="N642" s="13"/>
    </row>
    <row r="643" spans="1:14" x14ac:dyDescent="0.3">
      <c r="A643" s="3">
        <v>6992</v>
      </c>
      <c r="B643" s="3" t="s">
        <v>31</v>
      </c>
      <c r="C643" s="4">
        <v>45671</v>
      </c>
      <c r="D643" s="3" t="s">
        <v>20</v>
      </c>
      <c r="E643" s="3" t="s">
        <v>37</v>
      </c>
      <c r="F643" s="5">
        <v>5</v>
      </c>
      <c r="G643" s="6">
        <v>7.7</v>
      </c>
      <c r="H643" s="6">
        <v>38.5</v>
      </c>
      <c r="I643" s="6">
        <v>7.7</v>
      </c>
      <c r="J643" s="6">
        <v>30.8</v>
      </c>
      <c r="K643" s="5">
        <v>3</v>
      </c>
      <c r="L643" s="13" t="str">
        <f t="shared" ref="L643:L706" si="20">IF(I643&gt;0,"Discount Applied","No Discount")</f>
        <v>Discount Applied</v>
      </c>
      <c r="M643" s="13" t="str">
        <f t="shared" ref="M643:M706" si="21">IF(J643 &gt;= 70, "Platinum",
   IF(J643 &gt;= 50, "Gold",
      IF(J643 &gt;= 20, "Silver", "Bronze")))</f>
        <v>Silver</v>
      </c>
      <c r="N643" s="13"/>
    </row>
    <row r="644" spans="1:14" x14ac:dyDescent="0.3">
      <c r="A644" s="3">
        <v>7464</v>
      </c>
      <c r="B644" s="3" t="s">
        <v>24</v>
      </c>
      <c r="C644" s="4">
        <v>45632</v>
      </c>
      <c r="D644" s="3" t="s">
        <v>38</v>
      </c>
      <c r="E644" s="3" t="s">
        <v>16</v>
      </c>
      <c r="F644" s="5">
        <v>4</v>
      </c>
      <c r="G644" s="6">
        <v>8.24</v>
      </c>
      <c r="H644" s="6">
        <v>32.96</v>
      </c>
      <c r="I644" s="6">
        <v>3.3</v>
      </c>
      <c r="J644" s="6">
        <v>29.66</v>
      </c>
      <c r="K644" s="5">
        <v>366</v>
      </c>
      <c r="L644" s="13" t="str">
        <f t="shared" si="20"/>
        <v>Discount Applied</v>
      </c>
      <c r="M644" s="13" t="str">
        <f t="shared" si="21"/>
        <v>Silver</v>
      </c>
      <c r="N644" s="13"/>
    </row>
    <row r="645" spans="1:14" x14ac:dyDescent="0.3">
      <c r="A645" s="3">
        <v>5332</v>
      </c>
      <c r="B645" s="3" t="s">
        <v>42</v>
      </c>
      <c r="C645" s="4">
        <v>45846</v>
      </c>
      <c r="D645" s="3" t="s">
        <v>35</v>
      </c>
      <c r="E645" s="3" t="s">
        <v>43</v>
      </c>
      <c r="F645" s="5">
        <v>4</v>
      </c>
      <c r="G645" s="6">
        <v>19.12</v>
      </c>
      <c r="H645" s="6">
        <v>76.48</v>
      </c>
      <c r="I645" s="6">
        <v>11.47</v>
      </c>
      <c r="J645" s="6">
        <v>65.010000000000005</v>
      </c>
      <c r="K645" s="5">
        <v>264</v>
      </c>
      <c r="L645" s="13" t="str">
        <f t="shared" si="20"/>
        <v>Discount Applied</v>
      </c>
      <c r="M645" s="13" t="str">
        <f t="shared" si="21"/>
        <v>Gold</v>
      </c>
      <c r="N645" s="13"/>
    </row>
    <row r="646" spans="1:14" x14ac:dyDescent="0.3">
      <c r="A646" s="3">
        <v>3024</v>
      </c>
      <c r="B646" s="3" t="s">
        <v>14</v>
      </c>
      <c r="C646" s="4">
        <v>45384</v>
      </c>
      <c r="D646" s="3" t="s">
        <v>35</v>
      </c>
      <c r="E646" s="3" t="s">
        <v>16</v>
      </c>
      <c r="F646" s="5">
        <v>2</v>
      </c>
      <c r="G646" s="6">
        <v>25.74</v>
      </c>
      <c r="H646" s="6">
        <v>51.48</v>
      </c>
      <c r="I646" s="6">
        <v>7.72</v>
      </c>
      <c r="J646" s="6">
        <v>43.76</v>
      </c>
      <c r="K646" s="5">
        <v>93</v>
      </c>
      <c r="L646" s="13" t="str">
        <f t="shared" si="20"/>
        <v>Discount Applied</v>
      </c>
      <c r="M646" s="13" t="str">
        <f t="shared" si="21"/>
        <v>Silver</v>
      </c>
      <c r="N646" s="13"/>
    </row>
    <row r="647" spans="1:14" x14ac:dyDescent="0.3">
      <c r="A647" s="3">
        <v>7038</v>
      </c>
      <c r="B647" s="3" t="s">
        <v>11</v>
      </c>
      <c r="C647" s="4">
        <v>45170</v>
      </c>
      <c r="D647" s="3" t="s">
        <v>27</v>
      </c>
      <c r="E647" s="3" t="s">
        <v>33</v>
      </c>
      <c r="F647" s="5">
        <v>5</v>
      </c>
      <c r="G647" s="6">
        <v>14.12</v>
      </c>
      <c r="H647" s="6">
        <v>70.599999999999994</v>
      </c>
      <c r="I647" s="6">
        <v>14.12</v>
      </c>
      <c r="J647" s="6">
        <v>56.48</v>
      </c>
      <c r="K647" s="5">
        <v>358</v>
      </c>
      <c r="L647" s="13" t="str">
        <f t="shared" si="20"/>
        <v>Discount Applied</v>
      </c>
      <c r="M647" s="13" t="str">
        <f t="shared" si="21"/>
        <v>Gold</v>
      </c>
      <c r="N647" s="13"/>
    </row>
    <row r="648" spans="1:14" x14ac:dyDescent="0.3">
      <c r="A648" s="3">
        <v>5295</v>
      </c>
      <c r="B648" s="3" t="s">
        <v>36</v>
      </c>
      <c r="C648" s="4">
        <v>45713</v>
      </c>
      <c r="D648" s="3" t="s">
        <v>12</v>
      </c>
      <c r="E648" s="3" t="s">
        <v>41</v>
      </c>
      <c r="F648" s="5">
        <v>1</v>
      </c>
      <c r="G648" s="6">
        <v>29.11</v>
      </c>
      <c r="H648" s="6">
        <v>29.11</v>
      </c>
      <c r="I648" s="6">
        <v>2.13</v>
      </c>
      <c r="J648" s="6">
        <v>26.98</v>
      </c>
      <c r="K648" s="5">
        <v>11</v>
      </c>
      <c r="L648" s="13" t="str">
        <f t="shared" si="20"/>
        <v>Discount Applied</v>
      </c>
      <c r="M648" s="13" t="str">
        <f t="shared" si="21"/>
        <v>Silver</v>
      </c>
      <c r="N648" s="13"/>
    </row>
    <row r="649" spans="1:14" x14ac:dyDescent="0.3">
      <c r="A649" s="3">
        <v>7242</v>
      </c>
      <c r="B649" s="3" t="s">
        <v>19</v>
      </c>
      <c r="C649" s="4">
        <v>45215</v>
      </c>
      <c r="D649" s="3" t="s">
        <v>45</v>
      </c>
      <c r="E649" s="3" t="s">
        <v>39</v>
      </c>
      <c r="F649" s="5">
        <v>2</v>
      </c>
      <c r="G649" s="6">
        <v>3.61</v>
      </c>
      <c r="H649" s="6">
        <v>7.22</v>
      </c>
      <c r="I649" s="6">
        <v>1.44</v>
      </c>
      <c r="J649" s="6">
        <v>5.78</v>
      </c>
      <c r="K649" s="5">
        <v>7</v>
      </c>
      <c r="L649" s="13" t="str">
        <f t="shared" si="20"/>
        <v>Discount Applied</v>
      </c>
      <c r="M649" s="13" t="str">
        <f t="shared" si="21"/>
        <v>Bronze</v>
      </c>
      <c r="N649" s="13"/>
    </row>
    <row r="650" spans="1:14" x14ac:dyDescent="0.3">
      <c r="A650" s="3">
        <v>7086</v>
      </c>
      <c r="B650" s="3" t="s">
        <v>36</v>
      </c>
      <c r="C650" s="4">
        <v>45398</v>
      </c>
      <c r="D650" s="3" t="s">
        <v>20</v>
      </c>
      <c r="E650" s="3" t="s">
        <v>37</v>
      </c>
      <c r="F650" s="5">
        <v>4</v>
      </c>
      <c r="G650" s="6">
        <v>29.93</v>
      </c>
      <c r="H650" s="6">
        <v>119.72</v>
      </c>
      <c r="I650" s="6">
        <v>17.96</v>
      </c>
      <c r="J650" s="6">
        <v>101.76</v>
      </c>
      <c r="K650" s="5">
        <v>237</v>
      </c>
      <c r="L650" s="13" t="str">
        <f t="shared" si="20"/>
        <v>Discount Applied</v>
      </c>
      <c r="M650" s="13" t="str">
        <f t="shared" si="21"/>
        <v>Platinum</v>
      </c>
      <c r="N650" s="13"/>
    </row>
    <row r="651" spans="1:14" x14ac:dyDescent="0.3">
      <c r="A651" s="3">
        <v>4830</v>
      </c>
      <c r="B651" s="3" t="s">
        <v>11</v>
      </c>
      <c r="C651" s="4">
        <v>45281</v>
      </c>
      <c r="D651" s="3" t="s">
        <v>34</v>
      </c>
      <c r="E651" s="3" t="s">
        <v>40</v>
      </c>
      <c r="F651" s="5">
        <v>3</v>
      </c>
      <c r="G651" s="6">
        <v>23.48</v>
      </c>
      <c r="H651" s="6">
        <v>70.44</v>
      </c>
      <c r="I651" s="6">
        <v>14.09</v>
      </c>
      <c r="J651" s="6">
        <v>56.35</v>
      </c>
      <c r="K651" s="5">
        <v>36</v>
      </c>
      <c r="L651" s="13" t="str">
        <f t="shared" si="20"/>
        <v>Discount Applied</v>
      </c>
      <c r="M651" s="13" t="str">
        <f t="shared" si="21"/>
        <v>Gold</v>
      </c>
      <c r="N651" s="13"/>
    </row>
    <row r="652" spans="1:14" x14ac:dyDescent="0.3">
      <c r="A652" s="3">
        <v>1410</v>
      </c>
      <c r="B652" s="3" t="s">
        <v>42</v>
      </c>
      <c r="C652" s="4">
        <v>45247</v>
      </c>
      <c r="D652" s="3" t="s">
        <v>35</v>
      </c>
      <c r="E652" s="3" t="s">
        <v>32</v>
      </c>
      <c r="F652" s="5">
        <v>1</v>
      </c>
      <c r="G652" s="6">
        <v>4.53</v>
      </c>
      <c r="H652" s="6">
        <v>4.53</v>
      </c>
      <c r="I652" s="6">
        <v>0.45</v>
      </c>
      <c r="J652" s="6">
        <v>4.08</v>
      </c>
      <c r="K652" s="5">
        <v>393</v>
      </c>
      <c r="L652" s="13" t="str">
        <f t="shared" si="20"/>
        <v>Discount Applied</v>
      </c>
      <c r="M652" s="13" t="str">
        <f t="shared" si="21"/>
        <v>Bronze</v>
      </c>
      <c r="N652" s="13"/>
    </row>
    <row r="653" spans="1:14" x14ac:dyDescent="0.3">
      <c r="A653" s="3">
        <v>6374</v>
      </c>
      <c r="B653" s="3" t="s">
        <v>26</v>
      </c>
      <c r="C653" s="4">
        <v>45825</v>
      </c>
      <c r="D653" s="3" t="s">
        <v>17</v>
      </c>
      <c r="E653" s="3" t="s">
        <v>40</v>
      </c>
      <c r="F653" s="5">
        <v>2</v>
      </c>
      <c r="G653" s="6">
        <v>14.35</v>
      </c>
      <c r="H653" s="6">
        <v>28.7</v>
      </c>
      <c r="I653" s="6">
        <v>3.66</v>
      </c>
      <c r="J653" s="6">
        <v>25.04</v>
      </c>
      <c r="K653" s="5">
        <v>394</v>
      </c>
      <c r="L653" s="13" t="str">
        <f t="shared" si="20"/>
        <v>Discount Applied</v>
      </c>
      <c r="M653" s="13" t="str">
        <f t="shared" si="21"/>
        <v>Silver</v>
      </c>
      <c r="N653" s="13"/>
    </row>
    <row r="654" spans="1:14" x14ac:dyDescent="0.3">
      <c r="A654" s="3">
        <v>4626</v>
      </c>
      <c r="B654" s="3" t="s">
        <v>42</v>
      </c>
      <c r="C654" s="4">
        <v>45557</v>
      </c>
      <c r="D654" s="3" t="s">
        <v>45</v>
      </c>
      <c r="E654" s="3" t="s">
        <v>32</v>
      </c>
      <c r="F654" s="5">
        <v>3</v>
      </c>
      <c r="G654" s="6">
        <v>28.14</v>
      </c>
      <c r="H654" s="6">
        <v>84.42</v>
      </c>
      <c r="I654" s="6">
        <v>0</v>
      </c>
      <c r="J654" s="6">
        <v>84.42</v>
      </c>
      <c r="K654" s="5">
        <v>81</v>
      </c>
      <c r="L654" s="13" t="str">
        <f t="shared" si="20"/>
        <v>No Discount</v>
      </c>
      <c r="M654" s="13" t="str">
        <f t="shared" si="21"/>
        <v>Platinum</v>
      </c>
      <c r="N654" s="13"/>
    </row>
    <row r="655" spans="1:14" x14ac:dyDescent="0.3">
      <c r="A655" s="3">
        <v>2035</v>
      </c>
      <c r="B655" s="3" t="s">
        <v>14</v>
      </c>
      <c r="C655" s="4">
        <v>45854</v>
      </c>
      <c r="D655" s="3" t="s">
        <v>38</v>
      </c>
      <c r="E655" s="3" t="s">
        <v>48</v>
      </c>
      <c r="F655" s="5">
        <v>3</v>
      </c>
      <c r="G655" s="6">
        <v>14.95</v>
      </c>
      <c r="H655" s="6">
        <v>44.85</v>
      </c>
      <c r="I655" s="6">
        <v>6.73</v>
      </c>
      <c r="J655" s="6">
        <v>38.119999999999997</v>
      </c>
      <c r="K655" s="5">
        <v>152</v>
      </c>
      <c r="L655" s="13" t="str">
        <f t="shared" si="20"/>
        <v>Discount Applied</v>
      </c>
      <c r="M655" s="13" t="str">
        <f t="shared" si="21"/>
        <v>Silver</v>
      </c>
      <c r="N655" s="13"/>
    </row>
    <row r="656" spans="1:14" x14ac:dyDescent="0.3">
      <c r="A656" s="3">
        <v>8606</v>
      </c>
      <c r="B656" s="3" t="s">
        <v>31</v>
      </c>
      <c r="C656" s="4">
        <v>45790</v>
      </c>
      <c r="D656" s="3" t="s">
        <v>27</v>
      </c>
      <c r="E656" s="3" t="s">
        <v>44</v>
      </c>
      <c r="F656" s="5">
        <v>1</v>
      </c>
      <c r="G656" s="6">
        <v>7.83</v>
      </c>
      <c r="H656" s="6">
        <v>7.83</v>
      </c>
      <c r="I656" s="6">
        <v>1.67</v>
      </c>
      <c r="J656" s="6">
        <v>6.16</v>
      </c>
      <c r="K656" s="5">
        <v>222</v>
      </c>
      <c r="L656" s="13" t="str">
        <f t="shared" si="20"/>
        <v>Discount Applied</v>
      </c>
      <c r="M656" s="13" t="str">
        <f t="shared" si="21"/>
        <v>Bronze</v>
      </c>
      <c r="N656" s="13"/>
    </row>
    <row r="657" spans="1:14" x14ac:dyDescent="0.3">
      <c r="A657" s="3">
        <v>5951</v>
      </c>
      <c r="B657" s="3" t="s">
        <v>30</v>
      </c>
      <c r="C657" s="4">
        <v>45344</v>
      </c>
      <c r="D657" s="3" t="s">
        <v>28</v>
      </c>
      <c r="E657" s="3" t="s">
        <v>48</v>
      </c>
      <c r="F657" s="5">
        <v>4</v>
      </c>
      <c r="G657" s="6">
        <v>23.88</v>
      </c>
      <c r="H657" s="6">
        <v>95.52</v>
      </c>
      <c r="I657" s="6">
        <v>4.13</v>
      </c>
      <c r="J657" s="6">
        <v>91.39</v>
      </c>
      <c r="K657" s="5">
        <v>4</v>
      </c>
      <c r="L657" s="13" t="str">
        <f t="shared" si="20"/>
        <v>Discount Applied</v>
      </c>
      <c r="M657" s="13" t="str">
        <f t="shared" si="21"/>
        <v>Platinum</v>
      </c>
      <c r="N657" s="13"/>
    </row>
    <row r="658" spans="1:14" x14ac:dyDescent="0.3">
      <c r="A658" s="3">
        <v>7689</v>
      </c>
      <c r="B658" s="3" t="s">
        <v>26</v>
      </c>
      <c r="C658" s="4">
        <v>45771</v>
      </c>
      <c r="D658" s="3" t="s">
        <v>28</v>
      </c>
      <c r="E658" s="3" t="s">
        <v>41</v>
      </c>
      <c r="F658" s="5">
        <v>3</v>
      </c>
      <c r="G658" s="6">
        <v>23.34</v>
      </c>
      <c r="H658" s="6">
        <v>70.02</v>
      </c>
      <c r="I658" s="6">
        <v>7</v>
      </c>
      <c r="J658" s="6">
        <v>63.02</v>
      </c>
      <c r="K658" s="5">
        <v>127</v>
      </c>
      <c r="L658" s="13" t="str">
        <f t="shared" si="20"/>
        <v>Discount Applied</v>
      </c>
      <c r="M658" s="13" t="str">
        <f t="shared" si="21"/>
        <v>Gold</v>
      </c>
      <c r="N658" s="13"/>
    </row>
    <row r="659" spans="1:14" x14ac:dyDescent="0.3">
      <c r="A659" s="3">
        <v>3290</v>
      </c>
      <c r="B659" s="3"/>
      <c r="C659" s="4">
        <v>45724</v>
      </c>
      <c r="D659" s="3" t="s">
        <v>27</v>
      </c>
      <c r="E659" s="3" t="s">
        <v>21</v>
      </c>
      <c r="F659" s="5">
        <v>1</v>
      </c>
      <c r="G659" s="6">
        <v>2.72</v>
      </c>
      <c r="H659" s="6">
        <v>2.72</v>
      </c>
      <c r="I659" s="6">
        <v>0</v>
      </c>
      <c r="J659" s="6">
        <v>2.72</v>
      </c>
      <c r="K659" s="5">
        <v>330</v>
      </c>
      <c r="L659" s="13" t="str">
        <f t="shared" si="20"/>
        <v>No Discount</v>
      </c>
      <c r="M659" s="13" t="str">
        <f t="shared" si="21"/>
        <v>Bronze</v>
      </c>
      <c r="N659" s="13"/>
    </row>
    <row r="660" spans="1:14" x14ac:dyDescent="0.3">
      <c r="A660" s="3">
        <v>1609</v>
      </c>
      <c r="B660" s="3" t="s">
        <v>14</v>
      </c>
      <c r="C660" s="4">
        <v>45769</v>
      </c>
      <c r="D660" s="3" t="s">
        <v>15</v>
      </c>
      <c r="E660" s="3" t="s">
        <v>41</v>
      </c>
      <c r="F660" s="5">
        <v>4</v>
      </c>
      <c r="G660" s="6">
        <v>7.74</v>
      </c>
      <c r="H660" s="6">
        <v>30.96</v>
      </c>
      <c r="I660" s="6">
        <v>3.1</v>
      </c>
      <c r="J660" s="6">
        <v>27.86</v>
      </c>
      <c r="K660" s="5">
        <v>285</v>
      </c>
      <c r="L660" s="13" t="str">
        <f t="shared" si="20"/>
        <v>Discount Applied</v>
      </c>
      <c r="M660" s="13" t="str">
        <f t="shared" si="21"/>
        <v>Silver</v>
      </c>
      <c r="N660" s="13"/>
    </row>
    <row r="661" spans="1:14" x14ac:dyDescent="0.3">
      <c r="A661" s="3">
        <v>9071</v>
      </c>
      <c r="B661" s="3" t="s">
        <v>42</v>
      </c>
      <c r="C661" s="4">
        <v>45508</v>
      </c>
      <c r="D661" s="3" t="s">
        <v>12</v>
      </c>
      <c r="E661" s="3" t="s">
        <v>32</v>
      </c>
      <c r="F661" s="5">
        <v>3</v>
      </c>
      <c r="G661" s="6">
        <v>22</v>
      </c>
      <c r="H661" s="6">
        <v>66</v>
      </c>
      <c r="I661" s="6">
        <v>6.6</v>
      </c>
      <c r="J661" s="6">
        <v>59.4</v>
      </c>
      <c r="K661" s="5">
        <v>128</v>
      </c>
      <c r="L661" s="13" t="str">
        <f t="shared" si="20"/>
        <v>Discount Applied</v>
      </c>
      <c r="M661" s="13" t="str">
        <f t="shared" si="21"/>
        <v>Gold</v>
      </c>
      <c r="N661" s="13"/>
    </row>
    <row r="662" spans="1:14" x14ac:dyDescent="0.3">
      <c r="A662" s="3">
        <v>2592</v>
      </c>
      <c r="B662" s="3" t="s">
        <v>26</v>
      </c>
      <c r="C662" s="4">
        <v>45254</v>
      </c>
      <c r="D662" s="3" t="s">
        <v>38</v>
      </c>
      <c r="E662" s="3" t="s">
        <v>37</v>
      </c>
      <c r="F662" s="5">
        <v>5</v>
      </c>
      <c r="G662" s="6">
        <v>21.2</v>
      </c>
      <c r="H662" s="6">
        <v>106</v>
      </c>
      <c r="I662" s="6">
        <v>2.39</v>
      </c>
      <c r="J662" s="6">
        <v>103.61</v>
      </c>
      <c r="K662" s="5">
        <v>97</v>
      </c>
      <c r="L662" s="13" t="str">
        <f t="shared" si="20"/>
        <v>Discount Applied</v>
      </c>
      <c r="M662" s="13" t="str">
        <f t="shared" si="21"/>
        <v>Platinum</v>
      </c>
      <c r="N662" s="13"/>
    </row>
    <row r="663" spans="1:14" x14ac:dyDescent="0.3">
      <c r="A663" s="3">
        <v>9807</v>
      </c>
      <c r="B663" s="3" t="s">
        <v>26</v>
      </c>
      <c r="C663" s="4">
        <v>45813</v>
      </c>
      <c r="D663" s="3" t="s">
        <v>35</v>
      </c>
      <c r="E663" s="3" t="s">
        <v>18</v>
      </c>
      <c r="F663" s="5">
        <v>2</v>
      </c>
      <c r="G663" s="6">
        <v>2.99</v>
      </c>
      <c r="H663" s="6">
        <v>5.98</v>
      </c>
      <c r="I663" s="6">
        <v>0.9</v>
      </c>
      <c r="J663" s="6">
        <v>5.08</v>
      </c>
      <c r="K663" s="5">
        <v>79</v>
      </c>
      <c r="L663" s="13" t="str">
        <f t="shared" si="20"/>
        <v>Discount Applied</v>
      </c>
      <c r="M663" s="13" t="str">
        <f t="shared" si="21"/>
        <v>Bronze</v>
      </c>
      <c r="N663" s="13"/>
    </row>
    <row r="664" spans="1:14" x14ac:dyDescent="0.3">
      <c r="A664" s="3">
        <v>7367</v>
      </c>
      <c r="B664" s="3" t="s">
        <v>30</v>
      </c>
      <c r="C664" s="4">
        <v>45801</v>
      </c>
      <c r="D664" s="3" t="s">
        <v>38</v>
      </c>
      <c r="E664" s="3" t="s">
        <v>23</v>
      </c>
      <c r="F664" s="5">
        <v>4</v>
      </c>
      <c r="G664" s="6">
        <v>1.01</v>
      </c>
      <c r="H664" s="6">
        <v>4.04</v>
      </c>
      <c r="I664" s="6">
        <v>0</v>
      </c>
      <c r="J664" s="6">
        <v>4.04</v>
      </c>
      <c r="K664" s="5">
        <v>326</v>
      </c>
      <c r="L664" s="13" t="str">
        <f t="shared" si="20"/>
        <v>No Discount</v>
      </c>
      <c r="M664" s="13" t="str">
        <f t="shared" si="21"/>
        <v>Bronze</v>
      </c>
      <c r="N664" s="13"/>
    </row>
    <row r="665" spans="1:14" x14ac:dyDescent="0.3">
      <c r="A665" s="3">
        <v>7078</v>
      </c>
      <c r="B665" s="3" t="s">
        <v>19</v>
      </c>
      <c r="C665" s="4">
        <v>45215</v>
      </c>
      <c r="D665" s="3" t="s">
        <v>12</v>
      </c>
      <c r="E665" s="3" t="s">
        <v>23</v>
      </c>
      <c r="F665" s="5">
        <v>5</v>
      </c>
      <c r="G665" s="6">
        <v>7.91</v>
      </c>
      <c r="H665" s="6">
        <v>39.549999999999997</v>
      </c>
      <c r="I665" s="6">
        <v>0</v>
      </c>
      <c r="J665" s="6">
        <v>39.549999999999997</v>
      </c>
      <c r="K665" s="5">
        <v>369</v>
      </c>
      <c r="L665" s="13" t="str">
        <f t="shared" si="20"/>
        <v>No Discount</v>
      </c>
      <c r="M665" s="13" t="str">
        <f t="shared" si="21"/>
        <v>Silver</v>
      </c>
      <c r="N665" s="13"/>
    </row>
    <row r="666" spans="1:14" x14ac:dyDescent="0.3">
      <c r="A666" s="3">
        <v>9850</v>
      </c>
      <c r="B666" s="3" t="s">
        <v>14</v>
      </c>
      <c r="C666" s="4">
        <v>45155</v>
      </c>
      <c r="D666" s="3" t="s">
        <v>20</v>
      </c>
      <c r="E666" s="3" t="s">
        <v>44</v>
      </c>
      <c r="F666" s="5">
        <v>5</v>
      </c>
      <c r="G666" s="6">
        <v>20.8</v>
      </c>
      <c r="H666" s="6">
        <v>104</v>
      </c>
      <c r="I666" s="6">
        <v>2.13</v>
      </c>
      <c r="J666" s="6">
        <v>101.87</v>
      </c>
      <c r="K666" s="5">
        <v>392</v>
      </c>
      <c r="L666" s="13" t="str">
        <f t="shared" si="20"/>
        <v>Discount Applied</v>
      </c>
      <c r="M666" s="13" t="str">
        <f t="shared" si="21"/>
        <v>Platinum</v>
      </c>
      <c r="N666" s="13"/>
    </row>
    <row r="667" spans="1:14" x14ac:dyDescent="0.3">
      <c r="A667" s="3">
        <v>3531</v>
      </c>
      <c r="B667" s="3" t="s">
        <v>24</v>
      </c>
      <c r="C667" s="4">
        <v>45561</v>
      </c>
      <c r="D667" s="3" t="s">
        <v>27</v>
      </c>
      <c r="E667" s="3" t="s">
        <v>21</v>
      </c>
      <c r="F667" s="5">
        <v>1</v>
      </c>
      <c r="G667" s="6">
        <v>3.78</v>
      </c>
      <c r="H667" s="6">
        <v>3.78</v>
      </c>
      <c r="I667" s="6">
        <v>4.34</v>
      </c>
      <c r="J667" s="6">
        <v>-0.56000000000000005</v>
      </c>
      <c r="K667" s="5">
        <v>337</v>
      </c>
      <c r="L667" s="13" t="str">
        <f t="shared" si="20"/>
        <v>Discount Applied</v>
      </c>
      <c r="M667" s="13" t="str">
        <f t="shared" si="21"/>
        <v>Bronze</v>
      </c>
      <c r="N667" s="13"/>
    </row>
    <row r="668" spans="1:14" x14ac:dyDescent="0.3">
      <c r="A668" s="3">
        <v>2622</v>
      </c>
      <c r="B668" s="3" t="s">
        <v>19</v>
      </c>
      <c r="C668" s="4">
        <v>45498</v>
      </c>
      <c r="D668" s="3" t="s">
        <v>34</v>
      </c>
      <c r="E668" s="3" t="s">
        <v>40</v>
      </c>
      <c r="F668" s="5">
        <v>2</v>
      </c>
      <c r="G668" s="6">
        <v>4.09</v>
      </c>
      <c r="H668" s="6">
        <v>8.18</v>
      </c>
      <c r="I668" s="6">
        <v>3.28</v>
      </c>
      <c r="J668" s="6">
        <v>4.9000000000000004</v>
      </c>
      <c r="K668" s="5">
        <v>98</v>
      </c>
      <c r="L668" s="13" t="str">
        <f t="shared" si="20"/>
        <v>Discount Applied</v>
      </c>
      <c r="M668" s="13" t="str">
        <f t="shared" si="21"/>
        <v>Bronze</v>
      </c>
      <c r="N668" s="13"/>
    </row>
    <row r="669" spans="1:14" x14ac:dyDescent="0.3">
      <c r="A669" s="3">
        <v>9017</v>
      </c>
      <c r="B669" s="3" t="s">
        <v>24</v>
      </c>
      <c r="C669" s="4">
        <v>45667</v>
      </c>
      <c r="D669" s="3" t="s">
        <v>27</v>
      </c>
      <c r="E669" s="3" t="s">
        <v>47</v>
      </c>
      <c r="F669" s="5">
        <v>5</v>
      </c>
      <c r="G669" s="6">
        <v>19.09</v>
      </c>
      <c r="H669" s="6">
        <v>95.45</v>
      </c>
      <c r="I669" s="6">
        <v>2.4700000000000002</v>
      </c>
      <c r="J669" s="6">
        <v>92.98</v>
      </c>
      <c r="K669" s="5">
        <v>302</v>
      </c>
      <c r="L669" s="13" t="str">
        <f t="shared" si="20"/>
        <v>Discount Applied</v>
      </c>
      <c r="M669" s="13" t="str">
        <f t="shared" si="21"/>
        <v>Platinum</v>
      </c>
      <c r="N669" s="13"/>
    </row>
    <row r="670" spans="1:14" x14ac:dyDescent="0.3">
      <c r="A670" s="3">
        <v>7686</v>
      </c>
      <c r="B670" s="3" t="s">
        <v>11</v>
      </c>
      <c r="C670" s="4">
        <v>45599</v>
      </c>
      <c r="D670" s="3" t="s">
        <v>12</v>
      </c>
      <c r="E670" s="3" t="s">
        <v>44</v>
      </c>
      <c r="F670" s="5">
        <v>4</v>
      </c>
      <c r="G670" s="6">
        <v>27.91</v>
      </c>
      <c r="H670" s="6">
        <v>111.64</v>
      </c>
      <c r="I670" s="6">
        <v>11.16</v>
      </c>
      <c r="J670" s="6">
        <v>100.48</v>
      </c>
      <c r="K670" s="5">
        <v>426</v>
      </c>
      <c r="L670" s="13" t="str">
        <f t="shared" si="20"/>
        <v>Discount Applied</v>
      </c>
      <c r="M670" s="13" t="str">
        <f t="shared" si="21"/>
        <v>Platinum</v>
      </c>
      <c r="N670" s="13"/>
    </row>
    <row r="671" spans="1:14" x14ac:dyDescent="0.3">
      <c r="A671" s="3">
        <v>5583</v>
      </c>
      <c r="B671" s="3" t="s">
        <v>31</v>
      </c>
      <c r="C671" s="4">
        <v>45783</v>
      </c>
      <c r="D671" s="3" t="s">
        <v>22</v>
      </c>
      <c r="E671" s="3" t="s">
        <v>18</v>
      </c>
      <c r="F671" s="5">
        <v>4</v>
      </c>
      <c r="G671" s="6">
        <v>24.83</v>
      </c>
      <c r="H671" s="6">
        <v>99.32</v>
      </c>
      <c r="I671" s="6">
        <v>2.06</v>
      </c>
      <c r="J671" s="6">
        <v>97.26</v>
      </c>
      <c r="K671" s="5">
        <v>406</v>
      </c>
      <c r="L671" s="13" t="str">
        <f t="shared" si="20"/>
        <v>Discount Applied</v>
      </c>
      <c r="M671" s="13" t="str">
        <f t="shared" si="21"/>
        <v>Platinum</v>
      </c>
      <c r="N671" s="13"/>
    </row>
    <row r="672" spans="1:14" x14ac:dyDescent="0.3">
      <c r="A672" s="3">
        <v>7070</v>
      </c>
      <c r="B672" s="3" t="s">
        <v>31</v>
      </c>
      <c r="C672" s="4">
        <v>45229</v>
      </c>
      <c r="D672" s="3" t="s">
        <v>15</v>
      </c>
      <c r="E672" s="3" t="s">
        <v>37</v>
      </c>
      <c r="F672" s="5">
        <v>1</v>
      </c>
      <c r="G672" s="6">
        <v>28.38</v>
      </c>
      <c r="H672" s="6">
        <v>28.38</v>
      </c>
      <c r="I672" s="6">
        <v>3.9</v>
      </c>
      <c r="J672" s="6">
        <v>24.48</v>
      </c>
      <c r="K672" s="5">
        <v>491</v>
      </c>
      <c r="L672" s="13" t="str">
        <f t="shared" si="20"/>
        <v>Discount Applied</v>
      </c>
      <c r="M672" s="13" t="str">
        <f t="shared" si="21"/>
        <v>Silver</v>
      </c>
      <c r="N672" s="13"/>
    </row>
    <row r="673" spans="1:14" x14ac:dyDescent="0.3">
      <c r="A673" s="3">
        <v>8264</v>
      </c>
      <c r="B673" s="3" t="s">
        <v>14</v>
      </c>
      <c r="C673" s="4">
        <v>45511</v>
      </c>
      <c r="D673" s="3" t="s">
        <v>20</v>
      </c>
      <c r="E673" s="3" t="s">
        <v>44</v>
      </c>
      <c r="F673" s="5">
        <v>2</v>
      </c>
      <c r="G673" s="6">
        <v>16.25</v>
      </c>
      <c r="H673" s="6">
        <v>32.5</v>
      </c>
      <c r="I673" s="6">
        <v>4</v>
      </c>
      <c r="J673" s="6">
        <v>28.5</v>
      </c>
      <c r="K673" s="5">
        <v>127</v>
      </c>
      <c r="L673" s="13" t="str">
        <f t="shared" si="20"/>
        <v>Discount Applied</v>
      </c>
      <c r="M673" s="13" t="str">
        <f t="shared" si="21"/>
        <v>Silver</v>
      </c>
      <c r="N673" s="13"/>
    </row>
    <row r="674" spans="1:14" x14ac:dyDescent="0.3">
      <c r="A674" s="3">
        <v>4868</v>
      </c>
      <c r="B674" s="3" t="s">
        <v>24</v>
      </c>
      <c r="C674" s="4">
        <v>45626</v>
      </c>
      <c r="D674" s="3" t="s">
        <v>15</v>
      </c>
      <c r="E674" s="3" t="s">
        <v>23</v>
      </c>
      <c r="F674" s="5">
        <v>4</v>
      </c>
      <c r="G674" s="6">
        <v>21.36</v>
      </c>
      <c r="H674" s="6">
        <v>85.44</v>
      </c>
      <c r="I674" s="6">
        <v>17.09</v>
      </c>
      <c r="J674" s="6">
        <v>68.349999999999994</v>
      </c>
      <c r="K674" s="5">
        <v>218</v>
      </c>
      <c r="L674" s="13" t="str">
        <f t="shared" si="20"/>
        <v>Discount Applied</v>
      </c>
      <c r="M674" s="13" t="str">
        <f t="shared" si="21"/>
        <v>Gold</v>
      </c>
      <c r="N674" s="13"/>
    </row>
    <row r="675" spans="1:14" x14ac:dyDescent="0.3">
      <c r="A675" s="3">
        <v>6942</v>
      </c>
      <c r="B675" s="3" t="s">
        <v>19</v>
      </c>
      <c r="C675" s="4">
        <v>45855</v>
      </c>
      <c r="D675" s="3" t="s">
        <v>38</v>
      </c>
      <c r="E675" s="3" t="s">
        <v>32</v>
      </c>
      <c r="F675" s="5">
        <v>5</v>
      </c>
      <c r="G675" s="6">
        <v>10.78</v>
      </c>
      <c r="H675" s="6">
        <v>53.9</v>
      </c>
      <c r="I675" s="6">
        <v>8.08</v>
      </c>
      <c r="J675" s="6">
        <v>45.82</v>
      </c>
      <c r="K675" s="5">
        <v>80</v>
      </c>
      <c r="L675" s="13" t="str">
        <f t="shared" si="20"/>
        <v>Discount Applied</v>
      </c>
      <c r="M675" s="13" t="str">
        <f t="shared" si="21"/>
        <v>Silver</v>
      </c>
      <c r="N675" s="13"/>
    </row>
    <row r="676" spans="1:14" x14ac:dyDescent="0.3">
      <c r="A676" s="3">
        <v>7018</v>
      </c>
      <c r="B676" s="3" t="s">
        <v>36</v>
      </c>
      <c r="C676" s="4">
        <v>45648</v>
      </c>
      <c r="D676" s="3" t="s">
        <v>38</v>
      </c>
      <c r="E676" s="3" t="s">
        <v>21</v>
      </c>
      <c r="F676" s="5">
        <v>3</v>
      </c>
      <c r="G676" s="6">
        <v>12.95</v>
      </c>
      <c r="H676" s="6">
        <v>38.85</v>
      </c>
      <c r="I676" s="6">
        <v>0</v>
      </c>
      <c r="J676" s="6">
        <v>38.85</v>
      </c>
      <c r="K676" s="5">
        <v>324</v>
      </c>
      <c r="L676" s="13" t="str">
        <f t="shared" si="20"/>
        <v>No Discount</v>
      </c>
      <c r="M676" s="13" t="str">
        <f t="shared" si="21"/>
        <v>Silver</v>
      </c>
      <c r="N676" s="13"/>
    </row>
    <row r="677" spans="1:14" x14ac:dyDescent="0.3">
      <c r="A677" s="3">
        <v>6876</v>
      </c>
      <c r="B677" s="3" t="s">
        <v>36</v>
      </c>
      <c r="C677" s="4">
        <v>45638</v>
      </c>
      <c r="D677" s="3" t="s">
        <v>28</v>
      </c>
      <c r="E677" s="3" t="s">
        <v>25</v>
      </c>
      <c r="F677" s="5">
        <v>5</v>
      </c>
      <c r="G677" s="6">
        <v>16.809999999999999</v>
      </c>
      <c r="H677" s="6">
        <v>84.05</v>
      </c>
      <c r="I677" s="6">
        <v>12.61</v>
      </c>
      <c r="J677" s="6">
        <v>71.44</v>
      </c>
      <c r="K677" s="5">
        <v>192</v>
      </c>
      <c r="L677" s="13" t="str">
        <f t="shared" si="20"/>
        <v>Discount Applied</v>
      </c>
      <c r="M677" s="13" t="str">
        <f t="shared" si="21"/>
        <v>Platinum</v>
      </c>
      <c r="N677" s="13"/>
    </row>
    <row r="678" spans="1:14" x14ac:dyDescent="0.3">
      <c r="A678" s="3">
        <v>7523</v>
      </c>
      <c r="B678" s="3" t="s">
        <v>26</v>
      </c>
      <c r="C678" s="4">
        <v>45851</v>
      </c>
      <c r="D678" s="3" t="s">
        <v>45</v>
      </c>
      <c r="E678" s="3" t="s">
        <v>32</v>
      </c>
      <c r="F678" s="5">
        <v>1</v>
      </c>
      <c r="G678" s="6">
        <v>22.05</v>
      </c>
      <c r="H678" s="6">
        <v>22.05</v>
      </c>
      <c r="I678" s="6">
        <v>1.54</v>
      </c>
      <c r="J678" s="6">
        <v>20.51</v>
      </c>
      <c r="K678" s="5">
        <v>145</v>
      </c>
      <c r="L678" s="13" t="str">
        <f t="shared" si="20"/>
        <v>Discount Applied</v>
      </c>
      <c r="M678" s="13" t="str">
        <f t="shared" si="21"/>
        <v>Silver</v>
      </c>
      <c r="N678" s="13"/>
    </row>
    <row r="679" spans="1:14" x14ac:dyDescent="0.3">
      <c r="A679" s="3">
        <v>4109</v>
      </c>
      <c r="B679" s="3" t="s">
        <v>30</v>
      </c>
      <c r="C679" s="4">
        <v>45649</v>
      </c>
      <c r="D679" s="3" t="s">
        <v>12</v>
      </c>
      <c r="E679" s="3" t="s">
        <v>37</v>
      </c>
      <c r="F679" s="5">
        <v>2</v>
      </c>
      <c r="G679" s="6">
        <v>7.22</v>
      </c>
      <c r="H679" s="6">
        <v>14.44</v>
      </c>
      <c r="I679" s="6">
        <v>0</v>
      </c>
      <c r="J679" s="6">
        <v>14.44</v>
      </c>
      <c r="K679" s="5">
        <v>161</v>
      </c>
      <c r="L679" s="13" t="str">
        <f t="shared" si="20"/>
        <v>No Discount</v>
      </c>
      <c r="M679" s="13" t="str">
        <f t="shared" si="21"/>
        <v>Bronze</v>
      </c>
      <c r="N679" s="13"/>
    </row>
    <row r="680" spans="1:14" x14ac:dyDescent="0.3">
      <c r="A680" s="3">
        <v>8450</v>
      </c>
      <c r="B680" s="3" t="s">
        <v>30</v>
      </c>
      <c r="C680" s="4">
        <v>45235</v>
      </c>
      <c r="D680" s="3" t="s">
        <v>38</v>
      </c>
      <c r="E680" s="3" t="s">
        <v>46</v>
      </c>
      <c r="F680" s="5">
        <v>5</v>
      </c>
      <c r="G680" s="6">
        <v>17.54</v>
      </c>
      <c r="H680" s="6">
        <v>87.7</v>
      </c>
      <c r="I680" s="6">
        <v>1.1499999999999999</v>
      </c>
      <c r="J680" s="6">
        <v>86.55</v>
      </c>
      <c r="K680" s="5">
        <v>292</v>
      </c>
      <c r="L680" s="13" t="str">
        <f t="shared" si="20"/>
        <v>Discount Applied</v>
      </c>
      <c r="M680" s="13" t="str">
        <f t="shared" si="21"/>
        <v>Platinum</v>
      </c>
      <c r="N680" s="13"/>
    </row>
    <row r="681" spans="1:14" x14ac:dyDescent="0.3">
      <c r="A681" s="3">
        <v>4475</v>
      </c>
      <c r="B681" s="3" t="s">
        <v>36</v>
      </c>
      <c r="C681" s="4">
        <v>45180</v>
      </c>
      <c r="D681" s="3" t="s">
        <v>34</v>
      </c>
      <c r="E681" s="3" t="s">
        <v>41</v>
      </c>
      <c r="F681" s="5">
        <v>3</v>
      </c>
      <c r="G681" s="6">
        <v>11.64</v>
      </c>
      <c r="H681" s="6">
        <v>34.92</v>
      </c>
      <c r="I681" s="6">
        <v>6.98</v>
      </c>
      <c r="J681" s="6">
        <v>27.94</v>
      </c>
      <c r="K681" s="5">
        <v>298</v>
      </c>
      <c r="L681" s="13" t="str">
        <f t="shared" si="20"/>
        <v>Discount Applied</v>
      </c>
      <c r="M681" s="13" t="str">
        <f t="shared" si="21"/>
        <v>Silver</v>
      </c>
      <c r="N681" s="13"/>
    </row>
    <row r="682" spans="1:14" x14ac:dyDescent="0.3">
      <c r="A682" s="3">
        <v>1349</v>
      </c>
      <c r="B682" s="3" t="s">
        <v>30</v>
      </c>
      <c r="C682" s="4">
        <v>45381</v>
      </c>
      <c r="D682" s="3" t="s">
        <v>35</v>
      </c>
      <c r="E682" s="3" t="s">
        <v>43</v>
      </c>
      <c r="F682" s="5">
        <v>5</v>
      </c>
      <c r="G682" s="6">
        <v>12.58</v>
      </c>
      <c r="H682" s="6">
        <v>62.9</v>
      </c>
      <c r="I682" s="6">
        <v>0</v>
      </c>
      <c r="J682" s="6">
        <v>62.9</v>
      </c>
      <c r="K682" s="5">
        <v>469</v>
      </c>
      <c r="L682" s="13" t="str">
        <f t="shared" si="20"/>
        <v>No Discount</v>
      </c>
      <c r="M682" s="13" t="str">
        <f t="shared" si="21"/>
        <v>Gold</v>
      </c>
      <c r="N682" s="13"/>
    </row>
    <row r="683" spans="1:14" x14ac:dyDescent="0.3">
      <c r="A683" s="3">
        <v>6464</v>
      </c>
      <c r="B683" s="3" t="s">
        <v>11</v>
      </c>
      <c r="C683" s="4">
        <v>45235</v>
      </c>
      <c r="D683" s="3" t="s">
        <v>22</v>
      </c>
      <c r="E683" s="3" t="s">
        <v>47</v>
      </c>
      <c r="F683" s="5">
        <v>2</v>
      </c>
      <c r="G683" s="6">
        <v>15.15</v>
      </c>
      <c r="H683" s="6">
        <v>30.3</v>
      </c>
      <c r="I683" s="6">
        <v>3.57</v>
      </c>
      <c r="J683" s="6">
        <v>26.73</v>
      </c>
      <c r="K683" s="5">
        <v>460</v>
      </c>
      <c r="L683" s="13" t="str">
        <f t="shared" si="20"/>
        <v>Discount Applied</v>
      </c>
      <c r="M683" s="13" t="str">
        <f t="shared" si="21"/>
        <v>Silver</v>
      </c>
      <c r="N683" s="13"/>
    </row>
    <row r="684" spans="1:14" x14ac:dyDescent="0.3">
      <c r="A684" s="3">
        <v>3063</v>
      </c>
      <c r="B684" s="3" t="s">
        <v>31</v>
      </c>
      <c r="C684" s="4">
        <v>45327</v>
      </c>
      <c r="D684" s="3" t="s">
        <v>28</v>
      </c>
      <c r="E684" s="3" t="s">
        <v>32</v>
      </c>
      <c r="F684" s="5">
        <v>1</v>
      </c>
      <c r="G684" s="6">
        <v>23.61</v>
      </c>
      <c r="H684" s="6">
        <v>23.61</v>
      </c>
      <c r="I684" s="6">
        <v>3.54</v>
      </c>
      <c r="J684" s="6">
        <v>20.07</v>
      </c>
      <c r="K684" s="5">
        <v>471</v>
      </c>
      <c r="L684" s="13" t="str">
        <f t="shared" si="20"/>
        <v>Discount Applied</v>
      </c>
      <c r="M684" s="13" t="str">
        <f t="shared" si="21"/>
        <v>Silver</v>
      </c>
      <c r="N684" s="13"/>
    </row>
    <row r="685" spans="1:14" x14ac:dyDescent="0.3">
      <c r="A685" s="3">
        <v>4362</v>
      </c>
      <c r="B685" s="3" t="s">
        <v>24</v>
      </c>
      <c r="C685" s="4">
        <v>45250</v>
      </c>
      <c r="D685" s="3" t="s">
        <v>20</v>
      </c>
      <c r="E685" s="3" t="s">
        <v>48</v>
      </c>
      <c r="F685" s="5">
        <v>2</v>
      </c>
      <c r="G685" s="6">
        <v>22.67</v>
      </c>
      <c r="H685" s="6">
        <v>45.34</v>
      </c>
      <c r="I685" s="6">
        <v>0</v>
      </c>
      <c r="J685" s="6">
        <v>45.34</v>
      </c>
      <c r="K685" s="5">
        <v>434</v>
      </c>
      <c r="L685" s="13" t="str">
        <f t="shared" si="20"/>
        <v>No Discount</v>
      </c>
      <c r="M685" s="13" t="str">
        <f t="shared" si="21"/>
        <v>Silver</v>
      </c>
      <c r="N685" s="13"/>
    </row>
    <row r="686" spans="1:14" x14ac:dyDescent="0.3">
      <c r="A686" s="3">
        <v>4394</v>
      </c>
      <c r="B686" s="3" t="s">
        <v>24</v>
      </c>
      <c r="C686" s="4">
        <v>45497</v>
      </c>
      <c r="D686" s="3" t="s">
        <v>12</v>
      </c>
      <c r="E686" s="3" t="s">
        <v>37</v>
      </c>
      <c r="F686" s="5">
        <v>5</v>
      </c>
      <c r="G686" s="6">
        <v>2.1800000000000002</v>
      </c>
      <c r="H686" s="6">
        <v>10.9</v>
      </c>
      <c r="I686" s="6">
        <v>1.64</v>
      </c>
      <c r="J686" s="6">
        <v>9.26</v>
      </c>
      <c r="K686" s="5">
        <v>276</v>
      </c>
      <c r="L686" s="13" t="str">
        <f t="shared" si="20"/>
        <v>Discount Applied</v>
      </c>
      <c r="M686" s="13" t="str">
        <f t="shared" si="21"/>
        <v>Bronze</v>
      </c>
      <c r="N686" s="13"/>
    </row>
    <row r="687" spans="1:14" x14ac:dyDescent="0.3">
      <c r="A687" s="3">
        <v>4538</v>
      </c>
      <c r="B687" s="3" t="s">
        <v>14</v>
      </c>
      <c r="C687" s="4">
        <v>45665</v>
      </c>
      <c r="D687" s="3" t="s">
        <v>17</v>
      </c>
      <c r="E687" s="3" t="s">
        <v>41</v>
      </c>
      <c r="F687" s="5">
        <v>1</v>
      </c>
      <c r="G687" s="6">
        <v>20.53</v>
      </c>
      <c r="H687" s="6">
        <v>20.53</v>
      </c>
      <c r="I687" s="6">
        <v>3.3</v>
      </c>
      <c r="J687" s="6">
        <v>17.23</v>
      </c>
      <c r="K687" s="5">
        <v>201</v>
      </c>
      <c r="L687" s="13" t="str">
        <f t="shared" si="20"/>
        <v>Discount Applied</v>
      </c>
      <c r="M687" s="13" t="str">
        <f t="shared" si="21"/>
        <v>Bronze</v>
      </c>
      <c r="N687" s="13"/>
    </row>
    <row r="688" spans="1:14" x14ac:dyDescent="0.3">
      <c r="A688" s="3">
        <v>4817</v>
      </c>
      <c r="B688" s="3" t="s">
        <v>11</v>
      </c>
      <c r="C688" s="4">
        <v>45470</v>
      </c>
      <c r="D688" s="3" t="s">
        <v>17</v>
      </c>
      <c r="E688" s="3" t="s">
        <v>16</v>
      </c>
      <c r="F688" s="5">
        <v>3</v>
      </c>
      <c r="G688" s="6">
        <v>23.79</v>
      </c>
      <c r="H688" s="6">
        <v>71.37</v>
      </c>
      <c r="I688" s="6">
        <v>10.71</v>
      </c>
      <c r="J688" s="6">
        <v>60.66</v>
      </c>
      <c r="K688" s="5">
        <v>75</v>
      </c>
      <c r="L688" s="13" t="str">
        <f t="shared" si="20"/>
        <v>Discount Applied</v>
      </c>
      <c r="M688" s="13" t="str">
        <f t="shared" si="21"/>
        <v>Gold</v>
      </c>
      <c r="N688" s="13"/>
    </row>
    <row r="689" spans="1:14" x14ac:dyDescent="0.3">
      <c r="A689" s="3">
        <v>1046</v>
      </c>
      <c r="B689" s="3" t="s">
        <v>11</v>
      </c>
      <c r="C689" s="4">
        <v>45832</v>
      </c>
      <c r="D689" s="3" t="s">
        <v>45</v>
      </c>
      <c r="E689" s="3" t="s">
        <v>40</v>
      </c>
      <c r="F689" s="5">
        <v>5</v>
      </c>
      <c r="G689" s="6">
        <v>12.57</v>
      </c>
      <c r="H689" s="6">
        <v>62.85</v>
      </c>
      <c r="I689" s="6">
        <v>2.74</v>
      </c>
      <c r="J689" s="6">
        <v>60.11</v>
      </c>
      <c r="K689" s="5">
        <v>43</v>
      </c>
      <c r="L689" s="13" t="str">
        <f t="shared" si="20"/>
        <v>Discount Applied</v>
      </c>
      <c r="M689" s="13" t="str">
        <f t="shared" si="21"/>
        <v>Gold</v>
      </c>
      <c r="N689" s="13"/>
    </row>
    <row r="690" spans="1:14" x14ac:dyDescent="0.3">
      <c r="A690" s="3">
        <v>3370</v>
      </c>
      <c r="B690" s="3" t="s">
        <v>19</v>
      </c>
      <c r="C690" s="4">
        <v>45653</v>
      </c>
      <c r="D690" s="3" t="s">
        <v>34</v>
      </c>
      <c r="E690" s="3" t="s">
        <v>47</v>
      </c>
      <c r="F690" s="5">
        <v>5</v>
      </c>
      <c r="G690" s="6">
        <v>6.74</v>
      </c>
      <c r="H690" s="6">
        <v>33.700000000000003</v>
      </c>
      <c r="I690" s="6">
        <v>3.46</v>
      </c>
      <c r="J690" s="6">
        <v>30.24</v>
      </c>
      <c r="K690" s="5">
        <v>202</v>
      </c>
      <c r="L690" s="13" t="str">
        <f t="shared" si="20"/>
        <v>Discount Applied</v>
      </c>
      <c r="M690" s="13" t="str">
        <f t="shared" si="21"/>
        <v>Silver</v>
      </c>
      <c r="N690" s="13"/>
    </row>
    <row r="691" spans="1:14" x14ac:dyDescent="0.3">
      <c r="A691" s="3">
        <v>3858</v>
      </c>
      <c r="B691" s="3" t="s">
        <v>14</v>
      </c>
      <c r="C691" s="4">
        <v>45792</v>
      </c>
      <c r="D691" s="3" t="s">
        <v>17</v>
      </c>
      <c r="E691" s="3" t="s">
        <v>25</v>
      </c>
      <c r="F691" s="5">
        <v>1</v>
      </c>
      <c r="G691" s="6">
        <v>8.7100000000000009</v>
      </c>
      <c r="H691" s="6">
        <v>8.7100000000000009</v>
      </c>
      <c r="I691" s="6">
        <v>0</v>
      </c>
      <c r="J691" s="6">
        <v>8.7100000000000009</v>
      </c>
      <c r="K691" s="5">
        <v>220</v>
      </c>
      <c r="L691" s="13" t="str">
        <f t="shared" si="20"/>
        <v>No Discount</v>
      </c>
      <c r="M691" s="13" t="str">
        <f t="shared" si="21"/>
        <v>Bronze</v>
      </c>
      <c r="N691" s="13"/>
    </row>
    <row r="692" spans="1:14" x14ac:dyDescent="0.3">
      <c r="A692" s="3">
        <v>1422</v>
      </c>
      <c r="B692" s="3" t="s">
        <v>11</v>
      </c>
      <c r="C692" s="4">
        <v>45623</v>
      </c>
      <c r="D692" s="3" t="s">
        <v>15</v>
      </c>
      <c r="E692" s="3" t="s">
        <v>16</v>
      </c>
      <c r="F692" s="5">
        <v>4</v>
      </c>
      <c r="G692" s="6">
        <v>11.58</v>
      </c>
      <c r="H692" s="6">
        <v>46.32</v>
      </c>
      <c r="I692" s="6">
        <v>6.95</v>
      </c>
      <c r="J692" s="6">
        <v>39.369999999999997</v>
      </c>
      <c r="K692" s="5">
        <v>97</v>
      </c>
      <c r="L692" s="13" t="str">
        <f t="shared" si="20"/>
        <v>Discount Applied</v>
      </c>
      <c r="M692" s="13" t="str">
        <f t="shared" si="21"/>
        <v>Silver</v>
      </c>
      <c r="N692" s="13"/>
    </row>
    <row r="693" spans="1:14" x14ac:dyDescent="0.3">
      <c r="A693" s="3">
        <v>1243</v>
      </c>
      <c r="B693" s="3" t="s">
        <v>31</v>
      </c>
      <c r="C693" s="4">
        <v>45874</v>
      </c>
      <c r="D693" s="3" t="s">
        <v>35</v>
      </c>
      <c r="E693" s="3" t="s">
        <v>29</v>
      </c>
      <c r="F693" s="5">
        <v>3</v>
      </c>
      <c r="G693" s="6">
        <v>18.86</v>
      </c>
      <c r="H693" s="6">
        <v>56.58</v>
      </c>
      <c r="I693" s="6">
        <v>1.58</v>
      </c>
      <c r="J693" s="6">
        <v>55</v>
      </c>
      <c r="K693" s="5">
        <v>411</v>
      </c>
      <c r="L693" s="13" t="str">
        <f t="shared" si="20"/>
        <v>Discount Applied</v>
      </c>
      <c r="M693" s="13" t="str">
        <f t="shared" si="21"/>
        <v>Gold</v>
      </c>
      <c r="N693" s="13"/>
    </row>
    <row r="694" spans="1:14" x14ac:dyDescent="0.3">
      <c r="A694" s="3">
        <v>4898</v>
      </c>
      <c r="B694" s="3" t="s">
        <v>31</v>
      </c>
      <c r="C694" s="4">
        <v>45170</v>
      </c>
      <c r="D694" s="3" t="s">
        <v>17</v>
      </c>
      <c r="E694" s="3" t="s">
        <v>44</v>
      </c>
      <c r="F694" s="5">
        <v>3</v>
      </c>
      <c r="G694" s="6">
        <v>5.51</v>
      </c>
      <c r="H694" s="6">
        <v>16.53</v>
      </c>
      <c r="I694" s="6">
        <v>3.96</v>
      </c>
      <c r="J694" s="6">
        <v>12.57</v>
      </c>
      <c r="K694" s="5">
        <v>372</v>
      </c>
      <c r="L694" s="13" t="str">
        <f t="shared" si="20"/>
        <v>Discount Applied</v>
      </c>
      <c r="M694" s="13" t="str">
        <f t="shared" si="21"/>
        <v>Bronze</v>
      </c>
      <c r="N694" s="13"/>
    </row>
    <row r="695" spans="1:14" x14ac:dyDescent="0.3">
      <c r="A695" s="3">
        <v>6304</v>
      </c>
      <c r="B695" s="3" t="s">
        <v>42</v>
      </c>
      <c r="C695" s="4">
        <v>45313</v>
      </c>
      <c r="D695" s="3" t="s">
        <v>28</v>
      </c>
      <c r="E695" s="3" t="s">
        <v>41</v>
      </c>
      <c r="F695" s="5">
        <v>3</v>
      </c>
      <c r="G695" s="6">
        <v>1.39</v>
      </c>
      <c r="H695" s="6">
        <v>4.17</v>
      </c>
      <c r="I695" s="6">
        <v>0.63</v>
      </c>
      <c r="J695" s="6">
        <v>3.54</v>
      </c>
      <c r="K695" s="5">
        <v>355</v>
      </c>
      <c r="L695" s="13" t="str">
        <f t="shared" si="20"/>
        <v>Discount Applied</v>
      </c>
      <c r="M695" s="13" t="str">
        <f t="shared" si="21"/>
        <v>Bronze</v>
      </c>
      <c r="N695" s="13"/>
    </row>
    <row r="696" spans="1:14" x14ac:dyDescent="0.3">
      <c r="A696" s="3">
        <v>3854</v>
      </c>
      <c r="B696" s="3" t="s">
        <v>26</v>
      </c>
      <c r="C696" s="4">
        <v>45490</v>
      </c>
      <c r="D696" s="3" t="s">
        <v>45</v>
      </c>
      <c r="E696" s="3" t="s">
        <v>39</v>
      </c>
      <c r="F696" s="5">
        <v>3</v>
      </c>
      <c r="G696" s="6">
        <v>7.05</v>
      </c>
      <c r="H696" s="6">
        <v>21.15</v>
      </c>
      <c r="I696" s="6">
        <v>4.2300000000000004</v>
      </c>
      <c r="J696" s="6">
        <v>16.920000000000002</v>
      </c>
      <c r="K696" s="5">
        <v>275</v>
      </c>
      <c r="L696" s="13" t="str">
        <f t="shared" si="20"/>
        <v>Discount Applied</v>
      </c>
      <c r="M696" s="13" t="str">
        <f t="shared" si="21"/>
        <v>Bronze</v>
      </c>
      <c r="N696" s="13"/>
    </row>
    <row r="697" spans="1:14" x14ac:dyDescent="0.3">
      <c r="A697" s="3">
        <v>1858</v>
      </c>
      <c r="B697" s="3" t="s">
        <v>14</v>
      </c>
      <c r="C697" s="4">
        <v>45809</v>
      </c>
      <c r="D697" s="3" t="s">
        <v>38</v>
      </c>
      <c r="E697" s="3" t="s">
        <v>13</v>
      </c>
      <c r="F697" s="5">
        <v>5</v>
      </c>
      <c r="G697" s="6">
        <v>15</v>
      </c>
      <c r="H697" s="6">
        <v>75</v>
      </c>
      <c r="I697" s="6">
        <v>0</v>
      </c>
      <c r="J697" s="6">
        <v>75</v>
      </c>
      <c r="K697" s="5">
        <v>373</v>
      </c>
      <c r="L697" s="13" t="str">
        <f t="shared" si="20"/>
        <v>No Discount</v>
      </c>
      <c r="M697" s="13" t="str">
        <f t="shared" si="21"/>
        <v>Platinum</v>
      </c>
      <c r="N697" s="13"/>
    </row>
    <row r="698" spans="1:14" x14ac:dyDescent="0.3">
      <c r="A698" s="3">
        <v>7897</v>
      </c>
      <c r="B698" s="3" t="s">
        <v>31</v>
      </c>
      <c r="C698" s="4">
        <v>45222</v>
      </c>
      <c r="D698" s="3" t="s">
        <v>20</v>
      </c>
      <c r="E698" s="3" t="s">
        <v>46</v>
      </c>
      <c r="F698" s="5">
        <v>1</v>
      </c>
      <c r="G698" s="6">
        <v>8.4</v>
      </c>
      <c r="H698" s="6">
        <v>8.4</v>
      </c>
      <c r="I698" s="6">
        <v>1.68</v>
      </c>
      <c r="J698" s="6">
        <v>6.72</v>
      </c>
      <c r="K698" s="5">
        <v>30</v>
      </c>
      <c r="L698" s="13" t="str">
        <f t="shared" si="20"/>
        <v>Discount Applied</v>
      </c>
      <c r="M698" s="13" t="str">
        <f t="shared" si="21"/>
        <v>Bronze</v>
      </c>
      <c r="N698" s="13"/>
    </row>
    <row r="699" spans="1:14" x14ac:dyDescent="0.3">
      <c r="A699" s="3">
        <v>2862</v>
      </c>
      <c r="B699" s="3" t="s">
        <v>30</v>
      </c>
      <c r="C699" s="4">
        <v>45567</v>
      </c>
      <c r="D699" s="3" t="s">
        <v>12</v>
      </c>
      <c r="E699" s="3" t="s">
        <v>33</v>
      </c>
      <c r="F699" s="5">
        <v>1</v>
      </c>
      <c r="G699" s="6">
        <v>2.92</v>
      </c>
      <c r="H699" s="6">
        <v>2.92</v>
      </c>
      <c r="I699" s="6">
        <v>0</v>
      </c>
      <c r="J699" s="6">
        <v>2.92</v>
      </c>
      <c r="K699" s="5">
        <v>338</v>
      </c>
      <c r="L699" s="13" t="str">
        <f t="shared" si="20"/>
        <v>No Discount</v>
      </c>
      <c r="M699" s="13" t="str">
        <f t="shared" si="21"/>
        <v>Bronze</v>
      </c>
      <c r="N699" s="13"/>
    </row>
    <row r="700" spans="1:14" x14ac:dyDescent="0.3">
      <c r="A700" s="3">
        <v>2041</v>
      </c>
      <c r="B700" s="3" t="s">
        <v>36</v>
      </c>
      <c r="C700" s="4">
        <v>45192</v>
      </c>
      <c r="D700" s="3" t="s">
        <v>15</v>
      </c>
      <c r="E700" s="3" t="s">
        <v>39</v>
      </c>
      <c r="F700" s="5">
        <v>3</v>
      </c>
      <c r="G700" s="6">
        <v>26.14</v>
      </c>
      <c r="H700" s="6">
        <v>78.42</v>
      </c>
      <c r="I700" s="6">
        <v>15.68</v>
      </c>
      <c r="J700" s="6">
        <v>62.74</v>
      </c>
      <c r="K700" s="5">
        <v>332</v>
      </c>
      <c r="L700" s="13" t="str">
        <f t="shared" si="20"/>
        <v>Discount Applied</v>
      </c>
      <c r="M700" s="13" t="str">
        <f t="shared" si="21"/>
        <v>Gold</v>
      </c>
      <c r="N700" s="13"/>
    </row>
    <row r="701" spans="1:14" x14ac:dyDescent="0.3">
      <c r="A701" s="3">
        <v>8344</v>
      </c>
      <c r="B701" s="3" t="s">
        <v>24</v>
      </c>
      <c r="C701" s="4">
        <v>45359</v>
      </c>
      <c r="D701" s="3" t="s">
        <v>38</v>
      </c>
      <c r="E701" s="3" t="s">
        <v>48</v>
      </c>
      <c r="F701" s="5">
        <v>3</v>
      </c>
      <c r="G701" s="6">
        <v>15.05</v>
      </c>
      <c r="H701" s="6">
        <v>45.15</v>
      </c>
      <c r="I701" s="6">
        <v>9.0299999999999994</v>
      </c>
      <c r="J701" s="6">
        <v>36.119999999999997</v>
      </c>
      <c r="K701" s="5">
        <v>305</v>
      </c>
      <c r="L701" s="13" t="str">
        <f t="shared" si="20"/>
        <v>Discount Applied</v>
      </c>
      <c r="M701" s="13" t="str">
        <f t="shared" si="21"/>
        <v>Silver</v>
      </c>
      <c r="N701" s="13"/>
    </row>
    <row r="702" spans="1:14" x14ac:dyDescent="0.3">
      <c r="A702" s="3">
        <v>6931</v>
      </c>
      <c r="B702" s="3" t="s">
        <v>42</v>
      </c>
      <c r="C702" s="4">
        <v>45239</v>
      </c>
      <c r="D702" s="3" t="s">
        <v>38</v>
      </c>
      <c r="E702" s="3" t="s">
        <v>33</v>
      </c>
      <c r="F702" s="5">
        <v>5</v>
      </c>
      <c r="G702" s="6">
        <v>27.85</v>
      </c>
      <c r="H702" s="6">
        <v>139.25</v>
      </c>
      <c r="I702" s="6">
        <v>27.85</v>
      </c>
      <c r="J702" s="6">
        <v>111.4</v>
      </c>
      <c r="K702" s="5">
        <v>11</v>
      </c>
      <c r="L702" s="13" t="str">
        <f t="shared" si="20"/>
        <v>Discount Applied</v>
      </c>
      <c r="M702" s="13" t="str">
        <f t="shared" si="21"/>
        <v>Platinum</v>
      </c>
      <c r="N702" s="13"/>
    </row>
    <row r="703" spans="1:14" x14ac:dyDescent="0.3">
      <c r="A703" s="3">
        <v>2786</v>
      </c>
      <c r="B703" s="3" t="s">
        <v>14</v>
      </c>
      <c r="C703" s="4">
        <v>45216</v>
      </c>
      <c r="D703" s="3" t="s">
        <v>35</v>
      </c>
      <c r="E703" s="3" t="s">
        <v>21</v>
      </c>
      <c r="F703" s="5">
        <v>4</v>
      </c>
      <c r="G703" s="6">
        <v>12.4</v>
      </c>
      <c r="H703" s="6">
        <v>49.6</v>
      </c>
      <c r="I703" s="6">
        <v>7.44</v>
      </c>
      <c r="J703" s="6">
        <v>42.16</v>
      </c>
      <c r="K703" s="5">
        <v>80</v>
      </c>
      <c r="L703" s="13" t="str">
        <f t="shared" si="20"/>
        <v>Discount Applied</v>
      </c>
      <c r="M703" s="13" t="str">
        <f t="shared" si="21"/>
        <v>Silver</v>
      </c>
      <c r="N703" s="13"/>
    </row>
    <row r="704" spans="1:14" x14ac:dyDescent="0.3">
      <c r="A704" s="3">
        <v>9254</v>
      </c>
      <c r="B704" s="3" t="s">
        <v>36</v>
      </c>
      <c r="C704" s="4">
        <v>45643</v>
      </c>
      <c r="D704" s="3" t="s">
        <v>22</v>
      </c>
      <c r="E704" s="3" t="s">
        <v>37</v>
      </c>
      <c r="F704" s="5">
        <v>2</v>
      </c>
      <c r="G704" s="6">
        <v>29.87</v>
      </c>
      <c r="H704" s="6">
        <v>59.74</v>
      </c>
      <c r="I704" s="6">
        <v>3.5</v>
      </c>
      <c r="J704" s="6">
        <v>56.24</v>
      </c>
      <c r="K704" s="5">
        <v>256</v>
      </c>
      <c r="L704" s="13" t="str">
        <f t="shared" si="20"/>
        <v>Discount Applied</v>
      </c>
      <c r="M704" s="13" t="str">
        <f t="shared" si="21"/>
        <v>Gold</v>
      </c>
      <c r="N704" s="13"/>
    </row>
    <row r="705" spans="1:14" x14ac:dyDescent="0.3">
      <c r="A705" s="3">
        <v>1710</v>
      </c>
      <c r="B705" s="3" t="s">
        <v>24</v>
      </c>
      <c r="C705" s="4">
        <v>45184</v>
      </c>
      <c r="D705" s="3" t="s">
        <v>12</v>
      </c>
      <c r="E705" s="3" t="s">
        <v>18</v>
      </c>
      <c r="F705" s="5">
        <v>3</v>
      </c>
      <c r="G705" s="6">
        <v>7.53</v>
      </c>
      <c r="H705" s="6">
        <v>22.59</v>
      </c>
      <c r="I705" s="6">
        <v>0</v>
      </c>
      <c r="J705" s="6">
        <v>22.59</v>
      </c>
      <c r="K705" s="5">
        <v>174</v>
      </c>
      <c r="L705" s="13" t="str">
        <f t="shared" si="20"/>
        <v>No Discount</v>
      </c>
      <c r="M705" s="13" t="str">
        <f t="shared" si="21"/>
        <v>Silver</v>
      </c>
      <c r="N705" s="13"/>
    </row>
    <row r="706" spans="1:14" x14ac:dyDescent="0.3">
      <c r="A706" s="3">
        <v>9543</v>
      </c>
      <c r="B706" s="3" t="s">
        <v>19</v>
      </c>
      <c r="C706" s="4">
        <v>45334</v>
      </c>
      <c r="D706" s="3" t="s">
        <v>15</v>
      </c>
      <c r="E706" s="3" t="s">
        <v>32</v>
      </c>
      <c r="F706" s="5">
        <v>5</v>
      </c>
      <c r="G706" s="6">
        <v>28.85</v>
      </c>
      <c r="H706" s="6">
        <v>144.25</v>
      </c>
      <c r="I706" s="6">
        <v>14.43</v>
      </c>
      <c r="J706" s="6">
        <v>129.82</v>
      </c>
      <c r="K706" s="5">
        <v>313</v>
      </c>
      <c r="L706" s="13" t="str">
        <f t="shared" si="20"/>
        <v>Discount Applied</v>
      </c>
      <c r="M706" s="13" t="str">
        <f t="shared" si="21"/>
        <v>Platinum</v>
      </c>
      <c r="N706" s="13"/>
    </row>
    <row r="707" spans="1:14" x14ac:dyDescent="0.3">
      <c r="A707" s="3">
        <v>8504</v>
      </c>
      <c r="B707" s="3" t="s">
        <v>42</v>
      </c>
      <c r="C707" s="4">
        <v>45756</v>
      </c>
      <c r="D707" s="3" t="s">
        <v>28</v>
      </c>
      <c r="E707" s="3" t="s">
        <v>41</v>
      </c>
      <c r="F707" s="5">
        <v>4</v>
      </c>
      <c r="G707" s="6">
        <v>29.14</v>
      </c>
      <c r="H707" s="6">
        <v>116.56</v>
      </c>
      <c r="I707" s="6">
        <v>11.66</v>
      </c>
      <c r="J707" s="6">
        <v>104.9</v>
      </c>
      <c r="K707" s="5">
        <v>465</v>
      </c>
      <c r="L707" s="13" t="str">
        <f t="shared" ref="L707:L770" si="22">IF(I707&gt;0,"Discount Applied","No Discount")</f>
        <v>Discount Applied</v>
      </c>
      <c r="M707" s="13" t="str">
        <f t="shared" ref="M707:M770" si="23">IF(J707 &gt;= 70, "Platinum",
   IF(J707 &gt;= 50, "Gold",
      IF(J707 &gt;= 20, "Silver", "Bronze")))</f>
        <v>Platinum</v>
      </c>
      <c r="N707" s="13"/>
    </row>
    <row r="708" spans="1:14" x14ac:dyDescent="0.3">
      <c r="A708" s="3">
        <v>1510</v>
      </c>
      <c r="B708" s="3" t="s">
        <v>14</v>
      </c>
      <c r="C708" s="4">
        <v>45198</v>
      </c>
      <c r="D708" s="3" t="s">
        <v>34</v>
      </c>
      <c r="E708" s="3" t="s">
        <v>44</v>
      </c>
      <c r="F708" s="5">
        <v>2</v>
      </c>
      <c r="G708" s="6">
        <v>17.84</v>
      </c>
      <c r="H708" s="6">
        <v>35.68</v>
      </c>
      <c r="I708" s="6">
        <v>7.14</v>
      </c>
      <c r="J708" s="6">
        <v>28.54</v>
      </c>
      <c r="K708" s="5">
        <v>350</v>
      </c>
      <c r="L708" s="13" t="str">
        <f t="shared" si="22"/>
        <v>Discount Applied</v>
      </c>
      <c r="M708" s="13" t="str">
        <f t="shared" si="23"/>
        <v>Silver</v>
      </c>
      <c r="N708" s="13"/>
    </row>
    <row r="709" spans="1:14" x14ac:dyDescent="0.3">
      <c r="A709" s="3">
        <v>8847</v>
      </c>
      <c r="B709" s="3" t="s">
        <v>30</v>
      </c>
      <c r="C709" s="4">
        <v>45600</v>
      </c>
      <c r="D709" s="3" t="s">
        <v>38</v>
      </c>
      <c r="E709" s="3" t="s">
        <v>41</v>
      </c>
      <c r="F709" s="5">
        <v>4</v>
      </c>
      <c r="G709" s="6">
        <v>29.86</v>
      </c>
      <c r="H709" s="6">
        <v>119.44</v>
      </c>
      <c r="I709" s="6">
        <v>0</v>
      </c>
      <c r="J709" s="6">
        <v>119.44</v>
      </c>
      <c r="K709" s="5">
        <v>499</v>
      </c>
      <c r="L709" s="13" t="str">
        <f t="shared" si="22"/>
        <v>No Discount</v>
      </c>
      <c r="M709" s="13" t="str">
        <f t="shared" si="23"/>
        <v>Platinum</v>
      </c>
      <c r="N709" s="13"/>
    </row>
    <row r="710" spans="1:14" x14ac:dyDescent="0.3">
      <c r="A710" s="3">
        <v>7580</v>
      </c>
      <c r="B710" s="3" t="s">
        <v>19</v>
      </c>
      <c r="C710" s="4">
        <v>45776</v>
      </c>
      <c r="D710" s="3" t="s">
        <v>22</v>
      </c>
      <c r="E710" s="3" t="s">
        <v>43</v>
      </c>
      <c r="F710" s="5">
        <v>5</v>
      </c>
      <c r="G710" s="6">
        <v>16.45</v>
      </c>
      <c r="H710" s="6">
        <v>82.25</v>
      </c>
      <c r="I710" s="6">
        <v>16.45</v>
      </c>
      <c r="J710" s="6">
        <v>65.8</v>
      </c>
      <c r="K710" s="5">
        <v>368</v>
      </c>
      <c r="L710" s="13" t="str">
        <f t="shared" si="22"/>
        <v>Discount Applied</v>
      </c>
      <c r="M710" s="13" t="str">
        <f t="shared" si="23"/>
        <v>Gold</v>
      </c>
      <c r="N710" s="13"/>
    </row>
    <row r="711" spans="1:14" x14ac:dyDescent="0.3">
      <c r="A711" s="3">
        <v>2768</v>
      </c>
      <c r="B711" s="3" t="s">
        <v>36</v>
      </c>
      <c r="C711" s="4">
        <v>45400</v>
      </c>
      <c r="D711" s="3" t="s">
        <v>34</v>
      </c>
      <c r="E711" s="3" t="s">
        <v>39</v>
      </c>
      <c r="F711" s="5">
        <v>3</v>
      </c>
      <c r="G711" s="6">
        <v>26.51</v>
      </c>
      <c r="H711" s="6">
        <v>79.53</v>
      </c>
      <c r="I711" s="6">
        <v>11.93</v>
      </c>
      <c r="J711" s="6">
        <v>67.599999999999994</v>
      </c>
      <c r="K711" s="5">
        <v>211</v>
      </c>
      <c r="L711" s="13" t="str">
        <f t="shared" si="22"/>
        <v>Discount Applied</v>
      </c>
      <c r="M711" s="13" t="str">
        <f t="shared" si="23"/>
        <v>Gold</v>
      </c>
      <c r="N711" s="13"/>
    </row>
    <row r="712" spans="1:14" x14ac:dyDescent="0.3">
      <c r="A712" s="3">
        <v>8267</v>
      </c>
      <c r="B712" s="3" t="s">
        <v>26</v>
      </c>
      <c r="C712" s="4">
        <v>45757</v>
      </c>
      <c r="D712" s="3" t="s">
        <v>27</v>
      </c>
      <c r="E712" s="3" t="s">
        <v>13</v>
      </c>
      <c r="F712" s="5">
        <v>2</v>
      </c>
      <c r="G712" s="6">
        <v>23.58</v>
      </c>
      <c r="H712" s="6">
        <v>47.16</v>
      </c>
      <c r="I712" s="6">
        <v>9.43</v>
      </c>
      <c r="J712" s="6">
        <v>37.729999999999997</v>
      </c>
      <c r="K712" s="5">
        <v>54</v>
      </c>
      <c r="L712" s="13" t="str">
        <f t="shared" si="22"/>
        <v>Discount Applied</v>
      </c>
      <c r="M712" s="13" t="str">
        <f t="shared" si="23"/>
        <v>Silver</v>
      </c>
      <c r="N712" s="13"/>
    </row>
    <row r="713" spans="1:14" x14ac:dyDescent="0.3">
      <c r="A713" s="3">
        <v>2323</v>
      </c>
      <c r="B713" s="3" t="s">
        <v>31</v>
      </c>
      <c r="C713" s="4">
        <v>45360</v>
      </c>
      <c r="D713" s="3" t="s">
        <v>28</v>
      </c>
      <c r="E713" s="3" t="s">
        <v>13</v>
      </c>
      <c r="F713" s="5">
        <v>5</v>
      </c>
      <c r="G713" s="6">
        <v>17.43</v>
      </c>
      <c r="H713" s="6">
        <v>87.15</v>
      </c>
      <c r="I713" s="6">
        <v>17.43</v>
      </c>
      <c r="J713" s="6">
        <v>69.72</v>
      </c>
      <c r="K713" s="5">
        <v>118</v>
      </c>
      <c r="L713" s="13" t="str">
        <f t="shared" si="22"/>
        <v>Discount Applied</v>
      </c>
      <c r="M713" s="13" t="str">
        <f t="shared" si="23"/>
        <v>Gold</v>
      </c>
      <c r="N713" s="13"/>
    </row>
    <row r="714" spans="1:14" x14ac:dyDescent="0.3">
      <c r="A714" s="3">
        <v>3430</v>
      </c>
      <c r="B714" s="3" t="s">
        <v>31</v>
      </c>
      <c r="C714" s="4">
        <v>45245</v>
      </c>
      <c r="D714" s="3" t="s">
        <v>22</v>
      </c>
      <c r="E714" s="3" t="s">
        <v>43</v>
      </c>
      <c r="F714" s="5">
        <v>4</v>
      </c>
      <c r="G714" s="6">
        <v>4.88</v>
      </c>
      <c r="H714" s="6">
        <v>19.52</v>
      </c>
      <c r="I714" s="6">
        <v>0</v>
      </c>
      <c r="J714" s="6">
        <v>19.52</v>
      </c>
      <c r="K714" s="5">
        <v>433</v>
      </c>
      <c r="L714" s="13" t="str">
        <f t="shared" si="22"/>
        <v>No Discount</v>
      </c>
      <c r="M714" s="13" t="str">
        <f t="shared" si="23"/>
        <v>Bronze</v>
      </c>
      <c r="N714" s="13"/>
    </row>
    <row r="715" spans="1:14" x14ac:dyDescent="0.3">
      <c r="A715" s="3">
        <v>3067</v>
      </c>
      <c r="B715" s="3" t="s">
        <v>36</v>
      </c>
      <c r="C715" s="4">
        <v>45339</v>
      </c>
      <c r="D715" s="3" t="s">
        <v>34</v>
      </c>
      <c r="E715" s="3" t="s">
        <v>32</v>
      </c>
      <c r="F715" s="5">
        <v>4</v>
      </c>
      <c r="G715" s="6">
        <v>14.73</v>
      </c>
      <c r="H715" s="6">
        <v>58.92</v>
      </c>
      <c r="I715" s="6">
        <v>11.78</v>
      </c>
      <c r="J715" s="6">
        <v>47.14</v>
      </c>
      <c r="K715" s="5">
        <v>83</v>
      </c>
      <c r="L715" s="13" t="str">
        <f t="shared" si="22"/>
        <v>Discount Applied</v>
      </c>
      <c r="M715" s="13" t="str">
        <f t="shared" si="23"/>
        <v>Silver</v>
      </c>
      <c r="N715" s="13"/>
    </row>
    <row r="716" spans="1:14" x14ac:dyDescent="0.3">
      <c r="A716" s="3">
        <v>9984</v>
      </c>
      <c r="B716" s="3" t="s">
        <v>31</v>
      </c>
      <c r="C716" s="4">
        <v>45230</v>
      </c>
      <c r="D716" s="3" t="s">
        <v>20</v>
      </c>
      <c r="E716" s="3" t="s">
        <v>39</v>
      </c>
      <c r="F716" s="5">
        <v>3</v>
      </c>
      <c r="G716" s="6">
        <v>28.55</v>
      </c>
      <c r="H716" s="6">
        <v>85.65</v>
      </c>
      <c r="I716" s="6">
        <v>17.13</v>
      </c>
      <c r="J716" s="6">
        <v>68.52</v>
      </c>
      <c r="K716" s="5">
        <v>113</v>
      </c>
      <c r="L716" s="13" t="str">
        <f t="shared" si="22"/>
        <v>Discount Applied</v>
      </c>
      <c r="M716" s="13" t="str">
        <f t="shared" si="23"/>
        <v>Gold</v>
      </c>
      <c r="N716" s="13"/>
    </row>
    <row r="717" spans="1:14" x14ac:dyDescent="0.3">
      <c r="A717" s="3">
        <v>6327</v>
      </c>
      <c r="B717" s="3" t="s">
        <v>11</v>
      </c>
      <c r="C717" s="4">
        <v>45247</v>
      </c>
      <c r="D717" s="3" t="s">
        <v>34</v>
      </c>
      <c r="E717" s="3" t="s">
        <v>33</v>
      </c>
      <c r="F717" s="5">
        <v>5</v>
      </c>
      <c r="G717" s="6">
        <v>15.2</v>
      </c>
      <c r="H717" s="6">
        <v>76</v>
      </c>
      <c r="I717" s="6">
        <v>15.2</v>
      </c>
      <c r="J717" s="6">
        <v>60.8</v>
      </c>
      <c r="K717" s="5">
        <v>166</v>
      </c>
      <c r="L717" s="13" t="str">
        <f t="shared" si="22"/>
        <v>Discount Applied</v>
      </c>
      <c r="M717" s="13" t="str">
        <f t="shared" si="23"/>
        <v>Gold</v>
      </c>
      <c r="N717" s="13"/>
    </row>
    <row r="718" spans="1:14" x14ac:dyDescent="0.3">
      <c r="A718" s="3">
        <v>9692</v>
      </c>
      <c r="B718" s="3" t="s">
        <v>24</v>
      </c>
      <c r="C718" s="4">
        <v>45423</v>
      </c>
      <c r="D718" s="3" t="s">
        <v>20</v>
      </c>
      <c r="E718" s="3" t="s">
        <v>40</v>
      </c>
      <c r="F718" s="5">
        <v>5</v>
      </c>
      <c r="G718" s="6">
        <v>22.31</v>
      </c>
      <c r="H718" s="6">
        <v>111.55</v>
      </c>
      <c r="I718" s="6">
        <v>11.16</v>
      </c>
      <c r="J718" s="6">
        <v>100.39</v>
      </c>
      <c r="K718" s="5">
        <v>194</v>
      </c>
      <c r="L718" s="13" t="str">
        <f t="shared" si="22"/>
        <v>Discount Applied</v>
      </c>
      <c r="M718" s="13" t="str">
        <f t="shared" si="23"/>
        <v>Platinum</v>
      </c>
      <c r="N718" s="13"/>
    </row>
    <row r="719" spans="1:14" x14ac:dyDescent="0.3">
      <c r="A719" s="3">
        <v>8433</v>
      </c>
      <c r="B719" s="3" t="s">
        <v>14</v>
      </c>
      <c r="C719" s="4">
        <v>45602</v>
      </c>
      <c r="D719" s="3" t="s">
        <v>38</v>
      </c>
      <c r="E719" s="3" t="s">
        <v>40</v>
      </c>
      <c r="F719" s="5">
        <v>5</v>
      </c>
      <c r="G719" s="6">
        <v>4.16</v>
      </c>
      <c r="H719" s="6">
        <v>20.8</v>
      </c>
      <c r="I719" s="6">
        <v>4.16</v>
      </c>
      <c r="J719" s="6">
        <v>16.64</v>
      </c>
      <c r="K719" s="5">
        <v>233</v>
      </c>
      <c r="L719" s="13" t="str">
        <f t="shared" si="22"/>
        <v>Discount Applied</v>
      </c>
      <c r="M719" s="13" t="str">
        <f t="shared" si="23"/>
        <v>Bronze</v>
      </c>
      <c r="N719" s="13"/>
    </row>
    <row r="720" spans="1:14" x14ac:dyDescent="0.3">
      <c r="A720" s="3">
        <v>8048</v>
      </c>
      <c r="B720" s="3" t="s">
        <v>14</v>
      </c>
      <c r="C720" s="4">
        <v>45157</v>
      </c>
      <c r="D720" s="3" t="s">
        <v>38</v>
      </c>
      <c r="E720" s="3" t="s">
        <v>32</v>
      </c>
      <c r="F720" s="5">
        <v>1</v>
      </c>
      <c r="G720" s="6">
        <v>17.16</v>
      </c>
      <c r="H720" s="6">
        <v>17.16</v>
      </c>
      <c r="I720" s="6">
        <v>3.43</v>
      </c>
      <c r="J720" s="6">
        <v>13.73</v>
      </c>
      <c r="K720" s="5">
        <v>264</v>
      </c>
      <c r="L720" s="13" t="str">
        <f t="shared" si="22"/>
        <v>Discount Applied</v>
      </c>
      <c r="M720" s="13" t="str">
        <f t="shared" si="23"/>
        <v>Bronze</v>
      </c>
      <c r="N720" s="13"/>
    </row>
    <row r="721" spans="1:14" x14ac:dyDescent="0.3">
      <c r="A721" s="3">
        <v>4522</v>
      </c>
      <c r="B721" s="3" t="s">
        <v>30</v>
      </c>
      <c r="C721" s="4">
        <v>45351</v>
      </c>
      <c r="D721" s="3" t="s">
        <v>45</v>
      </c>
      <c r="E721" s="3" t="s">
        <v>32</v>
      </c>
      <c r="F721" s="5">
        <v>3</v>
      </c>
      <c r="G721" s="6">
        <v>23.43</v>
      </c>
      <c r="H721" s="6">
        <v>70.290000000000006</v>
      </c>
      <c r="I721" s="6">
        <v>14.06</v>
      </c>
      <c r="J721" s="6">
        <v>56.23</v>
      </c>
      <c r="K721" s="5">
        <v>146</v>
      </c>
      <c r="L721" s="13" t="str">
        <f t="shared" si="22"/>
        <v>Discount Applied</v>
      </c>
      <c r="M721" s="13" t="str">
        <f t="shared" si="23"/>
        <v>Gold</v>
      </c>
      <c r="N721" s="13"/>
    </row>
    <row r="722" spans="1:14" x14ac:dyDescent="0.3">
      <c r="A722" s="3">
        <v>8398</v>
      </c>
      <c r="B722" s="3" t="s">
        <v>24</v>
      </c>
      <c r="C722" s="4">
        <v>45243</v>
      </c>
      <c r="D722" s="3" t="s">
        <v>35</v>
      </c>
      <c r="E722" s="3" t="s">
        <v>40</v>
      </c>
      <c r="F722" s="5">
        <v>5</v>
      </c>
      <c r="G722" s="6">
        <v>27.2</v>
      </c>
      <c r="H722" s="6">
        <v>136</v>
      </c>
      <c r="I722" s="6">
        <v>3.89</v>
      </c>
      <c r="J722" s="6">
        <v>132.11000000000001</v>
      </c>
      <c r="K722" s="5">
        <v>237</v>
      </c>
      <c r="L722" s="13" t="str">
        <f t="shared" si="22"/>
        <v>Discount Applied</v>
      </c>
      <c r="M722" s="13" t="str">
        <f t="shared" si="23"/>
        <v>Platinum</v>
      </c>
      <c r="N722" s="13"/>
    </row>
    <row r="723" spans="1:14" x14ac:dyDescent="0.3">
      <c r="A723" s="3">
        <v>4743</v>
      </c>
      <c r="B723" s="3" t="s">
        <v>11</v>
      </c>
      <c r="C723" s="4">
        <v>45553</v>
      </c>
      <c r="D723" s="3" t="s">
        <v>34</v>
      </c>
      <c r="E723" s="3" t="s">
        <v>18</v>
      </c>
      <c r="F723" s="5">
        <v>2</v>
      </c>
      <c r="G723" s="6">
        <v>12.39</v>
      </c>
      <c r="H723" s="6">
        <v>24.78</v>
      </c>
      <c r="I723" s="6">
        <v>1.72</v>
      </c>
      <c r="J723" s="6">
        <v>23.06</v>
      </c>
      <c r="K723" s="5">
        <v>165</v>
      </c>
      <c r="L723" s="13" t="str">
        <f t="shared" si="22"/>
        <v>Discount Applied</v>
      </c>
      <c r="M723" s="13" t="str">
        <f t="shared" si="23"/>
        <v>Silver</v>
      </c>
      <c r="N723" s="13"/>
    </row>
    <row r="724" spans="1:14" x14ac:dyDescent="0.3">
      <c r="A724" s="3">
        <v>6553</v>
      </c>
      <c r="B724" s="3" t="s">
        <v>42</v>
      </c>
      <c r="C724" s="4">
        <v>45724</v>
      </c>
      <c r="D724" s="3" t="s">
        <v>45</v>
      </c>
      <c r="E724" s="3" t="s">
        <v>43</v>
      </c>
      <c r="F724" s="5">
        <v>3</v>
      </c>
      <c r="G724" s="6">
        <v>10.39</v>
      </c>
      <c r="H724" s="6">
        <v>31.17</v>
      </c>
      <c r="I724" s="6">
        <v>0</v>
      </c>
      <c r="J724" s="6">
        <v>31.17</v>
      </c>
      <c r="K724" s="5">
        <v>332</v>
      </c>
      <c r="L724" s="13" t="str">
        <f t="shared" si="22"/>
        <v>No Discount</v>
      </c>
      <c r="M724" s="13" t="str">
        <f t="shared" si="23"/>
        <v>Silver</v>
      </c>
      <c r="N724" s="13"/>
    </row>
    <row r="725" spans="1:14" x14ac:dyDescent="0.3">
      <c r="A725" s="3">
        <v>8430</v>
      </c>
      <c r="B725" s="3" t="s">
        <v>11</v>
      </c>
      <c r="C725" s="4">
        <v>45514</v>
      </c>
      <c r="D725" s="3" t="s">
        <v>15</v>
      </c>
      <c r="E725" s="3" t="s">
        <v>48</v>
      </c>
      <c r="F725" s="5">
        <v>4</v>
      </c>
      <c r="G725" s="6">
        <v>19.38</v>
      </c>
      <c r="H725" s="6">
        <v>77.52</v>
      </c>
      <c r="I725" s="6">
        <v>0</v>
      </c>
      <c r="J725" s="6">
        <v>77.52</v>
      </c>
      <c r="K725" s="5">
        <v>43</v>
      </c>
      <c r="L725" s="13" t="str">
        <f t="shared" si="22"/>
        <v>No Discount</v>
      </c>
      <c r="M725" s="13" t="str">
        <f t="shared" si="23"/>
        <v>Platinum</v>
      </c>
      <c r="N725" s="13"/>
    </row>
    <row r="726" spans="1:14" x14ac:dyDescent="0.3">
      <c r="A726" s="3">
        <v>7815</v>
      </c>
      <c r="B726" s="3" t="s">
        <v>14</v>
      </c>
      <c r="C726" s="4">
        <v>45749</v>
      </c>
      <c r="D726" s="3" t="s">
        <v>28</v>
      </c>
      <c r="E726" s="3" t="s">
        <v>29</v>
      </c>
      <c r="F726" s="5">
        <v>4</v>
      </c>
      <c r="G726" s="6">
        <v>16.95</v>
      </c>
      <c r="H726" s="6">
        <v>67.8</v>
      </c>
      <c r="I726" s="6">
        <v>10.17</v>
      </c>
      <c r="J726" s="6">
        <v>57.63</v>
      </c>
      <c r="K726" s="5">
        <v>22</v>
      </c>
      <c r="L726" s="13" t="str">
        <f t="shared" si="22"/>
        <v>Discount Applied</v>
      </c>
      <c r="M726" s="13" t="str">
        <f t="shared" si="23"/>
        <v>Gold</v>
      </c>
      <c r="N726" s="13"/>
    </row>
    <row r="727" spans="1:14" x14ac:dyDescent="0.3">
      <c r="A727" s="3">
        <v>2557</v>
      </c>
      <c r="B727" s="3" t="s">
        <v>19</v>
      </c>
      <c r="C727" s="4">
        <v>45543</v>
      </c>
      <c r="D727" s="3" t="s">
        <v>34</v>
      </c>
      <c r="E727" s="3" t="s">
        <v>41</v>
      </c>
      <c r="F727" s="5">
        <v>2</v>
      </c>
      <c r="G727" s="6">
        <v>23.3</v>
      </c>
      <c r="H727" s="6">
        <v>46.6</v>
      </c>
      <c r="I727" s="6">
        <v>6.99</v>
      </c>
      <c r="J727" s="6">
        <v>39.61</v>
      </c>
      <c r="K727" s="5">
        <v>26</v>
      </c>
      <c r="L727" s="13" t="str">
        <f t="shared" si="22"/>
        <v>Discount Applied</v>
      </c>
      <c r="M727" s="13" t="str">
        <f t="shared" si="23"/>
        <v>Silver</v>
      </c>
      <c r="N727" s="13"/>
    </row>
    <row r="728" spans="1:14" x14ac:dyDescent="0.3">
      <c r="A728" s="3">
        <v>7992</v>
      </c>
      <c r="B728" s="3" t="s">
        <v>30</v>
      </c>
      <c r="C728" s="4">
        <v>45496</v>
      </c>
      <c r="D728" s="3" t="s">
        <v>45</v>
      </c>
      <c r="E728" s="3" t="s">
        <v>37</v>
      </c>
      <c r="F728" s="5">
        <v>2</v>
      </c>
      <c r="G728" s="6">
        <v>4.4000000000000004</v>
      </c>
      <c r="H728" s="6">
        <v>8.8000000000000007</v>
      </c>
      <c r="I728" s="6">
        <v>3.49</v>
      </c>
      <c r="J728" s="6">
        <v>5.31</v>
      </c>
      <c r="K728" s="5">
        <v>67</v>
      </c>
      <c r="L728" s="13" t="str">
        <f t="shared" si="22"/>
        <v>Discount Applied</v>
      </c>
      <c r="M728" s="13" t="str">
        <f t="shared" si="23"/>
        <v>Bronze</v>
      </c>
      <c r="N728" s="13"/>
    </row>
    <row r="729" spans="1:14" x14ac:dyDescent="0.3">
      <c r="A729" s="3">
        <v>5176</v>
      </c>
      <c r="B729" s="3" t="s">
        <v>30</v>
      </c>
      <c r="C729" s="4">
        <v>45317</v>
      </c>
      <c r="D729" s="3" t="s">
        <v>12</v>
      </c>
      <c r="E729" s="3" t="s">
        <v>33</v>
      </c>
      <c r="F729" s="5">
        <v>4</v>
      </c>
      <c r="G729" s="6">
        <v>25.8</v>
      </c>
      <c r="H729" s="6">
        <v>103.2</v>
      </c>
      <c r="I729" s="6">
        <v>4.53</v>
      </c>
      <c r="J729" s="6">
        <v>98.67</v>
      </c>
      <c r="K729" s="5">
        <v>278</v>
      </c>
      <c r="L729" s="13" t="str">
        <f t="shared" si="22"/>
        <v>Discount Applied</v>
      </c>
      <c r="M729" s="13" t="str">
        <f t="shared" si="23"/>
        <v>Platinum</v>
      </c>
      <c r="N729" s="13"/>
    </row>
    <row r="730" spans="1:14" x14ac:dyDescent="0.3">
      <c r="A730" s="3">
        <v>3500</v>
      </c>
      <c r="B730" s="3" t="s">
        <v>42</v>
      </c>
      <c r="C730" s="4">
        <v>45709</v>
      </c>
      <c r="D730" s="3" t="s">
        <v>17</v>
      </c>
      <c r="E730" s="3" t="s">
        <v>47</v>
      </c>
      <c r="F730" s="5">
        <v>4</v>
      </c>
      <c r="G730" s="6">
        <v>12.88</v>
      </c>
      <c r="H730" s="6">
        <v>51.52</v>
      </c>
      <c r="I730" s="6">
        <v>10.3</v>
      </c>
      <c r="J730" s="6">
        <v>41.22</v>
      </c>
      <c r="K730" s="5">
        <v>40</v>
      </c>
      <c r="L730" s="13" t="str">
        <f t="shared" si="22"/>
        <v>Discount Applied</v>
      </c>
      <c r="M730" s="13" t="str">
        <f t="shared" si="23"/>
        <v>Silver</v>
      </c>
      <c r="N730" s="13"/>
    </row>
    <row r="731" spans="1:14" x14ac:dyDescent="0.3">
      <c r="A731" s="3">
        <v>8770</v>
      </c>
      <c r="B731" s="3" t="s">
        <v>14</v>
      </c>
      <c r="C731" s="4">
        <v>45379</v>
      </c>
      <c r="D731" s="3" t="s">
        <v>35</v>
      </c>
      <c r="E731" s="3" t="s">
        <v>18</v>
      </c>
      <c r="F731" s="5">
        <v>2</v>
      </c>
      <c r="G731" s="6">
        <v>2.41</v>
      </c>
      <c r="H731" s="6">
        <v>4.82</v>
      </c>
      <c r="I731" s="6">
        <v>0</v>
      </c>
      <c r="J731" s="6">
        <v>4.82</v>
      </c>
      <c r="K731" s="5">
        <v>75</v>
      </c>
      <c r="L731" s="13" t="str">
        <f t="shared" si="22"/>
        <v>No Discount</v>
      </c>
      <c r="M731" s="13" t="str">
        <f t="shared" si="23"/>
        <v>Bronze</v>
      </c>
      <c r="N731" s="13"/>
    </row>
    <row r="732" spans="1:14" x14ac:dyDescent="0.3">
      <c r="A732" s="3">
        <v>2494</v>
      </c>
      <c r="B732" s="3" t="s">
        <v>36</v>
      </c>
      <c r="C732" s="4">
        <v>45644</v>
      </c>
      <c r="D732" s="3" t="s">
        <v>12</v>
      </c>
      <c r="E732" s="3" t="s">
        <v>41</v>
      </c>
      <c r="F732" s="5">
        <v>1</v>
      </c>
      <c r="G732" s="6">
        <v>20.329999999999998</v>
      </c>
      <c r="H732" s="6">
        <v>20.329999999999998</v>
      </c>
      <c r="I732" s="6">
        <v>3.05</v>
      </c>
      <c r="J732" s="6">
        <v>17.28</v>
      </c>
      <c r="K732" s="5">
        <v>429</v>
      </c>
      <c r="L732" s="13" t="str">
        <f t="shared" si="22"/>
        <v>Discount Applied</v>
      </c>
      <c r="M732" s="13" t="str">
        <f t="shared" si="23"/>
        <v>Bronze</v>
      </c>
      <c r="N732" s="13"/>
    </row>
    <row r="733" spans="1:14" x14ac:dyDescent="0.3">
      <c r="A733" s="3">
        <v>2398</v>
      </c>
      <c r="B733" s="3" t="s">
        <v>11</v>
      </c>
      <c r="C733" s="4">
        <v>45192</v>
      </c>
      <c r="D733" s="3" t="s">
        <v>12</v>
      </c>
      <c r="E733" s="3" t="s">
        <v>48</v>
      </c>
      <c r="F733" s="5">
        <v>4</v>
      </c>
      <c r="G733" s="6">
        <v>29.81</v>
      </c>
      <c r="H733" s="6">
        <v>119.24</v>
      </c>
      <c r="I733" s="6">
        <v>3.64</v>
      </c>
      <c r="J733" s="6">
        <v>115.6</v>
      </c>
      <c r="K733" s="5">
        <v>82</v>
      </c>
      <c r="L733" s="13" t="str">
        <f t="shared" si="22"/>
        <v>Discount Applied</v>
      </c>
      <c r="M733" s="13" t="str">
        <f t="shared" si="23"/>
        <v>Platinum</v>
      </c>
      <c r="N733" s="13"/>
    </row>
    <row r="734" spans="1:14" x14ac:dyDescent="0.3">
      <c r="A734" s="3">
        <v>8075</v>
      </c>
      <c r="B734" s="3" t="s">
        <v>14</v>
      </c>
      <c r="C734" s="4">
        <v>45803</v>
      </c>
      <c r="D734" s="3" t="s">
        <v>34</v>
      </c>
      <c r="E734" s="3" t="s">
        <v>33</v>
      </c>
      <c r="F734" s="5">
        <v>5</v>
      </c>
      <c r="G734" s="6">
        <v>11.44</v>
      </c>
      <c r="H734" s="6">
        <v>57.2</v>
      </c>
      <c r="I734" s="6">
        <v>8.58</v>
      </c>
      <c r="J734" s="6">
        <v>48.62</v>
      </c>
      <c r="K734" s="5">
        <v>18</v>
      </c>
      <c r="L734" s="13" t="str">
        <f t="shared" si="22"/>
        <v>Discount Applied</v>
      </c>
      <c r="M734" s="13" t="str">
        <f t="shared" si="23"/>
        <v>Silver</v>
      </c>
      <c r="N734" s="13"/>
    </row>
    <row r="735" spans="1:14" x14ac:dyDescent="0.3">
      <c r="A735" s="3">
        <v>7105</v>
      </c>
      <c r="B735" s="3" t="s">
        <v>36</v>
      </c>
      <c r="C735" s="4">
        <v>45476</v>
      </c>
      <c r="D735" s="3" t="s">
        <v>22</v>
      </c>
      <c r="E735" s="3" t="s">
        <v>32</v>
      </c>
      <c r="F735" s="5">
        <v>1</v>
      </c>
      <c r="G735" s="6">
        <v>22.98</v>
      </c>
      <c r="H735" s="6">
        <v>22.98</v>
      </c>
      <c r="I735" s="6">
        <v>3.45</v>
      </c>
      <c r="J735" s="6">
        <v>19.53</v>
      </c>
      <c r="K735" s="5">
        <v>431</v>
      </c>
      <c r="L735" s="13" t="str">
        <f t="shared" si="22"/>
        <v>Discount Applied</v>
      </c>
      <c r="M735" s="13" t="str">
        <f t="shared" si="23"/>
        <v>Bronze</v>
      </c>
      <c r="N735" s="13"/>
    </row>
    <row r="736" spans="1:14" x14ac:dyDescent="0.3">
      <c r="A736" s="3">
        <v>3131</v>
      </c>
      <c r="B736" s="3" t="s">
        <v>26</v>
      </c>
      <c r="C736" s="4">
        <v>45525</v>
      </c>
      <c r="D736" s="3" t="s">
        <v>34</v>
      </c>
      <c r="E736" s="3" t="s">
        <v>48</v>
      </c>
      <c r="F736" s="5">
        <v>3</v>
      </c>
      <c r="G736" s="6">
        <v>10.54</v>
      </c>
      <c r="H736" s="6">
        <v>31.62</v>
      </c>
      <c r="I736" s="6">
        <v>0</v>
      </c>
      <c r="J736" s="6">
        <v>31.62</v>
      </c>
      <c r="K736" s="5">
        <v>211</v>
      </c>
      <c r="L736" s="13" t="str">
        <f t="shared" si="22"/>
        <v>No Discount</v>
      </c>
      <c r="M736" s="13" t="str">
        <f t="shared" si="23"/>
        <v>Silver</v>
      </c>
      <c r="N736" s="13"/>
    </row>
    <row r="737" spans="1:14" x14ac:dyDescent="0.3">
      <c r="A737" s="3">
        <v>1982</v>
      </c>
      <c r="B737" s="3" t="s">
        <v>42</v>
      </c>
      <c r="C737" s="4">
        <v>45202</v>
      </c>
      <c r="D737" s="3" t="s">
        <v>28</v>
      </c>
      <c r="E737" s="3" t="s">
        <v>40</v>
      </c>
      <c r="F737" s="5">
        <v>1</v>
      </c>
      <c r="G737" s="6">
        <v>17.559999999999999</v>
      </c>
      <c r="H737" s="6">
        <v>17.559999999999999</v>
      </c>
      <c r="I737" s="6">
        <v>1.76</v>
      </c>
      <c r="J737" s="6">
        <v>15.8</v>
      </c>
      <c r="K737" s="5">
        <v>322</v>
      </c>
      <c r="L737" s="13" t="str">
        <f t="shared" si="22"/>
        <v>Discount Applied</v>
      </c>
      <c r="M737" s="13" t="str">
        <f t="shared" si="23"/>
        <v>Bronze</v>
      </c>
      <c r="N737" s="13"/>
    </row>
    <row r="738" spans="1:14" x14ac:dyDescent="0.3">
      <c r="A738" s="3">
        <v>6400</v>
      </c>
      <c r="B738" s="3" t="s">
        <v>30</v>
      </c>
      <c r="C738" s="4">
        <v>45395</v>
      </c>
      <c r="D738" s="3" t="s">
        <v>20</v>
      </c>
      <c r="E738" s="3" t="s">
        <v>21</v>
      </c>
      <c r="F738" s="5">
        <v>3</v>
      </c>
      <c r="G738" s="6">
        <v>16.23</v>
      </c>
      <c r="H738" s="6">
        <v>48.69</v>
      </c>
      <c r="I738" s="6">
        <v>9.74</v>
      </c>
      <c r="J738" s="6">
        <v>38.950000000000003</v>
      </c>
      <c r="K738" s="5">
        <v>319</v>
      </c>
      <c r="L738" s="13" t="str">
        <f t="shared" si="22"/>
        <v>Discount Applied</v>
      </c>
      <c r="M738" s="13" t="str">
        <f t="shared" si="23"/>
        <v>Silver</v>
      </c>
      <c r="N738" s="13"/>
    </row>
    <row r="739" spans="1:14" x14ac:dyDescent="0.3">
      <c r="A739" s="3">
        <v>3002</v>
      </c>
      <c r="B739" s="3" t="s">
        <v>26</v>
      </c>
      <c r="C739" s="4">
        <v>45196</v>
      </c>
      <c r="D739" s="3" t="s">
        <v>38</v>
      </c>
      <c r="E739" s="3" t="s">
        <v>47</v>
      </c>
      <c r="F739" s="5">
        <v>4</v>
      </c>
      <c r="G739" s="6">
        <v>24.42</v>
      </c>
      <c r="H739" s="6">
        <v>97.68</v>
      </c>
      <c r="I739" s="6">
        <v>0</v>
      </c>
      <c r="J739" s="6">
        <v>97.68</v>
      </c>
      <c r="K739" s="5">
        <v>452</v>
      </c>
      <c r="L739" s="13" t="str">
        <f t="shared" si="22"/>
        <v>No Discount</v>
      </c>
      <c r="M739" s="13" t="str">
        <f t="shared" si="23"/>
        <v>Platinum</v>
      </c>
      <c r="N739" s="13"/>
    </row>
    <row r="740" spans="1:14" x14ac:dyDescent="0.3">
      <c r="A740" s="3">
        <v>6793</v>
      </c>
      <c r="B740" s="3" t="s">
        <v>30</v>
      </c>
      <c r="C740" s="4">
        <v>45358</v>
      </c>
      <c r="D740" s="3" t="s">
        <v>17</v>
      </c>
      <c r="E740" s="3" t="s">
        <v>39</v>
      </c>
      <c r="F740" s="5">
        <v>1</v>
      </c>
      <c r="G740" s="6">
        <v>1.69</v>
      </c>
      <c r="H740" s="6">
        <v>1.69</v>
      </c>
      <c r="I740" s="6">
        <v>0</v>
      </c>
      <c r="J740" s="6">
        <v>1.69</v>
      </c>
      <c r="K740" s="5">
        <v>320</v>
      </c>
      <c r="L740" s="13" t="str">
        <f t="shared" si="22"/>
        <v>No Discount</v>
      </c>
      <c r="M740" s="13" t="str">
        <f t="shared" si="23"/>
        <v>Bronze</v>
      </c>
      <c r="N740" s="13"/>
    </row>
    <row r="741" spans="1:14" x14ac:dyDescent="0.3">
      <c r="A741" s="3">
        <v>7929</v>
      </c>
      <c r="B741" s="3" t="s">
        <v>42</v>
      </c>
      <c r="C741" s="4">
        <v>45698</v>
      </c>
      <c r="D741" s="3" t="s">
        <v>28</v>
      </c>
      <c r="E741" s="3" t="s">
        <v>16</v>
      </c>
      <c r="F741" s="5">
        <v>4</v>
      </c>
      <c r="G741" s="6">
        <v>2.31</v>
      </c>
      <c r="H741" s="6">
        <v>9.24</v>
      </c>
      <c r="I741" s="6">
        <v>3.56</v>
      </c>
      <c r="J741" s="6">
        <v>5.68</v>
      </c>
      <c r="K741" s="5">
        <v>179</v>
      </c>
      <c r="L741" s="13" t="str">
        <f t="shared" si="22"/>
        <v>Discount Applied</v>
      </c>
      <c r="M741" s="13" t="str">
        <f t="shared" si="23"/>
        <v>Bronze</v>
      </c>
      <c r="N741" s="13"/>
    </row>
    <row r="742" spans="1:14" x14ac:dyDescent="0.3">
      <c r="A742" s="3">
        <v>1842</v>
      </c>
      <c r="B742" s="3"/>
      <c r="C742" s="4">
        <v>45440</v>
      </c>
      <c r="D742" s="3" t="s">
        <v>35</v>
      </c>
      <c r="E742" s="3" t="s">
        <v>43</v>
      </c>
      <c r="F742" s="5">
        <v>3</v>
      </c>
      <c r="G742" s="6">
        <v>9.6999999999999993</v>
      </c>
      <c r="H742" s="6">
        <v>29.1</v>
      </c>
      <c r="I742" s="6">
        <v>1.46</v>
      </c>
      <c r="J742" s="6">
        <v>27.64</v>
      </c>
      <c r="K742" s="5">
        <v>281</v>
      </c>
      <c r="L742" s="13" t="str">
        <f t="shared" si="22"/>
        <v>Discount Applied</v>
      </c>
      <c r="M742" s="13" t="str">
        <f t="shared" si="23"/>
        <v>Silver</v>
      </c>
      <c r="N742" s="13"/>
    </row>
    <row r="743" spans="1:14" x14ac:dyDescent="0.3">
      <c r="A743" s="3">
        <v>6119</v>
      </c>
      <c r="B743" s="3" t="s">
        <v>36</v>
      </c>
      <c r="C743" s="4">
        <v>45374</v>
      </c>
      <c r="D743" s="3" t="s">
        <v>22</v>
      </c>
      <c r="E743" s="3" t="s">
        <v>32</v>
      </c>
      <c r="F743" s="5">
        <v>5</v>
      </c>
      <c r="G743" s="6">
        <v>18.850000000000001</v>
      </c>
      <c r="H743" s="6">
        <v>94.25</v>
      </c>
      <c r="I743" s="6">
        <v>18.850000000000001</v>
      </c>
      <c r="J743" s="6">
        <v>75.400000000000006</v>
      </c>
      <c r="K743" s="5">
        <v>14</v>
      </c>
      <c r="L743" s="13" t="str">
        <f t="shared" si="22"/>
        <v>Discount Applied</v>
      </c>
      <c r="M743" s="13" t="str">
        <f t="shared" si="23"/>
        <v>Platinum</v>
      </c>
      <c r="N743" s="13"/>
    </row>
    <row r="744" spans="1:14" x14ac:dyDescent="0.3">
      <c r="A744" s="3">
        <v>9313</v>
      </c>
      <c r="B744" s="3" t="s">
        <v>36</v>
      </c>
      <c r="C744" s="4">
        <v>45537</v>
      </c>
      <c r="D744" s="3" t="s">
        <v>22</v>
      </c>
      <c r="E744" s="3" t="s">
        <v>47</v>
      </c>
      <c r="F744" s="5">
        <v>4</v>
      </c>
      <c r="G744" s="6">
        <v>24.11</v>
      </c>
      <c r="H744" s="6">
        <v>96.44</v>
      </c>
      <c r="I744" s="6">
        <v>9.64</v>
      </c>
      <c r="J744" s="6">
        <v>86.8</v>
      </c>
      <c r="K744" s="5">
        <v>330</v>
      </c>
      <c r="L744" s="13" t="str">
        <f t="shared" si="22"/>
        <v>Discount Applied</v>
      </c>
      <c r="M744" s="13" t="str">
        <f t="shared" si="23"/>
        <v>Platinum</v>
      </c>
      <c r="N744" s="13"/>
    </row>
    <row r="745" spans="1:14" x14ac:dyDescent="0.3">
      <c r="A745" s="3">
        <v>3535</v>
      </c>
      <c r="B745" s="3" t="s">
        <v>19</v>
      </c>
      <c r="C745" s="4">
        <v>45222</v>
      </c>
      <c r="D745" s="3" t="s">
        <v>27</v>
      </c>
      <c r="E745" s="3" t="s">
        <v>33</v>
      </c>
      <c r="F745" s="5">
        <v>5</v>
      </c>
      <c r="G745" s="6">
        <v>26.97</v>
      </c>
      <c r="H745" s="6">
        <v>134.85</v>
      </c>
      <c r="I745" s="6">
        <v>0</v>
      </c>
      <c r="J745" s="6">
        <v>134.85</v>
      </c>
      <c r="K745" s="5">
        <v>236</v>
      </c>
      <c r="L745" s="13" t="str">
        <f t="shared" si="22"/>
        <v>No Discount</v>
      </c>
      <c r="M745" s="13" t="str">
        <f t="shared" si="23"/>
        <v>Platinum</v>
      </c>
      <c r="N745" s="13"/>
    </row>
    <row r="746" spans="1:14" x14ac:dyDescent="0.3">
      <c r="A746" s="3">
        <v>8900</v>
      </c>
      <c r="B746" s="3" t="s">
        <v>31</v>
      </c>
      <c r="C746" s="4">
        <v>45807</v>
      </c>
      <c r="D746" s="3" t="s">
        <v>38</v>
      </c>
      <c r="E746" s="3" t="s">
        <v>37</v>
      </c>
      <c r="F746" s="5">
        <v>5</v>
      </c>
      <c r="G746" s="6">
        <v>22.01</v>
      </c>
      <c r="H746" s="6">
        <v>110.05</v>
      </c>
      <c r="I746" s="6">
        <v>22.01</v>
      </c>
      <c r="J746" s="6">
        <v>88.04</v>
      </c>
      <c r="K746" s="5">
        <v>161</v>
      </c>
      <c r="L746" s="13" t="str">
        <f t="shared" si="22"/>
        <v>Discount Applied</v>
      </c>
      <c r="M746" s="13" t="str">
        <f t="shared" si="23"/>
        <v>Platinum</v>
      </c>
      <c r="N746" s="13"/>
    </row>
    <row r="747" spans="1:14" x14ac:dyDescent="0.3">
      <c r="A747" s="3">
        <v>2773</v>
      </c>
      <c r="B747" s="3" t="s">
        <v>36</v>
      </c>
      <c r="C747" s="4">
        <v>45479</v>
      </c>
      <c r="D747" s="3" t="s">
        <v>22</v>
      </c>
      <c r="E747" s="3" t="s">
        <v>43</v>
      </c>
      <c r="F747" s="5">
        <v>2</v>
      </c>
      <c r="G747" s="6">
        <v>9.1199999999999992</v>
      </c>
      <c r="H747" s="6">
        <v>18.239999999999998</v>
      </c>
      <c r="I747" s="6">
        <v>1.82</v>
      </c>
      <c r="J747" s="6">
        <v>16.420000000000002</v>
      </c>
      <c r="K747" s="5">
        <v>15</v>
      </c>
      <c r="L747" s="13" t="str">
        <f t="shared" si="22"/>
        <v>Discount Applied</v>
      </c>
      <c r="M747" s="13" t="str">
        <f t="shared" si="23"/>
        <v>Bronze</v>
      </c>
      <c r="N747" s="13"/>
    </row>
    <row r="748" spans="1:14" x14ac:dyDescent="0.3">
      <c r="A748" s="3">
        <v>7022</v>
      </c>
      <c r="B748" s="3" t="s">
        <v>14</v>
      </c>
      <c r="C748" s="4">
        <v>45834</v>
      </c>
      <c r="D748" s="3" t="s">
        <v>34</v>
      </c>
      <c r="E748" s="3" t="s">
        <v>32</v>
      </c>
      <c r="F748" s="5">
        <v>2</v>
      </c>
      <c r="G748" s="6">
        <v>18.25</v>
      </c>
      <c r="H748" s="6">
        <v>36.5</v>
      </c>
      <c r="I748" s="6">
        <v>0</v>
      </c>
      <c r="J748" s="6">
        <v>36.5</v>
      </c>
      <c r="K748" s="5">
        <v>442</v>
      </c>
      <c r="L748" s="13" t="str">
        <f t="shared" si="22"/>
        <v>No Discount</v>
      </c>
      <c r="M748" s="13" t="str">
        <f t="shared" si="23"/>
        <v>Silver</v>
      </c>
      <c r="N748" s="13"/>
    </row>
    <row r="749" spans="1:14" x14ac:dyDescent="0.3">
      <c r="A749" s="3">
        <v>5564</v>
      </c>
      <c r="B749" s="3" t="s">
        <v>36</v>
      </c>
      <c r="C749" s="4">
        <v>45466</v>
      </c>
      <c r="D749" s="3" t="s">
        <v>12</v>
      </c>
      <c r="E749" s="3" t="s">
        <v>13</v>
      </c>
      <c r="F749" s="5">
        <v>4</v>
      </c>
      <c r="G749" s="6">
        <v>3.51</v>
      </c>
      <c r="H749" s="6">
        <v>14.04</v>
      </c>
      <c r="I749" s="6">
        <v>2.11</v>
      </c>
      <c r="J749" s="6">
        <v>11.93</v>
      </c>
      <c r="K749" s="5">
        <v>449</v>
      </c>
      <c r="L749" s="13" t="str">
        <f t="shared" si="22"/>
        <v>Discount Applied</v>
      </c>
      <c r="M749" s="13" t="str">
        <f t="shared" si="23"/>
        <v>Bronze</v>
      </c>
      <c r="N749" s="13"/>
    </row>
    <row r="750" spans="1:14" x14ac:dyDescent="0.3">
      <c r="A750" s="3">
        <v>4705</v>
      </c>
      <c r="B750" s="3" t="s">
        <v>26</v>
      </c>
      <c r="C750" s="4">
        <v>45787</v>
      </c>
      <c r="D750" s="3" t="s">
        <v>35</v>
      </c>
      <c r="E750" s="3" t="s">
        <v>44</v>
      </c>
      <c r="F750" s="5">
        <v>5</v>
      </c>
      <c r="G750" s="6">
        <v>9.76</v>
      </c>
      <c r="H750" s="6">
        <v>48.8</v>
      </c>
      <c r="I750" s="6">
        <v>4.1100000000000003</v>
      </c>
      <c r="J750" s="6">
        <v>44.69</v>
      </c>
      <c r="K750" s="5">
        <v>57</v>
      </c>
      <c r="L750" s="13" t="str">
        <f t="shared" si="22"/>
        <v>Discount Applied</v>
      </c>
      <c r="M750" s="13" t="str">
        <f t="shared" si="23"/>
        <v>Silver</v>
      </c>
      <c r="N750" s="13"/>
    </row>
    <row r="751" spans="1:14" x14ac:dyDescent="0.3">
      <c r="A751" s="3">
        <v>8030</v>
      </c>
      <c r="B751" s="3" t="s">
        <v>11</v>
      </c>
      <c r="C751" s="4">
        <v>45454</v>
      </c>
      <c r="D751" s="3" t="s">
        <v>45</v>
      </c>
      <c r="E751" s="3" t="s">
        <v>46</v>
      </c>
      <c r="F751" s="5">
        <v>1</v>
      </c>
      <c r="G751" s="6">
        <v>24.16</v>
      </c>
      <c r="H751" s="6">
        <v>24.16</v>
      </c>
      <c r="I751" s="6">
        <v>4.83</v>
      </c>
      <c r="J751" s="6">
        <v>19.329999999999998</v>
      </c>
      <c r="K751" s="5">
        <v>463</v>
      </c>
      <c r="L751" s="13" t="str">
        <f t="shared" si="22"/>
        <v>Discount Applied</v>
      </c>
      <c r="M751" s="13" t="str">
        <f t="shared" si="23"/>
        <v>Bronze</v>
      </c>
      <c r="N751" s="13"/>
    </row>
    <row r="752" spans="1:14" x14ac:dyDescent="0.3">
      <c r="A752" s="3">
        <v>1430</v>
      </c>
      <c r="B752" s="3" t="s">
        <v>36</v>
      </c>
      <c r="C752" s="4">
        <v>45711</v>
      </c>
      <c r="D752" s="3" t="s">
        <v>45</v>
      </c>
      <c r="E752" s="3" t="s">
        <v>46</v>
      </c>
      <c r="F752" s="5">
        <v>3</v>
      </c>
      <c r="G752" s="6">
        <v>23.48</v>
      </c>
      <c r="H752" s="6">
        <v>70.44</v>
      </c>
      <c r="I752" s="6">
        <v>3.71</v>
      </c>
      <c r="J752" s="6">
        <v>66.73</v>
      </c>
      <c r="K752" s="5">
        <v>73</v>
      </c>
      <c r="L752" s="13" t="str">
        <f t="shared" si="22"/>
        <v>Discount Applied</v>
      </c>
      <c r="M752" s="13" t="str">
        <f t="shared" si="23"/>
        <v>Gold</v>
      </c>
      <c r="N752" s="13"/>
    </row>
    <row r="753" spans="1:14" x14ac:dyDescent="0.3">
      <c r="A753" s="3">
        <v>5381</v>
      </c>
      <c r="B753" s="3" t="s">
        <v>19</v>
      </c>
      <c r="C753" s="4">
        <v>45387</v>
      </c>
      <c r="D753" s="3" t="s">
        <v>17</v>
      </c>
      <c r="E753" s="3" t="s">
        <v>40</v>
      </c>
      <c r="F753" s="5">
        <v>4</v>
      </c>
      <c r="G753" s="6">
        <v>12.23</v>
      </c>
      <c r="H753" s="6">
        <v>48.92</v>
      </c>
      <c r="I753" s="6">
        <v>2.2400000000000002</v>
      </c>
      <c r="J753" s="6">
        <v>46.68</v>
      </c>
      <c r="K753" s="5">
        <v>442</v>
      </c>
      <c r="L753" s="13" t="str">
        <f t="shared" si="22"/>
        <v>Discount Applied</v>
      </c>
      <c r="M753" s="13" t="str">
        <f t="shared" si="23"/>
        <v>Silver</v>
      </c>
      <c r="N753" s="13"/>
    </row>
    <row r="754" spans="1:14" x14ac:dyDescent="0.3">
      <c r="A754" s="3">
        <v>3955</v>
      </c>
      <c r="B754" s="3" t="s">
        <v>31</v>
      </c>
      <c r="C754" s="4">
        <v>45387</v>
      </c>
      <c r="D754" s="3" t="s">
        <v>27</v>
      </c>
      <c r="E754" s="3" t="s">
        <v>43</v>
      </c>
      <c r="F754" s="5">
        <v>3</v>
      </c>
      <c r="G754" s="6">
        <v>14.53</v>
      </c>
      <c r="H754" s="6">
        <v>43.59</v>
      </c>
      <c r="I754" s="6">
        <v>4.0599999999999996</v>
      </c>
      <c r="J754" s="6">
        <v>39.53</v>
      </c>
      <c r="K754" s="5">
        <v>23</v>
      </c>
      <c r="L754" s="13" t="str">
        <f t="shared" si="22"/>
        <v>Discount Applied</v>
      </c>
      <c r="M754" s="13" t="str">
        <f t="shared" si="23"/>
        <v>Silver</v>
      </c>
      <c r="N754" s="13"/>
    </row>
    <row r="755" spans="1:14" x14ac:dyDescent="0.3">
      <c r="A755" s="3">
        <v>6062</v>
      </c>
      <c r="B755" s="3" t="s">
        <v>30</v>
      </c>
      <c r="C755" s="4">
        <v>45435</v>
      </c>
      <c r="D755" s="3" t="s">
        <v>12</v>
      </c>
      <c r="E755" s="3" t="s">
        <v>37</v>
      </c>
      <c r="F755" s="5">
        <v>2</v>
      </c>
      <c r="G755" s="6">
        <v>10.3</v>
      </c>
      <c r="H755" s="6">
        <v>20.6</v>
      </c>
      <c r="I755" s="6">
        <v>3.09</v>
      </c>
      <c r="J755" s="6">
        <v>17.510000000000002</v>
      </c>
      <c r="K755" s="5">
        <v>98</v>
      </c>
      <c r="L755" s="13" t="str">
        <f t="shared" si="22"/>
        <v>Discount Applied</v>
      </c>
      <c r="M755" s="13" t="str">
        <f t="shared" si="23"/>
        <v>Bronze</v>
      </c>
      <c r="N755" s="13"/>
    </row>
    <row r="756" spans="1:14" x14ac:dyDescent="0.3">
      <c r="A756" s="3">
        <v>6567</v>
      </c>
      <c r="B756" s="3" t="s">
        <v>14</v>
      </c>
      <c r="C756" s="4">
        <v>45678</v>
      </c>
      <c r="D756" s="3" t="s">
        <v>22</v>
      </c>
      <c r="E756" s="3" t="s">
        <v>33</v>
      </c>
      <c r="F756" s="5">
        <v>1</v>
      </c>
      <c r="G756" s="6">
        <v>8.9</v>
      </c>
      <c r="H756" s="6">
        <v>8.9</v>
      </c>
      <c r="I756" s="6">
        <v>1.06</v>
      </c>
      <c r="J756" s="6">
        <v>7.84</v>
      </c>
      <c r="K756" s="5">
        <v>80</v>
      </c>
      <c r="L756" s="13" t="str">
        <f t="shared" si="22"/>
        <v>Discount Applied</v>
      </c>
      <c r="M756" s="13" t="str">
        <f t="shared" si="23"/>
        <v>Bronze</v>
      </c>
      <c r="N756" s="13"/>
    </row>
    <row r="757" spans="1:14" x14ac:dyDescent="0.3">
      <c r="A757" s="3">
        <v>1100</v>
      </c>
      <c r="B757" s="3" t="s">
        <v>14</v>
      </c>
      <c r="C757" s="4">
        <v>45197</v>
      </c>
      <c r="D757" s="3" t="s">
        <v>38</v>
      </c>
      <c r="E757" s="3" t="s">
        <v>48</v>
      </c>
      <c r="F757" s="5">
        <v>2</v>
      </c>
      <c r="G757" s="6">
        <v>16.72</v>
      </c>
      <c r="H757" s="6">
        <v>33.44</v>
      </c>
      <c r="I757" s="6">
        <v>5.0199999999999996</v>
      </c>
      <c r="J757" s="6">
        <v>28.42</v>
      </c>
      <c r="K757" s="5">
        <v>281</v>
      </c>
      <c r="L757" s="13" t="str">
        <f t="shared" si="22"/>
        <v>Discount Applied</v>
      </c>
      <c r="M757" s="13" t="str">
        <f t="shared" si="23"/>
        <v>Silver</v>
      </c>
      <c r="N757" s="13"/>
    </row>
    <row r="758" spans="1:14" x14ac:dyDescent="0.3">
      <c r="A758" s="3">
        <v>3347</v>
      </c>
      <c r="B758" s="3" t="s">
        <v>19</v>
      </c>
      <c r="C758" s="4">
        <v>45791</v>
      </c>
      <c r="D758" s="3" t="s">
        <v>35</v>
      </c>
      <c r="E758" s="3" t="s">
        <v>25</v>
      </c>
      <c r="F758" s="5">
        <v>2</v>
      </c>
      <c r="G758" s="6">
        <v>3.06</v>
      </c>
      <c r="H758" s="6">
        <v>6.12</v>
      </c>
      <c r="I758" s="6">
        <v>2.77</v>
      </c>
      <c r="J758" s="6">
        <v>3.35</v>
      </c>
      <c r="K758" s="5">
        <v>313</v>
      </c>
      <c r="L758" s="13" t="str">
        <f t="shared" si="22"/>
        <v>Discount Applied</v>
      </c>
      <c r="M758" s="13" t="str">
        <f t="shared" si="23"/>
        <v>Bronze</v>
      </c>
      <c r="N758" s="13"/>
    </row>
    <row r="759" spans="1:14" x14ac:dyDescent="0.3">
      <c r="A759" s="3">
        <v>7566</v>
      </c>
      <c r="B759" s="3" t="s">
        <v>19</v>
      </c>
      <c r="C759" s="4">
        <v>45217</v>
      </c>
      <c r="D759" s="3" t="s">
        <v>12</v>
      </c>
      <c r="E759" s="3" t="s">
        <v>47</v>
      </c>
      <c r="F759" s="5">
        <v>1</v>
      </c>
      <c r="G759" s="6">
        <v>4.0599999999999996</v>
      </c>
      <c r="H759" s="6">
        <v>4.0599999999999996</v>
      </c>
      <c r="I759" s="6">
        <v>0.41</v>
      </c>
      <c r="J759" s="6">
        <v>3.65</v>
      </c>
      <c r="K759" s="5">
        <v>27</v>
      </c>
      <c r="L759" s="13" t="str">
        <f t="shared" si="22"/>
        <v>Discount Applied</v>
      </c>
      <c r="M759" s="13" t="str">
        <f t="shared" si="23"/>
        <v>Bronze</v>
      </c>
      <c r="N759" s="13"/>
    </row>
    <row r="760" spans="1:14" x14ac:dyDescent="0.3">
      <c r="A760" s="3">
        <v>3324</v>
      </c>
      <c r="B760" s="3" t="s">
        <v>24</v>
      </c>
      <c r="C760" s="4">
        <v>45220</v>
      </c>
      <c r="D760" s="3" t="s">
        <v>34</v>
      </c>
      <c r="E760" s="3" t="s">
        <v>33</v>
      </c>
      <c r="F760" s="5">
        <v>5</v>
      </c>
      <c r="G760" s="6">
        <v>11.3</v>
      </c>
      <c r="H760" s="6">
        <v>56.5</v>
      </c>
      <c r="I760" s="6">
        <v>0</v>
      </c>
      <c r="J760" s="6">
        <v>56.5</v>
      </c>
      <c r="K760" s="5">
        <v>170</v>
      </c>
      <c r="L760" s="13" t="str">
        <f t="shared" si="22"/>
        <v>No Discount</v>
      </c>
      <c r="M760" s="13" t="str">
        <f t="shared" si="23"/>
        <v>Gold</v>
      </c>
      <c r="N760" s="13"/>
    </row>
    <row r="761" spans="1:14" x14ac:dyDescent="0.3">
      <c r="A761" s="3">
        <v>1502</v>
      </c>
      <c r="B761" s="3" t="s">
        <v>14</v>
      </c>
      <c r="C761" s="4">
        <v>45775</v>
      </c>
      <c r="D761" s="3" t="s">
        <v>15</v>
      </c>
      <c r="E761" s="3" t="s">
        <v>33</v>
      </c>
      <c r="F761" s="5">
        <v>5</v>
      </c>
      <c r="G761" s="6">
        <v>4.8099999999999996</v>
      </c>
      <c r="H761" s="6">
        <v>24.05</v>
      </c>
      <c r="I761" s="6">
        <v>2.82</v>
      </c>
      <c r="J761" s="6">
        <v>21.23</v>
      </c>
      <c r="K761" s="5">
        <v>416</v>
      </c>
      <c r="L761" s="13" t="str">
        <f t="shared" si="22"/>
        <v>Discount Applied</v>
      </c>
      <c r="M761" s="13" t="str">
        <f t="shared" si="23"/>
        <v>Silver</v>
      </c>
      <c r="N761" s="13"/>
    </row>
    <row r="762" spans="1:14" x14ac:dyDescent="0.3">
      <c r="A762" s="3">
        <v>9691</v>
      </c>
      <c r="B762" s="3" t="s">
        <v>26</v>
      </c>
      <c r="C762" s="4">
        <v>45577</v>
      </c>
      <c r="D762" s="3" t="s">
        <v>45</v>
      </c>
      <c r="E762" s="3" t="s">
        <v>25</v>
      </c>
      <c r="F762" s="5">
        <v>2</v>
      </c>
      <c r="G762" s="6">
        <v>5.16</v>
      </c>
      <c r="H762" s="6">
        <v>10.32</v>
      </c>
      <c r="I762" s="6">
        <v>1.55</v>
      </c>
      <c r="J762" s="6">
        <v>8.77</v>
      </c>
      <c r="K762" s="5">
        <v>458</v>
      </c>
      <c r="L762" s="13" t="str">
        <f t="shared" si="22"/>
        <v>Discount Applied</v>
      </c>
      <c r="M762" s="13" t="str">
        <f t="shared" si="23"/>
        <v>Bronze</v>
      </c>
      <c r="N762" s="13"/>
    </row>
    <row r="763" spans="1:14" x14ac:dyDescent="0.3">
      <c r="A763" s="3">
        <v>7163</v>
      </c>
      <c r="B763" s="3" t="s">
        <v>24</v>
      </c>
      <c r="C763" s="4">
        <v>45600</v>
      </c>
      <c r="D763" s="3" t="s">
        <v>34</v>
      </c>
      <c r="E763" s="3" t="s">
        <v>21</v>
      </c>
      <c r="F763" s="5">
        <v>3</v>
      </c>
      <c r="G763" s="6">
        <v>14.14</v>
      </c>
      <c r="H763" s="6">
        <v>42.42</v>
      </c>
      <c r="I763" s="6">
        <v>4.24</v>
      </c>
      <c r="J763" s="6">
        <v>38.18</v>
      </c>
      <c r="K763" s="5">
        <v>15</v>
      </c>
      <c r="L763" s="13" t="str">
        <f t="shared" si="22"/>
        <v>Discount Applied</v>
      </c>
      <c r="M763" s="13" t="str">
        <f t="shared" si="23"/>
        <v>Silver</v>
      </c>
      <c r="N763" s="13"/>
    </row>
    <row r="764" spans="1:14" x14ac:dyDescent="0.3">
      <c r="A764" s="3">
        <v>8432</v>
      </c>
      <c r="B764" s="3" t="s">
        <v>11</v>
      </c>
      <c r="C764" s="4">
        <v>45665</v>
      </c>
      <c r="D764" s="3" t="s">
        <v>22</v>
      </c>
      <c r="E764" s="3" t="s">
        <v>47</v>
      </c>
      <c r="F764" s="5">
        <v>4</v>
      </c>
      <c r="G764" s="6">
        <v>25.52</v>
      </c>
      <c r="H764" s="6">
        <v>102.08</v>
      </c>
      <c r="I764" s="6">
        <v>3.3</v>
      </c>
      <c r="J764" s="6">
        <v>98.78</v>
      </c>
      <c r="K764" s="5">
        <v>144</v>
      </c>
      <c r="L764" s="13" t="str">
        <f t="shared" si="22"/>
        <v>Discount Applied</v>
      </c>
      <c r="M764" s="13" t="str">
        <f t="shared" si="23"/>
        <v>Platinum</v>
      </c>
      <c r="N764" s="13"/>
    </row>
    <row r="765" spans="1:14" x14ac:dyDescent="0.3">
      <c r="A765" s="3">
        <v>3578</v>
      </c>
      <c r="B765" s="3" t="s">
        <v>14</v>
      </c>
      <c r="C765" s="4">
        <v>45464</v>
      </c>
      <c r="D765" s="3" t="s">
        <v>15</v>
      </c>
      <c r="E765" s="3" t="s">
        <v>32</v>
      </c>
      <c r="F765" s="5">
        <v>1</v>
      </c>
      <c r="G765" s="6">
        <v>10.44</v>
      </c>
      <c r="H765" s="6">
        <v>10.44</v>
      </c>
      <c r="I765" s="6">
        <v>1.57</v>
      </c>
      <c r="J765" s="6">
        <v>8.8699999999999992</v>
      </c>
      <c r="K765" s="5">
        <v>332</v>
      </c>
      <c r="L765" s="13" t="str">
        <f t="shared" si="22"/>
        <v>Discount Applied</v>
      </c>
      <c r="M765" s="13" t="str">
        <f t="shared" si="23"/>
        <v>Bronze</v>
      </c>
      <c r="N765" s="13"/>
    </row>
    <row r="766" spans="1:14" x14ac:dyDescent="0.3">
      <c r="A766" s="3">
        <v>6105</v>
      </c>
      <c r="B766" s="3" t="s">
        <v>14</v>
      </c>
      <c r="C766" s="4">
        <v>45823</v>
      </c>
      <c r="D766" s="3" t="s">
        <v>45</v>
      </c>
      <c r="E766" s="3" t="s">
        <v>32</v>
      </c>
      <c r="F766" s="5">
        <v>5</v>
      </c>
      <c r="G766" s="6">
        <v>12.98</v>
      </c>
      <c r="H766" s="6">
        <v>64.900000000000006</v>
      </c>
      <c r="I766" s="6">
        <v>1.64</v>
      </c>
      <c r="J766" s="6">
        <v>63.26</v>
      </c>
      <c r="K766" s="5">
        <v>317</v>
      </c>
      <c r="L766" s="13" t="str">
        <f t="shared" si="22"/>
        <v>Discount Applied</v>
      </c>
      <c r="M766" s="13" t="str">
        <f t="shared" si="23"/>
        <v>Gold</v>
      </c>
      <c r="N766" s="13"/>
    </row>
    <row r="767" spans="1:14" x14ac:dyDescent="0.3">
      <c r="A767" s="3">
        <v>2391</v>
      </c>
      <c r="B767" s="3" t="s">
        <v>26</v>
      </c>
      <c r="C767" s="4">
        <v>45819</v>
      </c>
      <c r="D767" s="3" t="s">
        <v>20</v>
      </c>
      <c r="E767" s="3" t="s">
        <v>43</v>
      </c>
      <c r="F767" s="5">
        <v>3</v>
      </c>
      <c r="G767" s="6">
        <v>7.03</v>
      </c>
      <c r="H767" s="6">
        <v>21.09</v>
      </c>
      <c r="I767" s="6">
        <v>2.11</v>
      </c>
      <c r="J767" s="6">
        <v>18.98</v>
      </c>
      <c r="K767" s="5">
        <v>355</v>
      </c>
      <c r="L767" s="13" t="str">
        <f t="shared" si="22"/>
        <v>Discount Applied</v>
      </c>
      <c r="M767" s="13" t="str">
        <f t="shared" si="23"/>
        <v>Bronze</v>
      </c>
      <c r="N767" s="13"/>
    </row>
    <row r="768" spans="1:14" x14ac:dyDescent="0.3">
      <c r="A768" s="3">
        <v>1861</v>
      </c>
      <c r="B768" s="3" t="s">
        <v>36</v>
      </c>
      <c r="C768" s="4">
        <v>45368</v>
      </c>
      <c r="D768" s="3" t="s">
        <v>38</v>
      </c>
      <c r="E768" s="3" t="s">
        <v>25</v>
      </c>
      <c r="F768" s="5">
        <v>2</v>
      </c>
      <c r="G768" s="6">
        <v>20.21</v>
      </c>
      <c r="H768" s="6">
        <v>40.42</v>
      </c>
      <c r="I768" s="6">
        <v>3.37</v>
      </c>
      <c r="J768" s="6">
        <v>37.049999999999997</v>
      </c>
      <c r="K768" s="5">
        <v>39</v>
      </c>
      <c r="L768" s="13" t="str">
        <f t="shared" si="22"/>
        <v>Discount Applied</v>
      </c>
      <c r="M768" s="13" t="str">
        <f t="shared" si="23"/>
        <v>Silver</v>
      </c>
      <c r="N768" s="13"/>
    </row>
    <row r="769" spans="1:14" x14ac:dyDescent="0.3">
      <c r="A769" s="3">
        <v>3579</v>
      </c>
      <c r="B769" s="3" t="s">
        <v>26</v>
      </c>
      <c r="C769" s="4">
        <v>45418</v>
      </c>
      <c r="D769" s="3" t="s">
        <v>22</v>
      </c>
      <c r="E769" s="3" t="s">
        <v>18</v>
      </c>
      <c r="F769" s="5">
        <v>1</v>
      </c>
      <c r="G769" s="6">
        <v>24.83</v>
      </c>
      <c r="H769" s="6">
        <v>24.83</v>
      </c>
      <c r="I769" s="6">
        <v>2.48</v>
      </c>
      <c r="J769" s="6">
        <v>22.35</v>
      </c>
      <c r="K769" s="5">
        <v>90</v>
      </c>
      <c r="L769" s="13" t="str">
        <f t="shared" si="22"/>
        <v>Discount Applied</v>
      </c>
      <c r="M769" s="13" t="str">
        <f t="shared" si="23"/>
        <v>Silver</v>
      </c>
      <c r="N769" s="13"/>
    </row>
    <row r="770" spans="1:14" x14ac:dyDescent="0.3">
      <c r="A770" s="3">
        <v>1815</v>
      </c>
      <c r="B770" s="3" t="s">
        <v>11</v>
      </c>
      <c r="C770" s="4">
        <v>45593</v>
      </c>
      <c r="D770" s="3" t="s">
        <v>28</v>
      </c>
      <c r="E770" s="3" t="s">
        <v>48</v>
      </c>
      <c r="F770" s="5">
        <v>5</v>
      </c>
      <c r="G770" s="6">
        <v>23.36</v>
      </c>
      <c r="H770" s="6">
        <v>116.8</v>
      </c>
      <c r="I770" s="6">
        <v>11.68</v>
      </c>
      <c r="J770" s="6">
        <v>105.12</v>
      </c>
      <c r="K770" s="5">
        <v>194</v>
      </c>
      <c r="L770" s="13" t="str">
        <f t="shared" si="22"/>
        <v>Discount Applied</v>
      </c>
      <c r="M770" s="13" t="str">
        <f t="shared" si="23"/>
        <v>Platinum</v>
      </c>
      <c r="N770" s="13"/>
    </row>
    <row r="771" spans="1:14" x14ac:dyDescent="0.3">
      <c r="A771" s="3">
        <v>2336</v>
      </c>
      <c r="B771" s="3" t="s">
        <v>31</v>
      </c>
      <c r="C771" s="4">
        <v>45310</v>
      </c>
      <c r="D771" s="3" t="s">
        <v>15</v>
      </c>
      <c r="E771" s="3" t="s">
        <v>44</v>
      </c>
      <c r="F771" s="5">
        <v>2</v>
      </c>
      <c r="G771" s="6">
        <v>26.72</v>
      </c>
      <c r="H771" s="6">
        <v>53.44</v>
      </c>
      <c r="I771" s="6">
        <v>10.69</v>
      </c>
      <c r="J771" s="6">
        <v>42.75</v>
      </c>
      <c r="K771" s="5">
        <v>462</v>
      </c>
      <c r="L771" s="13" t="str">
        <f t="shared" ref="L771:L834" si="24">IF(I771&gt;0,"Discount Applied","No Discount")</f>
        <v>Discount Applied</v>
      </c>
      <c r="M771" s="13" t="str">
        <f t="shared" ref="M771:M834" si="25">IF(J771 &gt;= 70, "Platinum",
   IF(J771 &gt;= 50, "Gold",
      IF(J771 &gt;= 20, "Silver", "Bronze")))</f>
        <v>Silver</v>
      </c>
      <c r="N771" s="13"/>
    </row>
    <row r="772" spans="1:14" x14ac:dyDescent="0.3">
      <c r="A772" s="3">
        <v>8259</v>
      </c>
      <c r="B772" s="3" t="s">
        <v>19</v>
      </c>
      <c r="C772" s="4">
        <v>45655</v>
      </c>
      <c r="D772" s="3" t="s">
        <v>45</v>
      </c>
      <c r="E772" s="3" t="s">
        <v>18</v>
      </c>
      <c r="F772" s="5">
        <v>3</v>
      </c>
      <c r="G772" s="6">
        <v>12.3</v>
      </c>
      <c r="H772" s="6">
        <v>36.9</v>
      </c>
      <c r="I772" s="6">
        <v>7.38</v>
      </c>
      <c r="J772" s="6">
        <v>29.52</v>
      </c>
      <c r="K772" s="5">
        <v>295</v>
      </c>
      <c r="L772" s="13" t="str">
        <f t="shared" si="24"/>
        <v>Discount Applied</v>
      </c>
      <c r="M772" s="13" t="str">
        <f t="shared" si="25"/>
        <v>Silver</v>
      </c>
      <c r="N772" s="13"/>
    </row>
    <row r="773" spans="1:14" x14ac:dyDescent="0.3">
      <c r="A773" s="3">
        <v>7947</v>
      </c>
      <c r="B773" s="3" t="s">
        <v>42</v>
      </c>
      <c r="C773" s="4">
        <v>45319</v>
      </c>
      <c r="D773" s="3" t="s">
        <v>27</v>
      </c>
      <c r="E773" s="3" t="s">
        <v>21</v>
      </c>
      <c r="F773" s="5">
        <v>3</v>
      </c>
      <c r="G773" s="6">
        <v>17.53</v>
      </c>
      <c r="H773" s="6">
        <v>52.59</v>
      </c>
      <c r="I773" s="6">
        <v>5.26</v>
      </c>
      <c r="J773" s="6">
        <v>47.33</v>
      </c>
      <c r="K773" s="5">
        <v>467</v>
      </c>
      <c r="L773" s="13" t="str">
        <f t="shared" si="24"/>
        <v>Discount Applied</v>
      </c>
      <c r="M773" s="13" t="str">
        <f t="shared" si="25"/>
        <v>Silver</v>
      </c>
      <c r="N773" s="13"/>
    </row>
    <row r="774" spans="1:14" x14ac:dyDescent="0.3">
      <c r="A774" s="3">
        <v>5475</v>
      </c>
      <c r="B774" s="3" t="s">
        <v>36</v>
      </c>
      <c r="C774" s="4">
        <v>45416</v>
      </c>
      <c r="D774" s="3" t="s">
        <v>15</v>
      </c>
      <c r="E774" s="3" t="s">
        <v>39</v>
      </c>
      <c r="F774" s="5">
        <v>5</v>
      </c>
      <c r="G774" s="6">
        <v>29.6</v>
      </c>
      <c r="H774" s="6">
        <v>148</v>
      </c>
      <c r="I774" s="6">
        <v>22.2</v>
      </c>
      <c r="J774" s="6">
        <v>125.8</v>
      </c>
      <c r="K774" s="5">
        <v>206</v>
      </c>
      <c r="L774" s="13" t="str">
        <f t="shared" si="24"/>
        <v>Discount Applied</v>
      </c>
      <c r="M774" s="13" t="str">
        <f t="shared" si="25"/>
        <v>Platinum</v>
      </c>
      <c r="N774" s="13"/>
    </row>
    <row r="775" spans="1:14" x14ac:dyDescent="0.3">
      <c r="A775" s="3">
        <v>9394</v>
      </c>
      <c r="B775" s="3" t="s">
        <v>31</v>
      </c>
      <c r="C775" s="4">
        <v>45234</v>
      </c>
      <c r="D775" s="3" t="s">
        <v>22</v>
      </c>
      <c r="E775" s="3" t="s">
        <v>18</v>
      </c>
      <c r="F775" s="5">
        <v>1</v>
      </c>
      <c r="G775" s="6">
        <v>1.01</v>
      </c>
      <c r="H775" s="6">
        <v>1.01</v>
      </c>
      <c r="I775" s="6">
        <v>4.4400000000000004</v>
      </c>
      <c r="J775" s="6">
        <v>-3.43</v>
      </c>
      <c r="K775" s="5">
        <v>286</v>
      </c>
      <c r="L775" s="13" t="str">
        <f t="shared" si="24"/>
        <v>Discount Applied</v>
      </c>
      <c r="M775" s="13" t="str">
        <f t="shared" si="25"/>
        <v>Bronze</v>
      </c>
      <c r="N775" s="13"/>
    </row>
    <row r="776" spans="1:14" x14ac:dyDescent="0.3">
      <c r="A776" s="3">
        <v>6655</v>
      </c>
      <c r="B776" s="3" t="s">
        <v>31</v>
      </c>
      <c r="C776" s="4">
        <v>45590</v>
      </c>
      <c r="D776" s="3" t="s">
        <v>17</v>
      </c>
      <c r="E776" s="3" t="s">
        <v>16</v>
      </c>
      <c r="F776" s="5">
        <v>5</v>
      </c>
      <c r="G776" s="6">
        <v>12.42</v>
      </c>
      <c r="H776" s="6">
        <v>62.1</v>
      </c>
      <c r="I776" s="6">
        <v>6.21</v>
      </c>
      <c r="J776" s="6">
        <v>55.89</v>
      </c>
      <c r="K776" s="5">
        <v>162</v>
      </c>
      <c r="L776" s="13" t="str">
        <f t="shared" si="24"/>
        <v>Discount Applied</v>
      </c>
      <c r="M776" s="13" t="str">
        <f t="shared" si="25"/>
        <v>Gold</v>
      </c>
      <c r="N776" s="13"/>
    </row>
    <row r="777" spans="1:14" x14ac:dyDescent="0.3">
      <c r="A777" s="3">
        <v>2816</v>
      </c>
      <c r="B777" s="3" t="s">
        <v>24</v>
      </c>
      <c r="C777" s="4">
        <v>45771</v>
      </c>
      <c r="D777" s="3" t="s">
        <v>20</v>
      </c>
      <c r="E777" s="3" t="s">
        <v>18</v>
      </c>
      <c r="F777" s="5">
        <v>2</v>
      </c>
      <c r="G777" s="6">
        <v>20.2</v>
      </c>
      <c r="H777" s="6">
        <v>40.4</v>
      </c>
      <c r="I777" s="6">
        <v>8.08</v>
      </c>
      <c r="J777" s="6">
        <v>32.32</v>
      </c>
      <c r="K777" s="5">
        <v>243</v>
      </c>
      <c r="L777" s="13" t="str">
        <f t="shared" si="24"/>
        <v>Discount Applied</v>
      </c>
      <c r="M777" s="13" t="str">
        <f t="shared" si="25"/>
        <v>Silver</v>
      </c>
      <c r="N777" s="13"/>
    </row>
    <row r="778" spans="1:14" x14ac:dyDescent="0.3">
      <c r="A778" s="3">
        <v>8972</v>
      </c>
      <c r="B778" s="3" t="s">
        <v>14</v>
      </c>
      <c r="C778" s="4">
        <v>45801</v>
      </c>
      <c r="D778" s="3" t="s">
        <v>20</v>
      </c>
      <c r="E778" s="3" t="s">
        <v>23</v>
      </c>
      <c r="F778" s="5">
        <v>4</v>
      </c>
      <c r="G778" s="6">
        <v>5.46</v>
      </c>
      <c r="H778" s="6">
        <v>21.84</v>
      </c>
      <c r="I778" s="6">
        <v>4.37</v>
      </c>
      <c r="J778" s="6">
        <v>17.47</v>
      </c>
      <c r="K778" s="5">
        <v>446</v>
      </c>
      <c r="L778" s="13" t="str">
        <f t="shared" si="24"/>
        <v>Discount Applied</v>
      </c>
      <c r="M778" s="13" t="str">
        <f t="shared" si="25"/>
        <v>Bronze</v>
      </c>
      <c r="N778" s="13"/>
    </row>
    <row r="779" spans="1:14" x14ac:dyDescent="0.3">
      <c r="A779" s="3">
        <v>6053</v>
      </c>
      <c r="B779" s="3" t="s">
        <v>31</v>
      </c>
      <c r="C779" s="4">
        <v>45618</v>
      </c>
      <c r="D779" s="3" t="s">
        <v>15</v>
      </c>
      <c r="E779" s="3" t="s">
        <v>39</v>
      </c>
      <c r="F779" s="5">
        <v>2</v>
      </c>
      <c r="G779" s="6">
        <v>21.91</v>
      </c>
      <c r="H779" s="6">
        <v>43.82</v>
      </c>
      <c r="I779" s="6">
        <v>8.76</v>
      </c>
      <c r="J779" s="6">
        <v>35.06</v>
      </c>
      <c r="K779" s="5">
        <v>249</v>
      </c>
      <c r="L779" s="13" t="str">
        <f t="shared" si="24"/>
        <v>Discount Applied</v>
      </c>
      <c r="M779" s="13" t="str">
        <f t="shared" si="25"/>
        <v>Silver</v>
      </c>
      <c r="N779" s="13"/>
    </row>
    <row r="780" spans="1:14" x14ac:dyDescent="0.3">
      <c r="A780" s="3">
        <v>4612</v>
      </c>
      <c r="B780" s="3" t="s">
        <v>11</v>
      </c>
      <c r="C780" s="4">
        <v>45167</v>
      </c>
      <c r="D780" s="3" t="s">
        <v>34</v>
      </c>
      <c r="E780" s="3" t="s">
        <v>16</v>
      </c>
      <c r="F780" s="5">
        <v>4</v>
      </c>
      <c r="G780" s="6">
        <v>26.9</v>
      </c>
      <c r="H780" s="6">
        <v>107.6</v>
      </c>
      <c r="I780" s="6">
        <v>1.72</v>
      </c>
      <c r="J780" s="6">
        <v>105.88</v>
      </c>
      <c r="K780" s="5">
        <v>356</v>
      </c>
      <c r="L780" s="13" t="str">
        <f t="shared" si="24"/>
        <v>Discount Applied</v>
      </c>
      <c r="M780" s="13" t="str">
        <f t="shared" si="25"/>
        <v>Platinum</v>
      </c>
      <c r="N780" s="13"/>
    </row>
    <row r="781" spans="1:14" x14ac:dyDescent="0.3">
      <c r="A781" s="3">
        <v>1897</v>
      </c>
      <c r="B781" s="3" t="s">
        <v>14</v>
      </c>
      <c r="C781" s="4">
        <v>45357</v>
      </c>
      <c r="D781" s="3" t="s">
        <v>20</v>
      </c>
      <c r="E781" s="3" t="s">
        <v>18</v>
      </c>
      <c r="F781" s="5">
        <v>4</v>
      </c>
      <c r="G781" s="6">
        <v>12.15</v>
      </c>
      <c r="H781" s="6">
        <v>48.6</v>
      </c>
      <c r="I781" s="6">
        <v>4.8600000000000003</v>
      </c>
      <c r="J781" s="6">
        <v>43.74</v>
      </c>
      <c r="K781" s="5">
        <v>115</v>
      </c>
      <c r="L781" s="13" t="str">
        <f t="shared" si="24"/>
        <v>Discount Applied</v>
      </c>
      <c r="M781" s="13" t="str">
        <f t="shared" si="25"/>
        <v>Silver</v>
      </c>
      <c r="N781" s="13"/>
    </row>
    <row r="782" spans="1:14" x14ac:dyDescent="0.3">
      <c r="A782" s="3">
        <v>4349</v>
      </c>
      <c r="B782" s="3" t="s">
        <v>31</v>
      </c>
      <c r="C782" s="4">
        <v>45860</v>
      </c>
      <c r="D782" s="3" t="s">
        <v>28</v>
      </c>
      <c r="E782" s="3" t="s">
        <v>47</v>
      </c>
      <c r="F782" s="5">
        <v>2</v>
      </c>
      <c r="G782" s="6">
        <v>21.64</v>
      </c>
      <c r="H782" s="6">
        <v>43.28</v>
      </c>
      <c r="I782" s="6">
        <v>3.31</v>
      </c>
      <c r="J782" s="6">
        <v>39.97</v>
      </c>
      <c r="K782" s="5">
        <v>137</v>
      </c>
      <c r="L782" s="13" t="str">
        <f t="shared" si="24"/>
        <v>Discount Applied</v>
      </c>
      <c r="M782" s="13" t="str">
        <f t="shared" si="25"/>
        <v>Silver</v>
      </c>
      <c r="N782" s="13"/>
    </row>
    <row r="783" spans="1:14" x14ac:dyDescent="0.3">
      <c r="A783" s="3">
        <v>4460</v>
      </c>
      <c r="B783" s="3" t="s">
        <v>31</v>
      </c>
      <c r="C783" s="4">
        <v>45417</v>
      </c>
      <c r="D783" s="3" t="s">
        <v>12</v>
      </c>
      <c r="E783" s="3" t="s">
        <v>47</v>
      </c>
      <c r="F783" s="5">
        <v>3</v>
      </c>
      <c r="G783" s="6">
        <v>4.2699999999999996</v>
      </c>
      <c r="H783" s="6">
        <v>12.81</v>
      </c>
      <c r="I783" s="6">
        <v>2.56</v>
      </c>
      <c r="J783" s="6">
        <v>10.25</v>
      </c>
      <c r="K783" s="5">
        <v>246</v>
      </c>
      <c r="L783" s="13" t="str">
        <f t="shared" si="24"/>
        <v>Discount Applied</v>
      </c>
      <c r="M783" s="13" t="str">
        <f t="shared" si="25"/>
        <v>Bronze</v>
      </c>
      <c r="N783" s="13"/>
    </row>
    <row r="784" spans="1:14" x14ac:dyDescent="0.3">
      <c r="A784" s="3">
        <v>3248</v>
      </c>
      <c r="B784" s="3" t="s">
        <v>14</v>
      </c>
      <c r="C784" s="4">
        <v>45285</v>
      </c>
      <c r="D784" s="3" t="s">
        <v>35</v>
      </c>
      <c r="E784" s="3" t="s">
        <v>33</v>
      </c>
      <c r="F784" s="5">
        <v>5</v>
      </c>
      <c r="G784" s="6">
        <v>3.26</v>
      </c>
      <c r="H784" s="6">
        <v>16.3</v>
      </c>
      <c r="I784" s="6">
        <v>3.26</v>
      </c>
      <c r="J784" s="6">
        <v>13.04</v>
      </c>
      <c r="K784" s="5">
        <v>455</v>
      </c>
      <c r="L784" s="13" t="str">
        <f t="shared" si="24"/>
        <v>Discount Applied</v>
      </c>
      <c r="M784" s="13" t="str">
        <f t="shared" si="25"/>
        <v>Bronze</v>
      </c>
      <c r="N784" s="13"/>
    </row>
    <row r="785" spans="1:14" x14ac:dyDescent="0.3">
      <c r="A785" s="3">
        <v>5186</v>
      </c>
      <c r="B785" s="3" t="s">
        <v>26</v>
      </c>
      <c r="C785" s="4">
        <v>45584</v>
      </c>
      <c r="D785" s="3" t="s">
        <v>27</v>
      </c>
      <c r="E785" s="3" t="s">
        <v>43</v>
      </c>
      <c r="F785" s="5">
        <v>5</v>
      </c>
      <c r="G785" s="6">
        <v>24.13</v>
      </c>
      <c r="H785" s="6">
        <v>120.65</v>
      </c>
      <c r="I785" s="6">
        <v>18.100000000000001</v>
      </c>
      <c r="J785" s="6">
        <v>102.55</v>
      </c>
      <c r="K785" s="5">
        <v>159</v>
      </c>
      <c r="L785" s="13" t="str">
        <f t="shared" si="24"/>
        <v>Discount Applied</v>
      </c>
      <c r="M785" s="13" t="str">
        <f t="shared" si="25"/>
        <v>Platinum</v>
      </c>
      <c r="N785" s="13"/>
    </row>
    <row r="786" spans="1:14" x14ac:dyDescent="0.3">
      <c r="A786" s="3">
        <v>6375</v>
      </c>
      <c r="B786" s="3" t="s">
        <v>14</v>
      </c>
      <c r="C786" s="4">
        <v>45199</v>
      </c>
      <c r="D786" s="3" t="s">
        <v>12</v>
      </c>
      <c r="E786" s="3" t="s">
        <v>47</v>
      </c>
      <c r="F786" s="5">
        <v>4</v>
      </c>
      <c r="G786" s="6">
        <v>15.86</v>
      </c>
      <c r="H786" s="6">
        <v>63.44</v>
      </c>
      <c r="I786" s="6">
        <v>6.34</v>
      </c>
      <c r="J786" s="6">
        <v>57.1</v>
      </c>
      <c r="K786" s="5">
        <v>240</v>
      </c>
      <c r="L786" s="13" t="str">
        <f t="shared" si="24"/>
        <v>Discount Applied</v>
      </c>
      <c r="M786" s="13" t="str">
        <f t="shared" si="25"/>
        <v>Gold</v>
      </c>
      <c r="N786" s="13"/>
    </row>
    <row r="787" spans="1:14" x14ac:dyDescent="0.3">
      <c r="A787" s="3">
        <v>1126</v>
      </c>
      <c r="B787" s="3" t="s">
        <v>36</v>
      </c>
      <c r="C787" s="4">
        <v>45720</v>
      </c>
      <c r="D787" s="3" t="s">
        <v>35</v>
      </c>
      <c r="E787" s="3" t="s">
        <v>37</v>
      </c>
      <c r="F787" s="5">
        <v>2</v>
      </c>
      <c r="G787" s="6">
        <v>2.0099999999999998</v>
      </c>
      <c r="H787" s="6">
        <v>4.0199999999999996</v>
      </c>
      <c r="I787" s="6">
        <v>0</v>
      </c>
      <c r="J787" s="6">
        <v>4.0199999999999996</v>
      </c>
      <c r="K787" s="5">
        <v>472</v>
      </c>
      <c r="L787" s="13" t="str">
        <f t="shared" si="24"/>
        <v>No Discount</v>
      </c>
      <c r="M787" s="13" t="str">
        <f t="shared" si="25"/>
        <v>Bronze</v>
      </c>
      <c r="N787" s="13"/>
    </row>
    <row r="788" spans="1:14" x14ac:dyDescent="0.3">
      <c r="A788" s="3">
        <v>8055</v>
      </c>
      <c r="B788" s="3" t="s">
        <v>30</v>
      </c>
      <c r="C788" s="4">
        <v>45216</v>
      </c>
      <c r="D788" s="3" t="s">
        <v>12</v>
      </c>
      <c r="E788" s="3" t="s">
        <v>47</v>
      </c>
      <c r="F788" s="5">
        <v>5</v>
      </c>
      <c r="G788" s="6">
        <v>5.89</v>
      </c>
      <c r="H788" s="6">
        <v>29.45</v>
      </c>
      <c r="I788" s="6">
        <v>0</v>
      </c>
      <c r="J788" s="6">
        <v>29.45</v>
      </c>
      <c r="K788" s="5">
        <v>26</v>
      </c>
      <c r="L788" s="13" t="str">
        <f t="shared" si="24"/>
        <v>No Discount</v>
      </c>
      <c r="M788" s="13" t="str">
        <f t="shared" si="25"/>
        <v>Silver</v>
      </c>
      <c r="N788" s="13"/>
    </row>
    <row r="789" spans="1:14" x14ac:dyDescent="0.3">
      <c r="A789" s="3">
        <v>3116</v>
      </c>
      <c r="B789" s="3" t="s">
        <v>31</v>
      </c>
      <c r="C789" s="4">
        <v>45312</v>
      </c>
      <c r="D789" s="3" t="s">
        <v>35</v>
      </c>
      <c r="E789" s="3" t="s">
        <v>47</v>
      </c>
      <c r="F789" s="5">
        <v>1</v>
      </c>
      <c r="G789" s="6">
        <v>4.67</v>
      </c>
      <c r="H789" s="6">
        <v>4.67</v>
      </c>
      <c r="I789" s="6">
        <v>0.7</v>
      </c>
      <c r="J789" s="6">
        <v>3.97</v>
      </c>
      <c r="K789" s="5">
        <v>39</v>
      </c>
      <c r="L789" s="13" t="str">
        <f t="shared" si="24"/>
        <v>Discount Applied</v>
      </c>
      <c r="M789" s="13" t="str">
        <f t="shared" si="25"/>
        <v>Bronze</v>
      </c>
      <c r="N789" s="13"/>
    </row>
    <row r="790" spans="1:14" x14ac:dyDescent="0.3">
      <c r="A790" s="3">
        <v>9725</v>
      </c>
      <c r="B790" s="3" t="s">
        <v>19</v>
      </c>
      <c r="C790" s="4">
        <v>45471</v>
      </c>
      <c r="D790" s="3" t="s">
        <v>28</v>
      </c>
      <c r="E790" s="3" t="s">
        <v>13</v>
      </c>
      <c r="F790" s="5">
        <v>3</v>
      </c>
      <c r="G790" s="6">
        <v>25.87</v>
      </c>
      <c r="H790" s="6">
        <v>77.61</v>
      </c>
      <c r="I790" s="6">
        <v>1.7</v>
      </c>
      <c r="J790" s="6">
        <v>75.91</v>
      </c>
      <c r="K790" s="5">
        <v>7</v>
      </c>
      <c r="L790" s="13" t="str">
        <f t="shared" si="24"/>
        <v>Discount Applied</v>
      </c>
      <c r="M790" s="13" t="str">
        <f t="shared" si="25"/>
        <v>Platinum</v>
      </c>
      <c r="N790" s="13"/>
    </row>
    <row r="791" spans="1:14" x14ac:dyDescent="0.3">
      <c r="A791" s="3">
        <v>6802</v>
      </c>
      <c r="B791" s="3" t="s">
        <v>19</v>
      </c>
      <c r="C791" s="4">
        <v>45409</v>
      </c>
      <c r="D791" s="3" t="s">
        <v>27</v>
      </c>
      <c r="E791" s="3" t="s">
        <v>33</v>
      </c>
      <c r="F791" s="5">
        <v>3</v>
      </c>
      <c r="G791" s="6">
        <v>24.42</v>
      </c>
      <c r="H791" s="6">
        <v>73.260000000000005</v>
      </c>
      <c r="I791" s="6">
        <v>7.33</v>
      </c>
      <c r="J791" s="6">
        <v>65.930000000000007</v>
      </c>
      <c r="K791" s="5">
        <v>133</v>
      </c>
      <c r="L791" s="13" t="str">
        <f t="shared" si="24"/>
        <v>Discount Applied</v>
      </c>
      <c r="M791" s="13" t="str">
        <f t="shared" si="25"/>
        <v>Gold</v>
      </c>
      <c r="N791" s="13"/>
    </row>
    <row r="792" spans="1:14" x14ac:dyDescent="0.3">
      <c r="A792" s="3">
        <v>7505</v>
      </c>
      <c r="B792" s="3" t="s">
        <v>19</v>
      </c>
      <c r="C792" s="4">
        <v>45432</v>
      </c>
      <c r="D792" s="3" t="s">
        <v>38</v>
      </c>
      <c r="E792" s="3" t="s">
        <v>40</v>
      </c>
      <c r="F792" s="5">
        <v>3</v>
      </c>
      <c r="G792" s="6">
        <v>29.53</v>
      </c>
      <c r="H792" s="6">
        <v>88.59</v>
      </c>
      <c r="I792" s="6">
        <v>4.74</v>
      </c>
      <c r="J792" s="6">
        <v>83.85</v>
      </c>
      <c r="K792" s="5">
        <v>495</v>
      </c>
      <c r="L792" s="13" t="str">
        <f t="shared" si="24"/>
        <v>Discount Applied</v>
      </c>
      <c r="M792" s="13" t="str">
        <f t="shared" si="25"/>
        <v>Platinum</v>
      </c>
      <c r="N792" s="13"/>
    </row>
    <row r="793" spans="1:14" x14ac:dyDescent="0.3">
      <c r="A793" s="3">
        <v>1693</v>
      </c>
      <c r="B793" s="3" t="s">
        <v>19</v>
      </c>
      <c r="C793" s="4">
        <v>45705</v>
      </c>
      <c r="D793" s="3" t="s">
        <v>45</v>
      </c>
      <c r="E793" s="3" t="s">
        <v>16</v>
      </c>
      <c r="F793" s="5">
        <v>4</v>
      </c>
      <c r="G793" s="6">
        <v>7.89</v>
      </c>
      <c r="H793" s="6">
        <v>31.56</v>
      </c>
      <c r="I793" s="6">
        <v>6.31</v>
      </c>
      <c r="J793" s="6">
        <v>25.25</v>
      </c>
      <c r="K793" s="5">
        <v>225</v>
      </c>
      <c r="L793" s="13" t="str">
        <f t="shared" si="24"/>
        <v>Discount Applied</v>
      </c>
      <c r="M793" s="13" t="str">
        <f t="shared" si="25"/>
        <v>Silver</v>
      </c>
      <c r="N793" s="13"/>
    </row>
    <row r="794" spans="1:14" x14ac:dyDescent="0.3">
      <c r="A794" s="3">
        <v>1307</v>
      </c>
      <c r="B794" s="3" t="s">
        <v>36</v>
      </c>
      <c r="C794" s="4">
        <v>45748</v>
      </c>
      <c r="D794" s="3" t="s">
        <v>12</v>
      </c>
      <c r="E794" s="3" t="s">
        <v>13</v>
      </c>
      <c r="F794" s="5">
        <v>1</v>
      </c>
      <c r="G794" s="6">
        <v>2.5099999999999998</v>
      </c>
      <c r="H794" s="6">
        <v>2.5099999999999998</v>
      </c>
      <c r="I794" s="6">
        <v>0.25</v>
      </c>
      <c r="J794" s="6">
        <v>2.2599999999999998</v>
      </c>
      <c r="K794" s="5">
        <v>237</v>
      </c>
      <c r="L794" s="13" t="str">
        <f t="shared" si="24"/>
        <v>Discount Applied</v>
      </c>
      <c r="M794" s="13" t="str">
        <f t="shared" si="25"/>
        <v>Bronze</v>
      </c>
      <c r="N794" s="13"/>
    </row>
    <row r="795" spans="1:14" x14ac:dyDescent="0.3">
      <c r="A795" s="3">
        <v>2275</v>
      </c>
      <c r="B795" s="3" t="s">
        <v>30</v>
      </c>
      <c r="C795" s="4">
        <v>45831</v>
      </c>
      <c r="D795" s="3" t="s">
        <v>45</v>
      </c>
      <c r="E795" s="3" t="s">
        <v>18</v>
      </c>
      <c r="F795" s="5">
        <v>2</v>
      </c>
      <c r="G795" s="6">
        <v>12</v>
      </c>
      <c r="H795" s="6">
        <v>24</v>
      </c>
      <c r="I795" s="6">
        <v>2.4</v>
      </c>
      <c r="J795" s="6">
        <v>21.6</v>
      </c>
      <c r="K795" s="5">
        <v>361</v>
      </c>
      <c r="L795" s="13" t="str">
        <f t="shared" si="24"/>
        <v>Discount Applied</v>
      </c>
      <c r="M795" s="13" t="str">
        <f t="shared" si="25"/>
        <v>Silver</v>
      </c>
      <c r="N795" s="13"/>
    </row>
    <row r="796" spans="1:14" x14ac:dyDescent="0.3">
      <c r="A796" s="3">
        <v>6129</v>
      </c>
      <c r="B796" s="3" t="s">
        <v>30</v>
      </c>
      <c r="C796" s="4">
        <v>45265</v>
      </c>
      <c r="D796" s="3" t="s">
        <v>34</v>
      </c>
      <c r="E796" s="3" t="s">
        <v>46</v>
      </c>
      <c r="F796" s="5">
        <v>4</v>
      </c>
      <c r="G796" s="6">
        <v>1.33</v>
      </c>
      <c r="H796" s="6">
        <v>5.32</v>
      </c>
      <c r="I796" s="6">
        <v>0.53</v>
      </c>
      <c r="J796" s="6">
        <v>4.79</v>
      </c>
      <c r="K796" s="5">
        <v>474</v>
      </c>
      <c r="L796" s="13" t="str">
        <f t="shared" si="24"/>
        <v>Discount Applied</v>
      </c>
      <c r="M796" s="13" t="str">
        <f t="shared" si="25"/>
        <v>Bronze</v>
      </c>
      <c r="N796" s="13"/>
    </row>
    <row r="797" spans="1:14" x14ac:dyDescent="0.3">
      <c r="A797" s="3">
        <v>8033</v>
      </c>
      <c r="B797" s="3" t="s">
        <v>36</v>
      </c>
      <c r="C797" s="4">
        <v>45730</v>
      </c>
      <c r="D797" s="3" t="s">
        <v>38</v>
      </c>
      <c r="E797" s="3" t="s">
        <v>40</v>
      </c>
      <c r="F797" s="5">
        <v>1</v>
      </c>
      <c r="G797" s="6">
        <v>27.6</v>
      </c>
      <c r="H797" s="6">
        <v>27.6</v>
      </c>
      <c r="I797" s="6">
        <v>2.76</v>
      </c>
      <c r="J797" s="6">
        <v>24.84</v>
      </c>
      <c r="K797" s="5">
        <v>326</v>
      </c>
      <c r="L797" s="13" t="str">
        <f t="shared" si="24"/>
        <v>Discount Applied</v>
      </c>
      <c r="M797" s="13" t="str">
        <f t="shared" si="25"/>
        <v>Silver</v>
      </c>
      <c r="N797" s="13"/>
    </row>
    <row r="798" spans="1:14" x14ac:dyDescent="0.3">
      <c r="A798" s="3">
        <v>7626</v>
      </c>
      <c r="B798" s="3" t="s">
        <v>30</v>
      </c>
      <c r="C798" s="4">
        <v>45668</v>
      </c>
      <c r="D798" s="3" t="s">
        <v>22</v>
      </c>
      <c r="E798" s="3" t="s">
        <v>13</v>
      </c>
      <c r="F798" s="5">
        <v>3</v>
      </c>
      <c r="G798" s="6">
        <v>24.26</v>
      </c>
      <c r="H798" s="6">
        <v>72.78</v>
      </c>
      <c r="I798" s="6">
        <v>7.28</v>
      </c>
      <c r="J798" s="6">
        <v>65.5</v>
      </c>
      <c r="K798" s="5">
        <v>130</v>
      </c>
      <c r="L798" s="13" t="str">
        <f t="shared" si="24"/>
        <v>Discount Applied</v>
      </c>
      <c r="M798" s="13" t="str">
        <f t="shared" si="25"/>
        <v>Gold</v>
      </c>
      <c r="N798" s="13"/>
    </row>
    <row r="799" spans="1:14" x14ac:dyDescent="0.3">
      <c r="A799" s="3">
        <v>7843</v>
      </c>
      <c r="B799" s="3" t="s">
        <v>42</v>
      </c>
      <c r="C799" s="4">
        <v>45356</v>
      </c>
      <c r="D799" s="3" t="s">
        <v>27</v>
      </c>
      <c r="E799" s="3" t="s">
        <v>44</v>
      </c>
      <c r="F799" s="5">
        <v>5</v>
      </c>
      <c r="G799" s="6">
        <v>10.77</v>
      </c>
      <c r="H799" s="6">
        <v>53.85</v>
      </c>
      <c r="I799" s="6">
        <v>8.08</v>
      </c>
      <c r="J799" s="6">
        <v>45.77</v>
      </c>
      <c r="K799" s="5">
        <v>353</v>
      </c>
      <c r="L799" s="13" t="str">
        <f t="shared" si="24"/>
        <v>Discount Applied</v>
      </c>
      <c r="M799" s="13" t="str">
        <f t="shared" si="25"/>
        <v>Silver</v>
      </c>
      <c r="N799" s="13"/>
    </row>
    <row r="800" spans="1:14" x14ac:dyDescent="0.3">
      <c r="A800" s="3">
        <v>2887</v>
      </c>
      <c r="B800" s="3" t="s">
        <v>14</v>
      </c>
      <c r="C800" s="4">
        <v>45659</v>
      </c>
      <c r="D800" s="3" t="s">
        <v>12</v>
      </c>
      <c r="E800" s="3" t="s">
        <v>39</v>
      </c>
      <c r="F800" s="5">
        <v>1</v>
      </c>
      <c r="G800" s="6">
        <v>1.34</v>
      </c>
      <c r="H800" s="6">
        <v>1.34</v>
      </c>
      <c r="I800" s="6">
        <v>0</v>
      </c>
      <c r="J800" s="6">
        <v>1.34</v>
      </c>
      <c r="K800" s="5">
        <v>50</v>
      </c>
      <c r="L800" s="13" t="str">
        <f t="shared" si="24"/>
        <v>No Discount</v>
      </c>
      <c r="M800" s="13" t="str">
        <f t="shared" si="25"/>
        <v>Bronze</v>
      </c>
      <c r="N800" s="13"/>
    </row>
    <row r="801" spans="1:14" x14ac:dyDescent="0.3">
      <c r="A801" s="3">
        <v>1341</v>
      </c>
      <c r="B801" s="3" t="s">
        <v>26</v>
      </c>
      <c r="C801" s="4">
        <v>45522</v>
      </c>
      <c r="D801" s="3" t="s">
        <v>22</v>
      </c>
      <c r="E801" s="3" t="s">
        <v>25</v>
      </c>
      <c r="F801" s="5">
        <v>3</v>
      </c>
      <c r="G801" s="6">
        <v>8.2899999999999991</v>
      </c>
      <c r="H801" s="6">
        <v>24.87</v>
      </c>
      <c r="I801" s="6">
        <v>1.37</v>
      </c>
      <c r="J801" s="6">
        <v>23.5</v>
      </c>
      <c r="K801" s="5">
        <v>17</v>
      </c>
      <c r="L801" s="13" t="str">
        <f t="shared" si="24"/>
        <v>Discount Applied</v>
      </c>
      <c r="M801" s="13" t="str">
        <f t="shared" si="25"/>
        <v>Silver</v>
      </c>
      <c r="N801" s="13"/>
    </row>
    <row r="802" spans="1:14" x14ac:dyDescent="0.3">
      <c r="A802" s="3">
        <v>3815</v>
      </c>
      <c r="B802" s="3" t="s">
        <v>42</v>
      </c>
      <c r="C802" s="4">
        <v>45466</v>
      </c>
      <c r="D802" s="3" t="s">
        <v>28</v>
      </c>
      <c r="E802" s="3" t="s">
        <v>48</v>
      </c>
      <c r="F802" s="5">
        <v>1</v>
      </c>
      <c r="G802" s="6">
        <v>3.5</v>
      </c>
      <c r="H802" s="6">
        <v>3.5</v>
      </c>
      <c r="I802" s="6">
        <v>0.35</v>
      </c>
      <c r="J802" s="6">
        <v>3.15</v>
      </c>
      <c r="K802" s="5">
        <v>309</v>
      </c>
      <c r="L802" s="13" t="str">
        <f t="shared" si="24"/>
        <v>Discount Applied</v>
      </c>
      <c r="M802" s="13" t="str">
        <f t="shared" si="25"/>
        <v>Bronze</v>
      </c>
      <c r="N802" s="13"/>
    </row>
    <row r="803" spans="1:14" x14ac:dyDescent="0.3">
      <c r="A803" s="3">
        <v>8538</v>
      </c>
      <c r="B803" s="3" t="s">
        <v>19</v>
      </c>
      <c r="C803" s="4">
        <v>45312</v>
      </c>
      <c r="D803" s="3" t="s">
        <v>15</v>
      </c>
      <c r="E803" s="3" t="s">
        <v>29</v>
      </c>
      <c r="F803" s="5">
        <v>3</v>
      </c>
      <c r="G803" s="6">
        <v>9.5299999999999994</v>
      </c>
      <c r="H803" s="6">
        <v>28.59</v>
      </c>
      <c r="I803" s="6">
        <v>0</v>
      </c>
      <c r="J803" s="6">
        <v>28.59</v>
      </c>
      <c r="K803" s="5">
        <v>338</v>
      </c>
      <c r="L803" s="13" t="str">
        <f t="shared" si="24"/>
        <v>No Discount</v>
      </c>
      <c r="M803" s="13" t="str">
        <f t="shared" si="25"/>
        <v>Silver</v>
      </c>
      <c r="N803" s="13"/>
    </row>
    <row r="804" spans="1:14" x14ac:dyDescent="0.3">
      <c r="A804" s="3">
        <v>6928</v>
      </c>
      <c r="B804" s="3" t="s">
        <v>26</v>
      </c>
      <c r="C804" s="4">
        <v>45233</v>
      </c>
      <c r="D804" s="3" t="s">
        <v>35</v>
      </c>
      <c r="E804" s="3" t="s">
        <v>16</v>
      </c>
      <c r="F804" s="5">
        <v>3</v>
      </c>
      <c r="G804" s="6">
        <v>8.4499999999999993</v>
      </c>
      <c r="H804" s="6">
        <v>25.35</v>
      </c>
      <c r="I804" s="6">
        <v>3.8</v>
      </c>
      <c r="J804" s="6">
        <v>21.55</v>
      </c>
      <c r="K804" s="5">
        <v>399</v>
      </c>
      <c r="L804" s="13" t="str">
        <f t="shared" si="24"/>
        <v>Discount Applied</v>
      </c>
      <c r="M804" s="13" t="str">
        <f t="shared" si="25"/>
        <v>Silver</v>
      </c>
      <c r="N804" s="13"/>
    </row>
    <row r="805" spans="1:14" x14ac:dyDescent="0.3">
      <c r="A805" s="3">
        <v>8155</v>
      </c>
      <c r="B805" s="3" t="s">
        <v>31</v>
      </c>
      <c r="C805" s="4">
        <v>45478</v>
      </c>
      <c r="D805" s="3" t="s">
        <v>20</v>
      </c>
      <c r="E805" s="3" t="s">
        <v>32</v>
      </c>
      <c r="F805" s="5">
        <v>3</v>
      </c>
      <c r="G805" s="6">
        <v>29.87</v>
      </c>
      <c r="H805" s="6">
        <v>89.61</v>
      </c>
      <c r="I805" s="6">
        <v>17.920000000000002</v>
      </c>
      <c r="J805" s="6">
        <v>71.69</v>
      </c>
      <c r="K805" s="5">
        <v>132</v>
      </c>
      <c r="L805" s="13" t="str">
        <f t="shared" si="24"/>
        <v>Discount Applied</v>
      </c>
      <c r="M805" s="13" t="str">
        <f t="shared" si="25"/>
        <v>Platinum</v>
      </c>
      <c r="N805" s="13"/>
    </row>
    <row r="806" spans="1:14" x14ac:dyDescent="0.3">
      <c r="A806" s="3">
        <v>2734</v>
      </c>
      <c r="B806" s="3" t="s">
        <v>26</v>
      </c>
      <c r="C806" s="4">
        <v>45365</v>
      </c>
      <c r="D806" s="3" t="s">
        <v>15</v>
      </c>
      <c r="E806" s="3" t="s">
        <v>47</v>
      </c>
      <c r="F806" s="5">
        <v>2</v>
      </c>
      <c r="G806" s="6">
        <v>18.690000000000001</v>
      </c>
      <c r="H806" s="6">
        <v>37.380000000000003</v>
      </c>
      <c r="I806" s="6">
        <v>1.58</v>
      </c>
      <c r="J806" s="6">
        <v>35.799999999999997</v>
      </c>
      <c r="K806" s="5">
        <v>91</v>
      </c>
      <c r="L806" s="13" t="str">
        <f t="shared" si="24"/>
        <v>Discount Applied</v>
      </c>
      <c r="M806" s="13" t="str">
        <f t="shared" si="25"/>
        <v>Silver</v>
      </c>
      <c r="N806" s="13"/>
    </row>
    <row r="807" spans="1:14" x14ac:dyDescent="0.3">
      <c r="A807" s="3">
        <v>8138</v>
      </c>
      <c r="B807" s="3" t="s">
        <v>24</v>
      </c>
      <c r="C807" s="4">
        <v>45554</v>
      </c>
      <c r="D807" s="3" t="s">
        <v>17</v>
      </c>
      <c r="E807" s="3" t="s">
        <v>48</v>
      </c>
      <c r="F807" s="5">
        <v>4</v>
      </c>
      <c r="G807" s="6">
        <v>21.74</v>
      </c>
      <c r="H807" s="6">
        <v>86.96</v>
      </c>
      <c r="I807" s="6">
        <v>1.28</v>
      </c>
      <c r="J807" s="6">
        <v>85.68</v>
      </c>
      <c r="K807" s="5">
        <v>52</v>
      </c>
      <c r="L807" s="13" t="str">
        <f t="shared" si="24"/>
        <v>Discount Applied</v>
      </c>
      <c r="M807" s="13" t="str">
        <f t="shared" si="25"/>
        <v>Platinum</v>
      </c>
      <c r="N807" s="13"/>
    </row>
    <row r="808" spans="1:14" x14ac:dyDescent="0.3">
      <c r="A808" s="3">
        <v>7560</v>
      </c>
      <c r="B808" s="3" t="s">
        <v>30</v>
      </c>
      <c r="C808" s="4">
        <v>45180</v>
      </c>
      <c r="D808" s="3" t="s">
        <v>45</v>
      </c>
      <c r="E808" s="3" t="s">
        <v>39</v>
      </c>
      <c r="F808" s="5">
        <v>4</v>
      </c>
      <c r="G808" s="6">
        <v>5.31</v>
      </c>
      <c r="H808" s="6">
        <v>21.24</v>
      </c>
      <c r="I808" s="6">
        <v>3.66</v>
      </c>
      <c r="J808" s="6">
        <v>17.579999999999998</v>
      </c>
      <c r="K808" s="5">
        <v>327</v>
      </c>
      <c r="L808" s="13" t="str">
        <f t="shared" si="24"/>
        <v>Discount Applied</v>
      </c>
      <c r="M808" s="13" t="str">
        <f t="shared" si="25"/>
        <v>Bronze</v>
      </c>
      <c r="N808" s="13"/>
    </row>
    <row r="809" spans="1:14" x14ac:dyDescent="0.3">
      <c r="A809" s="3">
        <v>2288</v>
      </c>
      <c r="B809" s="3" t="s">
        <v>30</v>
      </c>
      <c r="C809" s="4">
        <v>45452</v>
      </c>
      <c r="D809" s="3" t="s">
        <v>34</v>
      </c>
      <c r="E809" s="3" t="s">
        <v>21</v>
      </c>
      <c r="F809" s="5">
        <v>4</v>
      </c>
      <c r="G809" s="6">
        <v>17.649999999999999</v>
      </c>
      <c r="H809" s="6">
        <v>70.599999999999994</v>
      </c>
      <c r="I809" s="6">
        <v>7.06</v>
      </c>
      <c r="J809" s="6">
        <v>63.54</v>
      </c>
      <c r="K809" s="5">
        <v>263</v>
      </c>
      <c r="L809" s="13" t="str">
        <f t="shared" si="24"/>
        <v>Discount Applied</v>
      </c>
      <c r="M809" s="13" t="str">
        <f t="shared" si="25"/>
        <v>Gold</v>
      </c>
      <c r="N809" s="13"/>
    </row>
    <row r="810" spans="1:14" x14ac:dyDescent="0.3">
      <c r="A810" s="3">
        <v>6083</v>
      </c>
      <c r="B810" s="3" t="s">
        <v>24</v>
      </c>
      <c r="C810" s="4">
        <v>45150</v>
      </c>
      <c r="D810" s="3" t="s">
        <v>20</v>
      </c>
      <c r="E810" s="3" t="s">
        <v>43</v>
      </c>
      <c r="F810" s="5">
        <v>5</v>
      </c>
      <c r="G810" s="6">
        <v>7.54</v>
      </c>
      <c r="H810" s="6">
        <v>37.700000000000003</v>
      </c>
      <c r="I810" s="6">
        <v>3.27</v>
      </c>
      <c r="J810" s="6">
        <v>34.43</v>
      </c>
      <c r="K810" s="5">
        <v>196</v>
      </c>
      <c r="L810" s="13" t="str">
        <f t="shared" si="24"/>
        <v>Discount Applied</v>
      </c>
      <c r="M810" s="13" t="str">
        <f t="shared" si="25"/>
        <v>Silver</v>
      </c>
      <c r="N810" s="13"/>
    </row>
    <row r="811" spans="1:14" x14ac:dyDescent="0.3">
      <c r="A811" s="3">
        <v>6562</v>
      </c>
      <c r="B811" s="3" t="s">
        <v>36</v>
      </c>
      <c r="C811" s="4">
        <v>45379</v>
      </c>
      <c r="D811" s="3" t="s">
        <v>22</v>
      </c>
      <c r="E811" s="3" t="s">
        <v>37</v>
      </c>
      <c r="F811" s="5">
        <v>4</v>
      </c>
      <c r="G811" s="6">
        <v>2.59</v>
      </c>
      <c r="H811" s="6">
        <v>10.36</v>
      </c>
      <c r="I811" s="6">
        <v>1.55</v>
      </c>
      <c r="J811" s="6">
        <v>8.81</v>
      </c>
      <c r="K811" s="5">
        <v>490</v>
      </c>
      <c r="L811" s="13" t="str">
        <f t="shared" si="24"/>
        <v>Discount Applied</v>
      </c>
      <c r="M811" s="13" t="str">
        <f t="shared" si="25"/>
        <v>Bronze</v>
      </c>
      <c r="N811" s="13"/>
    </row>
    <row r="812" spans="1:14" x14ac:dyDescent="0.3">
      <c r="A812" s="3">
        <v>6456</v>
      </c>
      <c r="B812" s="3" t="s">
        <v>14</v>
      </c>
      <c r="C812" s="4">
        <v>45741</v>
      </c>
      <c r="D812" s="3" t="s">
        <v>22</v>
      </c>
      <c r="E812" s="3" t="s">
        <v>43</v>
      </c>
      <c r="F812" s="5">
        <v>4</v>
      </c>
      <c r="G812" s="6">
        <v>23.04</v>
      </c>
      <c r="H812" s="6">
        <v>92.16</v>
      </c>
      <c r="I812" s="6">
        <v>18.43</v>
      </c>
      <c r="J812" s="6">
        <v>73.73</v>
      </c>
      <c r="K812" s="5">
        <v>148</v>
      </c>
      <c r="L812" s="13" t="str">
        <f t="shared" si="24"/>
        <v>Discount Applied</v>
      </c>
      <c r="M812" s="13" t="str">
        <f t="shared" si="25"/>
        <v>Platinum</v>
      </c>
      <c r="N812" s="13"/>
    </row>
    <row r="813" spans="1:14" x14ac:dyDescent="0.3">
      <c r="A813" s="3">
        <v>3754</v>
      </c>
      <c r="B813" s="3" t="s">
        <v>14</v>
      </c>
      <c r="C813" s="4">
        <v>45738</v>
      </c>
      <c r="D813" s="3" t="s">
        <v>12</v>
      </c>
      <c r="E813" s="3" t="s">
        <v>32</v>
      </c>
      <c r="F813" s="5">
        <v>2</v>
      </c>
      <c r="G813" s="6">
        <v>9.66</v>
      </c>
      <c r="H813" s="6">
        <v>19.32</v>
      </c>
      <c r="I813" s="6">
        <v>0</v>
      </c>
      <c r="J813" s="6">
        <v>19.32</v>
      </c>
      <c r="K813" s="5">
        <v>199</v>
      </c>
      <c r="L813" s="13" t="str">
        <f t="shared" si="24"/>
        <v>No Discount</v>
      </c>
      <c r="M813" s="13" t="str">
        <f t="shared" si="25"/>
        <v>Bronze</v>
      </c>
      <c r="N813" s="13"/>
    </row>
    <row r="814" spans="1:14" x14ac:dyDescent="0.3">
      <c r="A814" s="3">
        <v>9363</v>
      </c>
      <c r="B814" s="3" t="s">
        <v>36</v>
      </c>
      <c r="C814" s="4">
        <v>45369</v>
      </c>
      <c r="D814" s="3" t="s">
        <v>45</v>
      </c>
      <c r="E814" s="3" t="s">
        <v>43</v>
      </c>
      <c r="F814" s="5">
        <v>4</v>
      </c>
      <c r="G814" s="6">
        <v>22.31</v>
      </c>
      <c r="H814" s="6">
        <v>89.24</v>
      </c>
      <c r="I814" s="6">
        <v>17.850000000000001</v>
      </c>
      <c r="J814" s="6">
        <v>71.39</v>
      </c>
      <c r="K814" s="5">
        <v>71</v>
      </c>
      <c r="L814" s="13" t="str">
        <f t="shared" si="24"/>
        <v>Discount Applied</v>
      </c>
      <c r="M814" s="13" t="str">
        <f t="shared" si="25"/>
        <v>Platinum</v>
      </c>
      <c r="N814" s="13"/>
    </row>
    <row r="815" spans="1:14" x14ac:dyDescent="0.3">
      <c r="A815" s="3">
        <v>2868</v>
      </c>
      <c r="B815" s="3" t="s">
        <v>31</v>
      </c>
      <c r="C815" s="4">
        <v>45238</v>
      </c>
      <c r="D815" s="3" t="s">
        <v>28</v>
      </c>
      <c r="E815" s="3" t="s">
        <v>25</v>
      </c>
      <c r="F815" s="5">
        <v>4</v>
      </c>
      <c r="G815" s="6">
        <v>12.26</v>
      </c>
      <c r="H815" s="6">
        <v>49.04</v>
      </c>
      <c r="I815" s="6">
        <v>4.9000000000000004</v>
      </c>
      <c r="J815" s="6">
        <v>44.14</v>
      </c>
      <c r="K815" s="5">
        <v>405</v>
      </c>
      <c r="L815" s="13" t="str">
        <f t="shared" si="24"/>
        <v>Discount Applied</v>
      </c>
      <c r="M815" s="13" t="str">
        <f t="shared" si="25"/>
        <v>Silver</v>
      </c>
      <c r="N815" s="13"/>
    </row>
    <row r="816" spans="1:14" x14ac:dyDescent="0.3">
      <c r="A816" s="3">
        <v>9355</v>
      </c>
      <c r="B816" s="3" t="s">
        <v>14</v>
      </c>
      <c r="C816" s="4">
        <v>45531</v>
      </c>
      <c r="D816" s="3" t="s">
        <v>45</v>
      </c>
      <c r="E816" s="3" t="s">
        <v>39</v>
      </c>
      <c r="F816" s="5">
        <v>1</v>
      </c>
      <c r="G816" s="6">
        <v>10.83</v>
      </c>
      <c r="H816" s="6">
        <v>10.83</v>
      </c>
      <c r="I816" s="6">
        <v>1.08</v>
      </c>
      <c r="J816" s="6">
        <v>9.75</v>
      </c>
      <c r="K816" s="5">
        <v>172</v>
      </c>
      <c r="L816" s="13" t="str">
        <f t="shared" si="24"/>
        <v>Discount Applied</v>
      </c>
      <c r="M816" s="13" t="str">
        <f t="shared" si="25"/>
        <v>Bronze</v>
      </c>
      <c r="N816" s="13"/>
    </row>
    <row r="817" spans="1:14" x14ac:dyDescent="0.3">
      <c r="A817" s="3">
        <v>6724</v>
      </c>
      <c r="B817" s="3" t="s">
        <v>11</v>
      </c>
      <c r="C817" s="4">
        <v>45281</v>
      </c>
      <c r="D817" s="3" t="s">
        <v>17</v>
      </c>
      <c r="E817" s="3" t="s">
        <v>46</v>
      </c>
      <c r="F817" s="5">
        <v>4</v>
      </c>
      <c r="G817" s="6">
        <v>28.25</v>
      </c>
      <c r="H817" s="6">
        <v>113</v>
      </c>
      <c r="I817" s="6">
        <v>0</v>
      </c>
      <c r="J817" s="6">
        <v>113</v>
      </c>
      <c r="K817" s="5">
        <v>445</v>
      </c>
      <c r="L817" s="13" t="str">
        <f t="shared" si="24"/>
        <v>No Discount</v>
      </c>
      <c r="M817" s="13" t="str">
        <f t="shared" si="25"/>
        <v>Platinum</v>
      </c>
      <c r="N817" s="13"/>
    </row>
    <row r="818" spans="1:14" x14ac:dyDescent="0.3">
      <c r="A818" s="3">
        <v>3419</v>
      </c>
      <c r="B818" s="3" t="s">
        <v>42</v>
      </c>
      <c r="C818" s="4">
        <v>45440</v>
      </c>
      <c r="D818" s="3" t="s">
        <v>15</v>
      </c>
      <c r="E818" s="3" t="s">
        <v>40</v>
      </c>
      <c r="F818" s="5">
        <v>2</v>
      </c>
      <c r="G818" s="6">
        <v>15.17</v>
      </c>
      <c r="H818" s="6">
        <v>30.34</v>
      </c>
      <c r="I818" s="6">
        <v>1.18</v>
      </c>
      <c r="J818" s="6">
        <v>29.16</v>
      </c>
      <c r="K818" s="5">
        <v>9</v>
      </c>
      <c r="L818" s="13" t="str">
        <f t="shared" si="24"/>
        <v>Discount Applied</v>
      </c>
      <c r="M818" s="13" t="str">
        <f t="shared" si="25"/>
        <v>Silver</v>
      </c>
      <c r="N818" s="13"/>
    </row>
    <row r="819" spans="1:14" x14ac:dyDescent="0.3">
      <c r="A819" s="3">
        <v>5193</v>
      </c>
      <c r="B819" s="3" t="s">
        <v>19</v>
      </c>
      <c r="C819" s="4">
        <v>45691</v>
      </c>
      <c r="D819" s="3" t="s">
        <v>12</v>
      </c>
      <c r="E819" s="3" t="s">
        <v>29</v>
      </c>
      <c r="F819" s="5">
        <v>1</v>
      </c>
      <c r="G819" s="6">
        <v>27.23</v>
      </c>
      <c r="H819" s="6">
        <v>27.23</v>
      </c>
      <c r="I819" s="6">
        <v>2.72</v>
      </c>
      <c r="J819" s="6">
        <v>24.51</v>
      </c>
      <c r="K819" s="5">
        <v>420</v>
      </c>
      <c r="L819" s="13" t="str">
        <f t="shared" si="24"/>
        <v>Discount Applied</v>
      </c>
      <c r="M819" s="13" t="str">
        <f t="shared" si="25"/>
        <v>Silver</v>
      </c>
      <c r="N819" s="13"/>
    </row>
    <row r="820" spans="1:14" x14ac:dyDescent="0.3">
      <c r="A820" s="3">
        <v>3842</v>
      </c>
      <c r="B820" s="3" t="s">
        <v>19</v>
      </c>
      <c r="C820" s="4">
        <v>45533</v>
      </c>
      <c r="D820" s="3" t="s">
        <v>28</v>
      </c>
      <c r="E820" s="3" t="s">
        <v>43</v>
      </c>
      <c r="F820" s="5">
        <v>1</v>
      </c>
      <c r="G820" s="6">
        <v>4.3</v>
      </c>
      <c r="H820" s="6">
        <v>4.3</v>
      </c>
      <c r="I820" s="6">
        <v>4.22</v>
      </c>
      <c r="J820" s="6">
        <v>0.08</v>
      </c>
      <c r="K820" s="5">
        <v>304</v>
      </c>
      <c r="L820" s="13" t="str">
        <f t="shared" si="24"/>
        <v>Discount Applied</v>
      </c>
      <c r="M820" s="13" t="str">
        <f t="shared" si="25"/>
        <v>Bronze</v>
      </c>
      <c r="N820" s="13"/>
    </row>
    <row r="821" spans="1:14" x14ac:dyDescent="0.3">
      <c r="A821" s="3">
        <v>3504</v>
      </c>
      <c r="B821" s="3" t="s">
        <v>24</v>
      </c>
      <c r="C821" s="4">
        <v>45200</v>
      </c>
      <c r="D821" s="3" t="s">
        <v>22</v>
      </c>
      <c r="E821" s="3" t="s">
        <v>32</v>
      </c>
      <c r="F821" s="5">
        <v>3</v>
      </c>
      <c r="G821" s="6">
        <v>4.49</v>
      </c>
      <c r="H821" s="6">
        <v>13.47</v>
      </c>
      <c r="I821" s="6">
        <v>2.02</v>
      </c>
      <c r="J821" s="6">
        <v>11.45</v>
      </c>
      <c r="K821" s="5">
        <v>350</v>
      </c>
      <c r="L821" s="13" t="str">
        <f t="shared" si="24"/>
        <v>Discount Applied</v>
      </c>
      <c r="M821" s="13" t="str">
        <f t="shared" si="25"/>
        <v>Bronze</v>
      </c>
      <c r="N821" s="13"/>
    </row>
    <row r="822" spans="1:14" x14ac:dyDescent="0.3">
      <c r="A822" s="3">
        <v>2234</v>
      </c>
      <c r="B822" s="3" t="s">
        <v>42</v>
      </c>
      <c r="C822" s="4">
        <v>45814</v>
      </c>
      <c r="D822" s="3" t="s">
        <v>12</v>
      </c>
      <c r="E822" s="3" t="s">
        <v>29</v>
      </c>
      <c r="F822" s="5">
        <v>3</v>
      </c>
      <c r="G822" s="6">
        <v>2.82</v>
      </c>
      <c r="H822" s="6">
        <v>8.4600000000000009</v>
      </c>
      <c r="I822" s="6">
        <v>0.85</v>
      </c>
      <c r="J822" s="6">
        <v>7.61</v>
      </c>
      <c r="K822" s="5">
        <v>140</v>
      </c>
      <c r="L822" s="13" t="str">
        <f t="shared" si="24"/>
        <v>Discount Applied</v>
      </c>
      <c r="M822" s="13" t="str">
        <f t="shared" si="25"/>
        <v>Bronze</v>
      </c>
      <c r="N822" s="13"/>
    </row>
    <row r="823" spans="1:14" x14ac:dyDescent="0.3">
      <c r="A823" s="3">
        <v>9095</v>
      </c>
      <c r="B823" s="3" t="s">
        <v>19</v>
      </c>
      <c r="C823" s="4">
        <v>45483</v>
      </c>
      <c r="D823" s="3" t="s">
        <v>22</v>
      </c>
      <c r="E823" s="3" t="s">
        <v>18</v>
      </c>
      <c r="F823" s="5">
        <v>2</v>
      </c>
      <c r="G823" s="6">
        <v>13.71</v>
      </c>
      <c r="H823" s="6">
        <v>27.42</v>
      </c>
      <c r="I823" s="6">
        <v>5.48</v>
      </c>
      <c r="J823" s="6">
        <v>21.94</v>
      </c>
      <c r="K823" s="5">
        <v>473</v>
      </c>
      <c r="L823" s="13" t="str">
        <f t="shared" si="24"/>
        <v>Discount Applied</v>
      </c>
      <c r="M823" s="13" t="str">
        <f t="shared" si="25"/>
        <v>Silver</v>
      </c>
      <c r="N823" s="13"/>
    </row>
    <row r="824" spans="1:14" x14ac:dyDescent="0.3">
      <c r="A824" s="3">
        <v>8354</v>
      </c>
      <c r="B824" s="3" t="s">
        <v>11</v>
      </c>
      <c r="C824" s="4">
        <v>45502</v>
      </c>
      <c r="D824" s="3" t="s">
        <v>27</v>
      </c>
      <c r="E824" s="3" t="s">
        <v>32</v>
      </c>
      <c r="F824" s="5">
        <v>2</v>
      </c>
      <c r="G824" s="6">
        <v>1.44</v>
      </c>
      <c r="H824" s="6">
        <v>2.88</v>
      </c>
      <c r="I824" s="6">
        <v>1.03</v>
      </c>
      <c r="J824" s="6">
        <v>1.85</v>
      </c>
      <c r="K824" s="5">
        <v>249</v>
      </c>
      <c r="L824" s="13" t="str">
        <f t="shared" si="24"/>
        <v>Discount Applied</v>
      </c>
      <c r="M824" s="13" t="str">
        <f t="shared" si="25"/>
        <v>Bronze</v>
      </c>
      <c r="N824" s="13"/>
    </row>
    <row r="825" spans="1:14" x14ac:dyDescent="0.3">
      <c r="A825" s="3">
        <v>6295</v>
      </c>
      <c r="B825" s="3" t="s">
        <v>11</v>
      </c>
      <c r="C825" s="4">
        <v>45814</v>
      </c>
      <c r="D825" s="3" t="s">
        <v>27</v>
      </c>
      <c r="E825" s="3" t="s">
        <v>37</v>
      </c>
      <c r="F825" s="5">
        <v>4</v>
      </c>
      <c r="G825" s="6">
        <v>21.1</v>
      </c>
      <c r="H825" s="6">
        <v>84.4</v>
      </c>
      <c r="I825" s="6">
        <v>0</v>
      </c>
      <c r="J825" s="6">
        <v>84.4</v>
      </c>
      <c r="K825" s="5">
        <v>405</v>
      </c>
      <c r="L825" s="13" t="str">
        <f t="shared" si="24"/>
        <v>No Discount</v>
      </c>
      <c r="M825" s="13" t="str">
        <f t="shared" si="25"/>
        <v>Platinum</v>
      </c>
      <c r="N825" s="13"/>
    </row>
    <row r="826" spans="1:14" x14ac:dyDescent="0.3">
      <c r="A826" s="3">
        <v>6179</v>
      </c>
      <c r="B826" s="3" t="s">
        <v>19</v>
      </c>
      <c r="C826" s="4">
        <v>45592</v>
      </c>
      <c r="D826" s="3" t="s">
        <v>17</v>
      </c>
      <c r="E826" s="3" t="s">
        <v>41</v>
      </c>
      <c r="F826" s="5">
        <v>3</v>
      </c>
      <c r="G826" s="6">
        <v>16.16</v>
      </c>
      <c r="H826" s="6">
        <v>48.48</v>
      </c>
      <c r="I826" s="6">
        <v>9.6999999999999993</v>
      </c>
      <c r="J826" s="6">
        <v>38.78</v>
      </c>
      <c r="K826" s="5">
        <v>210</v>
      </c>
      <c r="L826" s="13" t="str">
        <f t="shared" si="24"/>
        <v>Discount Applied</v>
      </c>
      <c r="M826" s="13" t="str">
        <f t="shared" si="25"/>
        <v>Silver</v>
      </c>
      <c r="N826" s="13"/>
    </row>
    <row r="827" spans="1:14" x14ac:dyDescent="0.3">
      <c r="A827" s="3">
        <v>8205</v>
      </c>
      <c r="B827" s="3" t="s">
        <v>31</v>
      </c>
      <c r="C827" s="4">
        <v>45590</v>
      </c>
      <c r="D827" s="3" t="s">
        <v>28</v>
      </c>
      <c r="E827" s="3" t="s">
        <v>29</v>
      </c>
      <c r="F827" s="5">
        <v>4</v>
      </c>
      <c r="G827" s="6">
        <v>18.739999999999998</v>
      </c>
      <c r="H827" s="6">
        <v>74.959999999999994</v>
      </c>
      <c r="I827" s="6">
        <v>11.24</v>
      </c>
      <c r="J827" s="6">
        <v>63.72</v>
      </c>
      <c r="K827" s="5">
        <v>45</v>
      </c>
      <c r="L827" s="13" t="str">
        <f t="shared" si="24"/>
        <v>Discount Applied</v>
      </c>
      <c r="M827" s="13" t="str">
        <f t="shared" si="25"/>
        <v>Gold</v>
      </c>
      <c r="N827" s="13"/>
    </row>
    <row r="828" spans="1:14" x14ac:dyDescent="0.3">
      <c r="A828" s="3">
        <v>8682</v>
      </c>
      <c r="B828" s="3" t="s">
        <v>24</v>
      </c>
      <c r="C828" s="4">
        <v>45696</v>
      </c>
      <c r="D828" s="3" t="s">
        <v>12</v>
      </c>
      <c r="E828" s="3" t="s">
        <v>18</v>
      </c>
      <c r="F828" s="5">
        <v>2</v>
      </c>
      <c r="G828" s="6">
        <v>6.56</v>
      </c>
      <c r="H828" s="6">
        <v>13.12</v>
      </c>
      <c r="I828" s="6">
        <v>2.4500000000000002</v>
      </c>
      <c r="J828" s="6">
        <v>10.67</v>
      </c>
      <c r="K828" s="5">
        <v>271</v>
      </c>
      <c r="L828" s="13" t="str">
        <f t="shared" si="24"/>
        <v>Discount Applied</v>
      </c>
      <c r="M828" s="13" t="str">
        <f t="shared" si="25"/>
        <v>Bronze</v>
      </c>
      <c r="N828" s="13"/>
    </row>
    <row r="829" spans="1:14" x14ac:dyDescent="0.3">
      <c r="A829" s="3">
        <v>5961</v>
      </c>
      <c r="B829" s="3" t="s">
        <v>14</v>
      </c>
      <c r="C829" s="4">
        <v>45369</v>
      </c>
      <c r="D829" s="3" t="s">
        <v>38</v>
      </c>
      <c r="E829" s="3" t="s">
        <v>25</v>
      </c>
      <c r="F829" s="5">
        <v>4</v>
      </c>
      <c r="G829" s="6">
        <v>23.33</v>
      </c>
      <c r="H829" s="6">
        <v>93.32</v>
      </c>
      <c r="I829" s="6">
        <v>14</v>
      </c>
      <c r="J829" s="6">
        <v>79.319999999999993</v>
      </c>
      <c r="K829" s="5">
        <v>337</v>
      </c>
      <c r="L829" s="13" t="str">
        <f t="shared" si="24"/>
        <v>Discount Applied</v>
      </c>
      <c r="M829" s="13" t="str">
        <f t="shared" si="25"/>
        <v>Platinum</v>
      </c>
      <c r="N829" s="13"/>
    </row>
    <row r="830" spans="1:14" x14ac:dyDescent="0.3">
      <c r="A830" s="3">
        <v>5500</v>
      </c>
      <c r="B830" s="3" t="s">
        <v>31</v>
      </c>
      <c r="C830" s="4">
        <v>45459</v>
      </c>
      <c r="D830" s="3" t="s">
        <v>17</v>
      </c>
      <c r="E830" s="3" t="s">
        <v>48</v>
      </c>
      <c r="F830" s="5">
        <v>2</v>
      </c>
      <c r="G830" s="6">
        <v>20.86</v>
      </c>
      <c r="H830" s="6">
        <v>41.72</v>
      </c>
      <c r="I830" s="6">
        <v>4.17</v>
      </c>
      <c r="J830" s="6">
        <v>37.549999999999997</v>
      </c>
      <c r="K830" s="5">
        <v>495</v>
      </c>
      <c r="L830" s="13" t="str">
        <f t="shared" si="24"/>
        <v>Discount Applied</v>
      </c>
      <c r="M830" s="13" t="str">
        <f t="shared" si="25"/>
        <v>Silver</v>
      </c>
      <c r="N830" s="13"/>
    </row>
    <row r="831" spans="1:14" x14ac:dyDescent="0.3">
      <c r="A831" s="3">
        <v>1920</v>
      </c>
      <c r="B831" s="3" t="s">
        <v>19</v>
      </c>
      <c r="C831" s="4">
        <v>45397</v>
      </c>
      <c r="D831" s="3" t="s">
        <v>34</v>
      </c>
      <c r="E831" s="3" t="s">
        <v>40</v>
      </c>
      <c r="F831" s="5">
        <v>1</v>
      </c>
      <c r="G831" s="6">
        <v>19.690000000000001</v>
      </c>
      <c r="H831" s="6">
        <v>19.690000000000001</v>
      </c>
      <c r="I831" s="6">
        <v>1.97</v>
      </c>
      <c r="J831" s="6">
        <v>17.72</v>
      </c>
      <c r="K831" s="5">
        <v>145</v>
      </c>
      <c r="L831" s="13" t="str">
        <f t="shared" si="24"/>
        <v>Discount Applied</v>
      </c>
      <c r="M831" s="13" t="str">
        <f t="shared" si="25"/>
        <v>Bronze</v>
      </c>
      <c r="N831" s="13"/>
    </row>
    <row r="832" spans="1:14" x14ac:dyDescent="0.3">
      <c r="A832" s="3">
        <v>9312</v>
      </c>
      <c r="B832" s="3" t="s">
        <v>30</v>
      </c>
      <c r="C832" s="4">
        <v>45767</v>
      </c>
      <c r="D832" s="3" t="s">
        <v>22</v>
      </c>
      <c r="E832" s="3" t="s">
        <v>33</v>
      </c>
      <c r="F832" s="5">
        <v>1</v>
      </c>
      <c r="G832" s="6">
        <v>4.0199999999999996</v>
      </c>
      <c r="H832" s="6">
        <v>4.0199999999999996</v>
      </c>
      <c r="I832" s="6">
        <v>0.8</v>
      </c>
      <c r="J832" s="6">
        <v>3.22</v>
      </c>
      <c r="K832" s="5">
        <v>26</v>
      </c>
      <c r="L832" s="13" t="str">
        <f t="shared" si="24"/>
        <v>Discount Applied</v>
      </c>
      <c r="M832" s="13" t="str">
        <f t="shared" si="25"/>
        <v>Bronze</v>
      </c>
      <c r="N832" s="13"/>
    </row>
    <row r="833" spans="1:14" x14ac:dyDescent="0.3">
      <c r="A833" s="3">
        <v>8404</v>
      </c>
      <c r="B833" s="3" t="s">
        <v>31</v>
      </c>
      <c r="C833" s="4">
        <v>45791</v>
      </c>
      <c r="D833" s="3" t="s">
        <v>45</v>
      </c>
      <c r="E833" s="3" t="s">
        <v>46</v>
      </c>
      <c r="F833" s="5">
        <v>1</v>
      </c>
      <c r="G833" s="6">
        <v>3.04</v>
      </c>
      <c r="H833" s="6">
        <v>3.04</v>
      </c>
      <c r="I833" s="6">
        <v>3.32</v>
      </c>
      <c r="J833" s="6">
        <v>-0.28000000000000003</v>
      </c>
      <c r="K833" s="5">
        <v>120</v>
      </c>
      <c r="L833" s="13" t="str">
        <f t="shared" si="24"/>
        <v>Discount Applied</v>
      </c>
      <c r="M833" s="13" t="str">
        <f t="shared" si="25"/>
        <v>Bronze</v>
      </c>
      <c r="N833" s="13"/>
    </row>
    <row r="834" spans="1:14" x14ac:dyDescent="0.3">
      <c r="A834" s="3">
        <v>1932</v>
      </c>
      <c r="B834" s="3" t="s">
        <v>24</v>
      </c>
      <c r="C834" s="4">
        <v>45213</v>
      </c>
      <c r="D834" s="3" t="s">
        <v>17</v>
      </c>
      <c r="E834" s="3" t="s">
        <v>21</v>
      </c>
      <c r="F834" s="5">
        <v>2</v>
      </c>
      <c r="G834" s="6">
        <v>23.58</v>
      </c>
      <c r="H834" s="6">
        <v>47.16</v>
      </c>
      <c r="I834" s="6">
        <v>1.95</v>
      </c>
      <c r="J834" s="6">
        <v>45.21</v>
      </c>
      <c r="K834" s="5">
        <v>166</v>
      </c>
      <c r="L834" s="13" t="str">
        <f t="shared" si="24"/>
        <v>Discount Applied</v>
      </c>
      <c r="M834" s="13" t="str">
        <f t="shared" si="25"/>
        <v>Silver</v>
      </c>
      <c r="N834" s="13"/>
    </row>
    <row r="835" spans="1:14" x14ac:dyDescent="0.3">
      <c r="A835" s="3">
        <v>5703</v>
      </c>
      <c r="B835" s="3" t="s">
        <v>24</v>
      </c>
      <c r="C835" s="4">
        <v>45800</v>
      </c>
      <c r="D835" s="3" t="s">
        <v>17</v>
      </c>
      <c r="E835" s="3" t="s">
        <v>32</v>
      </c>
      <c r="F835" s="5">
        <v>2</v>
      </c>
      <c r="G835" s="6">
        <v>3.12</v>
      </c>
      <c r="H835" s="6">
        <v>6.24</v>
      </c>
      <c r="I835" s="6">
        <v>4.5599999999999996</v>
      </c>
      <c r="J835" s="6">
        <v>1.68</v>
      </c>
      <c r="K835" s="5">
        <v>299</v>
      </c>
      <c r="L835" s="13" t="str">
        <f t="shared" ref="L835:L898" si="26">IF(I835&gt;0,"Discount Applied","No Discount")</f>
        <v>Discount Applied</v>
      </c>
      <c r="M835" s="13" t="str">
        <f t="shared" ref="M835:M898" si="27">IF(J835 &gt;= 70, "Platinum",
   IF(J835 &gt;= 50, "Gold",
      IF(J835 &gt;= 20, "Silver", "Bronze")))</f>
        <v>Bronze</v>
      </c>
      <c r="N835" s="13"/>
    </row>
    <row r="836" spans="1:14" x14ac:dyDescent="0.3">
      <c r="A836" s="3">
        <v>2479</v>
      </c>
      <c r="B836" s="3" t="s">
        <v>19</v>
      </c>
      <c r="C836" s="4">
        <v>45333</v>
      </c>
      <c r="D836" s="3" t="s">
        <v>17</v>
      </c>
      <c r="E836" s="3" t="s">
        <v>33</v>
      </c>
      <c r="F836" s="5">
        <v>2</v>
      </c>
      <c r="G836" s="6">
        <v>12.22</v>
      </c>
      <c r="H836" s="6">
        <v>24.44</v>
      </c>
      <c r="I836" s="6">
        <v>0</v>
      </c>
      <c r="J836" s="6">
        <v>24.44</v>
      </c>
      <c r="K836" s="5">
        <v>69</v>
      </c>
      <c r="L836" s="13" t="str">
        <f t="shared" si="26"/>
        <v>No Discount</v>
      </c>
      <c r="M836" s="13" t="str">
        <f t="shared" si="27"/>
        <v>Silver</v>
      </c>
      <c r="N836" s="13"/>
    </row>
    <row r="837" spans="1:14" x14ac:dyDescent="0.3">
      <c r="A837" s="3">
        <v>9307</v>
      </c>
      <c r="B837" s="3" t="s">
        <v>42</v>
      </c>
      <c r="C837" s="4">
        <v>45602</v>
      </c>
      <c r="D837" s="3" t="s">
        <v>27</v>
      </c>
      <c r="E837" s="3" t="s">
        <v>23</v>
      </c>
      <c r="F837" s="5">
        <v>3</v>
      </c>
      <c r="G837" s="6">
        <v>6.85</v>
      </c>
      <c r="H837" s="6">
        <v>20.55</v>
      </c>
      <c r="I837" s="6">
        <v>0</v>
      </c>
      <c r="J837" s="6">
        <v>20.55</v>
      </c>
      <c r="K837" s="5">
        <v>65</v>
      </c>
      <c r="L837" s="13" t="str">
        <f t="shared" si="26"/>
        <v>No Discount</v>
      </c>
      <c r="M837" s="13" t="str">
        <f t="shared" si="27"/>
        <v>Silver</v>
      </c>
      <c r="N837" s="13"/>
    </row>
    <row r="838" spans="1:14" x14ac:dyDescent="0.3">
      <c r="A838" s="3">
        <v>8581</v>
      </c>
      <c r="B838" s="3" t="s">
        <v>31</v>
      </c>
      <c r="C838" s="4">
        <v>45551</v>
      </c>
      <c r="D838" s="3" t="s">
        <v>35</v>
      </c>
      <c r="E838" s="3" t="s">
        <v>41</v>
      </c>
      <c r="F838" s="5">
        <v>1</v>
      </c>
      <c r="G838" s="6">
        <v>25.69</v>
      </c>
      <c r="H838" s="6">
        <v>25.69</v>
      </c>
      <c r="I838" s="6">
        <v>5.14</v>
      </c>
      <c r="J838" s="6">
        <v>20.55</v>
      </c>
      <c r="K838" s="5">
        <v>234</v>
      </c>
      <c r="L838" s="13" t="str">
        <f t="shared" si="26"/>
        <v>Discount Applied</v>
      </c>
      <c r="M838" s="13" t="str">
        <f t="shared" si="27"/>
        <v>Silver</v>
      </c>
      <c r="N838" s="13"/>
    </row>
    <row r="839" spans="1:14" x14ac:dyDescent="0.3">
      <c r="A839" s="3">
        <v>4084</v>
      </c>
      <c r="B839" s="3" t="s">
        <v>36</v>
      </c>
      <c r="C839" s="4">
        <v>45452</v>
      </c>
      <c r="D839" s="3" t="s">
        <v>17</v>
      </c>
      <c r="E839" s="3" t="s">
        <v>37</v>
      </c>
      <c r="F839" s="5">
        <v>5</v>
      </c>
      <c r="G839" s="6">
        <v>5.54</v>
      </c>
      <c r="H839" s="6">
        <v>27.7</v>
      </c>
      <c r="I839" s="6">
        <v>4.88</v>
      </c>
      <c r="J839" s="6">
        <v>22.82</v>
      </c>
      <c r="K839" s="5">
        <v>406</v>
      </c>
      <c r="L839" s="13" t="str">
        <f t="shared" si="26"/>
        <v>Discount Applied</v>
      </c>
      <c r="M839" s="13" t="str">
        <f t="shared" si="27"/>
        <v>Silver</v>
      </c>
      <c r="N839" s="13"/>
    </row>
    <row r="840" spans="1:14" x14ac:dyDescent="0.3">
      <c r="A840" s="3">
        <v>8792</v>
      </c>
      <c r="B840" s="3" t="s">
        <v>42</v>
      </c>
      <c r="C840" s="4">
        <v>45724</v>
      </c>
      <c r="D840" s="3" t="s">
        <v>15</v>
      </c>
      <c r="E840" s="3" t="s">
        <v>16</v>
      </c>
      <c r="F840" s="5">
        <v>5</v>
      </c>
      <c r="G840" s="6">
        <v>15.18</v>
      </c>
      <c r="H840" s="6">
        <v>75.900000000000006</v>
      </c>
      <c r="I840" s="6">
        <v>7.59</v>
      </c>
      <c r="J840" s="6">
        <v>68.31</v>
      </c>
      <c r="K840" s="5">
        <v>110</v>
      </c>
      <c r="L840" s="13" t="str">
        <f t="shared" si="26"/>
        <v>Discount Applied</v>
      </c>
      <c r="M840" s="13" t="str">
        <f t="shared" si="27"/>
        <v>Gold</v>
      </c>
      <c r="N840" s="13"/>
    </row>
    <row r="841" spans="1:14" x14ac:dyDescent="0.3">
      <c r="A841" s="3">
        <v>3471</v>
      </c>
      <c r="B841" s="3" t="s">
        <v>30</v>
      </c>
      <c r="C841" s="4">
        <v>45317</v>
      </c>
      <c r="D841" s="3" t="s">
        <v>12</v>
      </c>
      <c r="E841" s="3" t="s">
        <v>16</v>
      </c>
      <c r="F841" s="5">
        <v>2</v>
      </c>
      <c r="G841" s="6">
        <v>8.18</v>
      </c>
      <c r="H841" s="6">
        <v>16.36</v>
      </c>
      <c r="I841" s="6">
        <v>4.79</v>
      </c>
      <c r="J841" s="6">
        <v>11.57</v>
      </c>
      <c r="K841" s="5">
        <v>222</v>
      </c>
      <c r="L841" s="13" t="str">
        <f t="shared" si="26"/>
        <v>Discount Applied</v>
      </c>
      <c r="M841" s="13" t="str">
        <f t="shared" si="27"/>
        <v>Bronze</v>
      </c>
      <c r="N841" s="13"/>
    </row>
    <row r="842" spans="1:14" x14ac:dyDescent="0.3">
      <c r="A842" s="3">
        <v>6626</v>
      </c>
      <c r="B842" s="3" t="s">
        <v>31</v>
      </c>
      <c r="C842" s="4">
        <v>45750</v>
      </c>
      <c r="D842" s="3" t="s">
        <v>20</v>
      </c>
      <c r="E842" s="3" t="s">
        <v>40</v>
      </c>
      <c r="F842" s="5">
        <v>1</v>
      </c>
      <c r="G842" s="6">
        <v>29.74</v>
      </c>
      <c r="H842" s="6">
        <v>29.74</v>
      </c>
      <c r="I842" s="6">
        <v>2.97</v>
      </c>
      <c r="J842" s="6">
        <v>26.77</v>
      </c>
      <c r="K842" s="5">
        <v>375</v>
      </c>
      <c r="L842" s="13" t="str">
        <f t="shared" si="26"/>
        <v>Discount Applied</v>
      </c>
      <c r="M842" s="13" t="str">
        <f t="shared" si="27"/>
        <v>Silver</v>
      </c>
      <c r="N842" s="13"/>
    </row>
    <row r="843" spans="1:14" x14ac:dyDescent="0.3">
      <c r="A843" s="3">
        <v>2381</v>
      </c>
      <c r="B843" s="3" t="s">
        <v>14</v>
      </c>
      <c r="C843" s="4">
        <v>45204</v>
      </c>
      <c r="D843" s="3" t="s">
        <v>20</v>
      </c>
      <c r="E843" s="3" t="s">
        <v>47</v>
      </c>
      <c r="F843" s="5">
        <v>1</v>
      </c>
      <c r="G843" s="6">
        <v>14.11</v>
      </c>
      <c r="H843" s="6">
        <v>14.11</v>
      </c>
      <c r="I843" s="6">
        <v>4.01</v>
      </c>
      <c r="J843" s="6">
        <v>10.1</v>
      </c>
      <c r="K843" s="5">
        <v>123</v>
      </c>
      <c r="L843" s="13" t="str">
        <f t="shared" si="26"/>
        <v>Discount Applied</v>
      </c>
      <c r="M843" s="13" t="str">
        <f t="shared" si="27"/>
        <v>Bronze</v>
      </c>
      <c r="N843" s="13"/>
    </row>
    <row r="844" spans="1:14" x14ac:dyDescent="0.3">
      <c r="A844" s="3">
        <v>3827</v>
      </c>
      <c r="B844" s="3" t="s">
        <v>24</v>
      </c>
      <c r="C844" s="4">
        <v>45636</v>
      </c>
      <c r="D844" s="3" t="s">
        <v>17</v>
      </c>
      <c r="E844" s="3" t="s">
        <v>41</v>
      </c>
      <c r="F844" s="5">
        <v>3</v>
      </c>
      <c r="G844" s="6">
        <v>9.57</v>
      </c>
      <c r="H844" s="6">
        <v>28.71</v>
      </c>
      <c r="I844" s="6">
        <v>2.92</v>
      </c>
      <c r="J844" s="6">
        <v>25.79</v>
      </c>
      <c r="K844" s="5">
        <v>331</v>
      </c>
      <c r="L844" s="13" t="str">
        <f t="shared" si="26"/>
        <v>Discount Applied</v>
      </c>
      <c r="M844" s="13" t="str">
        <f t="shared" si="27"/>
        <v>Silver</v>
      </c>
      <c r="N844" s="13"/>
    </row>
    <row r="845" spans="1:14" x14ac:dyDescent="0.3">
      <c r="A845" s="3">
        <v>5059</v>
      </c>
      <c r="B845" s="3" t="s">
        <v>30</v>
      </c>
      <c r="C845" s="4">
        <v>45557</v>
      </c>
      <c r="D845" s="3" t="s">
        <v>34</v>
      </c>
      <c r="E845" s="3" t="s">
        <v>33</v>
      </c>
      <c r="F845" s="5">
        <v>5</v>
      </c>
      <c r="G845" s="6">
        <v>22.66</v>
      </c>
      <c r="H845" s="6">
        <v>113.3</v>
      </c>
      <c r="I845" s="6">
        <v>11.33</v>
      </c>
      <c r="J845" s="6">
        <v>101.97</v>
      </c>
      <c r="K845" s="5">
        <v>12</v>
      </c>
      <c r="L845" s="13" t="str">
        <f t="shared" si="26"/>
        <v>Discount Applied</v>
      </c>
      <c r="M845" s="13" t="str">
        <f t="shared" si="27"/>
        <v>Platinum</v>
      </c>
      <c r="N845" s="13"/>
    </row>
    <row r="846" spans="1:14" x14ac:dyDescent="0.3">
      <c r="A846" s="3">
        <v>8172</v>
      </c>
      <c r="B846" s="3" t="s">
        <v>19</v>
      </c>
      <c r="C846" s="4">
        <v>45295</v>
      </c>
      <c r="D846" s="3" t="s">
        <v>20</v>
      </c>
      <c r="E846" s="3" t="s">
        <v>29</v>
      </c>
      <c r="F846" s="5">
        <v>3</v>
      </c>
      <c r="G846" s="6">
        <v>19.170000000000002</v>
      </c>
      <c r="H846" s="6">
        <v>57.51</v>
      </c>
      <c r="I846" s="6">
        <v>0</v>
      </c>
      <c r="J846" s="6">
        <v>57.51</v>
      </c>
      <c r="K846" s="5">
        <v>360</v>
      </c>
      <c r="L846" s="13" t="str">
        <f t="shared" si="26"/>
        <v>No Discount</v>
      </c>
      <c r="M846" s="13" t="str">
        <f t="shared" si="27"/>
        <v>Gold</v>
      </c>
      <c r="N846" s="13"/>
    </row>
    <row r="847" spans="1:14" x14ac:dyDescent="0.3">
      <c r="A847" s="3">
        <v>9586</v>
      </c>
      <c r="B847" s="3" t="s">
        <v>11</v>
      </c>
      <c r="C847" s="4">
        <v>45417</v>
      </c>
      <c r="D847" s="3" t="s">
        <v>20</v>
      </c>
      <c r="E847" s="3" t="s">
        <v>21</v>
      </c>
      <c r="F847" s="5">
        <v>5</v>
      </c>
      <c r="G847" s="6">
        <v>1.94</v>
      </c>
      <c r="H847" s="6">
        <v>9.6999999999999993</v>
      </c>
      <c r="I847" s="6">
        <v>0</v>
      </c>
      <c r="J847" s="6">
        <v>9.6999999999999993</v>
      </c>
      <c r="K847" s="5">
        <v>218</v>
      </c>
      <c r="L847" s="13" t="str">
        <f t="shared" si="26"/>
        <v>No Discount</v>
      </c>
      <c r="M847" s="13" t="str">
        <f t="shared" si="27"/>
        <v>Bronze</v>
      </c>
      <c r="N847" s="13"/>
    </row>
    <row r="848" spans="1:14" x14ac:dyDescent="0.3">
      <c r="A848" s="3">
        <v>3600</v>
      </c>
      <c r="B848" s="3" t="s">
        <v>14</v>
      </c>
      <c r="C848" s="4">
        <v>45328</v>
      </c>
      <c r="D848" s="3" t="s">
        <v>28</v>
      </c>
      <c r="E848" s="3" t="s">
        <v>44</v>
      </c>
      <c r="F848" s="5">
        <v>1</v>
      </c>
      <c r="G848" s="6">
        <v>18.98</v>
      </c>
      <c r="H848" s="6">
        <v>18.98</v>
      </c>
      <c r="I848" s="6">
        <v>4.78</v>
      </c>
      <c r="J848" s="6">
        <v>14.2</v>
      </c>
      <c r="K848" s="5">
        <v>171</v>
      </c>
      <c r="L848" s="13" t="str">
        <f t="shared" si="26"/>
        <v>Discount Applied</v>
      </c>
      <c r="M848" s="13" t="str">
        <f t="shared" si="27"/>
        <v>Bronze</v>
      </c>
      <c r="N848" s="13"/>
    </row>
    <row r="849" spans="1:14" x14ac:dyDescent="0.3">
      <c r="A849" s="3">
        <v>7108</v>
      </c>
      <c r="B849" s="3" t="s">
        <v>36</v>
      </c>
      <c r="C849" s="4">
        <v>45258</v>
      </c>
      <c r="D849" s="3" t="s">
        <v>12</v>
      </c>
      <c r="E849" s="3" t="s">
        <v>48</v>
      </c>
      <c r="F849" s="5">
        <v>4</v>
      </c>
      <c r="G849" s="6">
        <v>11.59</v>
      </c>
      <c r="H849" s="6">
        <v>46.36</v>
      </c>
      <c r="I849" s="6">
        <v>6.95</v>
      </c>
      <c r="J849" s="6">
        <v>39.409999999999997</v>
      </c>
      <c r="K849" s="5">
        <v>316</v>
      </c>
      <c r="L849" s="13" t="str">
        <f t="shared" si="26"/>
        <v>Discount Applied</v>
      </c>
      <c r="M849" s="13" t="str">
        <f t="shared" si="27"/>
        <v>Silver</v>
      </c>
      <c r="N849" s="13"/>
    </row>
    <row r="850" spans="1:14" x14ac:dyDescent="0.3">
      <c r="A850" s="3">
        <v>5634</v>
      </c>
      <c r="B850" s="3" t="s">
        <v>36</v>
      </c>
      <c r="C850" s="4">
        <v>45298</v>
      </c>
      <c r="D850" s="3" t="s">
        <v>34</v>
      </c>
      <c r="E850" s="3" t="s">
        <v>18</v>
      </c>
      <c r="F850" s="5">
        <v>1</v>
      </c>
      <c r="G850" s="6">
        <v>17.25</v>
      </c>
      <c r="H850" s="6">
        <v>17.25</v>
      </c>
      <c r="I850" s="6">
        <v>3.45</v>
      </c>
      <c r="J850" s="6">
        <v>13.8</v>
      </c>
      <c r="K850" s="5">
        <v>396</v>
      </c>
      <c r="L850" s="13" t="str">
        <f t="shared" si="26"/>
        <v>Discount Applied</v>
      </c>
      <c r="M850" s="13" t="str">
        <f t="shared" si="27"/>
        <v>Bronze</v>
      </c>
      <c r="N850" s="13"/>
    </row>
    <row r="851" spans="1:14" x14ac:dyDescent="0.3">
      <c r="A851" s="3">
        <v>7697</v>
      </c>
      <c r="B851" s="3" t="s">
        <v>36</v>
      </c>
      <c r="C851" s="4">
        <v>45612</v>
      </c>
      <c r="D851" s="3" t="s">
        <v>17</v>
      </c>
      <c r="E851" s="3" t="s">
        <v>18</v>
      </c>
      <c r="F851" s="5">
        <v>1</v>
      </c>
      <c r="G851" s="6">
        <v>19.809999999999999</v>
      </c>
      <c r="H851" s="6">
        <v>19.809999999999999</v>
      </c>
      <c r="I851" s="6">
        <v>0</v>
      </c>
      <c r="J851" s="6">
        <v>19.809999999999999</v>
      </c>
      <c r="K851" s="5">
        <v>377</v>
      </c>
      <c r="L851" s="13" t="str">
        <f t="shared" si="26"/>
        <v>No Discount</v>
      </c>
      <c r="M851" s="13" t="str">
        <f t="shared" si="27"/>
        <v>Bronze</v>
      </c>
      <c r="N851" s="13"/>
    </row>
    <row r="852" spans="1:14" x14ac:dyDescent="0.3">
      <c r="A852" s="3">
        <v>6543</v>
      </c>
      <c r="B852" s="3" t="s">
        <v>42</v>
      </c>
      <c r="C852" s="4">
        <v>45735</v>
      </c>
      <c r="D852" s="3" t="s">
        <v>22</v>
      </c>
      <c r="E852" s="3" t="s">
        <v>23</v>
      </c>
      <c r="F852" s="5">
        <v>3</v>
      </c>
      <c r="G852" s="6">
        <v>15.59</v>
      </c>
      <c r="H852" s="6">
        <v>46.77</v>
      </c>
      <c r="I852" s="6">
        <v>1.25</v>
      </c>
      <c r="J852" s="6">
        <v>45.52</v>
      </c>
      <c r="K852" s="5">
        <v>216</v>
      </c>
      <c r="L852" s="13" t="str">
        <f t="shared" si="26"/>
        <v>Discount Applied</v>
      </c>
      <c r="M852" s="13" t="str">
        <f t="shared" si="27"/>
        <v>Silver</v>
      </c>
      <c r="N852" s="13"/>
    </row>
    <row r="853" spans="1:14" x14ac:dyDescent="0.3">
      <c r="A853" s="3">
        <v>1857</v>
      </c>
      <c r="B853" s="3" t="s">
        <v>36</v>
      </c>
      <c r="C853" s="4">
        <v>45282</v>
      </c>
      <c r="D853" s="3" t="s">
        <v>45</v>
      </c>
      <c r="E853" s="3" t="s">
        <v>47</v>
      </c>
      <c r="F853" s="5">
        <v>5</v>
      </c>
      <c r="G853" s="6">
        <v>16.260000000000002</v>
      </c>
      <c r="H853" s="6">
        <v>81.3</v>
      </c>
      <c r="I853" s="6">
        <v>0</v>
      </c>
      <c r="J853" s="6">
        <v>81.3</v>
      </c>
      <c r="K853" s="5">
        <v>62</v>
      </c>
      <c r="L853" s="13" t="str">
        <f t="shared" si="26"/>
        <v>No Discount</v>
      </c>
      <c r="M853" s="13" t="str">
        <f t="shared" si="27"/>
        <v>Platinum</v>
      </c>
      <c r="N853" s="13"/>
    </row>
    <row r="854" spans="1:14" x14ac:dyDescent="0.3">
      <c r="A854" s="3">
        <v>6482</v>
      </c>
      <c r="B854" s="3" t="s">
        <v>14</v>
      </c>
      <c r="C854" s="4">
        <v>45505</v>
      </c>
      <c r="D854" s="3" t="s">
        <v>27</v>
      </c>
      <c r="E854" s="3" t="s">
        <v>18</v>
      </c>
      <c r="F854" s="5">
        <v>3</v>
      </c>
      <c r="G854" s="6">
        <v>14.1</v>
      </c>
      <c r="H854" s="6">
        <v>42.3</v>
      </c>
      <c r="I854" s="6">
        <v>8.4600000000000009</v>
      </c>
      <c r="J854" s="6">
        <v>33.840000000000003</v>
      </c>
      <c r="K854" s="5">
        <v>188</v>
      </c>
      <c r="L854" s="13" t="str">
        <f t="shared" si="26"/>
        <v>Discount Applied</v>
      </c>
      <c r="M854" s="13" t="str">
        <f t="shared" si="27"/>
        <v>Silver</v>
      </c>
      <c r="N854" s="13"/>
    </row>
    <row r="855" spans="1:14" x14ac:dyDescent="0.3">
      <c r="A855" s="3">
        <v>6401</v>
      </c>
      <c r="B855" s="3" t="s">
        <v>26</v>
      </c>
      <c r="C855" s="4">
        <v>45674</v>
      </c>
      <c r="D855" s="3" t="s">
        <v>15</v>
      </c>
      <c r="E855" s="3" t="s">
        <v>43</v>
      </c>
      <c r="F855" s="5">
        <v>4</v>
      </c>
      <c r="G855" s="6">
        <v>27.03</v>
      </c>
      <c r="H855" s="6">
        <v>108.12</v>
      </c>
      <c r="I855" s="6">
        <v>1.66</v>
      </c>
      <c r="J855" s="6">
        <v>106.46</v>
      </c>
      <c r="K855" s="5">
        <v>147</v>
      </c>
      <c r="L855" s="13" t="str">
        <f t="shared" si="26"/>
        <v>Discount Applied</v>
      </c>
      <c r="M855" s="13" t="str">
        <f t="shared" si="27"/>
        <v>Platinum</v>
      </c>
      <c r="N855" s="13"/>
    </row>
    <row r="856" spans="1:14" x14ac:dyDescent="0.3">
      <c r="A856" s="3">
        <v>7333</v>
      </c>
      <c r="B856" s="3" t="s">
        <v>11</v>
      </c>
      <c r="C856" s="4">
        <v>45816</v>
      </c>
      <c r="D856" s="3" t="s">
        <v>34</v>
      </c>
      <c r="E856" s="3" t="s">
        <v>47</v>
      </c>
      <c r="F856" s="5">
        <v>2</v>
      </c>
      <c r="G856" s="6">
        <v>26.36</v>
      </c>
      <c r="H856" s="6">
        <v>52.72</v>
      </c>
      <c r="I856" s="6">
        <v>7.91</v>
      </c>
      <c r="J856" s="6">
        <v>44.81</v>
      </c>
      <c r="K856" s="5">
        <v>266</v>
      </c>
      <c r="L856" s="13" t="str">
        <f t="shared" si="26"/>
        <v>Discount Applied</v>
      </c>
      <c r="M856" s="13" t="str">
        <f t="shared" si="27"/>
        <v>Silver</v>
      </c>
      <c r="N856" s="13"/>
    </row>
    <row r="857" spans="1:14" x14ac:dyDescent="0.3">
      <c r="A857" s="3">
        <v>5128</v>
      </c>
      <c r="B857" s="3" t="s">
        <v>24</v>
      </c>
      <c r="C857" s="4">
        <v>45262</v>
      </c>
      <c r="D857" s="3" t="s">
        <v>27</v>
      </c>
      <c r="E857" s="3" t="s">
        <v>18</v>
      </c>
      <c r="F857" s="5">
        <v>2</v>
      </c>
      <c r="G857" s="6">
        <v>14.73</v>
      </c>
      <c r="H857" s="6">
        <v>29.46</v>
      </c>
      <c r="I857" s="6">
        <v>0</v>
      </c>
      <c r="J857" s="6">
        <v>29.46</v>
      </c>
      <c r="K857" s="5">
        <v>215</v>
      </c>
      <c r="L857" s="13" t="str">
        <f t="shared" si="26"/>
        <v>No Discount</v>
      </c>
      <c r="M857" s="13" t="str">
        <f t="shared" si="27"/>
        <v>Silver</v>
      </c>
      <c r="N857" s="13"/>
    </row>
    <row r="858" spans="1:14" x14ac:dyDescent="0.3">
      <c r="A858" s="3">
        <v>3463</v>
      </c>
      <c r="B858" s="3" t="s">
        <v>31</v>
      </c>
      <c r="C858" s="4">
        <v>45198</v>
      </c>
      <c r="D858" s="3" t="s">
        <v>35</v>
      </c>
      <c r="E858" s="3" t="s">
        <v>44</v>
      </c>
      <c r="F858" s="5">
        <v>1</v>
      </c>
      <c r="G858" s="6">
        <v>1.63</v>
      </c>
      <c r="H858" s="6">
        <v>1.63</v>
      </c>
      <c r="I858" s="6">
        <v>3.58</v>
      </c>
      <c r="J858" s="6">
        <v>-1.95</v>
      </c>
      <c r="K858" s="5">
        <v>410</v>
      </c>
      <c r="L858" s="13" t="str">
        <f t="shared" si="26"/>
        <v>Discount Applied</v>
      </c>
      <c r="M858" s="13" t="str">
        <f t="shared" si="27"/>
        <v>Bronze</v>
      </c>
      <c r="N858" s="13"/>
    </row>
    <row r="859" spans="1:14" x14ac:dyDescent="0.3">
      <c r="A859" s="3">
        <v>2335</v>
      </c>
      <c r="B859" s="3" t="s">
        <v>24</v>
      </c>
      <c r="C859" s="4">
        <v>45488</v>
      </c>
      <c r="D859" s="3" t="s">
        <v>28</v>
      </c>
      <c r="E859" s="3" t="s">
        <v>21</v>
      </c>
      <c r="F859" s="5">
        <v>3</v>
      </c>
      <c r="G859" s="6">
        <v>15.09</v>
      </c>
      <c r="H859" s="6">
        <v>45.27</v>
      </c>
      <c r="I859" s="6">
        <v>4.53</v>
      </c>
      <c r="J859" s="6">
        <v>40.74</v>
      </c>
      <c r="K859" s="5">
        <v>340</v>
      </c>
      <c r="L859" s="13" t="str">
        <f t="shared" si="26"/>
        <v>Discount Applied</v>
      </c>
      <c r="M859" s="13" t="str">
        <f t="shared" si="27"/>
        <v>Silver</v>
      </c>
      <c r="N859" s="13"/>
    </row>
    <row r="860" spans="1:14" x14ac:dyDescent="0.3">
      <c r="A860" s="3">
        <v>3317</v>
      </c>
      <c r="B860" s="3" t="s">
        <v>30</v>
      </c>
      <c r="C860" s="4">
        <v>45763</v>
      </c>
      <c r="D860" s="3" t="s">
        <v>28</v>
      </c>
      <c r="E860" s="3" t="s">
        <v>41</v>
      </c>
      <c r="F860" s="5">
        <v>3</v>
      </c>
      <c r="G860" s="6">
        <v>5.97</v>
      </c>
      <c r="H860" s="6">
        <v>17.91</v>
      </c>
      <c r="I860" s="6">
        <v>1.79</v>
      </c>
      <c r="J860" s="6">
        <v>16.12</v>
      </c>
      <c r="K860" s="5">
        <v>133</v>
      </c>
      <c r="L860" s="13" t="str">
        <f t="shared" si="26"/>
        <v>Discount Applied</v>
      </c>
      <c r="M860" s="13" t="str">
        <f t="shared" si="27"/>
        <v>Bronze</v>
      </c>
      <c r="N860" s="13"/>
    </row>
    <row r="861" spans="1:14" x14ac:dyDescent="0.3">
      <c r="A861" s="3">
        <v>6731</v>
      </c>
      <c r="B861" s="3" t="s">
        <v>36</v>
      </c>
      <c r="C861" s="4">
        <v>45604</v>
      </c>
      <c r="D861" s="3" t="s">
        <v>35</v>
      </c>
      <c r="E861" s="3" t="s">
        <v>40</v>
      </c>
      <c r="F861" s="5">
        <v>2</v>
      </c>
      <c r="G861" s="6">
        <v>11.23</v>
      </c>
      <c r="H861" s="6">
        <v>22.46</v>
      </c>
      <c r="I861" s="6">
        <v>4.7</v>
      </c>
      <c r="J861" s="6">
        <v>17.760000000000002</v>
      </c>
      <c r="K861" s="5">
        <v>233</v>
      </c>
      <c r="L861" s="13" t="str">
        <f t="shared" si="26"/>
        <v>Discount Applied</v>
      </c>
      <c r="M861" s="13" t="str">
        <f t="shared" si="27"/>
        <v>Bronze</v>
      </c>
      <c r="N861" s="13"/>
    </row>
    <row r="862" spans="1:14" x14ac:dyDescent="0.3">
      <c r="A862" s="3">
        <v>7421</v>
      </c>
      <c r="B862" s="3" t="s">
        <v>14</v>
      </c>
      <c r="C862" s="4">
        <v>45418</v>
      </c>
      <c r="D862" s="3" t="s">
        <v>35</v>
      </c>
      <c r="E862" s="3" t="s">
        <v>29</v>
      </c>
      <c r="F862" s="5">
        <v>2</v>
      </c>
      <c r="G862" s="6">
        <v>25.33</v>
      </c>
      <c r="H862" s="6">
        <v>50.66</v>
      </c>
      <c r="I862" s="6">
        <v>10.130000000000001</v>
      </c>
      <c r="J862" s="6">
        <v>40.53</v>
      </c>
      <c r="K862" s="5">
        <v>354</v>
      </c>
      <c r="L862" s="13" t="str">
        <f t="shared" si="26"/>
        <v>Discount Applied</v>
      </c>
      <c r="M862" s="13" t="str">
        <f t="shared" si="27"/>
        <v>Silver</v>
      </c>
      <c r="N862" s="13"/>
    </row>
    <row r="863" spans="1:14" x14ac:dyDescent="0.3">
      <c r="A863" s="3">
        <v>2388</v>
      </c>
      <c r="B863" s="3" t="s">
        <v>42</v>
      </c>
      <c r="C863" s="4">
        <v>45202</v>
      </c>
      <c r="D863" s="3" t="s">
        <v>15</v>
      </c>
      <c r="E863" s="3" t="s">
        <v>40</v>
      </c>
      <c r="F863" s="5">
        <v>3</v>
      </c>
      <c r="G863" s="6">
        <v>17.649999999999999</v>
      </c>
      <c r="H863" s="6">
        <v>52.95</v>
      </c>
      <c r="I863" s="6">
        <v>7.94</v>
      </c>
      <c r="J863" s="6">
        <v>45.01</v>
      </c>
      <c r="K863" s="5">
        <v>225</v>
      </c>
      <c r="L863" s="13" t="str">
        <f t="shared" si="26"/>
        <v>Discount Applied</v>
      </c>
      <c r="M863" s="13" t="str">
        <f t="shared" si="27"/>
        <v>Silver</v>
      </c>
      <c r="N863" s="13"/>
    </row>
    <row r="864" spans="1:14" x14ac:dyDescent="0.3">
      <c r="A864" s="3">
        <v>7171</v>
      </c>
      <c r="B864" s="3" t="s">
        <v>19</v>
      </c>
      <c r="C864" s="4">
        <v>45503</v>
      </c>
      <c r="D864" s="3" t="s">
        <v>17</v>
      </c>
      <c r="E864" s="3" t="s">
        <v>18</v>
      </c>
      <c r="F864" s="5">
        <v>1</v>
      </c>
      <c r="G864" s="6">
        <v>20.29</v>
      </c>
      <c r="H864" s="6">
        <v>20.29</v>
      </c>
      <c r="I864" s="6">
        <v>4.0599999999999996</v>
      </c>
      <c r="J864" s="6">
        <v>16.23</v>
      </c>
      <c r="K864" s="5">
        <v>500</v>
      </c>
      <c r="L864" s="13" t="str">
        <f t="shared" si="26"/>
        <v>Discount Applied</v>
      </c>
      <c r="M864" s="13" t="str">
        <f t="shared" si="27"/>
        <v>Bronze</v>
      </c>
      <c r="N864" s="13"/>
    </row>
    <row r="865" spans="1:14" x14ac:dyDescent="0.3">
      <c r="A865" s="3">
        <v>6381</v>
      </c>
      <c r="B865" s="3" t="s">
        <v>36</v>
      </c>
      <c r="C865" s="4">
        <v>45174</v>
      </c>
      <c r="D865" s="3" t="s">
        <v>45</v>
      </c>
      <c r="E865" s="3" t="s">
        <v>18</v>
      </c>
      <c r="F865" s="5">
        <v>2</v>
      </c>
      <c r="G865" s="6">
        <v>16.47</v>
      </c>
      <c r="H865" s="6">
        <v>32.94</v>
      </c>
      <c r="I865" s="6">
        <v>3.29</v>
      </c>
      <c r="J865" s="6">
        <v>29.65</v>
      </c>
      <c r="K865" s="5">
        <v>62</v>
      </c>
      <c r="L865" s="13" t="str">
        <f t="shared" si="26"/>
        <v>Discount Applied</v>
      </c>
      <c r="M865" s="13" t="str">
        <f t="shared" si="27"/>
        <v>Silver</v>
      </c>
      <c r="N865" s="13"/>
    </row>
    <row r="866" spans="1:14" x14ac:dyDescent="0.3">
      <c r="A866" s="3">
        <v>3093</v>
      </c>
      <c r="B866" s="3" t="s">
        <v>26</v>
      </c>
      <c r="C866" s="4">
        <v>45431</v>
      </c>
      <c r="D866" s="3" t="s">
        <v>34</v>
      </c>
      <c r="E866" s="3" t="s">
        <v>33</v>
      </c>
      <c r="F866" s="5">
        <v>3</v>
      </c>
      <c r="G866" s="6">
        <v>5.52</v>
      </c>
      <c r="H866" s="6">
        <v>16.559999999999999</v>
      </c>
      <c r="I866" s="6">
        <v>0</v>
      </c>
      <c r="J866" s="6">
        <v>16.559999999999999</v>
      </c>
      <c r="K866" s="5">
        <v>496</v>
      </c>
      <c r="L866" s="13" t="str">
        <f t="shared" si="26"/>
        <v>No Discount</v>
      </c>
      <c r="M866" s="13" t="str">
        <f t="shared" si="27"/>
        <v>Bronze</v>
      </c>
      <c r="N866" s="13"/>
    </row>
    <row r="867" spans="1:14" x14ac:dyDescent="0.3">
      <c r="A867" s="3">
        <v>9624</v>
      </c>
      <c r="B867" s="3" t="s">
        <v>30</v>
      </c>
      <c r="C867" s="4">
        <v>45204</v>
      </c>
      <c r="D867" s="3" t="s">
        <v>45</v>
      </c>
      <c r="E867" s="3" t="s">
        <v>37</v>
      </c>
      <c r="F867" s="5">
        <v>5</v>
      </c>
      <c r="G867" s="6">
        <v>20.329999999999998</v>
      </c>
      <c r="H867" s="6">
        <v>101.65</v>
      </c>
      <c r="I867" s="6">
        <v>15.25</v>
      </c>
      <c r="J867" s="6">
        <v>86.4</v>
      </c>
      <c r="K867" s="5">
        <v>409</v>
      </c>
      <c r="L867" s="13" t="str">
        <f t="shared" si="26"/>
        <v>Discount Applied</v>
      </c>
      <c r="M867" s="13" t="str">
        <f t="shared" si="27"/>
        <v>Platinum</v>
      </c>
      <c r="N867" s="13"/>
    </row>
    <row r="868" spans="1:14" x14ac:dyDescent="0.3">
      <c r="A868" s="3">
        <v>7937</v>
      </c>
      <c r="B868" s="3" t="s">
        <v>11</v>
      </c>
      <c r="C868" s="4">
        <v>45622</v>
      </c>
      <c r="D868" s="3" t="s">
        <v>45</v>
      </c>
      <c r="E868" s="3" t="s">
        <v>40</v>
      </c>
      <c r="F868" s="5">
        <v>2</v>
      </c>
      <c r="G868" s="6">
        <v>20.65</v>
      </c>
      <c r="H868" s="6">
        <v>41.3</v>
      </c>
      <c r="I868" s="6">
        <v>2.61</v>
      </c>
      <c r="J868" s="6">
        <v>38.69</v>
      </c>
      <c r="K868" s="5">
        <v>59</v>
      </c>
      <c r="L868" s="13" t="str">
        <f t="shared" si="26"/>
        <v>Discount Applied</v>
      </c>
      <c r="M868" s="13" t="str">
        <f t="shared" si="27"/>
        <v>Silver</v>
      </c>
      <c r="N868" s="13"/>
    </row>
    <row r="869" spans="1:14" x14ac:dyDescent="0.3">
      <c r="A869" s="3">
        <v>6940</v>
      </c>
      <c r="B869" s="3" t="s">
        <v>42</v>
      </c>
      <c r="C869" s="4">
        <v>45443</v>
      </c>
      <c r="D869" s="3" t="s">
        <v>45</v>
      </c>
      <c r="E869" s="3" t="s">
        <v>23</v>
      </c>
      <c r="F869" s="5">
        <v>1</v>
      </c>
      <c r="G869" s="6">
        <v>10.45</v>
      </c>
      <c r="H869" s="6">
        <v>10.45</v>
      </c>
      <c r="I869" s="6">
        <v>3.11</v>
      </c>
      <c r="J869" s="6">
        <v>7.34</v>
      </c>
      <c r="K869" s="5">
        <v>311</v>
      </c>
      <c r="L869" s="13" t="str">
        <f t="shared" si="26"/>
        <v>Discount Applied</v>
      </c>
      <c r="M869" s="13" t="str">
        <f t="shared" si="27"/>
        <v>Bronze</v>
      </c>
      <c r="N869" s="13"/>
    </row>
    <row r="870" spans="1:14" x14ac:dyDescent="0.3">
      <c r="A870" s="3">
        <v>3953</v>
      </c>
      <c r="B870" s="3"/>
      <c r="C870" s="4">
        <v>45595</v>
      </c>
      <c r="D870" s="3" t="s">
        <v>17</v>
      </c>
      <c r="E870" s="3" t="s">
        <v>39</v>
      </c>
      <c r="F870" s="5">
        <v>1</v>
      </c>
      <c r="G870" s="6">
        <v>16.600000000000001</v>
      </c>
      <c r="H870" s="6">
        <v>16.600000000000001</v>
      </c>
      <c r="I870" s="6">
        <v>2.58</v>
      </c>
      <c r="J870" s="6">
        <v>14.02</v>
      </c>
      <c r="K870" s="5">
        <v>228</v>
      </c>
      <c r="L870" s="13" t="str">
        <f t="shared" si="26"/>
        <v>Discount Applied</v>
      </c>
      <c r="M870" s="13" t="str">
        <f t="shared" si="27"/>
        <v>Bronze</v>
      </c>
      <c r="N870" s="13"/>
    </row>
    <row r="871" spans="1:14" x14ac:dyDescent="0.3">
      <c r="A871" s="3">
        <v>6598</v>
      </c>
      <c r="B871" s="3" t="s">
        <v>26</v>
      </c>
      <c r="C871" s="4">
        <v>45494</v>
      </c>
      <c r="D871" s="3" t="s">
        <v>22</v>
      </c>
      <c r="E871" s="3" t="s">
        <v>46</v>
      </c>
      <c r="F871" s="5">
        <v>1</v>
      </c>
      <c r="G871" s="6">
        <v>27.33</v>
      </c>
      <c r="H871" s="6">
        <v>27.33</v>
      </c>
      <c r="I871" s="6">
        <v>5.47</v>
      </c>
      <c r="J871" s="6">
        <v>21.86</v>
      </c>
      <c r="K871" s="5">
        <v>184</v>
      </c>
      <c r="L871" s="13" t="str">
        <f t="shared" si="26"/>
        <v>Discount Applied</v>
      </c>
      <c r="M871" s="13" t="str">
        <f t="shared" si="27"/>
        <v>Silver</v>
      </c>
      <c r="N871" s="13"/>
    </row>
    <row r="872" spans="1:14" x14ac:dyDescent="0.3">
      <c r="A872" s="3">
        <v>8967</v>
      </c>
      <c r="B872" s="3" t="s">
        <v>24</v>
      </c>
      <c r="C872" s="4">
        <v>45394</v>
      </c>
      <c r="D872" s="3" t="s">
        <v>22</v>
      </c>
      <c r="E872" s="3" t="s">
        <v>32</v>
      </c>
      <c r="F872" s="5">
        <v>3</v>
      </c>
      <c r="G872" s="6">
        <v>1.34</v>
      </c>
      <c r="H872" s="6">
        <v>4.0199999999999996</v>
      </c>
      <c r="I872" s="6">
        <v>0.6</v>
      </c>
      <c r="J872" s="6">
        <v>3.42</v>
      </c>
      <c r="K872" s="5">
        <v>176</v>
      </c>
      <c r="L872" s="13" t="str">
        <f t="shared" si="26"/>
        <v>Discount Applied</v>
      </c>
      <c r="M872" s="13" t="str">
        <f t="shared" si="27"/>
        <v>Bronze</v>
      </c>
      <c r="N872" s="13"/>
    </row>
    <row r="873" spans="1:14" x14ac:dyDescent="0.3">
      <c r="A873" s="3">
        <v>4711</v>
      </c>
      <c r="B873" s="3" t="s">
        <v>26</v>
      </c>
      <c r="C873" s="4">
        <v>45534</v>
      </c>
      <c r="D873" s="3" t="s">
        <v>38</v>
      </c>
      <c r="E873" s="3" t="s">
        <v>43</v>
      </c>
      <c r="F873" s="5">
        <v>2</v>
      </c>
      <c r="G873" s="6">
        <v>22.1</v>
      </c>
      <c r="H873" s="6">
        <v>44.2</v>
      </c>
      <c r="I873" s="6">
        <v>4.42</v>
      </c>
      <c r="J873" s="6">
        <v>39.78</v>
      </c>
      <c r="K873" s="5">
        <v>227</v>
      </c>
      <c r="L873" s="13" t="str">
        <f t="shared" si="26"/>
        <v>Discount Applied</v>
      </c>
      <c r="M873" s="13" t="str">
        <f t="shared" si="27"/>
        <v>Silver</v>
      </c>
      <c r="N873" s="13"/>
    </row>
    <row r="874" spans="1:14" x14ac:dyDescent="0.3">
      <c r="A874" s="3">
        <v>3538</v>
      </c>
      <c r="B874" s="3" t="s">
        <v>30</v>
      </c>
      <c r="C874" s="4">
        <v>45193</v>
      </c>
      <c r="D874" s="3" t="s">
        <v>34</v>
      </c>
      <c r="E874" s="3" t="s">
        <v>16</v>
      </c>
      <c r="F874" s="5">
        <v>4</v>
      </c>
      <c r="G874" s="6">
        <v>5.04</v>
      </c>
      <c r="H874" s="6">
        <v>20.16</v>
      </c>
      <c r="I874" s="6">
        <v>4.03</v>
      </c>
      <c r="J874" s="6">
        <v>16.13</v>
      </c>
      <c r="K874" s="5">
        <v>300</v>
      </c>
      <c r="L874" s="13" t="str">
        <f t="shared" si="26"/>
        <v>Discount Applied</v>
      </c>
      <c r="M874" s="13" t="str">
        <f t="shared" si="27"/>
        <v>Bronze</v>
      </c>
      <c r="N874" s="13"/>
    </row>
    <row r="875" spans="1:14" x14ac:dyDescent="0.3">
      <c r="A875" s="3">
        <v>5846</v>
      </c>
      <c r="B875" s="3" t="s">
        <v>42</v>
      </c>
      <c r="C875" s="4">
        <v>45225</v>
      </c>
      <c r="D875" s="3" t="s">
        <v>35</v>
      </c>
      <c r="E875" s="3" t="s">
        <v>47</v>
      </c>
      <c r="F875" s="5">
        <v>5</v>
      </c>
      <c r="G875" s="6">
        <v>29.6</v>
      </c>
      <c r="H875" s="6">
        <v>148</v>
      </c>
      <c r="I875" s="6">
        <v>1.03</v>
      </c>
      <c r="J875" s="6">
        <v>146.97</v>
      </c>
      <c r="K875" s="5">
        <v>33</v>
      </c>
      <c r="L875" s="13" t="str">
        <f t="shared" si="26"/>
        <v>Discount Applied</v>
      </c>
      <c r="M875" s="13" t="str">
        <f t="shared" si="27"/>
        <v>Platinum</v>
      </c>
      <c r="N875" s="13"/>
    </row>
    <row r="876" spans="1:14" x14ac:dyDescent="0.3">
      <c r="A876" s="3">
        <v>2657</v>
      </c>
      <c r="B876" s="3" t="s">
        <v>30</v>
      </c>
      <c r="C876" s="4">
        <v>45699</v>
      </c>
      <c r="D876" s="3" t="s">
        <v>20</v>
      </c>
      <c r="E876" s="3" t="s">
        <v>29</v>
      </c>
      <c r="F876" s="5">
        <v>5</v>
      </c>
      <c r="G876" s="6">
        <v>14.39</v>
      </c>
      <c r="H876" s="6">
        <v>71.95</v>
      </c>
      <c r="I876" s="6">
        <v>14.39</v>
      </c>
      <c r="J876" s="6">
        <v>57.56</v>
      </c>
      <c r="K876" s="5">
        <v>290</v>
      </c>
      <c r="L876" s="13" t="str">
        <f t="shared" si="26"/>
        <v>Discount Applied</v>
      </c>
      <c r="M876" s="13" t="str">
        <f t="shared" si="27"/>
        <v>Gold</v>
      </c>
      <c r="N876" s="13"/>
    </row>
    <row r="877" spans="1:14" x14ac:dyDescent="0.3">
      <c r="A877" s="3">
        <v>9843</v>
      </c>
      <c r="B877" s="3" t="s">
        <v>19</v>
      </c>
      <c r="C877" s="4">
        <v>45536</v>
      </c>
      <c r="D877" s="3" t="s">
        <v>20</v>
      </c>
      <c r="E877" s="3" t="s">
        <v>37</v>
      </c>
      <c r="F877" s="5">
        <v>5</v>
      </c>
      <c r="G877" s="6">
        <v>15.22</v>
      </c>
      <c r="H877" s="6">
        <v>76.099999999999994</v>
      </c>
      <c r="I877" s="6">
        <v>2.2200000000000002</v>
      </c>
      <c r="J877" s="6">
        <v>73.88</v>
      </c>
      <c r="K877" s="5">
        <v>421</v>
      </c>
      <c r="L877" s="13" t="str">
        <f t="shared" si="26"/>
        <v>Discount Applied</v>
      </c>
      <c r="M877" s="13" t="str">
        <f t="shared" si="27"/>
        <v>Platinum</v>
      </c>
      <c r="N877" s="13"/>
    </row>
    <row r="878" spans="1:14" x14ac:dyDescent="0.3">
      <c r="A878" s="3">
        <v>9626</v>
      </c>
      <c r="B878" s="3" t="s">
        <v>14</v>
      </c>
      <c r="C878" s="4">
        <v>45175</v>
      </c>
      <c r="D878" s="3" t="s">
        <v>45</v>
      </c>
      <c r="E878" s="3" t="s">
        <v>25</v>
      </c>
      <c r="F878" s="5">
        <v>1</v>
      </c>
      <c r="G878" s="6">
        <v>23.94</v>
      </c>
      <c r="H878" s="6">
        <v>23.94</v>
      </c>
      <c r="I878" s="6">
        <v>3.59</v>
      </c>
      <c r="J878" s="6">
        <v>20.350000000000001</v>
      </c>
      <c r="K878" s="5">
        <v>78</v>
      </c>
      <c r="L878" s="13" t="str">
        <f t="shared" si="26"/>
        <v>Discount Applied</v>
      </c>
      <c r="M878" s="13" t="str">
        <f t="shared" si="27"/>
        <v>Silver</v>
      </c>
      <c r="N878" s="13"/>
    </row>
    <row r="879" spans="1:14" x14ac:dyDescent="0.3">
      <c r="A879" s="3">
        <v>6517</v>
      </c>
      <c r="B879" s="3" t="s">
        <v>26</v>
      </c>
      <c r="C879" s="4">
        <v>45694</v>
      </c>
      <c r="D879" s="3" t="s">
        <v>15</v>
      </c>
      <c r="E879" s="3" t="s">
        <v>37</v>
      </c>
      <c r="F879" s="5">
        <v>4</v>
      </c>
      <c r="G879" s="6">
        <v>6.19</v>
      </c>
      <c r="H879" s="6">
        <v>24.76</v>
      </c>
      <c r="I879" s="6">
        <v>1.48</v>
      </c>
      <c r="J879" s="6">
        <v>23.28</v>
      </c>
      <c r="K879" s="5">
        <v>464</v>
      </c>
      <c r="L879" s="13" t="str">
        <f t="shared" si="26"/>
        <v>Discount Applied</v>
      </c>
      <c r="M879" s="13" t="str">
        <f t="shared" si="27"/>
        <v>Silver</v>
      </c>
      <c r="N879" s="13"/>
    </row>
    <row r="880" spans="1:14" x14ac:dyDescent="0.3">
      <c r="A880" s="3">
        <v>3147</v>
      </c>
      <c r="B880" s="3" t="s">
        <v>30</v>
      </c>
      <c r="C880" s="4">
        <v>45486</v>
      </c>
      <c r="D880" s="3" t="s">
        <v>45</v>
      </c>
      <c r="E880" s="3" t="s">
        <v>43</v>
      </c>
      <c r="F880" s="5">
        <v>5</v>
      </c>
      <c r="G880" s="6">
        <v>22.61</v>
      </c>
      <c r="H880" s="6">
        <v>113.05</v>
      </c>
      <c r="I880" s="6">
        <v>2.74</v>
      </c>
      <c r="J880" s="6">
        <v>110.31</v>
      </c>
      <c r="K880" s="5">
        <v>297</v>
      </c>
      <c r="L880" s="13" t="str">
        <f t="shared" si="26"/>
        <v>Discount Applied</v>
      </c>
      <c r="M880" s="13" t="str">
        <f t="shared" si="27"/>
        <v>Platinum</v>
      </c>
      <c r="N880" s="13"/>
    </row>
    <row r="881" spans="1:14" x14ac:dyDescent="0.3">
      <c r="A881" s="3">
        <v>7172</v>
      </c>
      <c r="B881" s="3" t="s">
        <v>30</v>
      </c>
      <c r="C881" s="4">
        <v>45551</v>
      </c>
      <c r="D881" s="3" t="s">
        <v>27</v>
      </c>
      <c r="E881" s="3" t="s">
        <v>47</v>
      </c>
      <c r="F881" s="5">
        <v>1</v>
      </c>
      <c r="G881" s="6">
        <v>11.81</v>
      </c>
      <c r="H881" s="6">
        <v>11.81</v>
      </c>
      <c r="I881" s="6">
        <v>1.77</v>
      </c>
      <c r="J881" s="6">
        <v>10.039999999999999</v>
      </c>
      <c r="K881" s="5">
        <v>375</v>
      </c>
      <c r="L881" s="13" t="str">
        <f t="shared" si="26"/>
        <v>Discount Applied</v>
      </c>
      <c r="M881" s="13" t="str">
        <f t="shared" si="27"/>
        <v>Bronze</v>
      </c>
      <c r="N881" s="13"/>
    </row>
    <row r="882" spans="1:14" x14ac:dyDescent="0.3">
      <c r="A882" s="3">
        <v>3658</v>
      </c>
      <c r="B882" s="3" t="s">
        <v>19</v>
      </c>
      <c r="C882" s="4">
        <v>45427</v>
      </c>
      <c r="D882" s="3" t="s">
        <v>28</v>
      </c>
      <c r="E882" s="3" t="s">
        <v>40</v>
      </c>
      <c r="F882" s="5">
        <v>2</v>
      </c>
      <c r="G882" s="6">
        <v>10.26</v>
      </c>
      <c r="H882" s="6">
        <v>20.52</v>
      </c>
      <c r="I882" s="6">
        <v>3.08</v>
      </c>
      <c r="J882" s="6">
        <v>17.440000000000001</v>
      </c>
      <c r="K882" s="5">
        <v>449</v>
      </c>
      <c r="L882" s="13" t="str">
        <f t="shared" si="26"/>
        <v>Discount Applied</v>
      </c>
      <c r="M882" s="13" t="str">
        <f t="shared" si="27"/>
        <v>Bronze</v>
      </c>
      <c r="N882" s="13"/>
    </row>
    <row r="883" spans="1:14" x14ac:dyDescent="0.3">
      <c r="A883" s="3">
        <v>3712</v>
      </c>
      <c r="B883" s="3" t="s">
        <v>19</v>
      </c>
      <c r="C883" s="4">
        <v>45857</v>
      </c>
      <c r="D883" s="3" t="s">
        <v>12</v>
      </c>
      <c r="E883" s="3" t="s">
        <v>13</v>
      </c>
      <c r="F883" s="5">
        <v>3</v>
      </c>
      <c r="G883" s="6">
        <v>13.16</v>
      </c>
      <c r="H883" s="6">
        <v>39.479999999999997</v>
      </c>
      <c r="I883" s="6">
        <v>2.16</v>
      </c>
      <c r="J883" s="6">
        <v>37.32</v>
      </c>
      <c r="K883" s="5">
        <v>466</v>
      </c>
      <c r="L883" s="13" t="str">
        <f t="shared" si="26"/>
        <v>Discount Applied</v>
      </c>
      <c r="M883" s="13" t="str">
        <f t="shared" si="27"/>
        <v>Silver</v>
      </c>
      <c r="N883" s="13"/>
    </row>
    <row r="884" spans="1:14" x14ac:dyDescent="0.3">
      <c r="A884" s="3">
        <v>8170</v>
      </c>
      <c r="B884" s="3" t="s">
        <v>14</v>
      </c>
      <c r="C884" s="4">
        <v>45445</v>
      </c>
      <c r="D884" s="3" t="s">
        <v>27</v>
      </c>
      <c r="E884" s="3" t="s">
        <v>43</v>
      </c>
      <c r="F884" s="5">
        <v>5</v>
      </c>
      <c r="G884" s="6">
        <v>6.61</v>
      </c>
      <c r="H884" s="6">
        <v>33.049999999999997</v>
      </c>
      <c r="I884" s="6">
        <v>3.4</v>
      </c>
      <c r="J884" s="6">
        <v>29.65</v>
      </c>
      <c r="K884" s="5">
        <v>321</v>
      </c>
      <c r="L884" s="13" t="str">
        <f t="shared" si="26"/>
        <v>Discount Applied</v>
      </c>
      <c r="M884" s="13" t="str">
        <f t="shared" si="27"/>
        <v>Silver</v>
      </c>
      <c r="N884" s="13"/>
    </row>
    <row r="885" spans="1:14" x14ac:dyDescent="0.3">
      <c r="A885" s="3">
        <v>7731</v>
      </c>
      <c r="B885" s="3" t="s">
        <v>19</v>
      </c>
      <c r="C885" s="4">
        <v>45746</v>
      </c>
      <c r="D885" s="3" t="s">
        <v>38</v>
      </c>
      <c r="E885" s="3" t="s">
        <v>21</v>
      </c>
      <c r="F885" s="5">
        <v>3</v>
      </c>
      <c r="G885" s="6">
        <v>24.97</v>
      </c>
      <c r="H885" s="6">
        <v>74.91</v>
      </c>
      <c r="I885" s="6">
        <v>11.24</v>
      </c>
      <c r="J885" s="6">
        <v>63.67</v>
      </c>
      <c r="K885" s="5">
        <v>350</v>
      </c>
      <c r="L885" s="13" t="str">
        <f t="shared" si="26"/>
        <v>Discount Applied</v>
      </c>
      <c r="M885" s="13" t="str">
        <f t="shared" si="27"/>
        <v>Gold</v>
      </c>
      <c r="N885" s="13"/>
    </row>
    <row r="886" spans="1:14" x14ac:dyDescent="0.3">
      <c r="A886" s="3">
        <v>4891</v>
      </c>
      <c r="B886" s="3" t="s">
        <v>36</v>
      </c>
      <c r="C886" s="4">
        <v>45672</v>
      </c>
      <c r="D886" s="3" t="s">
        <v>15</v>
      </c>
      <c r="E886" s="3" t="s">
        <v>18</v>
      </c>
      <c r="F886" s="5">
        <v>5</v>
      </c>
      <c r="G886" s="6">
        <v>11.19</v>
      </c>
      <c r="H886" s="6">
        <v>55.95</v>
      </c>
      <c r="I886" s="6">
        <v>11.19</v>
      </c>
      <c r="J886" s="6">
        <v>44.76</v>
      </c>
      <c r="K886" s="5">
        <v>73</v>
      </c>
      <c r="L886" s="13" t="str">
        <f t="shared" si="26"/>
        <v>Discount Applied</v>
      </c>
      <c r="M886" s="13" t="str">
        <f t="shared" si="27"/>
        <v>Silver</v>
      </c>
      <c r="N886" s="13"/>
    </row>
    <row r="887" spans="1:14" x14ac:dyDescent="0.3">
      <c r="A887" s="3">
        <v>5668</v>
      </c>
      <c r="B887" s="3" t="s">
        <v>14</v>
      </c>
      <c r="C887" s="4">
        <v>45758</v>
      </c>
      <c r="D887" s="3" t="s">
        <v>35</v>
      </c>
      <c r="E887" s="3" t="s">
        <v>23</v>
      </c>
      <c r="F887" s="5">
        <v>4</v>
      </c>
      <c r="G887" s="6">
        <v>12.94</v>
      </c>
      <c r="H887" s="6">
        <v>51.76</v>
      </c>
      <c r="I887" s="6">
        <v>1.87</v>
      </c>
      <c r="J887" s="6">
        <v>49.89</v>
      </c>
      <c r="K887" s="5">
        <v>471</v>
      </c>
      <c r="L887" s="13" t="str">
        <f t="shared" si="26"/>
        <v>Discount Applied</v>
      </c>
      <c r="M887" s="13" t="str">
        <f t="shared" si="27"/>
        <v>Silver</v>
      </c>
      <c r="N887" s="13"/>
    </row>
    <row r="888" spans="1:14" x14ac:dyDescent="0.3">
      <c r="A888" s="3">
        <v>8355</v>
      </c>
      <c r="B888" s="3" t="s">
        <v>14</v>
      </c>
      <c r="C888" s="4">
        <v>45196</v>
      </c>
      <c r="D888" s="3" t="s">
        <v>17</v>
      </c>
      <c r="E888" s="3" t="s">
        <v>44</v>
      </c>
      <c r="F888" s="5">
        <v>5</v>
      </c>
      <c r="G888" s="6">
        <v>18.78</v>
      </c>
      <c r="H888" s="6">
        <v>93.9</v>
      </c>
      <c r="I888" s="6">
        <v>9.39</v>
      </c>
      <c r="J888" s="6">
        <v>84.51</v>
      </c>
      <c r="K888" s="5">
        <v>425</v>
      </c>
      <c r="L888" s="13" t="str">
        <f t="shared" si="26"/>
        <v>Discount Applied</v>
      </c>
      <c r="M888" s="13" t="str">
        <f t="shared" si="27"/>
        <v>Platinum</v>
      </c>
      <c r="N888" s="13"/>
    </row>
    <row r="889" spans="1:14" x14ac:dyDescent="0.3">
      <c r="A889" s="3">
        <v>9749</v>
      </c>
      <c r="B889" s="3" t="s">
        <v>26</v>
      </c>
      <c r="C889" s="4">
        <v>45218</v>
      </c>
      <c r="D889" s="3" t="s">
        <v>15</v>
      </c>
      <c r="E889" s="3" t="s">
        <v>48</v>
      </c>
      <c r="F889" s="5">
        <v>2</v>
      </c>
      <c r="G889" s="6">
        <v>27.77</v>
      </c>
      <c r="H889" s="6">
        <v>55.54</v>
      </c>
      <c r="I889" s="6">
        <v>8.33</v>
      </c>
      <c r="J889" s="6">
        <v>47.21</v>
      </c>
      <c r="K889" s="5">
        <v>245</v>
      </c>
      <c r="L889" s="13" t="str">
        <f t="shared" si="26"/>
        <v>Discount Applied</v>
      </c>
      <c r="M889" s="13" t="str">
        <f t="shared" si="27"/>
        <v>Silver</v>
      </c>
      <c r="N889" s="13"/>
    </row>
    <row r="890" spans="1:14" x14ac:dyDescent="0.3">
      <c r="A890" s="3">
        <v>6070</v>
      </c>
      <c r="B890" s="3" t="s">
        <v>36</v>
      </c>
      <c r="C890" s="4">
        <v>45365</v>
      </c>
      <c r="D890" s="3" t="s">
        <v>34</v>
      </c>
      <c r="E890" s="3" t="s">
        <v>33</v>
      </c>
      <c r="F890" s="5">
        <v>5</v>
      </c>
      <c r="G890" s="6">
        <v>16.16</v>
      </c>
      <c r="H890" s="6">
        <v>80.8</v>
      </c>
      <c r="I890" s="6">
        <v>16.16</v>
      </c>
      <c r="J890" s="6">
        <v>64.64</v>
      </c>
      <c r="K890" s="5">
        <v>496</v>
      </c>
      <c r="L890" s="13" t="str">
        <f t="shared" si="26"/>
        <v>Discount Applied</v>
      </c>
      <c r="M890" s="13" t="str">
        <f t="shared" si="27"/>
        <v>Gold</v>
      </c>
      <c r="N890" s="13"/>
    </row>
    <row r="891" spans="1:14" x14ac:dyDescent="0.3">
      <c r="A891" s="3">
        <v>8684</v>
      </c>
      <c r="B891" s="3" t="s">
        <v>30</v>
      </c>
      <c r="C891" s="4">
        <v>45707</v>
      </c>
      <c r="D891" s="3" t="s">
        <v>12</v>
      </c>
      <c r="E891" s="3" t="s">
        <v>48</v>
      </c>
      <c r="F891" s="5">
        <v>2</v>
      </c>
      <c r="G891" s="6">
        <v>4.72</v>
      </c>
      <c r="H891" s="6">
        <v>9.44</v>
      </c>
      <c r="I891" s="6">
        <v>0</v>
      </c>
      <c r="J891" s="6">
        <v>9.44</v>
      </c>
      <c r="K891" s="5">
        <v>355</v>
      </c>
      <c r="L891" s="13" t="str">
        <f t="shared" si="26"/>
        <v>No Discount</v>
      </c>
      <c r="M891" s="13" t="str">
        <f t="shared" si="27"/>
        <v>Bronze</v>
      </c>
      <c r="N891" s="13"/>
    </row>
    <row r="892" spans="1:14" x14ac:dyDescent="0.3">
      <c r="A892" s="3">
        <v>4178</v>
      </c>
      <c r="B892" s="3" t="s">
        <v>42</v>
      </c>
      <c r="C892" s="4">
        <v>45403</v>
      </c>
      <c r="D892" s="3" t="s">
        <v>35</v>
      </c>
      <c r="E892" s="3" t="s">
        <v>41</v>
      </c>
      <c r="F892" s="5">
        <v>2</v>
      </c>
      <c r="G892" s="6">
        <v>4.7699999999999996</v>
      </c>
      <c r="H892" s="6">
        <v>9.5399999999999991</v>
      </c>
      <c r="I892" s="6">
        <v>0</v>
      </c>
      <c r="J892" s="6">
        <v>9.5399999999999991</v>
      </c>
      <c r="K892" s="5">
        <v>40</v>
      </c>
      <c r="L892" s="13" t="str">
        <f t="shared" si="26"/>
        <v>No Discount</v>
      </c>
      <c r="M892" s="13" t="str">
        <f t="shared" si="27"/>
        <v>Bronze</v>
      </c>
      <c r="N892" s="13"/>
    </row>
    <row r="893" spans="1:14" x14ac:dyDescent="0.3">
      <c r="A893" s="3">
        <v>8218</v>
      </c>
      <c r="B893" s="3" t="s">
        <v>11</v>
      </c>
      <c r="C893" s="4">
        <v>45597</v>
      </c>
      <c r="D893" s="3" t="s">
        <v>15</v>
      </c>
      <c r="E893" s="3" t="s">
        <v>39</v>
      </c>
      <c r="F893" s="5">
        <v>4</v>
      </c>
      <c r="G893" s="6">
        <v>22.95</v>
      </c>
      <c r="H893" s="6">
        <v>91.8</v>
      </c>
      <c r="I893" s="6">
        <v>1.1299999999999999</v>
      </c>
      <c r="J893" s="6">
        <v>90.67</v>
      </c>
      <c r="K893" s="5">
        <v>21</v>
      </c>
      <c r="L893" s="13" t="str">
        <f t="shared" si="26"/>
        <v>Discount Applied</v>
      </c>
      <c r="M893" s="13" t="str">
        <f t="shared" si="27"/>
        <v>Platinum</v>
      </c>
      <c r="N893" s="13"/>
    </row>
    <row r="894" spans="1:14" x14ac:dyDescent="0.3">
      <c r="A894" s="3">
        <v>7256</v>
      </c>
      <c r="B894" s="3" t="s">
        <v>14</v>
      </c>
      <c r="C894" s="4">
        <v>45857</v>
      </c>
      <c r="D894" s="3" t="s">
        <v>28</v>
      </c>
      <c r="E894" s="3" t="s">
        <v>40</v>
      </c>
      <c r="F894" s="5">
        <v>4</v>
      </c>
      <c r="G894" s="6">
        <v>4.4400000000000004</v>
      </c>
      <c r="H894" s="6">
        <v>17.760000000000002</v>
      </c>
      <c r="I894" s="6">
        <v>2.21</v>
      </c>
      <c r="J894" s="6">
        <v>15.55</v>
      </c>
      <c r="K894" s="5">
        <v>129</v>
      </c>
      <c r="L894" s="13" t="str">
        <f t="shared" si="26"/>
        <v>Discount Applied</v>
      </c>
      <c r="M894" s="13" t="str">
        <f t="shared" si="27"/>
        <v>Bronze</v>
      </c>
      <c r="N894" s="13"/>
    </row>
    <row r="895" spans="1:14" x14ac:dyDescent="0.3">
      <c r="A895" s="3">
        <v>9641</v>
      </c>
      <c r="B895" s="3" t="s">
        <v>31</v>
      </c>
      <c r="C895" s="4">
        <v>45385</v>
      </c>
      <c r="D895" s="3" t="s">
        <v>15</v>
      </c>
      <c r="E895" s="3" t="s">
        <v>48</v>
      </c>
      <c r="F895" s="5">
        <v>5</v>
      </c>
      <c r="G895" s="6">
        <v>6.95</v>
      </c>
      <c r="H895" s="6">
        <v>34.75</v>
      </c>
      <c r="I895" s="6">
        <v>6.95</v>
      </c>
      <c r="J895" s="6">
        <v>27.8</v>
      </c>
      <c r="K895" s="5">
        <v>461</v>
      </c>
      <c r="L895" s="13" t="str">
        <f t="shared" si="26"/>
        <v>Discount Applied</v>
      </c>
      <c r="M895" s="13" t="str">
        <f t="shared" si="27"/>
        <v>Silver</v>
      </c>
      <c r="N895" s="13"/>
    </row>
    <row r="896" spans="1:14" x14ac:dyDescent="0.3">
      <c r="A896" s="3">
        <v>3655</v>
      </c>
      <c r="B896" s="3" t="s">
        <v>36</v>
      </c>
      <c r="C896" s="4">
        <v>45245</v>
      </c>
      <c r="D896" s="3" t="s">
        <v>12</v>
      </c>
      <c r="E896" s="3" t="s">
        <v>43</v>
      </c>
      <c r="F896" s="5">
        <v>2</v>
      </c>
      <c r="G896" s="6">
        <v>25.52</v>
      </c>
      <c r="H896" s="6">
        <v>51.04</v>
      </c>
      <c r="I896" s="6">
        <v>2.39</v>
      </c>
      <c r="J896" s="6">
        <v>48.65</v>
      </c>
      <c r="K896" s="5">
        <v>482</v>
      </c>
      <c r="L896" s="13" t="str">
        <f t="shared" si="26"/>
        <v>Discount Applied</v>
      </c>
      <c r="M896" s="13" t="str">
        <f t="shared" si="27"/>
        <v>Silver</v>
      </c>
      <c r="N896" s="13"/>
    </row>
    <row r="897" spans="1:14" x14ac:dyDescent="0.3">
      <c r="A897" s="3">
        <v>4271</v>
      </c>
      <c r="B897" s="3" t="s">
        <v>19</v>
      </c>
      <c r="C897" s="4">
        <v>45385</v>
      </c>
      <c r="D897" s="3" t="s">
        <v>38</v>
      </c>
      <c r="E897" s="3" t="s">
        <v>25</v>
      </c>
      <c r="F897" s="5">
        <v>5</v>
      </c>
      <c r="G897" s="6">
        <v>17.53</v>
      </c>
      <c r="H897" s="6">
        <v>87.65</v>
      </c>
      <c r="I897" s="6">
        <v>1.87</v>
      </c>
      <c r="J897" s="6">
        <v>85.78</v>
      </c>
      <c r="K897" s="5">
        <v>50</v>
      </c>
      <c r="L897" s="13" t="str">
        <f t="shared" si="26"/>
        <v>Discount Applied</v>
      </c>
      <c r="M897" s="13" t="str">
        <f t="shared" si="27"/>
        <v>Platinum</v>
      </c>
      <c r="N897" s="13"/>
    </row>
    <row r="898" spans="1:14" x14ac:dyDescent="0.3">
      <c r="A898" s="3">
        <v>5096</v>
      </c>
      <c r="B898" s="3" t="s">
        <v>42</v>
      </c>
      <c r="C898" s="4">
        <v>45644</v>
      </c>
      <c r="D898" s="3" t="s">
        <v>35</v>
      </c>
      <c r="E898" s="3" t="s">
        <v>29</v>
      </c>
      <c r="F898" s="5">
        <v>5</v>
      </c>
      <c r="G898" s="6">
        <v>1.1200000000000001</v>
      </c>
      <c r="H898" s="6">
        <v>5.6</v>
      </c>
      <c r="I898" s="6">
        <v>1.1200000000000001</v>
      </c>
      <c r="J898" s="6">
        <v>4.4800000000000004</v>
      </c>
      <c r="K898" s="5">
        <v>371</v>
      </c>
      <c r="L898" s="13" t="str">
        <f t="shared" si="26"/>
        <v>Discount Applied</v>
      </c>
      <c r="M898" s="13" t="str">
        <f t="shared" si="27"/>
        <v>Bronze</v>
      </c>
      <c r="N898" s="13"/>
    </row>
    <row r="899" spans="1:14" x14ac:dyDescent="0.3">
      <c r="A899" s="3">
        <v>8873</v>
      </c>
      <c r="B899" s="3" t="s">
        <v>14</v>
      </c>
      <c r="C899" s="4">
        <v>45776</v>
      </c>
      <c r="D899" s="3" t="s">
        <v>45</v>
      </c>
      <c r="E899" s="3" t="s">
        <v>23</v>
      </c>
      <c r="F899" s="5">
        <v>5</v>
      </c>
      <c r="G899" s="6">
        <v>6.36</v>
      </c>
      <c r="H899" s="6">
        <v>31.8</v>
      </c>
      <c r="I899" s="6">
        <v>6.36</v>
      </c>
      <c r="J899" s="6">
        <v>25.44</v>
      </c>
      <c r="K899" s="5">
        <v>344</v>
      </c>
      <c r="L899" s="13" t="str">
        <f t="shared" ref="L899:L962" si="28">IF(I899&gt;0,"Discount Applied","No Discount")</f>
        <v>Discount Applied</v>
      </c>
      <c r="M899" s="13" t="str">
        <f t="shared" ref="M899:M962" si="29">IF(J899 &gt;= 70, "Platinum",
   IF(J899 &gt;= 50, "Gold",
      IF(J899 &gt;= 20, "Silver", "Bronze")))</f>
        <v>Silver</v>
      </c>
      <c r="N899" s="13"/>
    </row>
    <row r="900" spans="1:14" x14ac:dyDescent="0.3">
      <c r="A900" s="3">
        <v>7081</v>
      </c>
      <c r="B900" s="3" t="s">
        <v>36</v>
      </c>
      <c r="C900" s="4">
        <v>45665</v>
      </c>
      <c r="D900" s="3" t="s">
        <v>20</v>
      </c>
      <c r="E900" s="3" t="s">
        <v>16</v>
      </c>
      <c r="F900" s="5">
        <v>2</v>
      </c>
      <c r="G900" s="6">
        <v>15.9</v>
      </c>
      <c r="H900" s="6">
        <v>31.8</v>
      </c>
      <c r="I900" s="6">
        <v>4.7699999999999996</v>
      </c>
      <c r="J900" s="6">
        <v>27.03</v>
      </c>
      <c r="K900" s="5">
        <v>208</v>
      </c>
      <c r="L900" s="13" t="str">
        <f t="shared" si="28"/>
        <v>Discount Applied</v>
      </c>
      <c r="M900" s="13" t="str">
        <f t="shared" si="29"/>
        <v>Silver</v>
      </c>
      <c r="N900" s="13"/>
    </row>
    <row r="901" spans="1:14" x14ac:dyDescent="0.3">
      <c r="A901" s="3">
        <v>2680</v>
      </c>
      <c r="B901" s="3" t="s">
        <v>11</v>
      </c>
      <c r="C901" s="4">
        <v>45217</v>
      </c>
      <c r="D901" s="3" t="s">
        <v>45</v>
      </c>
      <c r="E901" s="3" t="s">
        <v>48</v>
      </c>
      <c r="F901" s="5">
        <v>5</v>
      </c>
      <c r="G901" s="6">
        <v>4.93</v>
      </c>
      <c r="H901" s="6">
        <v>24.65</v>
      </c>
      <c r="I901" s="6">
        <v>0</v>
      </c>
      <c r="J901" s="6">
        <v>24.65</v>
      </c>
      <c r="K901" s="5">
        <v>390</v>
      </c>
      <c r="L901" s="13" t="str">
        <f t="shared" si="28"/>
        <v>No Discount</v>
      </c>
      <c r="M901" s="13" t="str">
        <f t="shared" si="29"/>
        <v>Silver</v>
      </c>
      <c r="N901" s="13"/>
    </row>
    <row r="902" spans="1:14" x14ac:dyDescent="0.3">
      <c r="A902" s="3">
        <v>9452</v>
      </c>
      <c r="B902" s="3" t="s">
        <v>30</v>
      </c>
      <c r="C902" s="4">
        <v>45539</v>
      </c>
      <c r="D902" s="3" t="s">
        <v>38</v>
      </c>
      <c r="E902" s="3" t="s">
        <v>40</v>
      </c>
      <c r="F902" s="5">
        <v>1</v>
      </c>
      <c r="G902" s="6">
        <v>10.51</v>
      </c>
      <c r="H902" s="6">
        <v>10.51</v>
      </c>
      <c r="I902" s="6">
        <v>1.58</v>
      </c>
      <c r="J902" s="6">
        <v>8.93</v>
      </c>
      <c r="K902" s="5">
        <v>59</v>
      </c>
      <c r="L902" s="13" t="str">
        <f t="shared" si="28"/>
        <v>Discount Applied</v>
      </c>
      <c r="M902" s="13" t="str">
        <f t="shared" si="29"/>
        <v>Bronze</v>
      </c>
      <c r="N902" s="13"/>
    </row>
    <row r="903" spans="1:14" x14ac:dyDescent="0.3">
      <c r="A903" s="3">
        <v>3042</v>
      </c>
      <c r="B903" s="3" t="s">
        <v>26</v>
      </c>
      <c r="C903" s="4">
        <v>45159</v>
      </c>
      <c r="D903" s="3" t="s">
        <v>28</v>
      </c>
      <c r="E903" s="3" t="s">
        <v>37</v>
      </c>
      <c r="F903" s="5">
        <v>4</v>
      </c>
      <c r="G903" s="6">
        <v>7.54</v>
      </c>
      <c r="H903" s="6">
        <v>30.16</v>
      </c>
      <c r="I903" s="6">
        <v>3.02</v>
      </c>
      <c r="J903" s="6">
        <v>27.14</v>
      </c>
      <c r="K903" s="5">
        <v>208</v>
      </c>
      <c r="L903" s="13" t="str">
        <f t="shared" si="28"/>
        <v>Discount Applied</v>
      </c>
      <c r="M903" s="13" t="str">
        <f t="shared" si="29"/>
        <v>Silver</v>
      </c>
      <c r="N903" s="13"/>
    </row>
    <row r="904" spans="1:14" x14ac:dyDescent="0.3">
      <c r="A904" s="3">
        <v>2374</v>
      </c>
      <c r="B904" s="3" t="s">
        <v>42</v>
      </c>
      <c r="C904" s="4">
        <v>45384</v>
      </c>
      <c r="D904" s="3" t="s">
        <v>15</v>
      </c>
      <c r="E904" s="3" t="s">
        <v>47</v>
      </c>
      <c r="F904" s="5">
        <v>3</v>
      </c>
      <c r="G904" s="6">
        <v>6.19</v>
      </c>
      <c r="H904" s="6">
        <v>18.57</v>
      </c>
      <c r="I904" s="6">
        <v>0</v>
      </c>
      <c r="J904" s="6">
        <v>18.57</v>
      </c>
      <c r="K904" s="5">
        <v>345</v>
      </c>
      <c r="L904" s="13" t="str">
        <f t="shared" si="28"/>
        <v>No Discount</v>
      </c>
      <c r="M904" s="13" t="str">
        <f t="shared" si="29"/>
        <v>Bronze</v>
      </c>
      <c r="N904" s="13"/>
    </row>
    <row r="905" spans="1:14" x14ac:dyDescent="0.3">
      <c r="A905" s="3">
        <v>3626</v>
      </c>
      <c r="B905" s="3" t="s">
        <v>11</v>
      </c>
      <c r="C905" s="4">
        <v>45311</v>
      </c>
      <c r="D905" s="3" t="s">
        <v>20</v>
      </c>
      <c r="E905" s="3" t="s">
        <v>33</v>
      </c>
      <c r="F905" s="5">
        <v>5</v>
      </c>
      <c r="G905" s="6">
        <v>20.09</v>
      </c>
      <c r="H905" s="6">
        <v>100.45</v>
      </c>
      <c r="I905" s="6">
        <v>20.09</v>
      </c>
      <c r="J905" s="6">
        <v>80.36</v>
      </c>
      <c r="K905" s="5">
        <v>43</v>
      </c>
      <c r="L905" s="13" t="str">
        <f t="shared" si="28"/>
        <v>Discount Applied</v>
      </c>
      <c r="M905" s="13" t="str">
        <f t="shared" si="29"/>
        <v>Platinum</v>
      </c>
      <c r="N905" s="13"/>
    </row>
    <row r="906" spans="1:14" x14ac:dyDescent="0.3">
      <c r="A906" s="3">
        <v>8361</v>
      </c>
      <c r="B906" s="3" t="s">
        <v>24</v>
      </c>
      <c r="C906" s="4">
        <v>45740</v>
      </c>
      <c r="D906" s="3" t="s">
        <v>20</v>
      </c>
      <c r="E906" s="3" t="s">
        <v>48</v>
      </c>
      <c r="F906" s="5">
        <v>2</v>
      </c>
      <c r="G906" s="6">
        <v>2.87</v>
      </c>
      <c r="H906" s="6">
        <v>5.74</v>
      </c>
      <c r="I906" s="6">
        <v>0.86</v>
      </c>
      <c r="J906" s="6">
        <v>4.88</v>
      </c>
      <c r="K906" s="5">
        <v>499</v>
      </c>
      <c r="L906" s="13" t="str">
        <f t="shared" si="28"/>
        <v>Discount Applied</v>
      </c>
      <c r="M906" s="13" t="str">
        <f t="shared" si="29"/>
        <v>Bronze</v>
      </c>
      <c r="N906" s="13"/>
    </row>
    <row r="907" spans="1:14" x14ac:dyDescent="0.3">
      <c r="A907" s="3">
        <v>9410</v>
      </c>
      <c r="B907" s="3" t="s">
        <v>42</v>
      </c>
      <c r="C907" s="4">
        <v>45294</v>
      </c>
      <c r="D907" s="3" t="s">
        <v>28</v>
      </c>
      <c r="E907" s="3" t="s">
        <v>32</v>
      </c>
      <c r="F907" s="5">
        <v>1</v>
      </c>
      <c r="G907" s="6">
        <v>7.74</v>
      </c>
      <c r="H907" s="6">
        <v>7.74</v>
      </c>
      <c r="I907" s="6">
        <v>1.1599999999999999</v>
      </c>
      <c r="J907" s="6">
        <v>6.58</v>
      </c>
      <c r="K907" s="5">
        <v>217</v>
      </c>
      <c r="L907" s="13" t="str">
        <f t="shared" si="28"/>
        <v>Discount Applied</v>
      </c>
      <c r="M907" s="13" t="str">
        <f t="shared" si="29"/>
        <v>Bronze</v>
      </c>
      <c r="N907" s="13"/>
    </row>
    <row r="908" spans="1:14" x14ac:dyDescent="0.3">
      <c r="A908" s="3">
        <v>8167</v>
      </c>
      <c r="B908" s="3" t="s">
        <v>30</v>
      </c>
      <c r="C908" s="4">
        <v>45251</v>
      </c>
      <c r="D908" s="3" t="s">
        <v>27</v>
      </c>
      <c r="E908" s="3" t="s">
        <v>32</v>
      </c>
      <c r="F908" s="5">
        <v>3</v>
      </c>
      <c r="G908" s="6">
        <v>14.79</v>
      </c>
      <c r="H908" s="6">
        <v>44.37</v>
      </c>
      <c r="I908" s="6">
        <v>4.4400000000000004</v>
      </c>
      <c r="J908" s="6">
        <v>39.93</v>
      </c>
      <c r="K908" s="5">
        <v>308</v>
      </c>
      <c r="L908" s="13" t="str">
        <f t="shared" si="28"/>
        <v>Discount Applied</v>
      </c>
      <c r="M908" s="13" t="str">
        <f t="shared" si="29"/>
        <v>Silver</v>
      </c>
      <c r="N908" s="13"/>
    </row>
    <row r="909" spans="1:14" x14ac:dyDescent="0.3">
      <c r="A909" s="3">
        <v>4637</v>
      </c>
      <c r="B909" s="3" t="s">
        <v>14</v>
      </c>
      <c r="C909" s="4">
        <v>45204</v>
      </c>
      <c r="D909" s="3" t="s">
        <v>35</v>
      </c>
      <c r="E909" s="3" t="s">
        <v>41</v>
      </c>
      <c r="F909" s="5">
        <v>4</v>
      </c>
      <c r="G909" s="6">
        <v>4.12</v>
      </c>
      <c r="H909" s="6">
        <v>16.48</v>
      </c>
      <c r="I909" s="6">
        <v>1.65</v>
      </c>
      <c r="J909" s="6">
        <v>14.83</v>
      </c>
      <c r="K909" s="5">
        <v>128</v>
      </c>
      <c r="L909" s="13" t="str">
        <f t="shared" si="28"/>
        <v>Discount Applied</v>
      </c>
      <c r="M909" s="13" t="str">
        <f t="shared" si="29"/>
        <v>Bronze</v>
      </c>
      <c r="N909" s="13"/>
    </row>
    <row r="910" spans="1:14" x14ac:dyDescent="0.3">
      <c r="A910" s="3">
        <v>8391</v>
      </c>
      <c r="B910" s="3" t="s">
        <v>42</v>
      </c>
      <c r="C910" s="4">
        <v>45800</v>
      </c>
      <c r="D910" s="3" t="s">
        <v>27</v>
      </c>
      <c r="E910" s="3" t="s">
        <v>41</v>
      </c>
      <c r="F910" s="5">
        <v>1</v>
      </c>
      <c r="G910" s="6">
        <v>3.88</v>
      </c>
      <c r="H910" s="6">
        <v>3.88</v>
      </c>
      <c r="I910" s="6">
        <v>0.39</v>
      </c>
      <c r="J910" s="6">
        <v>3.49</v>
      </c>
      <c r="K910" s="5">
        <v>27</v>
      </c>
      <c r="L910" s="13" t="str">
        <f t="shared" si="28"/>
        <v>Discount Applied</v>
      </c>
      <c r="M910" s="13" t="str">
        <f t="shared" si="29"/>
        <v>Bronze</v>
      </c>
      <c r="N910" s="13"/>
    </row>
    <row r="911" spans="1:14" x14ac:dyDescent="0.3">
      <c r="A911" s="3">
        <v>6727</v>
      </c>
      <c r="B911" s="3" t="s">
        <v>31</v>
      </c>
      <c r="C911" s="4">
        <v>45539</v>
      </c>
      <c r="D911" s="3" t="s">
        <v>34</v>
      </c>
      <c r="E911" s="3" t="s">
        <v>32</v>
      </c>
      <c r="F911" s="5">
        <v>5</v>
      </c>
      <c r="G911" s="6">
        <v>20.69</v>
      </c>
      <c r="H911" s="6">
        <v>103.45</v>
      </c>
      <c r="I911" s="6">
        <v>3.49</v>
      </c>
      <c r="J911" s="6">
        <v>99.96</v>
      </c>
      <c r="K911" s="5">
        <v>78</v>
      </c>
      <c r="L911" s="13" t="str">
        <f t="shared" si="28"/>
        <v>Discount Applied</v>
      </c>
      <c r="M911" s="13" t="str">
        <f t="shared" si="29"/>
        <v>Platinum</v>
      </c>
      <c r="N911" s="13"/>
    </row>
    <row r="912" spans="1:14" x14ac:dyDescent="0.3">
      <c r="A912" s="3">
        <v>1436</v>
      </c>
      <c r="B912" s="3" t="s">
        <v>11</v>
      </c>
      <c r="C912" s="4">
        <v>45793</v>
      </c>
      <c r="D912" s="3" t="s">
        <v>27</v>
      </c>
      <c r="E912" s="3" t="s">
        <v>46</v>
      </c>
      <c r="F912" s="5">
        <v>4</v>
      </c>
      <c r="G912" s="6">
        <v>23.98</v>
      </c>
      <c r="H912" s="6">
        <v>95.92</v>
      </c>
      <c r="I912" s="6">
        <v>0</v>
      </c>
      <c r="J912" s="6">
        <v>95.92</v>
      </c>
      <c r="K912" s="5">
        <v>103</v>
      </c>
      <c r="L912" s="13" t="str">
        <f t="shared" si="28"/>
        <v>No Discount</v>
      </c>
      <c r="M912" s="13" t="str">
        <f t="shared" si="29"/>
        <v>Platinum</v>
      </c>
      <c r="N912" s="13"/>
    </row>
    <row r="913" spans="1:14" x14ac:dyDescent="0.3">
      <c r="A913" s="3">
        <v>1872</v>
      </c>
      <c r="B913" s="3" t="s">
        <v>26</v>
      </c>
      <c r="C913" s="4">
        <v>45174</v>
      </c>
      <c r="D913" s="3" t="s">
        <v>45</v>
      </c>
      <c r="E913" s="3" t="s">
        <v>46</v>
      </c>
      <c r="F913" s="5">
        <v>3</v>
      </c>
      <c r="G913" s="6">
        <v>16.72</v>
      </c>
      <c r="H913" s="6">
        <v>50.16</v>
      </c>
      <c r="I913" s="6">
        <v>4.96</v>
      </c>
      <c r="J913" s="6">
        <v>45.2</v>
      </c>
      <c r="K913" s="5">
        <v>414</v>
      </c>
      <c r="L913" s="13" t="str">
        <f t="shared" si="28"/>
        <v>Discount Applied</v>
      </c>
      <c r="M913" s="13" t="str">
        <f t="shared" si="29"/>
        <v>Silver</v>
      </c>
      <c r="N913" s="13"/>
    </row>
    <row r="914" spans="1:14" x14ac:dyDescent="0.3">
      <c r="A914" s="3">
        <v>9224</v>
      </c>
      <c r="B914" s="3" t="s">
        <v>11</v>
      </c>
      <c r="C914" s="4">
        <v>45825</v>
      </c>
      <c r="D914" s="3" t="s">
        <v>20</v>
      </c>
      <c r="E914" s="3" t="s">
        <v>33</v>
      </c>
      <c r="F914" s="5">
        <v>3</v>
      </c>
      <c r="G914" s="6">
        <v>25.72</v>
      </c>
      <c r="H914" s="6">
        <v>77.16</v>
      </c>
      <c r="I914" s="6">
        <v>1.1299999999999999</v>
      </c>
      <c r="J914" s="6">
        <v>76.03</v>
      </c>
      <c r="K914" s="5">
        <v>226</v>
      </c>
      <c r="L914" s="13" t="str">
        <f t="shared" si="28"/>
        <v>Discount Applied</v>
      </c>
      <c r="M914" s="13" t="str">
        <f t="shared" si="29"/>
        <v>Platinum</v>
      </c>
      <c r="N914" s="13"/>
    </row>
    <row r="915" spans="1:14" x14ac:dyDescent="0.3">
      <c r="A915" s="3">
        <v>4862</v>
      </c>
      <c r="B915" s="3" t="s">
        <v>14</v>
      </c>
      <c r="C915" s="4">
        <v>45608</v>
      </c>
      <c r="D915" s="3" t="s">
        <v>27</v>
      </c>
      <c r="E915" s="3" t="s">
        <v>37</v>
      </c>
      <c r="F915" s="5">
        <v>2</v>
      </c>
      <c r="G915" s="6">
        <v>15.24</v>
      </c>
      <c r="H915" s="6">
        <v>30.48</v>
      </c>
      <c r="I915" s="6">
        <v>0</v>
      </c>
      <c r="J915" s="6">
        <v>30.48</v>
      </c>
      <c r="K915" s="5">
        <v>68</v>
      </c>
      <c r="L915" s="13" t="str">
        <f t="shared" si="28"/>
        <v>No Discount</v>
      </c>
      <c r="M915" s="13" t="str">
        <f t="shared" si="29"/>
        <v>Silver</v>
      </c>
      <c r="N915" s="13"/>
    </row>
    <row r="916" spans="1:14" x14ac:dyDescent="0.3">
      <c r="A916" s="3">
        <v>2337</v>
      </c>
      <c r="B916" s="3" t="s">
        <v>24</v>
      </c>
      <c r="C916" s="4">
        <v>45264</v>
      </c>
      <c r="D916" s="3" t="s">
        <v>45</v>
      </c>
      <c r="E916" s="3" t="s">
        <v>48</v>
      </c>
      <c r="F916" s="5">
        <v>5</v>
      </c>
      <c r="G916" s="6">
        <v>20.57</v>
      </c>
      <c r="H916" s="6">
        <v>102.85</v>
      </c>
      <c r="I916" s="6">
        <v>10.29</v>
      </c>
      <c r="J916" s="6">
        <v>92.56</v>
      </c>
      <c r="K916" s="5">
        <v>337</v>
      </c>
      <c r="L916" s="13" t="str">
        <f t="shared" si="28"/>
        <v>Discount Applied</v>
      </c>
      <c r="M916" s="13" t="str">
        <f t="shared" si="29"/>
        <v>Platinum</v>
      </c>
      <c r="N916" s="13"/>
    </row>
    <row r="917" spans="1:14" x14ac:dyDescent="0.3">
      <c r="A917" s="3">
        <v>4678</v>
      </c>
      <c r="B917" s="3" t="s">
        <v>14</v>
      </c>
      <c r="C917" s="4">
        <v>45285</v>
      </c>
      <c r="D917" s="3" t="s">
        <v>34</v>
      </c>
      <c r="E917" s="3" t="s">
        <v>46</v>
      </c>
      <c r="F917" s="5">
        <v>1</v>
      </c>
      <c r="G917" s="6">
        <v>12.34</v>
      </c>
      <c r="H917" s="6">
        <v>12.34</v>
      </c>
      <c r="I917" s="6">
        <v>3.71</v>
      </c>
      <c r="J917" s="6">
        <v>8.6300000000000008</v>
      </c>
      <c r="K917" s="5">
        <v>253</v>
      </c>
      <c r="L917" s="13" t="str">
        <f t="shared" si="28"/>
        <v>Discount Applied</v>
      </c>
      <c r="M917" s="13" t="str">
        <f t="shared" si="29"/>
        <v>Bronze</v>
      </c>
      <c r="N917" s="13"/>
    </row>
    <row r="918" spans="1:14" x14ac:dyDescent="0.3">
      <c r="A918" s="3">
        <v>6221</v>
      </c>
      <c r="B918" s="3" t="s">
        <v>30</v>
      </c>
      <c r="C918" s="4">
        <v>45705</v>
      </c>
      <c r="D918" s="3" t="s">
        <v>22</v>
      </c>
      <c r="E918" s="3" t="s">
        <v>40</v>
      </c>
      <c r="F918" s="5">
        <v>1</v>
      </c>
      <c r="G918" s="6">
        <v>18.11</v>
      </c>
      <c r="H918" s="6">
        <v>18.11</v>
      </c>
      <c r="I918" s="6">
        <v>2.72</v>
      </c>
      <c r="J918" s="6">
        <v>15.39</v>
      </c>
      <c r="K918" s="5">
        <v>65</v>
      </c>
      <c r="L918" s="13" t="str">
        <f t="shared" si="28"/>
        <v>Discount Applied</v>
      </c>
      <c r="M918" s="13" t="str">
        <f t="shared" si="29"/>
        <v>Bronze</v>
      </c>
      <c r="N918" s="13"/>
    </row>
    <row r="919" spans="1:14" x14ac:dyDescent="0.3">
      <c r="A919" s="3">
        <v>2623</v>
      </c>
      <c r="B919" s="3" t="s">
        <v>31</v>
      </c>
      <c r="C919" s="4">
        <v>45178</v>
      </c>
      <c r="D919" s="3" t="s">
        <v>27</v>
      </c>
      <c r="E919" s="3" t="s">
        <v>21</v>
      </c>
      <c r="F919" s="5">
        <v>4</v>
      </c>
      <c r="G919" s="6">
        <v>3.81</v>
      </c>
      <c r="H919" s="6">
        <v>15.24</v>
      </c>
      <c r="I919" s="6">
        <v>1.52</v>
      </c>
      <c r="J919" s="6">
        <v>13.72</v>
      </c>
      <c r="K919" s="5">
        <v>176</v>
      </c>
      <c r="L919" s="13" t="str">
        <f t="shared" si="28"/>
        <v>Discount Applied</v>
      </c>
      <c r="M919" s="13" t="str">
        <f t="shared" si="29"/>
        <v>Bronze</v>
      </c>
      <c r="N919" s="13"/>
    </row>
    <row r="920" spans="1:14" x14ac:dyDescent="0.3">
      <c r="A920" s="3">
        <v>6493</v>
      </c>
      <c r="B920" s="3" t="s">
        <v>36</v>
      </c>
      <c r="C920" s="4">
        <v>45427</v>
      </c>
      <c r="D920" s="3" t="s">
        <v>12</v>
      </c>
      <c r="E920" s="3" t="s">
        <v>25</v>
      </c>
      <c r="F920" s="5">
        <v>2</v>
      </c>
      <c r="G920" s="6">
        <v>7.79</v>
      </c>
      <c r="H920" s="6">
        <v>15.58</v>
      </c>
      <c r="I920" s="6">
        <v>0</v>
      </c>
      <c r="J920" s="6">
        <v>15.58</v>
      </c>
      <c r="K920" s="5">
        <v>159</v>
      </c>
      <c r="L920" s="13" t="str">
        <f t="shared" si="28"/>
        <v>No Discount</v>
      </c>
      <c r="M920" s="13" t="str">
        <f t="shared" si="29"/>
        <v>Bronze</v>
      </c>
      <c r="N920" s="13"/>
    </row>
    <row r="921" spans="1:14" x14ac:dyDescent="0.3">
      <c r="A921" s="3">
        <v>3392</v>
      </c>
      <c r="B921" s="3" t="s">
        <v>11</v>
      </c>
      <c r="C921" s="4">
        <v>45490</v>
      </c>
      <c r="D921" s="3" t="s">
        <v>35</v>
      </c>
      <c r="E921" s="3" t="s">
        <v>48</v>
      </c>
      <c r="F921" s="5">
        <v>3</v>
      </c>
      <c r="G921" s="6">
        <v>5.91</v>
      </c>
      <c r="H921" s="6">
        <v>17.73</v>
      </c>
      <c r="I921" s="6">
        <v>2.84</v>
      </c>
      <c r="J921" s="6">
        <v>14.89</v>
      </c>
      <c r="K921" s="5">
        <v>275</v>
      </c>
      <c r="L921" s="13" t="str">
        <f t="shared" si="28"/>
        <v>Discount Applied</v>
      </c>
      <c r="M921" s="13" t="str">
        <f t="shared" si="29"/>
        <v>Bronze</v>
      </c>
      <c r="N921" s="13"/>
    </row>
    <row r="922" spans="1:14" x14ac:dyDescent="0.3">
      <c r="A922" s="3">
        <v>1627</v>
      </c>
      <c r="B922" s="3" t="s">
        <v>24</v>
      </c>
      <c r="C922" s="4">
        <v>45729</v>
      </c>
      <c r="D922" s="3" t="s">
        <v>28</v>
      </c>
      <c r="E922" s="3" t="s">
        <v>46</v>
      </c>
      <c r="F922" s="5">
        <v>4</v>
      </c>
      <c r="G922" s="6">
        <v>8.7200000000000006</v>
      </c>
      <c r="H922" s="6">
        <v>34.880000000000003</v>
      </c>
      <c r="I922" s="6">
        <v>1.0900000000000001</v>
      </c>
      <c r="J922" s="6">
        <v>33.79</v>
      </c>
      <c r="K922" s="5">
        <v>356</v>
      </c>
      <c r="L922" s="13" t="str">
        <f t="shared" si="28"/>
        <v>Discount Applied</v>
      </c>
      <c r="M922" s="13" t="str">
        <f t="shared" si="29"/>
        <v>Silver</v>
      </c>
      <c r="N922" s="13"/>
    </row>
    <row r="923" spans="1:14" x14ac:dyDescent="0.3">
      <c r="A923" s="3">
        <v>8740</v>
      </c>
      <c r="B923" s="3" t="s">
        <v>36</v>
      </c>
      <c r="C923" s="4">
        <v>45326</v>
      </c>
      <c r="D923" s="3" t="s">
        <v>20</v>
      </c>
      <c r="E923" s="3" t="s">
        <v>32</v>
      </c>
      <c r="F923" s="5">
        <v>3</v>
      </c>
      <c r="G923" s="6">
        <v>17.59</v>
      </c>
      <c r="H923" s="6">
        <v>52.77</v>
      </c>
      <c r="I923" s="6">
        <v>3.76</v>
      </c>
      <c r="J923" s="6">
        <v>49.01</v>
      </c>
      <c r="K923" s="5">
        <v>413</v>
      </c>
      <c r="L923" s="13" t="str">
        <f t="shared" si="28"/>
        <v>Discount Applied</v>
      </c>
      <c r="M923" s="13" t="str">
        <f t="shared" si="29"/>
        <v>Silver</v>
      </c>
      <c r="N923" s="13"/>
    </row>
    <row r="924" spans="1:14" x14ac:dyDescent="0.3">
      <c r="A924" s="3">
        <v>3273</v>
      </c>
      <c r="B924" s="3" t="s">
        <v>42</v>
      </c>
      <c r="C924" s="4">
        <v>45330</v>
      </c>
      <c r="D924" s="3" t="s">
        <v>22</v>
      </c>
      <c r="E924" s="3" t="s">
        <v>47</v>
      </c>
      <c r="F924" s="5">
        <v>5</v>
      </c>
      <c r="G924" s="6">
        <v>24.52</v>
      </c>
      <c r="H924" s="6">
        <v>122.6</v>
      </c>
      <c r="I924" s="6">
        <v>24.52</v>
      </c>
      <c r="J924" s="6">
        <v>98.08</v>
      </c>
      <c r="K924" s="5">
        <v>341</v>
      </c>
      <c r="L924" s="13" t="str">
        <f t="shared" si="28"/>
        <v>Discount Applied</v>
      </c>
      <c r="M924" s="13" t="str">
        <f t="shared" si="29"/>
        <v>Platinum</v>
      </c>
      <c r="N924" s="13"/>
    </row>
    <row r="925" spans="1:14" x14ac:dyDescent="0.3">
      <c r="A925" s="3">
        <v>8685</v>
      </c>
      <c r="B925" s="3" t="s">
        <v>30</v>
      </c>
      <c r="C925" s="4">
        <v>45773</v>
      </c>
      <c r="D925" s="3" t="s">
        <v>22</v>
      </c>
      <c r="E925" s="3" t="s">
        <v>16</v>
      </c>
      <c r="F925" s="5">
        <v>2</v>
      </c>
      <c r="G925" s="6">
        <v>15.4</v>
      </c>
      <c r="H925" s="6">
        <v>30.8</v>
      </c>
      <c r="I925" s="6">
        <v>1.86</v>
      </c>
      <c r="J925" s="6">
        <v>28.94</v>
      </c>
      <c r="K925" s="5">
        <v>433</v>
      </c>
      <c r="L925" s="13" t="str">
        <f t="shared" si="28"/>
        <v>Discount Applied</v>
      </c>
      <c r="M925" s="13" t="str">
        <f t="shared" si="29"/>
        <v>Silver</v>
      </c>
      <c r="N925" s="13"/>
    </row>
    <row r="926" spans="1:14" x14ac:dyDescent="0.3">
      <c r="A926" s="3">
        <v>1086</v>
      </c>
      <c r="B926" s="3" t="s">
        <v>30</v>
      </c>
      <c r="C926" s="4">
        <v>45847</v>
      </c>
      <c r="D926" s="3" t="s">
        <v>12</v>
      </c>
      <c r="E926" s="3" t="s">
        <v>37</v>
      </c>
      <c r="F926" s="5">
        <v>5</v>
      </c>
      <c r="G926" s="6">
        <v>12.65</v>
      </c>
      <c r="H926" s="6">
        <v>63.25</v>
      </c>
      <c r="I926" s="6">
        <v>0</v>
      </c>
      <c r="J926" s="6">
        <v>63.25</v>
      </c>
      <c r="K926" s="5">
        <v>115</v>
      </c>
      <c r="L926" s="13" t="str">
        <f t="shared" si="28"/>
        <v>No Discount</v>
      </c>
      <c r="M926" s="13" t="str">
        <f t="shared" si="29"/>
        <v>Gold</v>
      </c>
      <c r="N926" s="13"/>
    </row>
    <row r="927" spans="1:14" x14ac:dyDescent="0.3">
      <c r="A927" s="3">
        <v>2298</v>
      </c>
      <c r="B927" s="3" t="s">
        <v>11</v>
      </c>
      <c r="C927" s="4">
        <v>45430</v>
      </c>
      <c r="D927" s="3" t="s">
        <v>28</v>
      </c>
      <c r="E927" s="3" t="s">
        <v>21</v>
      </c>
      <c r="F927" s="5">
        <v>3</v>
      </c>
      <c r="G927" s="6">
        <v>2.94</v>
      </c>
      <c r="H927" s="6">
        <v>8.82</v>
      </c>
      <c r="I927" s="6">
        <v>0.88</v>
      </c>
      <c r="J927" s="6">
        <v>7.94</v>
      </c>
      <c r="K927" s="5">
        <v>410</v>
      </c>
      <c r="L927" s="13" t="str">
        <f t="shared" si="28"/>
        <v>Discount Applied</v>
      </c>
      <c r="M927" s="13" t="str">
        <f t="shared" si="29"/>
        <v>Bronze</v>
      </c>
      <c r="N927" s="13"/>
    </row>
    <row r="928" spans="1:14" x14ac:dyDescent="0.3">
      <c r="A928" s="3">
        <v>3449</v>
      </c>
      <c r="B928" s="3" t="s">
        <v>42</v>
      </c>
      <c r="C928" s="4">
        <v>45503</v>
      </c>
      <c r="D928" s="3" t="s">
        <v>22</v>
      </c>
      <c r="E928" s="3" t="s">
        <v>43</v>
      </c>
      <c r="F928" s="5">
        <v>3</v>
      </c>
      <c r="G928" s="6">
        <v>15.62</v>
      </c>
      <c r="H928" s="6">
        <v>46.86</v>
      </c>
      <c r="I928" s="6">
        <v>0</v>
      </c>
      <c r="J928" s="6">
        <v>46.86</v>
      </c>
      <c r="K928" s="5">
        <v>153</v>
      </c>
      <c r="L928" s="13" t="str">
        <f t="shared" si="28"/>
        <v>No Discount</v>
      </c>
      <c r="M928" s="13" t="str">
        <f t="shared" si="29"/>
        <v>Silver</v>
      </c>
      <c r="N928" s="13"/>
    </row>
    <row r="929" spans="1:14" x14ac:dyDescent="0.3">
      <c r="A929" s="3">
        <v>9647</v>
      </c>
      <c r="B929" s="3" t="s">
        <v>14</v>
      </c>
      <c r="C929" s="4">
        <v>45749</v>
      </c>
      <c r="D929" s="3" t="s">
        <v>22</v>
      </c>
      <c r="E929" s="3" t="s">
        <v>44</v>
      </c>
      <c r="F929" s="5">
        <v>4</v>
      </c>
      <c r="G929" s="6">
        <v>12.66</v>
      </c>
      <c r="H929" s="6">
        <v>50.64</v>
      </c>
      <c r="I929" s="6">
        <v>0</v>
      </c>
      <c r="J929" s="6">
        <v>50.64</v>
      </c>
      <c r="K929" s="5">
        <v>319</v>
      </c>
      <c r="L929" s="13" t="str">
        <f t="shared" si="28"/>
        <v>No Discount</v>
      </c>
      <c r="M929" s="13" t="str">
        <f t="shared" si="29"/>
        <v>Gold</v>
      </c>
      <c r="N929" s="13"/>
    </row>
    <row r="930" spans="1:14" x14ac:dyDescent="0.3">
      <c r="A930" s="3">
        <v>2821</v>
      </c>
      <c r="B930" s="3" t="s">
        <v>14</v>
      </c>
      <c r="C930" s="4">
        <v>45535</v>
      </c>
      <c r="D930" s="3" t="s">
        <v>34</v>
      </c>
      <c r="E930" s="3" t="s">
        <v>39</v>
      </c>
      <c r="F930" s="5">
        <v>5</v>
      </c>
      <c r="G930" s="6">
        <v>26.01</v>
      </c>
      <c r="H930" s="6">
        <v>130.05000000000001</v>
      </c>
      <c r="I930" s="6">
        <v>26.01</v>
      </c>
      <c r="J930" s="6">
        <v>104.04</v>
      </c>
      <c r="K930" s="5">
        <v>295</v>
      </c>
      <c r="L930" s="13" t="str">
        <f t="shared" si="28"/>
        <v>Discount Applied</v>
      </c>
      <c r="M930" s="13" t="str">
        <f t="shared" si="29"/>
        <v>Platinum</v>
      </c>
      <c r="N930" s="13"/>
    </row>
    <row r="931" spans="1:14" x14ac:dyDescent="0.3">
      <c r="A931" s="3">
        <v>5934</v>
      </c>
      <c r="B931" s="3" t="s">
        <v>26</v>
      </c>
      <c r="C931" s="4">
        <v>45470</v>
      </c>
      <c r="D931" s="3" t="s">
        <v>35</v>
      </c>
      <c r="E931" s="3" t="s">
        <v>18</v>
      </c>
      <c r="F931" s="5">
        <v>5</v>
      </c>
      <c r="G931" s="6">
        <v>25.72</v>
      </c>
      <c r="H931" s="6">
        <v>128.6</v>
      </c>
      <c r="I931" s="6">
        <v>3.91</v>
      </c>
      <c r="J931" s="6">
        <v>124.69</v>
      </c>
      <c r="K931" s="5">
        <v>464</v>
      </c>
      <c r="L931" s="13" t="str">
        <f t="shared" si="28"/>
        <v>Discount Applied</v>
      </c>
      <c r="M931" s="13" t="str">
        <f t="shared" si="29"/>
        <v>Platinum</v>
      </c>
      <c r="N931" s="13"/>
    </row>
    <row r="932" spans="1:14" x14ac:dyDescent="0.3">
      <c r="A932" s="3">
        <v>1782</v>
      </c>
      <c r="B932" s="3" t="s">
        <v>31</v>
      </c>
      <c r="C932" s="4">
        <v>45779</v>
      </c>
      <c r="D932" s="3" t="s">
        <v>38</v>
      </c>
      <c r="E932" s="3" t="s">
        <v>44</v>
      </c>
      <c r="F932" s="5">
        <v>3</v>
      </c>
      <c r="G932" s="6">
        <v>14.4</v>
      </c>
      <c r="H932" s="6">
        <v>43.2</v>
      </c>
      <c r="I932" s="6">
        <v>0</v>
      </c>
      <c r="J932" s="6">
        <v>43.2</v>
      </c>
      <c r="K932" s="5">
        <v>123</v>
      </c>
      <c r="L932" s="13" t="str">
        <f t="shared" si="28"/>
        <v>No Discount</v>
      </c>
      <c r="M932" s="13" t="str">
        <f t="shared" si="29"/>
        <v>Silver</v>
      </c>
      <c r="N932" s="13"/>
    </row>
    <row r="933" spans="1:14" x14ac:dyDescent="0.3">
      <c r="A933" s="3">
        <v>7878</v>
      </c>
      <c r="B933" s="3" t="s">
        <v>30</v>
      </c>
      <c r="C933" s="4">
        <v>45767</v>
      </c>
      <c r="D933" s="3" t="s">
        <v>20</v>
      </c>
      <c r="E933" s="3" t="s">
        <v>16</v>
      </c>
      <c r="F933" s="5">
        <v>3</v>
      </c>
      <c r="G933" s="6">
        <v>25.94</v>
      </c>
      <c r="H933" s="6">
        <v>77.819999999999993</v>
      </c>
      <c r="I933" s="6">
        <v>0</v>
      </c>
      <c r="J933" s="6">
        <v>77.819999999999993</v>
      </c>
      <c r="K933" s="5">
        <v>466</v>
      </c>
      <c r="L933" s="13" t="str">
        <f t="shared" si="28"/>
        <v>No Discount</v>
      </c>
      <c r="M933" s="13" t="str">
        <f t="shared" si="29"/>
        <v>Platinum</v>
      </c>
      <c r="N933" s="13"/>
    </row>
    <row r="934" spans="1:14" x14ac:dyDescent="0.3">
      <c r="A934" s="3">
        <v>8489</v>
      </c>
      <c r="B934" s="3" t="s">
        <v>42</v>
      </c>
      <c r="C934" s="4">
        <v>45823</v>
      </c>
      <c r="D934" s="3" t="s">
        <v>20</v>
      </c>
      <c r="E934" s="3" t="s">
        <v>13</v>
      </c>
      <c r="F934" s="5">
        <v>3</v>
      </c>
      <c r="G934" s="6">
        <v>19.73</v>
      </c>
      <c r="H934" s="6">
        <v>59.19</v>
      </c>
      <c r="I934" s="6">
        <v>5.92</v>
      </c>
      <c r="J934" s="6">
        <v>53.27</v>
      </c>
      <c r="K934" s="5">
        <v>131</v>
      </c>
      <c r="L934" s="13" t="str">
        <f t="shared" si="28"/>
        <v>Discount Applied</v>
      </c>
      <c r="M934" s="13" t="str">
        <f t="shared" si="29"/>
        <v>Gold</v>
      </c>
      <c r="N934" s="13"/>
    </row>
    <row r="935" spans="1:14" x14ac:dyDescent="0.3">
      <c r="A935" s="3">
        <v>9189</v>
      </c>
      <c r="B935" s="3" t="s">
        <v>42</v>
      </c>
      <c r="C935" s="4">
        <v>45185</v>
      </c>
      <c r="D935" s="3" t="s">
        <v>15</v>
      </c>
      <c r="E935" s="3" t="s">
        <v>41</v>
      </c>
      <c r="F935" s="5">
        <v>2</v>
      </c>
      <c r="G935" s="6">
        <v>1.79</v>
      </c>
      <c r="H935" s="6">
        <v>3.58</v>
      </c>
      <c r="I935" s="6">
        <v>0.36</v>
      </c>
      <c r="J935" s="6">
        <v>3.22</v>
      </c>
      <c r="K935" s="5">
        <v>408</v>
      </c>
      <c r="L935" s="13" t="str">
        <f t="shared" si="28"/>
        <v>Discount Applied</v>
      </c>
      <c r="M935" s="13" t="str">
        <f t="shared" si="29"/>
        <v>Bronze</v>
      </c>
      <c r="N935" s="13"/>
    </row>
    <row r="936" spans="1:14" x14ac:dyDescent="0.3">
      <c r="A936" s="3">
        <v>9782</v>
      </c>
      <c r="B936" s="3" t="s">
        <v>26</v>
      </c>
      <c r="C936" s="4">
        <v>45823</v>
      </c>
      <c r="D936" s="3" t="s">
        <v>38</v>
      </c>
      <c r="E936" s="3" t="s">
        <v>16</v>
      </c>
      <c r="F936" s="5">
        <v>4</v>
      </c>
      <c r="G936" s="6">
        <v>19.75</v>
      </c>
      <c r="H936" s="6">
        <v>79</v>
      </c>
      <c r="I936" s="6">
        <v>15.8</v>
      </c>
      <c r="J936" s="6">
        <v>63.2</v>
      </c>
      <c r="K936" s="5">
        <v>18</v>
      </c>
      <c r="L936" s="13" t="str">
        <f t="shared" si="28"/>
        <v>Discount Applied</v>
      </c>
      <c r="M936" s="13" t="str">
        <f t="shared" si="29"/>
        <v>Gold</v>
      </c>
      <c r="N936" s="13"/>
    </row>
    <row r="937" spans="1:14" x14ac:dyDescent="0.3">
      <c r="A937" s="3">
        <v>9443</v>
      </c>
      <c r="B937" s="3" t="s">
        <v>30</v>
      </c>
      <c r="C937" s="4">
        <v>45575</v>
      </c>
      <c r="D937" s="3" t="s">
        <v>34</v>
      </c>
      <c r="E937" s="3" t="s">
        <v>39</v>
      </c>
      <c r="F937" s="5">
        <v>3</v>
      </c>
      <c r="G937" s="6">
        <v>23.89</v>
      </c>
      <c r="H937" s="6">
        <v>71.67</v>
      </c>
      <c r="I937" s="6">
        <v>0</v>
      </c>
      <c r="J937" s="6">
        <v>71.67</v>
      </c>
      <c r="K937" s="5">
        <v>142</v>
      </c>
      <c r="L937" s="13" t="str">
        <f t="shared" si="28"/>
        <v>No Discount</v>
      </c>
      <c r="M937" s="13" t="str">
        <f t="shared" si="29"/>
        <v>Platinum</v>
      </c>
      <c r="N937" s="13"/>
    </row>
    <row r="938" spans="1:14" x14ac:dyDescent="0.3">
      <c r="A938" s="3">
        <v>4963</v>
      </c>
      <c r="B938" s="3" t="s">
        <v>31</v>
      </c>
      <c r="C938" s="4">
        <v>45697</v>
      </c>
      <c r="D938" s="3" t="s">
        <v>45</v>
      </c>
      <c r="E938" s="3" t="s">
        <v>39</v>
      </c>
      <c r="F938" s="5">
        <v>1</v>
      </c>
      <c r="G938" s="6">
        <v>25.92</v>
      </c>
      <c r="H938" s="6">
        <v>25.92</v>
      </c>
      <c r="I938" s="6">
        <v>2.19</v>
      </c>
      <c r="J938" s="6">
        <v>23.73</v>
      </c>
      <c r="K938" s="5">
        <v>42</v>
      </c>
      <c r="L938" s="13" t="str">
        <f t="shared" si="28"/>
        <v>Discount Applied</v>
      </c>
      <c r="M938" s="13" t="str">
        <f t="shared" si="29"/>
        <v>Silver</v>
      </c>
      <c r="N938" s="13"/>
    </row>
    <row r="939" spans="1:14" x14ac:dyDescent="0.3">
      <c r="A939" s="3">
        <v>3352</v>
      </c>
      <c r="B939" s="3" t="s">
        <v>11</v>
      </c>
      <c r="C939" s="4">
        <v>45806</v>
      </c>
      <c r="D939" s="3" t="s">
        <v>20</v>
      </c>
      <c r="E939" s="3" t="s">
        <v>23</v>
      </c>
      <c r="F939" s="5">
        <v>1</v>
      </c>
      <c r="G939" s="6">
        <v>12.5</v>
      </c>
      <c r="H939" s="6">
        <v>12.5</v>
      </c>
      <c r="I939" s="6">
        <v>2.5</v>
      </c>
      <c r="J939" s="6">
        <v>10</v>
      </c>
      <c r="K939" s="5">
        <v>429</v>
      </c>
      <c r="L939" s="13" t="str">
        <f t="shared" si="28"/>
        <v>Discount Applied</v>
      </c>
      <c r="M939" s="13" t="str">
        <f t="shared" si="29"/>
        <v>Bronze</v>
      </c>
      <c r="N939" s="13"/>
    </row>
    <row r="940" spans="1:14" x14ac:dyDescent="0.3">
      <c r="A940" s="3">
        <v>8032</v>
      </c>
      <c r="B940" s="3" t="s">
        <v>11</v>
      </c>
      <c r="C940" s="4">
        <v>45366</v>
      </c>
      <c r="D940" s="3" t="s">
        <v>28</v>
      </c>
      <c r="E940" s="3" t="s">
        <v>46</v>
      </c>
      <c r="F940" s="5">
        <v>1</v>
      </c>
      <c r="G940" s="6">
        <v>16.13</v>
      </c>
      <c r="H940" s="6">
        <v>16.13</v>
      </c>
      <c r="I940" s="6">
        <v>1.61</v>
      </c>
      <c r="J940" s="6">
        <v>14.52</v>
      </c>
      <c r="K940" s="5">
        <v>424</v>
      </c>
      <c r="L940" s="13" t="str">
        <f t="shared" si="28"/>
        <v>Discount Applied</v>
      </c>
      <c r="M940" s="13" t="str">
        <f t="shared" si="29"/>
        <v>Bronze</v>
      </c>
      <c r="N940" s="13"/>
    </row>
    <row r="941" spans="1:14" x14ac:dyDescent="0.3">
      <c r="A941" s="3">
        <v>6780</v>
      </c>
      <c r="B941" s="3" t="s">
        <v>11</v>
      </c>
      <c r="C941" s="4">
        <v>45737</v>
      </c>
      <c r="D941" s="3" t="s">
        <v>17</v>
      </c>
      <c r="E941" s="3" t="s">
        <v>48</v>
      </c>
      <c r="F941" s="5">
        <v>3</v>
      </c>
      <c r="G941" s="6">
        <v>10.54</v>
      </c>
      <c r="H941" s="6">
        <v>31.62</v>
      </c>
      <c r="I941" s="6">
        <v>0</v>
      </c>
      <c r="J941" s="6">
        <v>31.62</v>
      </c>
      <c r="K941" s="5">
        <v>299</v>
      </c>
      <c r="L941" s="13" t="str">
        <f t="shared" si="28"/>
        <v>No Discount</v>
      </c>
      <c r="M941" s="13" t="str">
        <f t="shared" si="29"/>
        <v>Silver</v>
      </c>
      <c r="N941" s="13"/>
    </row>
    <row r="942" spans="1:14" x14ac:dyDescent="0.3">
      <c r="A942" s="3">
        <v>7825</v>
      </c>
      <c r="B942" s="3" t="s">
        <v>42</v>
      </c>
      <c r="C942" s="4">
        <v>45356</v>
      </c>
      <c r="D942" s="3" t="s">
        <v>20</v>
      </c>
      <c r="E942" s="3" t="s">
        <v>44</v>
      </c>
      <c r="F942" s="5">
        <v>2</v>
      </c>
      <c r="G942" s="6">
        <v>4.09</v>
      </c>
      <c r="H942" s="6">
        <v>8.18</v>
      </c>
      <c r="I942" s="6">
        <v>0.82</v>
      </c>
      <c r="J942" s="6">
        <v>7.36</v>
      </c>
      <c r="K942" s="5">
        <v>109</v>
      </c>
      <c r="L942" s="13" t="str">
        <f t="shared" si="28"/>
        <v>Discount Applied</v>
      </c>
      <c r="M942" s="13" t="str">
        <f t="shared" si="29"/>
        <v>Bronze</v>
      </c>
      <c r="N942" s="13"/>
    </row>
    <row r="943" spans="1:14" x14ac:dyDescent="0.3">
      <c r="A943" s="3">
        <v>2402</v>
      </c>
      <c r="B943" s="3" t="s">
        <v>24</v>
      </c>
      <c r="C943" s="4">
        <v>45848</v>
      </c>
      <c r="D943" s="3" t="s">
        <v>35</v>
      </c>
      <c r="E943" s="3" t="s">
        <v>40</v>
      </c>
      <c r="F943" s="5">
        <v>4</v>
      </c>
      <c r="G943" s="6">
        <v>16.46</v>
      </c>
      <c r="H943" s="6">
        <v>65.84</v>
      </c>
      <c r="I943" s="6">
        <v>9.8800000000000008</v>
      </c>
      <c r="J943" s="6">
        <v>55.96</v>
      </c>
      <c r="K943" s="5">
        <v>358</v>
      </c>
      <c r="L943" s="13" t="str">
        <f t="shared" si="28"/>
        <v>Discount Applied</v>
      </c>
      <c r="M943" s="13" t="str">
        <f t="shared" si="29"/>
        <v>Gold</v>
      </c>
      <c r="N943" s="13"/>
    </row>
    <row r="944" spans="1:14" x14ac:dyDescent="0.3">
      <c r="A944" s="3">
        <v>6908</v>
      </c>
      <c r="B944" s="3" t="s">
        <v>14</v>
      </c>
      <c r="C944" s="4">
        <v>45259</v>
      </c>
      <c r="D944" s="3" t="s">
        <v>20</v>
      </c>
      <c r="E944" s="3" t="s">
        <v>47</v>
      </c>
      <c r="F944" s="5">
        <v>2</v>
      </c>
      <c r="G944" s="6">
        <v>28.93</v>
      </c>
      <c r="H944" s="6">
        <v>57.86</v>
      </c>
      <c r="I944" s="6">
        <v>8.68</v>
      </c>
      <c r="J944" s="6">
        <v>49.18</v>
      </c>
      <c r="K944" s="5">
        <v>450</v>
      </c>
      <c r="L944" s="13" t="str">
        <f t="shared" si="28"/>
        <v>Discount Applied</v>
      </c>
      <c r="M944" s="13" t="str">
        <f t="shared" si="29"/>
        <v>Silver</v>
      </c>
      <c r="N944" s="13"/>
    </row>
    <row r="945" spans="1:14" x14ac:dyDescent="0.3">
      <c r="A945" s="3">
        <v>9618</v>
      </c>
      <c r="B945" s="3" t="s">
        <v>26</v>
      </c>
      <c r="C945" s="4">
        <v>45216</v>
      </c>
      <c r="D945" s="3" t="s">
        <v>22</v>
      </c>
      <c r="E945" s="3" t="s">
        <v>37</v>
      </c>
      <c r="F945" s="5">
        <v>1</v>
      </c>
      <c r="G945" s="6">
        <v>19.71</v>
      </c>
      <c r="H945" s="6">
        <v>19.71</v>
      </c>
      <c r="I945" s="6">
        <v>0</v>
      </c>
      <c r="J945" s="6">
        <v>19.71</v>
      </c>
      <c r="K945" s="5">
        <v>463</v>
      </c>
      <c r="L945" s="13" t="str">
        <f t="shared" si="28"/>
        <v>No Discount</v>
      </c>
      <c r="M945" s="13" t="str">
        <f t="shared" si="29"/>
        <v>Bronze</v>
      </c>
      <c r="N945" s="13"/>
    </row>
    <row r="946" spans="1:14" x14ac:dyDescent="0.3">
      <c r="A946" s="3">
        <v>9316</v>
      </c>
      <c r="B946" s="3" t="s">
        <v>31</v>
      </c>
      <c r="C946" s="4">
        <v>45779</v>
      </c>
      <c r="D946" s="3" t="s">
        <v>27</v>
      </c>
      <c r="E946" s="3" t="s">
        <v>25</v>
      </c>
      <c r="F946" s="5">
        <v>3</v>
      </c>
      <c r="G946" s="6">
        <v>17.02</v>
      </c>
      <c r="H946" s="6">
        <v>51.06</v>
      </c>
      <c r="I946" s="6">
        <v>0</v>
      </c>
      <c r="J946" s="6">
        <v>51.06</v>
      </c>
      <c r="K946" s="5">
        <v>158</v>
      </c>
      <c r="L946" s="13" t="str">
        <f t="shared" si="28"/>
        <v>No Discount</v>
      </c>
      <c r="M946" s="13" t="str">
        <f t="shared" si="29"/>
        <v>Gold</v>
      </c>
      <c r="N946" s="13"/>
    </row>
    <row r="947" spans="1:14" x14ac:dyDescent="0.3">
      <c r="A947" s="3">
        <v>8702</v>
      </c>
      <c r="B947" s="3" t="s">
        <v>11</v>
      </c>
      <c r="C947" s="4">
        <v>45832</v>
      </c>
      <c r="D947" s="3" t="s">
        <v>38</v>
      </c>
      <c r="E947" s="3" t="s">
        <v>25</v>
      </c>
      <c r="F947" s="5">
        <v>4</v>
      </c>
      <c r="G947" s="6">
        <v>12.26</v>
      </c>
      <c r="H947" s="6">
        <v>49.04</v>
      </c>
      <c r="I947" s="6">
        <v>7.36</v>
      </c>
      <c r="J947" s="6">
        <v>41.68</v>
      </c>
      <c r="K947" s="5">
        <v>465</v>
      </c>
      <c r="L947" s="13" t="str">
        <f t="shared" si="28"/>
        <v>Discount Applied</v>
      </c>
      <c r="M947" s="13" t="str">
        <f t="shared" si="29"/>
        <v>Silver</v>
      </c>
      <c r="N947" s="13"/>
    </row>
    <row r="948" spans="1:14" x14ac:dyDescent="0.3">
      <c r="A948" s="3">
        <v>7338</v>
      </c>
      <c r="B948" s="3" t="s">
        <v>30</v>
      </c>
      <c r="C948" s="4">
        <v>45867</v>
      </c>
      <c r="D948" s="3" t="s">
        <v>15</v>
      </c>
      <c r="E948" s="3" t="s">
        <v>25</v>
      </c>
      <c r="F948" s="5">
        <v>3</v>
      </c>
      <c r="G948" s="6">
        <v>7.09</v>
      </c>
      <c r="H948" s="6">
        <v>21.27</v>
      </c>
      <c r="I948" s="6">
        <v>2.13</v>
      </c>
      <c r="J948" s="6">
        <v>19.14</v>
      </c>
      <c r="K948" s="5">
        <v>455</v>
      </c>
      <c r="L948" s="13" t="str">
        <f t="shared" si="28"/>
        <v>Discount Applied</v>
      </c>
      <c r="M948" s="13" t="str">
        <f t="shared" si="29"/>
        <v>Bronze</v>
      </c>
      <c r="N948" s="13"/>
    </row>
    <row r="949" spans="1:14" x14ac:dyDescent="0.3">
      <c r="A949" s="3">
        <v>5155</v>
      </c>
      <c r="B949" s="3" t="s">
        <v>36</v>
      </c>
      <c r="C949" s="4">
        <v>45467</v>
      </c>
      <c r="D949" s="3" t="s">
        <v>27</v>
      </c>
      <c r="E949" s="3" t="s">
        <v>16</v>
      </c>
      <c r="F949" s="5">
        <v>1</v>
      </c>
      <c r="G949" s="6">
        <v>8.94</v>
      </c>
      <c r="H949" s="6">
        <v>8.94</v>
      </c>
      <c r="I949" s="6">
        <v>0.89</v>
      </c>
      <c r="J949" s="6">
        <v>8.0500000000000007</v>
      </c>
      <c r="K949" s="5">
        <v>41</v>
      </c>
      <c r="L949" s="13" t="str">
        <f t="shared" si="28"/>
        <v>Discount Applied</v>
      </c>
      <c r="M949" s="13" t="str">
        <f t="shared" si="29"/>
        <v>Bronze</v>
      </c>
      <c r="N949" s="13"/>
    </row>
    <row r="950" spans="1:14" x14ac:dyDescent="0.3">
      <c r="A950" s="3">
        <v>1266</v>
      </c>
      <c r="B950" s="3" t="s">
        <v>24</v>
      </c>
      <c r="C950" s="4">
        <v>45452</v>
      </c>
      <c r="D950" s="3" t="s">
        <v>22</v>
      </c>
      <c r="E950" s="3" t="s">
        <v>16</v>
      </c>
      <c r="F950" s="5">
        <v>1</v>
      </c>
      <c r="G950" s="6">
        <v>24.9</v>
      </c>
      <c r="H950" s="6">
        <v>24.9</v>
      </c>
      <c r="I950" s="6">
        <v>1.27</v>
      </c>
      <c r="J950" s="6">
        <v>23.63</v>
      </c>
      <c r="K950" s="5">
        <v>357</v>
      </c>
      <c r="L950" s="13" t="str">
        <f t="shared" si="28"/>
        <v>Discount Applied</v>
      </c>
      <c r="M950" s="13" t="str">
        <f t="shared" si="29"/>
        <v>Silver</v>
      </c>
      <c r="N950" s="13"/>
    </row>
    <row r="951" spans="1:14" x14ac:dyDescent="0.3">
      <c r="A951" s="3">
        <v>2106</v>
      </c>
      <c r="B951" s="3" t="s">
        <v>24</v>
      </c>
      <c r="C951" s="4">
        <v>45435</v>
      </c>
      <c r="D951" s="3" t="s">
        <v>28</v>
      </c>
      <c r="E951" s="3" t="s">
        <v>18</v>
      </c>
      <c r="F951" s="5">
        <v>3</v>
      </c>
      <c r="G951" s="6">
        <v>14.13</v>
      </c>
      <c r="H951" s="6">
        <v>42.39</v>
      </c>
      <c r="I951" s="6">
        <v>0</v>
      </c>
      <c r="J951" s="6">
        <v>42.39</v>
      </c>
      <c r="K951" s="5">
        <v>14</v>
      </c>
      <c r="L951" s="13" t="str">
        <f t="shared" si="28"/>
        <v>No Discount</v>
      </c>
      <c r="M951" s="13" t="str">
        <f t="shared" si="29"/>
        <v>Silver</v>
      </c>
      <c r="N951" s="13"/>
    </row>
    <row r="952" spans="1:14" x14ac:dyDescent="0.3">
      <c r="A952" s="3">
        <v>4950</v>
      </c>
      <c r="B952" s="3" t="s">
        <v>19</v>
      </c>
      <c r="C952" s="4">
        <v>45444</v>
      </c>
      <c r="D952" s="3" t="s">
        <v>27</v>
      </c>
      <c r="E952" s="3" t="s">
        <v>33</v>
      </c>
      <c r="F952" s="5">
        <v>2</v>
      </c>
      <c r="G952" s="6">
        <v>1.08</v>
      </c>
      <c r="H952" s="6">
        <v>2.16</v>
      </c>
      <c r="I952" s="6">
        <v>0.32</v>
      </c>
      <c r="J952" s="6">
        <v>1.84</v>
      </c>
      <c r="K952" s="5">
        <v>102</v>
      </c>
      <c r="L952" s="13" t="str">
        <f t="shared" si="28"/>
        <v>Discount Applied</v>
      </c>
      <c r="M952" s="13" t="str">
        <f t="shared" si="29"/>
        <v>Bronze</v>
      </c>
      <c r="N952" s="13"/>
    </row>
    <row r="953" spans="1:14" x14ac:dyDescent="0.3">
      <c r="A953" s="3">
        <v>2698</v>
      </c>
      <c r="B953" s="3" t="s">
        <v>11</v>
      </c>
      <c r="C953" s="4">
        <v>45436</v>
      </c>
      <c r="D953" s="3" t="s">
        <v>15</v>
      </c>
      <c r="E953" s="3" t="s">
        <v>29</v>
      </c>
      <c r="F953" s="5">
        <v>2</v>
      </c>
      <c r="G953" s="6">
        <v>15.96</v>
      </c>
      <c r="H953" s="6">
        <v>31.92</v>
      </c>
      <c r="I953" s="6">
        <v>3.74</v>
      </c>
      <c r="J953" s="6">
        <v>28.18</v>
      </c>
      <c r="K953" s="5">
        <v>496</v>
      </c>
      <c r="L953" s="13" t="str">
        <f t="shared" si="28"/>
        <v>Discount Applied</v>
      </c>
      <c r="M953" s="13" t="str">
        <f t="shared" si="29"/>
        <v>Silver</v>
      </c>
      <c r="N953" s="13"/>
    </row>
    <row r="954" spans="1:14" x14ac:dyDescent="0.3">
      <c r="A954" s="3">
        <v>6447</v>
      </c>
      <c r="B954" s="3" t="s">
        <v>36</v>
      </c>
      <c r="C954" s="4">
        <v>45166</v>
      </c>
      <c r="D954" s="3" t="s">
        <v>45</v>
      </c>
      <c r="E954" s="3" t="s">
        <v>47</v>
      </c>
      <c r="F954" s="5">
        <v>2</v>
      </c>
      <c r="G954" s="6">
        <v>8.5500000000000007</v>
      </c>
      <c r="H954" s="6">
        <v>17.100000000000001</v>
      </c>
      <c r="I954" s="6">
        <v>2.56</v>
      </c>
      <c r="J954" s="6">
        <v>14.54</v>
      </c>
      <c r="K954" s="5">
        <v>351</v>
      </c>
      <c r="L954" s="13" t="str">
        <f t="shared" si="28"/>
        <v>Discount Applied</v>
      </c>
      <c r="M954" s="13" t="str">
        <f t="shared" si="29"/>
        <v>Bronze</v>
      </c>
      <c r="N954" s="13"/>
    </row>
    <row r="955" spans="1:14" x14ac:dyDescent="0.3">
      <c r="A955" s="3">
        <v>1726</v>
      </c>
      <c r="B955" s="3" t="s">
        <v>42</v>
      </c>
      <c r="C955" s="4">
        <v>45867</v>
      </c>
      <c r="D955" s="3" t="s">
        <v>15</v>
      </c>
      <c r="E955" s="3" t="s">
        <v>16</v>
      </c>
      <c r="F955" s="5">
        <v>3</v>
      </c>
      <c r="G955" s="6">
        <v>6.26</v>
      </c>
      <c r="H955" s="6">
        <v>18.78</v>
      </c>
      <c r="I955" s="6">
        <v>1.9</v>
      </c>
      <c r="J955" s="6">
        <v>16.88</v>
      </c>
      <c r="K955" s="5">
        <v>448</v>
      </c>
      <c r="L955" s="13" t="str">
        <f t="shared" si="28"/>
        <v>Discount Applied</v>
      </c>
      <c r="M955" s="13" t="str">
        <f t="shared" si="29"/>
        <v>Bronze</v>
      </c>
      <c r="N955" s="13"/>
    </row>
    <row r="956" spans="1:14" x14ac:dyDescent="0.3">
      <c r="A956" s="3">
        <v>9945</v>
      </c>
      <c r="B956" s="3" t="s">
        <v>31</v>
      </c>
      <c r="C956" s="4">
        <v>45796</v>
      </c>
      <c r="D956" s="3" t="s">
        <v>38</v>
      </c>
      <c r="E956" s="3" t="s">
        <v>25</v>
      </c>
      <c r="F956" s="5">
        <v>1</v>
      </c>
      <c r="G956" s="6">
        <v>29.24</v>
      </c>
      <c r="H956" s="6">
        <v>29.24</v>
      </c>
      <c r="I956" s="6">
        <v>0</v>
      </c>
      <c r="J956" s="6">
        <v>29.24</v>
      </c>
      <c r="K956" s="5">
        <v>101</v>
      </c>
      <c r="L956" s="13" t="str">
        <f t="shared" si="28"/>
        <v>No Discount</v>
      </c>
      <c r="M956" s="13" t="str">
        <f t="shared" si="29"/>
        <v>Silver</v>
      </c>
      <c r="N956" s="13"/>
    </row>
    <row r="957" spans="1:14" x14ac:dyDescent="0.3">
      <c r="A957" s="3">
        <v>8840</v>
      </c>
      <c r="B957" s="3" t="s">
        <v>19</v>
      </c>
      <c r="C957" s="4">
        <v>45759</v>
      </c>
      <c r="D957" s="3" t="s">
        <v>12</v>
      </c>
      <c r="E957" s="3" t="s">
        <v>32</v>
      </c>
      <c r="F957" s="5">
        <v>5</v>
      </c>
      <c r="G957" s="6">
        <v>13.43</v>
      </c>
      <c r="H957" s="6">
        <v>67.150000000000006</v>
      </c>
      <c r="I957" s="6">
        <v>4.83</v>
      </c>
      <c r="J957" s="6">
        <v>62.32</v>
      </c>
      <c r="K957" s="5">
        <v>133</v>
      </c>
      <c r="L957" s="13" t="str">
        <f t="shared" si="28"/>
        <v>Discount Applied</v>
      </c>
      <c r="M957" s="13" t="str">
        <f t="shared" si="29"/>
        <v>Gold</v>
      </c>
      <c r="N957" s="13"/>
    </row>
    <row r="958" spans="1:14" x14ac:dyDescent="0.3">
      <c r="A958" s="3">
        <v>3986</v>
      </c>
      <c r="B958" s="3" t="s">
        <v>19</v>
      </c>
      <c r="C958" s="4">
        <v>45251</v>
      </c>
      <c r="D958" s="3" t="s">
        <v>28</v>
      </c>
      <c r="E958" s="3" t="s">
        <v>48</v>
      </c>
      <c r="F958" s="5">
        <v>1</v>
      </c>
      <c r="G958" s="6">
        <v>21.83</v>
      </c>
      <c r="H958" s="6">
        <v>21.83</v>
      </c>
      <c r="I958" s="6">
        <v>0</v>
      </c>
      <c r="J958" s="6">
        <v>21.83</v>
      </c>
      <c r="K958" s="5">
        <v>222</v>
      </c>
      <c r="L958" s="13" t="str">
        <f t="shared" si="28"/>
        <v>No Discount</v>
      </c>
      <c r="M958" s="13" t="str">
        <f t="shared" si="29"/>
        <v>Silver</v>
      </c>
      <c r="N958" s="13"/>
    </row>
    <row r="959" spans="1:14" x14ac:dyDescent="0.3">
      <c r="A959" s="3">
        <v>3209</v>
      </c>
      <c r="B959" s="3" t="s">
        <v>26</v>
      </c>
      <c r="C959" s="4">
        <v>45367</v>
      </c>
      <c r="D959" s="3" t="s">
        <v>15</v>
      </c>
      <c r="E959" s="3" t="s">
        <v>25</v>
      </c>
      <c r="F959" s="5">
        <v>2</v>
      </c>
      <c r="G959" s="6">
        <v>6.52</v>
      </c>
      <c r="H959" s="6">
        <v>13.04</v>
      </c>
      <c r="I959" s="6">
        <v>1.96</v>
      </c>
      <c r="J959" s="6">
        <v>11.08</v>
      </c>
      <c r="K959" s="5">
        <v>441</v>
      </c>
      <c r="L959" s="13" t="str">
        <f t="shared" si="28"/>
        <v>Discount Applied</v>
      </c>
      <c r="M959" s="13" t="str">
        <f t="shared" si="29"/>
        <v>Bronze</v>
      </c>
      <c r="N959" s="13"/>
    </row>
    <row r="960" spans="1:14" x14ac:dyDescent="0.3">
      <c r="A960" s="3">
        <v>8498</v>
      </c>
      <c r="B960" s="3" t="s">
        <v>26</v>
      </c>
      <c r="C960" s="4">
        <v>45685</v>
      </c>
      <c r="D960" s="3" t="s">
        <v>20</v>
      </c>
      <c r="E960" s="3" t="s">
        <v>41</v>
      </c>
      <c r="F960" s="5">
        <v>4</v>
      </c>
      <c r="G960" s="6">
        <v>25.82</v>
      </c>
      <c r="H960" s="6">
        <v>103.28</v>
      </c>
      <c r="I960" s="6">
        <v>15.49</v>
      </c>
      <c r="J960" s="6">
        <v>87.79</v>
      </c>
      <c r="K960" s="5">
        <v>307</v>
      </c>
      <c r="L960" s="13" t="str">
        <f t="shared" si="28"/>
        <v>Discount Applied</v>
      </c>
      <c r="M960" s="13" t="str">
        <f t="shared" si="29"/>
        <v>Platinum</v>
      </c>
      <c r="N960" s="13"/>
    </row>
    <row r="961" spans="1:14" x14ac:dyDescent="0.3">
      <c r="A961" s="3">
        <v>5807</v>
      </c>
      <c r="B961" s="3" t="s">
        <v>42</v>
      </c>
      <c r="C961" s="4">
        <v>45734</v>
      </c>
      <c r="D961" s="3" t="s">
        <v>20</v>
      </c>
      <c r="E961" s="3" t="s">
        <v>29</v>
      </c>
      <c r="F961" s="5">
        <v>4</v>
      </c>
      <c r="G961" s="6">
        <v>23.97</v>
      </c>
      <c r="H961" s="6">
        <v>95.88</v>
      </c>
      <c r="I961" s="6">
        <v>14.38</v>
      </c>
      <c r="J961" s="6">
        <v>81.5</v>
      </c>
      <c r="K961" s="5">
        <v>14</v>
      </c>
      <c r="L961" s="13" t="str">
        <f t="shared" si="28"/>
        <v>Discount Applied</v>
      </c>
      <c r="M961" s="13" t="str">
        <f t="shared" si="29"/>
        <v>Platinum</v>
      </c>
      <c r="N961" s="13"/>
    </row>
    <row r="962" spans="1:14" x14ac:dyDescent="0.3">
      <c r="A962" s="3">
        <v>1717</v>
      </c>
      <c r="B962" s="3" t="s">
        <v>42</v>
      </c>
      <c r="C962" s="4">
        <v>45493</v>
      </c>
      <c r="D962" s="3" t="s">
        <v>28</v>
      </c>
      <c r="E962" s="3" t="s">
        <v>33</v>
      </c>
      <c r="F962" s="5">
        <v>2</v>
      </c>
      <c r="G962" s="6">
        <v>11.71</v>
      </c>
      <c r="H962" s="6">
        <v>23.42</v>
      </c>
      <c r="I962" s="6">
        <v>1.04</v>
      </c>
      <c r="J962" s="6">
        <v>22.38</v>
      </c>
      <c r="K962" s="5">
        <v>350</v>
      </c>
      <c r="L962" s="13" t="str">
        <f t="shared" si="28"/>
        <v>Discount Applied</v>
      </c>
      <c r="M962" s="13" t="str">
        <f t="shared" si="29"/>
        <v>Silver</v>
      </c>
      <c r="N962" s="13"/>
    </row>
    <row r="963" spans="1:14" x14ac:dyDescent="0.3">
      <c r="A963" s="3">
        <v>4268</v>
      </c>
      <c r="B963" s="3" t="s">
        <v>19</v>
      </c>
      <c r="C963" s="4">
        <v>45848</v>
      </c>
      <c r="D963" s="3" t="s">
        <v>22</v>
      </c>
      <c r="E963" s="3" t="s">
        <v>32</v>
      </c>
      <c r="F963" s="5">
        <v>2</v>
      </c>
      <c r="G963" s="6">
        <v>21.68</v>
      </c>
      <c r="H963" s="6">
        <v>43.36</v>
      </c>
      <c r="I963" s="6">
        <v>0</v>
      </c>
      <c r="J963" s="6">
        <v>43.36</v>
      </c>
      <c r="K963" s="5">
        <v>362</v>
      </c>
      <c r="L963" s="13" t="str">
        <f t="shared" ref="L963:L1026" si="30">IF(I963&gt;0,"Discount Applied","No Discount")</f>
        <v>No Discount</v>
      </c>
      <c r="M963" s="13" t="str">
        <f t="shared" ref="M963:M1026" si="31">IF(J963 &gt;= 70, "Platinum",
   IF(J963 &gt;= 50, "Gold",
      IF(J963 &gt;= 20, "Silver", "Bronze")))</f>
        <v>Silver</v>
      </c>
      <c r="N963" s="13"/>
    </row>
    <row r="964" spans="1:14" x14ac:dyDescent="0.3">
      <c r="A964" s="3">
        <v>1686</v>
      </c>
      <c r="B964" s="3" t="s">
        <v>30</v>
      </c>
      <c r="C964" s="4">
        <v>45159</v>
      </c>
      <c r="D964" s="3" t="s">
        <v>15</v>
      </c>
      <c r="E964" s="3" t="s">
        <v>48</v>
      </c>
      <c r="F964" s="5">
        <v>5</v>
      </c>
      <c r="G964" s="6">
        <v>2.69</v>
      </c>
      <c r="H964" s="6">
        <v>13.45</v>
      </c>
      <c r="I964" s="6">
        <v>1.34</v>
      </c>
      <c r="J964" s="6">
        <v>12.11</v>
      </c>
      <c r="K964" s="5">
        <v>170</v>
      </c>
      <c r="L964" s="13" t="str">
        <f t="shared" si="30"/>
        <v>Discount Applied</v>
      </c>
      <c r="M964" s="13" t="str">
        <f t="shared" si="31"/>
        <v>Bronze</v>
      </c>
      <c r="N964" s="13"/>
    </row>
    <row r="965" spans="1:14" x14ac:dyDescent="0.3">
      <c r="A965" s="3">
        <v>6080</v>
      </c>
      <c r="B965" s="3" t="s">
        <v>36</v>
      </c>
      <c r="C965" s="4">
        <v>45312</v>
      </c>
      <c r="D965" s="3" t="s">
        <v>28</v>
      </c>
      <c r="E965" s="3" t="s">
        <v>40</v>
      </c>
      <c r="F965" s="5">
        <v>1</v>
      </c>
      <c r="G965" s="6">
        <v>8.35</v>
      </c>
      <c r="H965" s="6">
        <v>8.35</v>
      </c>
      <c r="I965" s="6">
        <v>1.25</v>
      </c>
      <c r="J965" s="6">
        <v>7.1</v>
      </c>
      <c r="K965" s="5">
        <v>317</v>
      </c>
      <c r="L965" s="13" t="str">
        <f t="shared" si="30"/>
        <v>Discount Applied</v>
      </c>
      <c r="M965" s="13" t="str">
        <f t="shared" si="31"/>
        <v>Bronze</v>
      </c>
      <c r="N965" s="13"/>
    </row>
    <row r="966" spans="1:14" x14ac:dyDescent="0.3">
      <c r="A966" s="3">
        <v>7524</v>
      </c>
      <c r="B966" s="3" t="s">
        <v>24</v>
      </c>
      <c r="C966" s="4">
        <v>45571</v>
      </c>
      <c r="D966" s="3" t="s">
        <v>27</v>
      </c>
      <c r="E966" s="3" t="s">
        <v>23</v>
      </c>
      <c r="F966" s="5">
        <v>2</v>
      </c>
      <c r="G966" s="6">
        <v>29.06</v>
      </c>
      <c r="H966" s="6">
        <v>58.12</v>
      </c>
      <c r="I966" s="6">
        <v>1.72</v>
      </c>
      <c r="J966" s="6">
        <v>56.4</v>
      </c>
      <c r="K966" s="5">
        <v>286</v>
      </c>
      <c r="L966" s="13" t="str">
        <f t="shared" si="30"/>
        <v>Discount Applied</v>
      </c>
      <c r="M966" s="13" t="str">
        <f t="shared" si="31"/>
        <v>Gold</v>
      </c>
      <c r="N966" s="13"/>
    </row>
    <row r="967" spans="1:14" x14ac:dyDescent="0.3">
      <c r="A967" s="3">
        <v>9897</v>
      </c>
      <c r="B967" s="3" t="s">
        <v>19</v>
      </c>
      <c r="C967" s="4">
        <v>45473</v>
      </c>
      <c r="D967" s="3" t="s">
        <v>38</v>
      </c>
      <c r="E967" s="3" t="s">
        <v>47</v>
      </c>
      <c r="F967" s="5">
        <v>3</v>
      </c>
      <c r="G967" s="6">
        <v>26.45</v>
      </c>
      <c r="H967" s="6">
        <v>79.349999999999994</v>
      </c>
      <c r="I967" s="6">
        <v>11.9</v>
      </c>
      <c r="J967" s="6">
        <v>67.45</v>
      </c>
      <c r="K967" s="5">
        <v>67</v>
      </c>
      <c r="L967" s="13" t="str">
        <f t="shared" si="30"/>
        <v>Discount Applied</v>
      </c>
      <c r="M967" s="13" t="str">
        <f t="shared" si="31"/>
        <v>Gold</v>
      </c>
      <c r="N967" s="13"/>
    </row>
    <row r="968" spans="1:14" x14ac:dyDescent="0.3">
      <c r="A968" s="3">
        <v>5150</v>
      </c>
      <c r="B968" s="3" t="s">
        <v>14</v>
      </c>
      <c r="C968" s="4">
        <v>45747</v>
      </c>
      <c r="D968" s="3" t="s">
        <v>20</v>
      </c>
      <c r="E968" s="3" t="s">
        <v>41</v>
      </c>
      <c r="F968" s="5">
        <v>3</v>
      </c>
      <c r="G968" s="6">
        <v>4.38</v>
      </c>
      <c r="H968" s="6">
        <v>13.14</v>
      </c>
      <c r="I968" s="6">
        <v>1.31</v>
      </c>
      <c r="J968" s="6">
        <v>11.83</v>
      </c>
      <c r="K968" s="5">
        <v>22</v>
      </c>
      <c r="L968" s="13" t="str">
        <f t="shared" si="30"/>
        <v>Discount Applied</v>
      </c>
      <c r="M968" s="13" t="str">
        <f t="shared" si="31"/>
        <v>Bronze</v>
      </c>
      <c r="N968" s="13"/>
    </row>
    <row r="969" spans="1:14" x14ac:dyDescent="0.3">
      <c r="A969" s="3">
        <v>4131</v>
      </c>
      <c r="B969" s="3" t="s">
        <v>30</v>
      </c>
      <c r="C969" s="4">
        <v>45329</v>
      </c>
      <c r="D969" s="3" t="s">
        <v>22</v>
      </c>
      <c r="E969" s="3" t="s">
        <v>16</v>
      </c>
      <c r="F969" s="5">
        <v>3</v>
      </c>
      <c r="G969" s="6">
        <v>27.17</v>
      </c>
      <c r="H969" s="6">
        <v>81.510000000000005</v>
      </c>
      <c r="I969" s="6">
        <v>2.25</v>
      </c>
      <c r="J969" s="6">
        <v>79.260000000000005</v>
      </c>
      <c r="K969" s="5">
        <v>134</v>
      </c>
      <c r="L969" s="13" t="str">
        <f t="shared" si="30"/>
        <v>Discount Applied</v>
      </c>
      <c r="M969" s="13" t="str">
        <f t="shared" si="31"/>
        <v>Platinum</v>
      </c>
      <c r="N969" s="13"/>
    </row>
    <row r="970" spans="1:14" x14ac:dyDescent="0.3">
      <c r="A970" s="3">
        <v>6848</v>
      </c>
      <c r="B970" s="3" t="s">
        <v>19</v>
      </c>
      <c r="C970" s="4">
        <v>45239</v>
      </c>
      <c r="D970" s="3" t="s">
        <v>22</v>
      </c>
      <c r="E970" s="3" t="s">
        <v>47</v>
      </c>
      <c r="F970" s="5">
        <v>2</v>
      </c>
      <c r="G970" s="6">
        <v>17.100000000000001</v>
      </c>
      <c r="H970" s="6">
        <v>34.200000000000003</v>
      </c>
      <c r="I970" s="6">
        <v>1.76</v>
      </c>
      <c r="J970" s="6">
        <v>32.44</v>
      </c>
      <c r="K970" s="5">
        <v>472</v>
      </c>
      <c r="L970" s="13" t="str">
        <f t="shared" si="30"/>
        <v>Discount Applied</v>
      </c>
      <c r="M970" s="13" t="str">
        <f t="shared" si="31"/>
        <v>Silver</v>
      </c>
      <c r="N970" s="13"/>
    </row>
    <row r="971" spans="1:14" x14ac:dyDescent="0.3">
      <c r="A971" s="3">
        <v>1783</v>
      </c>
      <c r="B971" s="3" t="s">
        <v>31</v>
      </c>
      <c r="C971" s="4">
        <v>45330</v>
      </c>
      <c r="D971" s="3" t="s">
        <v>17</v>
      </c>
      <c r="E971" s="3" t="s">
        <v>29</v>
      </c>
      <c r="F971" s="5">
        <v>1</v>
      </c>
      <c r="G971" s="6">
        <v>14.63</v>
      </c>
      <c r="H971" s="6">
        <v>14.63</v>
      </c>
      <c r="I971" s="6">
        <v>1.46</v>
      </c>
      <c r="J971" s="6">
        <v>13.17</v>
      </c>
      <c r="K971" s="5">
        <v>83</v>
      </c>
      <c r="L971" s="13" t="str">
        <f t="shared" si="30"/>
        <v>Discount Applied</v>
      </c>
      <c r="M971" s="13" t="str">
        <f t="shared" si="31"/>
        <v>Bronze</v>
      </c>
      <c r="N971" s="13"/>
    </row>
    <row r="972" spans="1:14" x14ac:dyDescent="0.3">
      <c r="A972" s="3">
        <v>6438</v>
      </c>
      <c r="B972" s="3" t="s">
        <v>11</v>
      </c>
      <c r="C972" s="4">
        <v>45641</v>
      </c>
      <c r="D972" s="3" t="s">
        <v>45</v>
      </c>
      <c r="E972" s="3" t="s">
        <v>40</v>
      </c>
      <c r="F972" s="5">
        <v>4</v>
      </c>
      <c r="G972" s="6">
        <v>11.33</v>
      </c>
      <c r="H972" s="6">
        <v>45.32</v>
      </c>
      <c r="I972" s="6">
        <v>4.53</v>
      </c>
      <c r="J972" s="6">
        <v>40.79</v>
      </c>
      <c r="K972" s="5">
        <v>363</v>
      </c>
      <c r="L972" s="13" t="str">
        <f t="shared" si="30"/>
        <v>Discount Applied</v>
      </c>
      <c r="M972" s="13" t="str">
        <f t="shared" si="31"/>
        <v>Silver</v>
      </c>
      <c r="N972" s="13"/>
    </row>
    <row r="973" spans="1:14" x14ac:dyDescent="0.3">
      <c r="A973" s="3">
        <v>3039</v>
      </c>
      <c r="B973" s="3" t="s">
        <v>26</v>
      </c>
      <c r="C973" s="4">
        <v>45193</v>
      </c>
      <c r="D973" s="3" t="s">
        <v>15</v>
      </c>
      <c r="E973" s="3" t="s">
        <v>41</v>
      </c>
      <c r="F973" s="5">
        <v>1</v>
      </c>
      <c r="G973" s="6">
        <v>11.13</v>
      </c>
      <c r="H973" s="6">
        <v>11.13</v>
      </c>
      <c r="I973" s="6">
        <v>2.23</v>
      </c>
      <c r="J973" s="6">
        <v>8.9</v>
      </c>
      <c r="K973" s="5">
        <v>104</v>
      </c>
      <c r="L973" s="13" t="str">
        <f t="shared" si="30"/>
        <v>Discount Applied</v>
      </c>
      <c r="M973" s="13" t="str">
        <f t="shared" si="31"/>
        <v>Bronze</v>
      </c>
      <c r="N973" s="13"/>
    </row>
    <row r="974" spans="1:14" x14ac:dyDescent="0.3">
      <c r="A974" s="3">
        <v>7029</v>
      </c>
      <c r="B974" s="3" t="s">
        <v>19</v>
      </c>
      <c r="C974" s="4">
        <v>45794</v>
      </c>
      <c r="D974" s="3" t="s">
        <v>38</v>
      </c>
      <c r="E974" s="3" t="s">
        <v>13</v>
      </c>
      <c r="F974" s="5">
        <v>5</v>
      </c>
      <c r="G974" s="6">
        <v>26.83</v>
      </c>
      <c r="H974" s="6">
        <v>134.15</v>
      </c>
      <c r="I974" s="6">
        <v>4.99</v>
      </c>
      <c r="J974" s="6">
        <v>129.16</v>
      </c>
      <c r="K974" s="5">
        <v>299</v>
      </c>
      <c r="L974" s="13" t="str">
        <f t="shared" si="30"/>
        <v>Discount Applied</v>
      </c>
      <c r="M974" s="13" t="str">
        <f t="shared" si="31"/>
        <v>Platinum</v>
      </c>
      <c r="N974" s="13"/>
    </row>
    <row r="975" spans="1:14" x14ac:dyDescent="0.3">
      <c r="A975" s="3">
        <v>7553</v>
      </c>
      <c r="B975" s="3" t="s">
        <v>31</v>
      </c>
      <c r="C975" s="4">
        <v>45608</v>
      </c>
      <c r="D975" s="3" t="s">
        <v>38</v>
      </c>
      <c r="E975" s="3" t="s">
        <v>29</v>
      </c>
      <c r="F975" s="5">
        <v>4</v>
      </c>
      <c r="G975" s="6">
        <v>27.68</v>
      </c>
      <c r="H975" s="6">
        <v>110.72</v>
      </c>
      <c r="I975" s="6">
        <v>0</v>
      </c>
      <c r="J975" s="6">
        <v>110.72</v>
      </c>
      <c r="K975" s="5">
        <v>126</v>
      </c>
      <c r="L975" s="13" t="str">
        <f t="shared" si="30"/>
        <v>No Discount</v>
      </c>
      <c r="M975" s="13" t="str">
        <f t="shared" si="31"/>
        <v>Platinum</v>
      </c>
      <c r="N975" s="13"/>
    </row>
    <row r="976" spans="1:14" x14ac:dyDescent="0.3">
      <c r="A976" s="3">
        <v>8204</v>
      </c>
      <c r="B976" s="3" t="s">
        <v>11</v>
      </c>
      <c r="C976" s="4">
        <v>45157</v>
      </c>
      <c r="D976" s="3" t="s">
        <v>22</v>
      </c>
      <c r="E976" s="3" t="s">
        <v>39</v>
      </c>
      <c r="F976" s="5">
        <v>3</v>
      </c>
      <c r="G976" s="6">
        <v>20.75</v>
      </c>
      <c r="H976" s="6">
        <v>62.25</v>
      </c>
      <c r="I976" s="6">
        <v>6.23</v>
      </c>
      <c r="J976" s="6">
        <v>56.02</v>
      </c>
      <c r="K976" s="5">
        <v>348</v>
      </c>
      <c r="L976" s="13" t="str">
        <f t="shared" si="30"/>
        <v>Discount Applied</v>
      </c>
      <c r="M976" s="13" t="str">
        <f t="shared" si="31"/>
        <v>Gold</v>
      </c>
      <c r="N976" s="13"/>
    </row>
    <row r="977" spans="1:14" x14ac:dyDescent="0.3">
      <c r="A977" s="3">
        <v>7334</v>
      </c>
      <c r="B977" s="3" t="s">
        <v>36</v>
      </c>
      <c r="C977" s="4">
        <v>45591</v>
      </c>
      <c r="D977" s="3" t="s">
        <v>28</v>
      </c>
      <c r="E977" s="3" t="s">
        <v>48</v>
      </c>
      <c r="F977" s="5">
        <v>3</v>
      </c>
      <c r="G977" s="6">
        <v>5.45</v>
      </c>
      <c r="H977" s="6">
        <v>16.350000000000001</v>
      </c>
      <c r="I977" s="6">
        <v>0</v>
      </c>
      <c r="J977" s="6">
        <v>16.350000000000001</v>
      </c>
      <c r="K977" s="5">
        <v>41</v>
      </c>
      <c r="L977" s="13" t="str">
        <f t="shared" si="30"/>
        <v>No Discount</v>
      </c>
      <c r="M977" s="13" t="str">
        <f t="shared" si="31"/>
        <v>Bronze</v>
      </c>
      <c r="N977" s="13"/>
    </row>
    <row r="978" spans="1:14" x14ac:dyDescent="0.3">
      <c r="A978" s="3">
        <v>4060</v>
      </c>
      <c r="B978" s="3" t="s">
        <v>26</v>
      </c>
      <c r="C978" s="4">
        <v>45703</v>
      </c>
      <c r="D978" s="3" t="s">
        <v>45</v>
      </c>
      <c r="E978" s="3" t="s">
        <v>13</v>
      </c>
      <c r="F978" s="5">
        <v>5</v>
      </c>
      <c r="G978" s="6">
        <v>20.07</v>
      </c>
      <c r="H978" s="6">
        <v>100.35</v>
      </c>
      <c r="I978" s="6">
        <v>0</v>
      </c>
      <c r="J978" s="6">
        <v>100.35</v>
      </c>
      <c r="K978" s="5">
        <v>168</v>
      </c>
      <c r="L978" s="13" t="str">
        <f t="shared" si="30"/>
        <v>No Discount</v>
      </c>
      <c r="M978" s="13" t="str">
        <f t="shared" si="31"/>
        <v>Platinum</v>
      </c>
      <c r="N978" s="13"/>
    </row>
    <row r="979" spans="1:14" x14ac:dyDescent="0.3">
      <c r="A979" s="3">
        <v>9151</v>
      </c>
      <c r="B979" s="3" t="s">
        <v>26</v>
      </c>
      <c r="C979" s="4">
        <v>45371</v>
      </c>
      <c r="D979" s="3" t="s">
        <v>22</v>
      </c>
      <c r="E979" s="3" t="s">
        <v>41</v>
      </c>
      <c r="F979" s="5">
        <v>2</v>
      </c>
      <c r="G979" s="6">
        <v>26.03</v>
      </c>
      <c r="H979" s="6">
        <v>52.06</v>
      </c>
      <c r="I979" s="6">
        <v>7.81</v>
      </c>
      <c r="J979" s="6">
        <v>44.25</v>
      </c>
      <c r="K979" s="5">
        <v>410</v>
      </c>
      <c r="L979" s="13" t="str">
        <f t="shared" si="30"/>
        <v>Discount Applied</v>
      </c>
      <c r="M979" s="13" t="str">
        <f t="shared" si="31"/>
        <v>Silver</v>
      </c>
      <c r="N979" s="13"/>
    </row>
    <row r="980" spans="1:14" x14ac:dyDescent="0.3">
      <c r="A980" s="3">
        <v>9507</v>
      </c>
      <c r="B980" s="3" t="s">
        <v>31</v>
      </c>
      <c r="C980" s="4">
        <v>45146</v>
      </c>
      <c r="D980" s="3" t="s">
        <v>15</v>
      </c>
      <c r="E980" s="3" t="s">
        <v>18</v>
      </c>
      <c r="F980" s="5">
        <v>5</v>
      </c>
      <c r="G980" s="6">
        <v>12.05</v>
      </c>
      <c r="H980" s="6">
        <v>60.25</v>
      </c>
      <c r="I980" s="6">
        <v>12.05</v>
      </c>
      <c r="J980" s="6">
        <v>48.2</v>
      </c>
      <c r="K980" s="5">
        <v>204</v>
      </c>
      <c r="L980" s="13" t="str">
        <f t="shared" si="30"/>
        <v>Discount Applied</v>
      </c>
      <c r="M980" s="13" t="str">
        <f t="shared" si="31"/>
        <v>Silver</v>
      </c>
      <c r="N980" s="13"/>
    </row>
    <row r="981" spans="1:14" x14ac:dyDescent="0.3">
      <c r="A981" s="3">
        <v>2353</v>
      </c>
      <c r="B981" s="3" t="s">
        <v>42</v>
      </c>
      <c r="C981" s="4">
        <v>45331</v>
      </c>
      <c r="D981" s="3" t="s">
        <v>20</v>
      </c>
      <c r="E981" s="3" t="s">
        <v>43</v>
      </c>
      <c r="F981" s="5">
        <v>1</v>
      </c>
      <c r="G981" s="6">
        <v>25.71</v>
      </c>
      <c r="H981" s="6">
        <v>25.71</v>
      </c>
      <c r="I981" s="6">
        <v>2.57</v>
      </c>
      <c r="J981" s="6">
        <v>23.14</v>
      </c>
      <c r="K981" s="5">
        <v>83</v>
      </c>
      <c r="L981" s="13" t="str">
        <f t="shared" si="30"/>
        <v>Discount Applied</v>
      </c>
      <c r="M981" s="13" t="str">
        <f t="shared" si="31"/>
        <v>Silver</v>
      </c>
      <c r="N981" s="13"/>
    </row>
    <row r="982" spans="1:14" x14ac:dyDescent="0.3">
      <c r="A982" s="3">
        <v>7955</v>
      </c>
      <c r="B982" s="3" t="s">
        <v>30</v>
      </c>
      <c r="C982" s="4">
        <v>45290</v>
      </c>
      <c r="D982" s="3" t="s">
        <v>27</v>
      </c>
      <c r="E982" s="3" t="s">
        <v>41</v>
      </c>
      <c r="F982" s="5">
        <v>1</v>
      </c>
      <c r="G982" s="6">
        <v>9.65</v>
      </c>
      <c r="H982" s="6">
        <v>9.65</v>
      </c>
      <c r="I982" s="6">
        <v>0</v>
      </c>
      <c r="J982" s="6">
        <v>9.65</v>
      </c>
      <c r="K982" s="5">
        <v>410</v>
      </c>
      <c r="L982" s="13" t="str">
        <f t="shared" si="30"/>
        <v>No Discount</v>
      </c>
      <c r="M982" s="13" t="str">
        <f t="shared" si="31"/>
        <v>Bronze</v>
      </c>
      <c r="N982" s="13"/>
    </row>
    <row r="983" spans="1:14" x14ac:dyDescent="0.3">
      <c r="A983" s="3">
        <v>3956</v>
      </c>
      <c r="B983" s="3" t="s">
        <v>30</v>
      </c>
      <c r="C983" s="4">
        <v>45551</v>
      </c>
      <c r="D983" s="3" t="s">
        <v>27</v>
      </c>
      <c r="E983" s="3" t="s">
        <v>41</v>
      </c>
      <c r="F983" s="5">
        <v>3</v>
      </c>
      <c r="G983" s="6">
        <v>20.29</v>
      </c>
      <c r="H983" s="6">
        <v>60.87</v>
      </c>
      <c r="I983" s="6">
        <v>1.8</v>
      </c>
      <c r="J983" s="6">
        <v>59.07</v>
      </c>
      <c r="K983" s="5">
        <v>426</v>
      </c>
      <c r="L983" s="13" t="str">
        <f t="shared" si="30"/>
        <v>Discount Applied</v>
      </c>
      <c r="M983" s="13" t="str">
        <f t="shared" si="31"/>
        <v>Gold</v>
      </c>
      <c r="N983" s="13"/>
    </row>
    <row r="984" spans="1:14" x14ac:dyDescent="0.3">
      <c r="A984" s="3">
        <v>5813</v>
      </c>
      <c r="B984" s="3" t="s">
        <v>26</v>
      </c>
      <c r="C984" s="4">
        <v>45197</v>
      </c>
      <c r="D984" s="3" t="s">
        <v>20</v>
      </c>
      <c r="E984" s="3" t="s">
        <v>47</v>
      </c>
      <c r="F984" s="5">
        <v>3</v>
      </c>
      <c r="G984" s="6">
        <v>17.32</v>
      </c>
      <c r="H984" s="6">
        <v>51.96</v>
      </c>
      <c r="I984" s="6">
        <v>5.2</v>
      </c>
      <c r="J984" s="6">
        <v>46.76</v>
      </c>
      <c r="K984" s="5">
        <v>216</v>
      </c>
      <c r="L984" s="13" t="str">
        <f t="shared" si="30"/>
        <v>Discount Applied</v>
      </c>
      <c r="M984" s="13" t="str">
        <f t="shared" si="31"/>
        <v>Silver</v>
      </c>
      <c r="N984" s="13"/>
    </row>
    <row r="985" spans="1:14" x14ac:dyDescent="0.3">
      <c r="A985" s="3">
        <v>6372</v>
      </c>
      <c r="B985" s="3" t="s">
        <v>36</v>
      </c>
      <c r="C985" s="4">
        <v>45567</v>
      </c>
      <c r="D985" s="3" t="s">
        <v>28</v>
      </c>
      <c r="E985" s="3" t="s">
        <v>29</v>
      </c>
      <c r="F985" s="5">
        <v>4</v>
      </c>
      <c r="G985" s="6">
        <v>19.28</v>
      </c>
      <c r="H985" s="6">
        <v>77.12</v>
      </c>
      <c r="I985" s="6">
        <v>2.37</v>
      </c>
      <c r="J985" s="6">
        <v>74.75</v>
      </c>
      <c r="K985" s="5">
        <v>47</v>
      </c>
      <c r="L985" s="13" t="str">
        <f t="shared" si="30"/>
        <v>Discount Applied</v>
      </c>
      <c r="M985" s="13" t="str">
        <f t="shared" si="31"/>
        <v>Platinum</v>
      </c>
      <c r="N985" s="13"/>
    </row>
    <row r="986" spans="1:14" x14ac:dyDescent="0.3">
      <c r="A986" s="3">
        <v>5843</v>
      </c>
      <c r="B986" s="3" t="s">
        <v>26</v>
      </c>
      <c r="C986" s="4">
        <v>45755</v>
      </c>
      <c r="D986" s="3" t="s">
        <v>27</v>
      </c>
      <c r="E986" s="3" t="s">
        <v>25</v>
      </c>
      <c r="F986" s="5">
        <v>2</v>
      </c>
      <c r="G986" s="6">
        <v>27.98</v>
      </c>
      <c r="H986" s="6">
        <v>55.96</v>
      </c>
      <c r="I986" s="6">
        <v>8.39</v>
      </c>
      <c r="J986" s="6">
        <v>47.57</v>
      </c>
      <c r="K986" s="5">
        <v>269</v>
      </c>
      <c r="L986" s="13" t="str">
        <f t="shared" si="30"/>
        <v>Discount Applied</v>
      </c>
      <c r="M986" s="13" t="str">
        <f t="shared" si="31"/>
        <v>Silver</v>
      </c>
      <c r="N986" s="13"/>
    </row>
    <row r="987" spans="1:14" x14ac:dyDescent="0.3">
      <c r="A987" s="3">
        <v>8305</v>
      </c>
      <c r="B987" s="3" t="s">
        <v>26</v>
      </c>
      <c r="C987" s="4">
        <v>45575</v>
      </c>
      <c r="D987" s="3" t="s">
        <v>20</v>
      </c>
      <c r="E987" s="3" t="s">
        <v>43</v>
      </c>
      <c r="F987" s="5">
        <v>4</v>
      </c>
      <c r="G987" s="6">
        <v>9.6999999999999993</v>
      </c>
      <c r="H987" s="6">
        <v>38.799999999999997</v>
      </c>
      <c r="I987" s="6">
        <v>7.76</v>
      </c>
      <c r="J987" s="6">
        <v>31.04</v>
      </c>
      <c r="K987" s="5">
        <v>65</v>
      </c>
      <c r="L987" s="13" t="str">
        <f t="shared" si="30"/>
        <v>Discount Applied</v>
      </c>
      <c r="M987" s="13" t="str">
        <f t="shared" si="31"/>
        <v>Silver</v>
      </c>
      <c r="N987" s="13"/>
    </row>
    <row r="988" spans="1:14" x14ac:dyDescent="0.3">
      <c r="A988" s="3">
        <v>7981</v>
      </c>
      <c r="B988" s="3" t="s">
        <v>14</v>
      </c>
      <c r="C988" s="4">
        <v>45448</v>
      </c>
      <c r="D988" s="3" t="s">
        <v>20</v>
      </c>
      <c r="E988" s="3" t="s">
        <v>37</v>
      </c>
      <c r="F988" s="5">
        <v>5</v>
      </c>
      <c r="G988" s="6">
        <v>2.37</v>
      </c>
      <c r="H988" s="6">
        <v>11.85</v>
      </c>
      <c r="I988" s="6">
        <v>1.43</v>
      </c>
      <c r="J988" s="6">
        <v>10.42</v>
      </c>
      <c r="K988" s="5">
        <v>39</v>
      </c>
      <c r="L988" s="13" t="str">
        <f t="shared" si="30"/>
        <v>Discount Applied</v>
      </c>
      <c r="M988" s="13" t="str">
        <f t="shared" si="31"/>
        <v>Bronze</v>
      </c>
      <c r="N988" s="13"/>
    </row>
    <row r="989" spans="1:14" x14ac:dyDescent="0.3">
      <c r="A989" s="3">
        <v>8272</v>
      </c>
      <c r="B989" s="3" t="s">
        <v>24</v>
      </c>
      <c r="C989" s="4">
        <v>45178</v>
      </c>
      <c r="D989" s="3" t="s">
        <v>20</v>
      </c>
      <c r="E989" s="3" t="s">
        <v>48</v>
      </c>
      <c r="F989" s="5">
        <v>4</v>
      </c>
      <c r="G989" s="6">
        <v>20.149999999999999</v>
      </c>
      <c r="H989" s="6">
        <v>80.599999999999994</v>
      </c>
      <c r="I989" s="6">
        <v>12.09</v>
      </c>
      <c r="J989" s="6">
        <v>68.510000000000005</v>
      </c>
      <c r="K989" s="5">
        <v>291</v>
      </c>
      <c r="L989" s="13" t="str">
        <f t="shared" si="30"/>
        <v>Discount Applied</v>
      </c>
      <c r="M989" s="13" t="str">
        <f t="shared" si="31"/>
        <v>Gold</v>
      </c>
      <c r="N989" s="13"/>
    </row>
    <row r="990" spans="1:14" x14ac:dyDescent="0.3">
      <c r="A990" s="3">
        <v>8325</v>
      </c>
      <c r="B990" s="3" t="s">
        <v>30</v>
      </c>
      <c r="C990" s="4">
        <v>45434</v>
      </c>
      <c r="D990" s="3" t="s">
        <v>28</v>
      </c>
      <c r="E990" s="3" t="s">
        <v>43</v>
      </c>
      <c r="F990" s="5">
        <v>5</v>
      </c>
      <c r="G990" s="6">
        <v>1.46</v>
      </c>
      <c r="H990" s="6">
        <v>7.3</v>
      </c>
      <c r="I990" s="6">
        <v>1.46</v>
      </c>
      <c r="J990" s="6">
        <v>5.84</v>
      </c>
      <c r="K990" s="5">
        <v>379</v>
      </c>
      <c r="L990" s="13" t="str">
        <f t="shared" si="30"/>
        <v>Discount Applied</v>
      </c>
      <c r="M990" s="13" t="str">
        <f t="shared" si="31"/>
        <v>Bronze</v>
      </c>
      <c r="N990" s="13"/>
    </row>
    <row r="991" spans="1:14" x14ac:dyDescent="0.3">
      <c r="A991" s="3">
        <v>6776</v>
      </c>
      <c r="B991" s="3" t="s">
        <v>19</v>
      </c>
      <c r="C991" s="4">
        <v>45725</v>
      </c>
      <c r="D991" s="3" t="s">
        <v>20</v>
      </c>
      <c r="E991" s="3" t="s">
        <v>40</v>
      </c>
      <c r="F991" s="5">
        <v>1</v>
      </c>
      <c r="G991" s="6">
        <v>13.06</v>
      </c>
      <c r="H991" s="6">
        <v>13.06</v>
      </c>
      <c r="I991" s="6">
        <v>1.96</v>
      </c>
      <c r="J991" s="6">
        <v>11.1</v>
      </c>
      <c r="K991" s="5">
        <v>360</v>
      </c>
      <c r="L991" s="13" t="str">
        <f t="shared" si="30"/>
        <v>Discount Applied</v>
      </c>
      <c r="M991" s="13" t="str">
        <f t="shared" si="31"/>
        <v>Bronze</v>
      </c>
      <c r="N991" s="13"/>
    </row>
    <row r="992" spans="1:14" x14ac:dyDescent="0.3">
      <c r="A992" s="3">
        <v>8126</v>
      </c>
      <c r="B992" s="3" t="s">
        <v>26</v>
      </c>
      <c r="C992" s="4">
        <v>45422</v>
      </c>
      <c r="D992" s="3" t="s">
        <v>27</v>
      </c>
      <c r="E992" s="3" t="s">
        <v>33</v>
      </c>
      <c r="F992" s="5">
        <v>5</v>
      </c>
      <c r="G992" s="6">
        <v>24.42</v>
      </c>
      <c r="H992" s="6">
        <v>122.1</v>
      </c>
      <c r="I992" s="6">
        <v>24.42</v>
      </c>
      <c r="J992" s="6">
        <v>97.68</v>
      </c>
      <c r="K992" s="5">
        <v>174</v>
      </c>
      <c r="L992" s="13" t="str">
        <f t="shared" si="30"/>
        <v>Discount Applied</v>
      </c>
      <c r="M992" s="13" t="str">
        <f t="shared" si="31"/>
        <v>Platinum</v>
      </c>
      <c r="N992" s="13"/>
    </row>
    <row r="993" spans="1:14" x14ac:dyDescent="0.3">
      <c r="A993" s="3">
        <v>1939</v>
      </c>
      <c r="B993" s="3" t="s">
        <v>19</v>
      </c>
      <c r="C993" s="4">
        <v>45412</v>
      </c>
      <c r="D993" s="3" t="s">
        <v>15</v>
      </c>
      <c r="E993" s="3" t="s">
        <v>13</v>
      </c>
      <c r="F993" s="5">
        <v>1</v>
      </c>
      <c r="G993" s="6">
        <v>13.57</v>
      </c>
      <c r="H993" s="6">
        <v>13.57</v>
      </c>
      <c r="I993" s="6">
        <v>1.36</v>
      </c>
      <c r="J993" s="6">
        <v>12.21</v>
      </c>
      <c r="K993" s="5">
        <v>9</v>
      </c>
      <c r="L993" s="13" t="str">
        <f t="shared" si="30"/>
        <v>Discount Applied</v>
      </c>
      <c r="M993" s="13" t="str">
        <f t="shared" si="31"/>
        <v>Bronze</v>
      </c>
      <c r="N993" s="13"/>
    </row>
    <row r="994" spans="1:14" x14ac:dyDescent="0.3">
      <c r="A994" s="3">
        <v>7655</v>
      </c>
      <c r="B994" s="3" t="s">
        <v>11</v>
      </c>
      <c r="C994" s="4">
        <v>45714</v>
      </c>
      <c r="D994" s="3" t="s">
        <v>12</v>
      </c>
      <c r="E994" s="3" t="s">
        <v>29</v>
      </c>
      <c r="F994" s="5">
        <v>4</v>
      </c>
      <c r="G994" s="6">
        <v>14.33</v>
      </c>
      <c r="H994" s="6">
        <v>57.32</v>
      </c>
      <c r="I994" s="6">
        <v>8.6</v>
      </c>
      <c r="J994" s="6">
        <v>48.72</v>
      </c>
      <c r="K994" s="5">
        <v>207</v>
      </c>
      <c r="L994" s="13" t="str">
        <f t="shared" si="30"/>
        <v>Discount Applied</v>
      </c>
      <c r="M994" s="13" t="str">
        <f t="shared" si="31"/>
        <v>Silver</v>
      </c>
      <c r="N994" s="13"/>
    </row>
    <row r="995" spans="1:14" x14ac:dyDescent="0.3">
      <c r="A995" s="3">
        <v>9406</v>
      </c>
      <c r="B995" s="3" t="s">
        <v>36</v>
      </c>
      <c r="C995" s="4">
        <v>45744</v>
      </c>
      <c r="D995" s="3" t="s">
        <v>27</v>
      </c>
      <c r="E995" s="3" t="s">
        <v>32</v>
      </c>
      <c r="F995" s="5">
        <v>3</v>
      </c>
      <c r="G995" s="6">
        <v>3.53</v>
      </c>
      <c r="H995" s="6">
        <v>10.59</v>
      </c>
      <c r="I995" s="6">
        <v>2.12</v>
      </c>
      <c r="J995" s="6">
        <v>8.4700000000000006</v>
      </c>
      <c r="K995" s="5">
        <v>69</v>
      </c>
      <c r="L995" s="13" t="str">
        <f t="shared" si="30"/>
        <v>Discount Applied</v>
      </c>
      <c r="M995" s="13" t="str">
        <f t="shared" si="31"/>
        <v>Bronze</v>
      </c>
      <c r="N995" s="13"/>
    </row>
    <row r="996" spans="1:14" x14ac:dyDescent="0.3">
      <c r="A996" s="3">
        <v>3339</v>
      </c>
      <c r="B996" s="3" t="s">
        <v>11</v>
      </c>
      <c r="C996" s="4">
        <v>45248</v>
      </c>
      <c r="D996" s="3" t="s">
        <v>12</v>
      </c>
      <c r="E996" s="3" t="s">
        <v>44</v>
      </c>
      <c r="F996" s="5">
        <v>1</v>
      </c>
      <c r="G996" s="6">
        <v>7.06</v>
      </c>
      <c r="H996" s="6">
        <v>7.06</v>
      </c>
      <c r="I996" s="6">
        <v>0</v>
      </c>
      <c r="J996" s="6">
        <v>7.06</v>
      </c>
      <c r="K996" s="5">
        <v>332</v>
      </c>
      <c r="L996" s="13" t="str">
        <f t="shared" si="30"/>
        <v>No Discount</v>
      </c>
      <c r="M996" s="13" t="str">
        <f t="shared" si="31"/>
        <v>Bronze</v>
      </c>
      <c r="N996" s="13"/>
    </row>
    <row r="997" spans="1:14" x14ac:dyDescent="0.3">
      <c r="A997" s="3">
        <v>4866</v>
      </c>
      <c r="B997" s="3" t="s">
        <v>42</v>
      </c>
      <c r="C997" s="4">
        <v>45418</v>
      </c>
      <c r="D997" s="3" t="s">
        <v>20</v>
      </c>
      <c r="E997" s="3" t="s">
        <v>18</v>
      </c>
      <c r="F997" s="5">
        <v>2</v>
      </c>
      <c r="G997" s="6">
        <v>3.49</v>
      </c>
      <c r="H997" s="6">
        <v>6.98</v>
      </c>
      <c r="I997" s="6">
        <v>1.4</v>
      </c>
      <c r="J997" s="6">
        <v>5.58</v>
      </c>
      <c r="K997" s="5">
        <v>394</v>
      </c>
      <c r="L997" s="13" t="str">
        <f t="shared" si="30"/>
        <v>Discount Applied</v>
      </c>
      <c r="M997" s="13" t="str">
        <f t="shared" si="31"/>
        <v>Bronze</v>
      </c>
      <c r="N997" s="13"/>
    </row>
    <row r="998" spans="1:14" x14ac:dyDescent="0.3">
      <c r="A998" s="3">
        <v>7001</v>
      </c>
      <c r="B998" s="3" t="s">
        <v>26</v>
      </c>
      <c r="C998" s="4">
        <v>45407</v>
      </c>
      <c r="D998" s="3" t="s">
        <v>20</v>
      </c>
      <c r="E998" s="3" t="s">
        <v>39</v>
      </c>
      <c r="F998" s="5">
        <v>1</v>
      </c>
      <c r="G998" s="6">
        <v>5.81</v>
      </c>
      <c r="H998" s="6">
        <v>5.81</v>
      </c>
      <c r="I998" s="6">
        <v>0.57999999999999996</v>
      </c>
      <c r="J998" s="6">
        <v>5.23</v>
      </c>
      <c r="K998" s="5">
        <v>78</v>
      </c>
      <c r="L998" s="13" t="str">
        <f t="shared" si="30"/>
        <v>Discount Applied</v>
      </c>
      <c r="M998" s="13" t="str">
        <f t="shared" si="31"/>
        <v>Bronze</v>
      </c>
      <c r="N998" s="13"/>
    </row>
    <row r="999" spans="1:14" x14ac:dyDescent="0.3">
      <c r="A999" s="3">
        <v>7272</v>
      </c>
      <c r="B999" s="3" t="s">
        <v>26</v>
      </c>
      <c r="C999" s="4">
        <v>45789</v>
      </c>
      <c r="D999" s="3" t="s">
        <v>12</v>
      </c>
      <c r="E999" s="3" t="s">
        <v>33</v>
      </c>
      <c r="F999" s="5">
        <v>5</v>
      </c>
      <c r="G999" s="6">
        <v>8.0299999999999994</v>
      </c>
      <c r="H999" s="6">
        <v>40.15</v>
      </c>
      <c r="I999" s="6">
        <v>2.34</v>
      </c>
      <c r="J999" s="6">
        <v>37.81</v>
      </c>
      <c r="K999" s="5">
        <v>150</v>
      </c>
      <c r="L999" s="13" t="str">
        <f t="shared" si="30"/>
        <v>Discount Applied</v>
      </c>
      <c r="M999" s="13" t="str">
        <f t="shared" si="31"/>
        <v>Silver</v>
      </c>
      <c r="N999" s="13"/>
    </row>
    <row r="1000" spans="1:14" x14ac:dyDescent="0.3">
      <c r="A1000" s="3">
        <v>1530</v>
      </c>
      <c r="B1000" s="3" t="s">
        <v>11</v>
      </c>
      <c r="C1000" s="4">
        <v>45685</v>
      </c>
      <c r="D1000" s="3" t="s">
        <v>27</v>
      </c>
      <c r="E1000" s="3" t="s">
        <v>16</v>
      </c>
      <c r="F1000" s="5">
        <v>4</v>
      </c>
      <c r="G1000" s="6">
        <v>25.6</v>
      </c>
      <c r="H1000" s="6">
        <v>102.4</v>
      </c>
      <c r="I1000" s="6">
        <v>2.95</v>
      </c>
      <c r="J1000" s="6">
        <v>99.45</v>
      </c>
      <c r="K1000" s="5">
        <v>377</v>
      </c>
      <c r="L1000" s="13" t="str">
        <f t="shared" si="30"/>
        <v>Discount Applied</v>
      </c>
      <c r="M1000" s="13" t="str">
        <f t="shared" si="31"/>
        <v>Platinum</v>
      </c>
      <c r="N1000" s="13"/>
    </row>
    <row r="1001" spans="1:14" x14ac:dyDescent="0.3">
      <c r="A1001" s="3">
        <v>3513</v>
      </c>
      <c r="B1001" s="3" t="s">
        <v>26</v>
      </c>
      <c r="C1001" s="4">
        <v>45635</v>
      </c>
      <c r="D1001" s="3" t="s">
        <v>38</v>
      </c>
      <c r="E1001" s="3" t="s">
        <v>47</v>
      </c>
      <c r="F1001" s="5">
        <v>2</v>
      </c>
      <c r="G1001" s="6">
        <v>21.7</v>
      </c>
      <c r="H1001" s="6">
        <v>43.4</v>
      </c>
      <c r="I1001" s="6">
        <v>4.34</v>
      </c>
      <c r="J1001" s="6">
        <v>39.06</v>
      </c>
      <c r="K1001" s="5">
        <v>270</v>
      </c>
      <c r="L1001" s="13" t="str">
        <f t="shared" si="30"/>
        <v>Discount Applied</v>
      </c>
      <c r="M1001" s="13" t="str">
        <f t="shared" si="31"/>
        <v>Silver</v>
      </c>
      <c r="N1001" s="13"/>
    </row>
    <row r="1002" spans="1:14" x14ac:dyDescent="0.3">
      <c r="A1002" s="3">
        <v>8371</v>
      </c>
      <c r="B1002" s="3" t="s">
        <v>36</v>
      </c>
      <c r="C1002" s="4">
        <v>45775</v>
      </c>
      <c r="D1002" s="3" t="s">
        <v>38</v>
      </c>
      <c r="E1002" s="3" t="s">
        <v>43</v>
      </c>
      <c r="F1002" s="5">
        <v>3</v>
      </c>
      <c r="G1002" s="6">
        <v>26.88</v>
      </c>
      <c r="H1002" s="6">
        <v>80.64</v>
      </c>
      <c r="I1002" s="6">
        <v>2.98</v>
      </c>
      <c r="J1002" s="6">
        <v>77.66</v>
      </c>
      <c r="K1002" s="5">
        <v>213</v>
      </c>
      <c r="L1002" s="13" t="str">
        <f t="shared" si="30"/>
        <v>Discount Applied</v>
      </c>
      <c r="M1002" s="13" t="str">
        <f t="shared" si="31"/>
        <v>Platinum</v>
      </c>
      <c r="N1002" s="13"/>
    </row>
    <row r="1003" spans="1:14" x14ac:dyDescent="0.3">
      <c r="A1003" s="3">
        <v>7095</v>
      </c>
      <c r="B1003" s="3" t="s">
        <v>36</v>
      </c>
      <c r="C1003" s="4">
        <v>45194</v>
      </c>
      <c r="D1003" s="3" t="s">
        <v>45</v>
      </c>
      <c r="E1003" s="3" t="s">
        <v>16</v>
      </c>
      <c r="F1003" s="5">
        <v>1</v>
      </c>
      <c r="G1003" s="6">
        <v>5.67</v>
      </c>
      <c r="H1003" s="6">
        <v>5.67</v>
      </c>
      <c r="I1003" s="6">
        <v>0.56999999999999995</v>
      </c>
      <c r="J1003" s="6">
        <v>5.0999999999999996</v>
      </c>
      <c r="K1003" s="5">
        <v>371</v>
      </c>
      <c r="L1003" s="13" t="str">
        <f t="shared" si="30"/>
        <v>Discount Applied</v>
      </c>
      <c r="M1003" s="13" t="str">
        <f t="shared" si="31"/>
        <v>Bronze</v>
      </c>
      <c r="N1003" s="13"/>
    </row>
    <row r="1004" spans="1:14" x14ac:dyDescent="0.3">
      <c r="A1004" s="3">
        <v>2259</v>
      </c>
      <c r="B1004" s="3" t="s">
        <v>36</v>
      </c>
      <c r="C1004" s="4">
        <v>45173</v>
      </c>
      <c r="D1004" s="3" t="s">
        <v>45</v>
      </c>
      <c r="E1004" s="3" t="s">
        <v>25</v>
      </c>
      <c r="F1004" s="5">
        <v>5</v>
      </c>
      <c r="G1004" s="6">
        <v>7.36</v>
      </c>
      <c r="H1004" s="6">
        <v>36.799999999999997</v>
      </c>
      <c r="I1004" s="6">
        <v>4.41</v>
      </c>
      <c r="J1004" s="6">
        <v>32.39</v>
      </c>
      <c r="K1004" s="5">
        <v>465</v>
      </c>
      <c r="L1004" s="13" t="str">
        <f t="shared" si="30"/>
        <v>Discount Applied</v>
      </c>
      <c r="M1004" s="13" t="str">
        <f t="shared" si="31"/>
        <v>Silver</v>
      </c>
      <c r="N1004" s="13"/>
    </row>
    <row r="1005" spans="1:14" x14ac:dyDescent="0.3">
      <c r="A1005" s="3">
        <v>3255</v>
      </c>
      <c r="B1005" s="3" t="s">
        <v>26</v>
      </c>
      <c r="C1005" s="4">
        <v>45301</v>
      </c>
      <c r="D1005" s="3" t="s">
        <v>34</v>
      </c>
      <c r="E1005" s="3" t="s">
        <v>37</v>
      </c>
      <c r="F1005" s="5">
        <v>4</v>
      </c>
      <c r="G1005" s="6">
        <v>28.82</v>
      </c>
      <c r="H1005" s="6">
        <v>115.28</v>
      </c>
      <c r="I1005" s="6">
        <v>11.53</v>
      </c>
      <c r="J1005" s="6">
        <v>103.75</v>
      </c>
      <c r="K1005" s="5">
        <v>426</v>
      </c>
      <c r="L1005" s="13" t="str">
        <f t="shared" si="30"/>
        <v>Discount Applied</v>
      </c>
      <c r="M1005" s="13" t="str">
        <f t="shared" si="31"/>
        <v>Platinum</v>
      </c>
      <c r="N1005" s="13"/>
    </row>
    <row r="1006" spans="1:14" x14ac:dyDescent="0.3">
      <c r="A1006" s="3">
        <v>7012</v>
      </c>
      <c r="B1006" s="3" t="s">
        <v>19</v>
      </c>
      <c r="C1006" s="4">
        <v>45759</v>
      </c>
      <c r="D1006" s="3" t="s">
        <v>28</v>
      </c>
      <c r="E1006" s="3" t="s">
        <v>44</v>
      </c>
      <c r="F1006" s="5">
        <v>3</v>
      </c>
      <c r="G1006" s="6">
        <v>21.02</v>
      </c>
      <c r="H1006" s="6">
        <v>63.06</v>
      </c>
      <c r="I1006" s="6">
        <v>12.61</v>
      </c>
      <c r="J1006" s="6">
        <v>50.45</v>
      </c>
      <c r="K1006" s="5">
        <v>44</v>
      </c>
      <c r="L1006" s="13" t="str">
        <f t="shared" si="30"/>
        <v>Discount Applied</v>
      </c>
      <c r="M1006" s="13" t="str">
        <f t="shared" si="31"/>
        <v>Gold</v>
      </c>
      <c r="N1006" s="13"/>
    </row>
    <row r="1007" spans="1:14" x14ac:dyDescent="0.3">
      <c r="A1007" s="3">
        <v>6150</v>
      </c>
      <c r="B1007" s="3" t="s">
        <v>19</v>
      </c>
      <c r="C1007" s="4">
        <v>45833</v>
      </c>
      <c r="D1007" s="3" t="s">
        <v>17</v>
      </c>
      <c r="E1007" s="3" t="s">
        <v>29</v>
      </c>
      <c r="F1007" s="5">
        <v>5</v>
      </c>
      <c r="G1007" s="6">
        <v>15.26</v>
      </c>
      <c r="H1007" s="6">
        <v>76.3</v>
      </c>
      <c r="I1007" s="6">
        <v>7.63</v>
      </c>
      <c r="J1007" s="6">
        <v>68.67</v>
      </c>
      <c r="K1007" s="5">
        <v>406</v>
      </c>
      <c r="L1007" s="13" t="str">
        <f t="shared" si="30"/>
        <v>Discount Applied</v>
      </c>
      <c r="M1007" s="13" t="str">
        <f t="shared" si="31"/>
        <v>Gold</v>
      </c>
      <c r="N1007" s="13"/>
    </row>
    <row r="1008" spans="1:14" x14ac:dyDescent="0.3">
      <c r="A1008" s="3">
        <v>5566</v>
      </c>
      <c r="B1008" s="3" t="s">
        <v>30</v>
      </c>
      <c r="C1008" s="4">
        <v>45390</v>
      </c>
      <c r="D1008" s="3" t="s">
        <v>17</v>
      </c>
      <c r="E1008" s="3" t="s">
        <v>44</v>
      </c>
      <c r="F1008" s="5">
        <v>5</v>
      </c>
      <c r="G1008" s="6">
        <v>2.35</v>
      </c>
      <c r="H1008" s="6">
        <v>11.75</v>
      </c>
      <c r="I1008" s="6">
        <v>1.76</v>
      </c>
      <c r="J1008" s="6">
        <v>9.99</v>
      </c>
      <c r="K1008" s="5">
        <v>9</v>
      </c>
      <c r="L1008" s="13" t="str">
        <f t="shared" si="30"/>
        <v>Discount Applied</v>
      </c>
      <c r="M1008" s="13" t="str">
        <f t="shared" si="31"/>
        <v>Bronze</v>
      </c>
      <c r="N1008" s="13"/>
    </row>
    <row r="1009" spans="1:14" x14ac:dyDescent="0.3">
      <c r="A1009" s="3">
        <v>4048</v>
      </c>
      <c r="B1009" s="3" t="s">
        <v>36</v>
      </c>
      <c r="C1009" s="4">
        <v>45545</v>
      </c>
      <c r="D1009" s="3" t="s">
        <v>27</v>
      </c>
      <c r="E1009" s="3" t="s">
        <v>29</v>
      </c>
      <c r="F1009" s="5">
        <v>2</v>
      </c>
      <c r="G1009" s="6">
        <v>25</v>
      </c>
      <c r="H1009" s="6">
        <v>50</v>
      </c>
      <c r="I1009" s="6">
        <v>2.35</v>
      </c>
      <c r="J1009" s="6">
        <v>47.65</v>
      </c>
      <c r="K1009" s="5">
        <v>457</v>
      </c>
      <c r="L1009" s="13" t="str">
        <f t="shared" si="30"/>
        <v>Discount Applied</v>
      </c>
      <c r="M1009" s="13" t="str">
        <f t="shared" si="31"/>
        <v>Silver</v>
      </c>
      <c r="N1009" s="13"/>
    </row>
    <row r="1010" spans="1:14" x14ac:dyDescent="0.3">
      <c r="A1010" s="3">
        <v>9482</v>
      </c>
      <c r="B1010" s="3" t="s">
        <v>11</v>
      </c>
      <c r="C1010" s="4">
        <v>45778</v>
      </c>
      <c r="D1010" s="3" t="s">
        <v>28</v>
      </c>
      <c r="E1010" s="3" t="s">
        <v>25</v>
      </c>
      <c r="F1010" s="5">
        <v>1</v>
      </c>
      <c r="G1010" s="6">
        <v>17.29</v>
      </c>
      <c r="H1010" s="6">
        <v>17.29</v>
      </c>
      <c r="I1010" s="6">
        <v>2.59</v>
      </c>
      <c r="J1010" s="6">
        <v>14.7</v>
      </c>
      <c r="K1010" s="5">
        <v>249</v>
      </c>
      <c r="L1010" s="13" t="str">
        <f t="shared" si="30"/>
        <v>Discount Applied</v>
      </c>
      <c r="M1010" s="13" t="str">
        <f t="shared" si="31"/>
        <v>Bronze</v>
      </c>
      <c r="N1010" s="13"/>
    </row>
    <row r="1011" spans="1:14" x14ac:dyDescent="0.3">
      <c r="A1011" s="3">
        <v>2929</v>
      </c>
      <c r="B1011" s="3" t="s">
        <v>36</v>
      </c>
      <c r="C1011" s="4">
        <v>45512</v>
      </c>
      <c r="D1011" s="3" t="s">
        <v>12</v>
      </c>
      <c r="E1011" s="3" t="s">
        <v>18</v>
      </c>
      <c r="F1011" s="5">
        <v>3</v>
      </c>
      <c r="G1011" s="6">
        <v>26.98</v>
      </c>
      <c r="H1011" s="6">
        <v>80.94</v>
      </c>
      <c r="I1011" s="6">
        <v>0</v>
      </c>
      <c r="J1011" s="6">
        <v>80.94</v>
      </c>
      <c r="K1011" s="5">
        <v>436</v>
      </c>
      <c r="L1011" s="13" t="str">
        <f t="shared" si="30"/>
        <v>No Discount</v>
      </c>
      <c r="M1011" s="13" t="str">
        <f t="shared" si="31"/>
        <v>Platinum</v>
      </c>
      <c r="N1011" s="13"/>
    </row>
    <row r="1012" spans="1:14" x14ac:dyDescent="0.3">
      <c r="A1012" s="3">
        <v>5264</v>
      </c>
      <c r="B1012" s="3" t="s">
        <v>31</v>
      </c>
      <c r="C1012" s="4">
        <v>45173</v>
      </c>
      <c r="D1012" s="3" t="s">
        <v>45</v>
      </c>
      <c r="E1012" s="3" t="s">
        <v>33</v>
      </c>
      <c r="F1012" s="5">
        <v>1</v>
      </c>
      <c r="G1012" s="6">
        <v>29.26</v>
      </c>
      <c r="H1012" s="6">
        <v>29.26</v>
      </c>
      <c r="I1012" s="6">
        <v>1.17</v>
      </c>
      <c r="J1012" s="6">
        <v>28.09</v>
      </c>
      <c r="K1012" s="5">
        <v>400</v>
      </c>
      <c r="L1012" s="13" t="str">
        <f t="shared" si="30"/>
        <v>Discount Applied</v>
      </c>
      <c r="M1012" s="13" t="str">
        <f t="shared" si="31"/>
        <v>Silver</v>
      </c>
      <c r="N1012" s="13"/>
    </row>
    <row r="1013" spans="1:14" x14ac:dyDescent="0.3">
      <c r="A1013" s="3">
        <v>8311</v>
      </c>
      <c r="B1013" s="3" t="s">
        <v>11</v>
      </c>
      <c r="C1013" s="4">
        <v>45367</v>
      </c>
      <c r="D1013" s="3" t="s">
        <v>34</v>
      </c>
      <c r="E1013" s="3" t="s">
        <v>48</v>
      </c>
      <c r="F1013" s="5">
        <v>2</v>
      </c>
      <c r="G1013" s="6">
        <v>27.41</v>
      </c>
      <c r="H1013" s="6">
        <v>54.82</v>
      </c>
      <c r="I1013" s="6">
        <v>0</v>
      </c>
      <c r="J1013" s="6">
        <v>54.82</v>
      </c>
      <c r="K1013" s="5">
        <v>80</v>
      </c>
      <c r="L1013" s="13" t="str">
        <f t="shared" si="30"/>
        <v>No Discount</v>
      </c>
      <c r="M1013" s="13" t="str">
        <f t="shared" si="31"/>
        <v>Gold</v>
      </c>
      <c r="N1013" s="13"/>
    </row>
    <row r="1014" spans="1:14" x14ac:dyDescent="0.3">
      <c r="A1014" s="3">
        <v>5678</v>
      </c>
      <c r="B1014" s="3" t="s">
        <v>26</v>
      </c>
      <c r="C1014" s="4">
        <v>45814</v>
      </c>
      <c r="D1014" s="3" t="s">
        <v>38</v>
      </c>
      <c r="E1014" s="3" t="s">
        <v>47</v>
      </c>
      <c r="F1014" s="5">
        <v>1</v>
      </c>
      <c r="G1014" s="6">
        <v>5.46</v>
      </c>
      <c r="H1014" s="6">
        <v>5.46</v>
      </c>
      <c r="I1014" s="6">
        <v>1.0900000000000001</v>
      </c>
      <c r="J1014" s="6">
        <v>4.37</v>
      </c>
      <c r="K1014" s="5">
        <v>186</v>
      </c>
      <c r="L1014" s="13" t="str">
        <f t="shared" si="30"/>
        <v>Discount Applied</v>
      </c>
      <c r="M1014" s="13" t="str">
        <f t="shared" si="31"/>
        <v>Bronze</v>
      </c>
      <c r="N1014" s="13"/>
    </row>
    <row r="1015" spans="1:14" x14ac:dyDescent="0.3">
      <c r="A1015" s="3">
        <v>9047</v>
      </c>
      <c r="B1015" s="3" t="s">
        <v>11</v>
      </c>
      <c r="C1015" s="4">
        <v>45817</v>
      </c>
      <c r="D1015" s="3" t="s">
        <v>17</v>
      </c>
      <c r="E1015" s="3" t="s">
        <v>33</v>
      </c>
      <c r="F1015" s="5">
        <v>4</v>
      </c>
      <c r="G1015" s="6">
        <v>23.3</v>
      </c>
      <c r="H1015" s="6">
        <v>93.2</v>
      </c>
      <c r="I1015" s="6">
        <v>9.32</v>
      </c>
      <c r="J1015" s="6">
        <v>83.88</v>
      </c>
      <c r="K1015" s="5">
        <v>3</v>
      </c>
      <c r="L1015" s="13" t="str">
        <f t="shared" si="30"/>
        <v>Discount Applied</v>
      </c>
      <c r="M1015" s="13" t="str">
        <f t="shared" si="31"/>
        <v>Platinum</v>
      </c>
      <c r="N1015" s="13"/>
    </row>
    <row r="1016" spans="1:14" x14ac:dyDescent="0.3">
      <c r="A1016" s="3">
        <v>3009</v>
      </c>
      <c r="B1016" s="3" t="s">
        <v>36</v>
      </c>
      <c r="C1016" s="4">
        <v>45357</v>
      </c>
      <c r="D1016" s="3" t="s">
        <v>35</v>
      </c>
      <c r="E1016" s="3" t="s">
        <v>46</v>
      </c>
      <c r="F1016" s="5">
        <v>2</v>
      </c>
      <c r="G1016" s="6">
        <v>3.46</v>
      </c>
      <c r="H1016" s="6">
        <v>6.92</v>
      </c>
      <c r="I1016" s="6">
        <v>1.04</v>
      </c>
      <c r="J1016" s="6">
        <v>5.88</v>
      </c>
      <c r="K1016" s="5">
        <v>190</v>
      </c>
      <c r="L1016" s="13" t="str">
        <f t="shared" si="30"/>
        <v>Discount Applied</v>
      </c>
      <c r="M1016" s="13" t="str">
        <f t="shared" si="31"/>
        <v>Bronze</v>
      </c>
      <c r="N1016" s="13"/>
    </row>
    <row r="1017" spans="1:14" x14ac:dyDescent="0.3">
      <c r="A1017" s="3">
        <v>2213</v>
      </c>
      <c r="B1017" s="3" t="s">
        <v>42</v>
      </c>
      <c r="C1017" s="4">
        <v>45765</v>
      </c>
      <c r="D1017" s="3" t="s">
        <v>34</v>
      </c>
      <c r="E1017" s="3" t="s">
        <v>46</v>
      </c>
      <c r="F1017" s="5">
        <v>4</v>
      </c>
      <c r="G1017" s="6">
        <v>23.82</v>
      </c>
      <c r="H1017" s="6">
        <v>95.28</v>
      </c>
      <c r="I1017" s="6">
        <v>9.5299999999999994</v>
      </c>
      <c r="J1017" s="6">
        <v>85.75</v>
      </c>
      <c r="K1017" s="5">
        <v>70</v>
      </c>
      <c r="L1017" s="13" t="str">
        <f t="shared" si="30"/>
        <v>Discount Applied</v>
      </c>
      <c r="M1017" s="13" t="str">
        <f t="shared" si="31"/>
        <v>Platinum</v>
      </c>
      <c r="N1017" s="13"/>
    </row>
    <row r="1018" spans="1:14" x14ac:dyDescent="0.3">
      <c r="A1018" s="3">
        <v>3828</v>
      </c>
      <c r="B1018" s="3" t="s">
        <v>24</v>
      </c>
      <c r="C1018" s="4">
        <v>45484</v>
      </c>
      <c r="D1018" s="3" t="s">
        <v>45</v>
      </c>
      <c r="E1018" s="3" t="s">
        <v>46</v>
      </c>
      <c r="F1018" s="5">
        <v>3</v>
      </c>
      <c r="G1018" s="6">
        <v>28.36</v>
      </c>
      <c r="H1018" s="6">
        <v>85.08</v>
      </c>
      <c r="I1018" s="6">
        <v>3.87</v>
      </c>
      <c r="J1018" s="6">
        <v>81.209999999999994</v>
      </c>
      <c r="K1018" s="5">
        <v>226</v>
      </c>
      <c r="L1018" s="13" t="str">
        <f t="shared" si="30"/>
        <v>Discount Applied</v>
      </c>
      <c r="M1018" s="13" t="str">
        <f t="shared" si="31"/>
        <v>Platinum</v>
      </c>
      <c r="N1018" s="13"/>
    </row>
    <row r="1019" spans="1:14" x14ac:dyDescent="0.3">
      <c r="A1019" s="3">
        <v>8292</v>
      </c>
      <c r="B1019" s="3" t="s">
        <v>14</v>
      </c>
      <c r="C1019" s="4">
        <v>45722</v>
      </c>
      <c r="D1019" s="3" t="s">
        <v>15</v>
      </c>
      <c r="E1019" s="3" t="s">
        <v>43</v>
      </c>
      <c r="F1019" s="5">
        <v>3</v>
      </c>
      <c r="G1019" s="6">
        <v>10.119999999999999</v>
      </c>
      <c r="H1019" s="6">
        <v>30.36</v>
      </c>
      <c r="I1019" s="6">
        <v>3.04</v>
      </c>
      <c r="J1019" s="6">
        <v>27.32</v>
      </c>
      <c r="K1019" s="5">
        <v>395</v>
      </c>
      <c r="L1019" s="13" t="str">
        <f t="shared" si="30"/>
        <v>Discount Applied</v>
      </c>
      <c r="M1019" s="13" t="str">
        <f t="shared" si="31"/>
        <v>Silver</v>
      </c>
      <c r="N1019" s="13"/>
    </row>
    <row r="1020" spans="1:14" x14ac:dyDescent="0.3">
      <c r="A1020" s="3">
        <v>6236</v>
      </c>
      <c r="B1020" s="3" t="s">
        <v>31</v>
      </c>
      <c r="C1020" s="4">
        <v>45839</v>
      </c>
      <c r="D1020" s="3" t="s">
        <v>20</v>
      </c>
      <c r="E1020" s="3" t="s">
        <v>40</v>
      </c>
      <c r="F1020" s="5">
        <v>2</v>
      </c>
      <c r="G1020" s="6">
        <v>27.16</v>
      </c>
      <c r="H1020" s="6">
        <v>54.32</v>
      </c>
      <c r="I1020" s="6">
        <v>5.43</v>
      </c>
      <c r="J1020" s="6">
        <v>48.89</v>
      </c>
      <c r="K1020" s="5">
        <v>29</v>
      </c>
      <c r="L1020" s="13" t="str">
        <f t="shared" si="30"/>
        <v>Discount Applied</v>
      </c>
      <c r="M1020" s="13" t="str">
        <f t="shared" si="31"/>
        <v>Silver</v>
      </c>
      <c r="N1020" s="13"/>
    </row>
    <row r="1021" spans="1:14" x14ac:dyDescent="0.3">
      <c r="A1021" s="3">
        <v>6692</v>
      </c>
      <c r="B1021" s="3" t="s">
        <v>24</v>
      </c>
      <c r="C1021" s="4">
        <v>45408</v>
      </c>
      <c r="D1021" s="3" t="s">
        <v>27</v>
      </c>
      <c r="E1021" s="3" t="s">
        <v>18</v>
      </c>
      <c r="F1021" s="5">
        <v>3</v>
      </c>
      <c r="G1021" s="6">
        <v>21.91</v>
      </c>
      <c r="H1021" s="6">
        <v>65.73</v>
      </c>
      <c r="I1021" s="6">
        <v>4.3099999999999996</v>
      </c>
      <c r="J1021" s="6">
        <v>61.42</v>
      </c>
      <c r="K1021" s="5">
        <v>160</v>
      </c>
      <c r="L1021" s="13" t="str">
        <f t="shared" si="30"/>
        <v>Discount Applied</v>
      </c>
      <c r="M1021" s="13" t="str">
        <f t="shared" si="31"/>
        <v>Gold</v>
      </c>
      <c r="N1021" s="13"/>
    </row>
    <row r="1022" spans="1:14" x14ac:dyDescent="0.3">
      <c r="A1022" s="3">
        <v>2063</v>
      </c>
      <c r="B1022" s="3" t="s">
        <v>14</v>
      </c>
      <c r="C1022" s="4">
        <v>45530</v>
      </c>
      <c r="D1022" s="3" t="s">
        <v>28</v>
      </c>
      <c r="E1022" s="3" t="s">
        <v>41</v>
      </c>
      <c r="F1022" s="5">
        <v>4</v>
      </c>
      <c r="G1022" s="6">
        <v>13.93</v>
      </c>
      <c r="H1022" s="6">
        <v>55.72</v>
      </c>
      <c r="I1022" s="6">
        <v>0</v>
      </c>
      <c r="J1022" s="6">
        <v>55.72</v>
      </c>
      <c r="K1022" s="5">
        <v>105</v>
      </c>
      <c r="L1022" s="13" t="str">
        <f t="shared" si="30"/>
        <v>No Discount</v>
      </c>
      <c r="M1022" s="13" t="str">
        <f t="shared" si="31"/>
        <v>Gold</v>
      </c>
      <c r="N1022" s="13"/>
    </row>
    <row r="1023" spans="1:14" x14ac:dyDescent="0.3">
      <c r="A1023" s="3">
        <v>9882</v>
      </c>
      <c r="B1023" s="3" t="s">
        <v>36</v>
      </c>
      <c r="C1023" s="4">
        <v>45430</v>
      </c>
      <c r="D1023" s="3" t="s">
        <v>27</v>
      </c>
      <c r="E1023" s="3" t="s">
        <v>32</v>
      </c>
      <c r="F1023" s="5">
        <v>2</v>
      </c>
      <c r="G1023" s="6">
        <v>26.54</v>
      </c>
      <c r="H1023" s="6">
        <v>53.08</v>
      </c>
      <c r="I1023" s="6">
        <v>2.34</v>
      </c>
      <c r="J1023" s="6">
        <v>50.74</v>
      </c>
      <c r="K1023" s="5">
        <v>43</v>
      </c>
      <c r="L1023" s="13" t="str">
        <f t="shared" si="30"/>
        <v>Discount Applied</v>
      </c>
      <c r="M1023" s="13" t="str">
        <f t="shared" si="31"/>
        <v>Gold</v>
      </c>
      <c r="N1023" s="13"/>
    </row>
    <row r="1024" spans="1:14" x14ac:dyDescent="0.3">
      <c r="A1024" s="3">
        <v>5914</v>
      </c>
      <c r="B1024" s="3" t="s">
        <v>19</v>
      </c>
      <c r="C1024" s="4">
        <v>45352</v>
      </c>
      <c r="D1024" s="3" t="s">
        <v>38</v>
      </c>
      <c r="E1024" s="3" t="s">
        <v>18</v>
      </c>
      <c r="F1024" s="5">
        <v>3</v>
      </c>
      <c r="G1024" s="6">
        <v>7.19</v>
      </c>
      <c r="H1024" s="6">
        <v>21.57</v>
      </c>
      <c r="I1024" s="6">
        <v>2.36</v>
      </c>
      <c r="J1024" s="6">
        <v>19.21</v>
      </c>
      <c r="K1024" s="5">
        <v>261</v>
      </c>
      <c r="L1024" s="13" t="str">
        <f t="shared" si="30"/>
        <v>Discount Applied</v>
      </c>
      <c r="M1024" s="13" t="str">
        <f t="shared" si="31"/>
        <v>Bronze</v>
      </c>
      <c r="N1024" s="13"/>
    </row>
    <row r="1025" spans="1:14" x14ac:dyDescent="0.3">
      <c r="A1025" s="3">
        <v>3580</v>
      </c>
      <c r="B1025" s="3" t="s">
        <v>19</v>
      </c>
      <c r="C1025" s="4">
        <v>45709</v>
      </c>
      <c r="D1025" s="3" t="s">
        <v>12</v>
      </c>
      <c r="E1025" s="3" t="s">
        <v>39</v>
      </c>
      <c r="F1025" s="5">
        <v>5</v>
      </c>
      <c r="G1025" s="6">
        <v>18.170000000000002</v>
      </c>
      <c r="H1025" s="6">
        <v>90.85</v>
      </c>
      <c r="I1025" s="6">
        <v>0</v>
      </c>
      <c r="J1025" s="6">
        <v>90.85</v>
      </c>
      <c r="K1025" s="5">
        <v>123</v>
      </c>
      <c r="L1025" s="13" t="str">
        <f t="shared" si="30"/>
        <v>No Discount</v>
      </c>
      <c r="M1025" s="13" t="str">
        <f t="shared" si="31"/>
        <v>Platinum</v>
      </c>
      <c r="N1025" s="13"/>
    </row>
    <row r="1026" spans="1:14" x14ac:dyDescent="0.3">
      <c r="A1026" s="3">
        <v>3852</v>
      </c>
      <c r="B1026" s="3" t="s">
        <v>24</v>
      </c>
      <c r="C1026" s="4">
        <v>45206</v>
      </c>
      <c r="D1026" s="3" t="s">
        <v>38</v>
      </c>
      <c r="E1026" s="3" t="s">
        <v>48</v>
      </c>
      <c r="F1026" s="5">
        <v>1</v>
      </c>
      <c r="G1026" s="6">
        <v>25.4</v>
      </c>
      <c r="H1026" s="6">
        <v>25.4</v>
      </c>
      <c r="I1026" s="6">
        <v>1.19</v>
      </c>
      <c r="J1026" s="6">
        <v>24.21</v>
      </c>
      <c r="K1026" s="5">
        <v>132</v>
      </c>
      <c r="L1026" s="13" t="str">
        <f t="shared" si="30"/>
        <v>Discount Applied</v>
      </c>
      <c r="M1026" s="13" t="str">
        <f t="shared" si="31"/>
        <v>Silver</v>
      </c>
      <c r="N1026" s="13"/>
    </row>
    <row r="1027" spans="1:14" x14ac:dyDescent="0.3">
      <c r="A1027" s="3">
        <v>6922</v>
      </c>
      <c r="B1027" s="3" t="s">
        <v>11</v>
      </c>
      <c r="C1027" s="4">
        <v>45612</v>
      </c>
      <c r="D1027" s="3" t="s">
        <v>45</v>
      </c>
      <c r="E1027" s="3" t="s">
        <v>37</v>
      </c>
      <c r="F1027" s="5">
        <v>5</v>
      </c>
      <c r="G1027" s="6">
        <v>22.36</v>
      </c>
      <c r="H1027" s="6">
        <v>111.8</v>
      </c>
      <c r="I1027" s="6">
        <v>22.36</v>
      </c>
      <c r="J1027" s="6">
        <v>89.44</v>
      </c>
      <c r="K1027" s="5">
        <v>232</v>
      </c>
      <c r="L1027" s="13" t="str">
        <f t="shared" ref="L1027:L1090" si="32">IF(I1027&gt;0,"Discount Applied","No Discount")</f>
        <v>Discount Applied</v>
      </c>
      <c r="M1027" s="13" t="str">
        <f t="shared" ref="M1027:M1090" si="33">IF(J1027 &gt;= 70, "Platinum",
   IF(J1027 &gt;= 50, "Gold",
      IF(J1027 &gt;= 20, "Silver", "Bronze")))</f>
        <v>Platinum</v>
      </c>
      <c r="N1027" s="13"/>
    </row>
    <row r="1028" spans="1:14" x14ac:dyDescent="0.3">
      <c r="A1028" s="3">
        <v>4673</v>
      </c>
      <c r="B1028" s="3" t="s">
        <v>14</v>
      </c>
      <c r="C1028" s="4">
        <v>45568</v>
      </c>
      <c r="D1028" s="3" t="s">
        <v>28</v>
      </c>
      <c r="E1028" s="3" t="s">
        <v>25</v>
      </c>
      <c r="F1028" s="5">
        <v>3</v>
      </c>
      <c r="G1028" s="6">
        <v>9.67</v>
      </c>
      <c r="H1028" s="6">
        <v>29.01</v>
      </c>
      <c r="I1028" s="6">
        <v>0</v>
      </c>
      <c r="J1028" s="6">
        <v>29.01</v>
      </c>
      <c r="K1028" s="5">
        <v>341</v>
      </c>
      <c r="L1028" s="13" t="str">
        <f t="shared" si="32"/>
        <v>No Discount</v>
      </c>
      <c r="M1028" s="13" t="str">
        <f t="shared" si="33"/>
        <v>Silver</v>
      </c>
      <c r="N1028" s="13"/>
    </row>
    <row r="1029" spans="1:14" x14ac:dyDescent="0.3">
      <c r="A1029" s="3">
        <v>4292</v>
      </c>
      <c r="B1029" s="3" t="s">
        <v>24</v>
      </c>
      <c r="C1029" s="4">
        <v>45394</v>
      </c>
      <c r="D1029" s="3" t="s">
        <v>38</v>
      </c>
      <c r="E1029" s="3" t="s">
        <v>25</v>
      </c>
      <c r="F1029" s="5">
        <v>1</v>
      </c>
      <c r="G1029" s="6">
        <v>10.5</v>
      </c>
      <c r="H1029" s="6">
        <v>10.5</v>
      </c>
      <c r="I1029" s="6">
        <v>1.57</v>
      </c>
      <c r="J1029" s="6">
        <v>8.93</v>
      </c>
      <c r="K1029" s="5">
        <v>298</v>
      </c>
      <c r="L1029" s="13" t="str">
        <f t="shared" si="32"/>
        <v>Discount Applied</v>
      </c>
      <c r="M1029" s="13" t="str">
        <f t="shared" si="33"/>
        <v>Bronze</v>
      </c>
      <c r="N1029" s="13"/>
    </row>
    <row r="1030" spans="1:14" x14ac:dyDescent="0.3">
      <c r="A1030" s="3">
        <v>3275</v>
      </c>
      <c r="B1030" s="3" t="s">
        <v>26</v>
      </c>
      <c r="C1030" s="4">
        <v>45207</v>
      </c>
      <c r="D1030" s="3" t="s">
        <v>15</v>
      </c>
      <c r="E1030" s="3" t="s">
        <v>41</v>
      </c>
      <c r="F1030" s="5">
        <v>4</v>
      </c>
      <c r="G1030" s="6">
        <v>25.01</v>
      </c>
      <c r="H1030" s="6">
        <v>100.04</v>
      </c>
      <c r="I1030" s="6">
        <v>2.7</v>
      </c>
      <c r="J1030" s="6">
        <v>97.34</v>
      </c>
      <c r="K1030" s="5">
        <v>41</v>
      </c>
      <c r="L1030" s="13" t="str">
        <f t="shared" si="32"/>
        <v>Discount Applied</v>
      </c>
      <c r="M1030" s="13" t="str">
        <f t="shared" si="33"/>
        <v>Platinum</v>
      </c>
      <c r="N1030" s="13"/>
    </row>
    <row r="1031" spans="1:14" x14ac:dyDescent="0.3">
      <c r="A1031" s="3">
        <v>9094</v>
      </c>
      <c r="B1031" s="3" t="s">
        <v>19</v>
      </c>
      <c r="C1031" s="4">
        <v>45658</v>
      </c>
      <c r="D1031" s="3" t="s">
        <v>45</v>
      </c>
      <c r="E1031" s="3" t="s">
        <v>44</v>
      </c>
      <c r="F1031" s="5">
        <v>4</v>
      </c>
      <c r="G1031" s="6">
        <v>3.25</v>
      </c>
      <c r="H1031" s="6">
        <v>13</v>
      </c>
      <c r="I1031" s="6">
        <v>3.24</v>
      </c>
      <c r="J1031" s="6">
        <v>9.76</v>
      </c>
      <c r="K1031" s="5">
        <v>346</v>
      </c>
      <c r="L1031" s="13" t="str">
        <f t="shared" si="32"/>
        <v>Discount Applied</v>
      </c>
      <c r="M1031" s="13" t="str">
        <f t="shared" si="33"/>
        <v>Bronze</v>
      </c>
      <c r="N1031" s="13"/>
    </row>
    <row r="1032" spans="1:14" x14ac:dyDescent="0.3">
      <c r="A1032" s="3">
        <v>6912</v>
      </c>
      <c r="B1032" s="3" t="s">
        <v>24</v>
      </c>
      <c r="C1032" s="4">
        <v>45383</v>
      </c>
      <c r="D1032" s="3" t="s">
        <v>35</v>
      </c>
      <c r="E1032" s="3" t="s">
        <v>47</v>
      </c>
      <c r="F1032" s="5">
        <v>4</v>
      </c>
      <c r="G1032" s="6">
        <v>29.89</v>
      </c>
      <c r="H1032" s="6">
        <v>119.56</v>
      </c>
      <c r="I1032" s="6">
        <v>0</v>
      </c>
      <c r="J1032" s="6">
        <v>119.56</v>
      </c>
      <c r="K1032" s="5">
        <v>352</v>
      </c>
      <c r="L1032" s="13" t="str">
        <f t="shared" si="32"/>
        <v>No Discount</v>
      </c>
      <c r="M1032" s="13" t="str">
        <f t="shared" si="33"/>
        <v>Platinum</v>
      </c>
      <c r="N1032" s="13"/>
    </row>
    <row r="1033" spans="1:14" x14ac:dyDescent="0.3">
      <c r="A1033" s="3">
        <v>7044</v>
      </c>
      <c r="B1033" s="3" t="s">
        <v>24</v>
      </c>
      <c r="C1033" s="4">
        <v>45613</v>
      </c>
      <c r="D1033" s="3" t="s">
        <v>34</v>
      </c>
      <c r="E1033" s="3" t="s">
        <v>41</v>
      </c>
      <c r="F1033" s="5">
        <v>5</v>
      </c>
      <c r="G1033" s="6">
        <v>4.68</v>
      </c>
      <c r="H1033" s="6">
        <v>23.4</v>
      </c>
      <c r="I1033" s="6">
        <v>4.68</v>
      </c>
      <c r="J1033" s="6">
        <v>18.72</v>
      </c>
      <c r="K1033" s="5">
        <v>364</v>
      </c>
      <c r="L1033" s="13" t="str">
        <f t="shared" si="32"/>
        <v>Discount Applied</v>
      </c>
      <c r="M1033" s="13" t="str">
        <f t="shared" si="33"/>
        <v>Bronze</v>
      </c>
      <c r="N1033" s="13"/>
    </row>
    <row r="1034" spans="1:14" x14ac:dyDescent="0.3">
      <c r="A1034" s="3">
        <v>3126</v>
      </c>
      <c r="B1034" s="3" t="s">
        <v>14</v>
      </c>
      <c r="C1034" s="4">
        <v>45274</v>
      </c>
      <c r="D1034" s="3" t="s">
        <v>38</v>
      </c>
      <c r="E1034" s="3" t="s">
        <v>48</v>
      </c>
      <c r="F1034" s="5">
        <v>2</v>
      </c>
      <c r="G1034" s="6">
        <v>14.2</v>
      </c>
      <c r="H1034" s="6">
        <v>28.4</v>
      </c>
      <c r="I1034" s="6">
        <v>2.48</v>
      </c>
      <c r="J1034" s="6">
        <v>25.92</v>
      </c>
      <c r="K1034" s="5">
        <v>16</v>
      </c>
      <c r="L1034" s="13" t="str">
        <f t="shared" si="32"/>
        <v>Discount Applied</v>
      </c>
      <c r="M1034" s="13" t="str">
        <f t="shared" si="33"/>
        <v>Silver</v>
      </c>
      <c r="N1034" s="13"/>
    </row>
    <row r="1035" spans="1:14" x14ac:dyDescent="0.3">
      <c r="A1035" s="3">
        <v>2412</v>
      </c>
      <c r="B1035" s="3" t="s">
        <v>11</v>
      </c>
      <c r="C1035" s="4">
        <v>45418</v>
      </c>
      <c r="D1035" s="3" t="s">
        <v>28</v>
      </c>
      <c r="E1035" s="3" t="s">
        <v>16</v>
      </c>
      <c r="F1035" s="5">
        <v>1</v>
      </c>
      <c r="G1035" s="6">
        <v>4.5</v>
      </c>
      <c r="H1035" s="6">
        <v>4.5</v>
      </c>
      <c r="I1035" s="6">
        <v>3.09</v>
      </c>
      <c r="J1035" s="6">
        <v>1.41</v>
      </c>
      <c r="K1035" s="5">
        <v>292</v>
      </c>
      <c r="L1035" s="13" t="str">
        <f t="shared" si="32"/>
        <v>Discount Applied</v>
      </c>
      <c r="M1035" s="13" t="str">
        <f t="shared" si="33"/>
        <v>Bronze</v>
      </c>
      <c r="N1035" s="13"/>
    </row>
    <row r="1036" spans="1:14" x14ac:dyDescent="0.3">
      <c r="A1036" s="3">
        <v>8842</v>
      </c>
      <c r="B1036" s="3" t="s">
        <v>11</v>
      </c>
      <c r="C1036" s="4">
        <v>45177</v>
      </c>
      <c r="D1036" s="3" t="s">
        <v>22</v>
      </c>
      <c r="E1036" s="3" t="s">
        <v>37</v>
      </c>
      <c r="F1036" s="5">
        <v>3</v>
      </c>
      <c r="G1036" s="6">
        <v>9.7799999999999994</v>
      </c>
      <c r="H1036" s="6">
        <v>29.34</v>
      </c>
      <c r="I1036" s="6">
        <v>5.87</v>
      </c>
      <c r="J1036" s="6">
        <v>23.47</v>
      </c>
      <c r="K1036" s="5">
        <v>248</v>
      </c>
      <c r="L1036" s="13" t="str">
        <f t="shared" si="32"/>
        <v>Discount Applied</v>
      </c>
      <c r="M1036" s="13" t="str">
        <f t="shared" si="33"/>
        <v>Silver</v>
      </c>
      <c r="N1036" s="13"/>
    </row>
    <row r="1037" spans="1:14" x14ac:dyDescent="0.3">
      <c r="A1037" s="3">
        <v>7708</v>
      </c>
      <c r="B1037" s="3" t="s">
        <v>19</v>
      </c>
      <c r="C1037" s="4">
        <v>45622</v>
      </c>
      <c r="D1037" s="3" t="s">
        <v>28</v>
      </c>
      <c r="E1037" s="3" t="s">
        <v>16</v>
      </c>
      <c r="F1037" s="5">
        <v>1</v>
      </c>
      <c r="G1037" s="6">
        <v>28.16</v>
      </c>
      <c r="H1037" s="6">
        <v>28.16</v>
      </c>
      <c r="I1037" s="6">
        <v>5.63</v>
      </c>
      <c r="J1037" s="6">
        <v>22.53</v>
      </c>
      <c r="K1037" s="5">
        <v>156</v>
      </c>
      <c r="L1037" s="13" t="str">
        <f t="shared" si="32"/>
        <v>Discount Applied</v>
      </c>
      <c r="M1037" s="13" t="str">
        <f t="shared" si="33"/>
        <v>Silver</v>
      </c>
      <c r="N1037" s="13"/>
    </row>
    <row r="1038" spans="1:14" x14ac:dyDescent="0.3">
      <c r="A1038" s="3">
        <v>2208</v>
      </c>
      <c r="B1038" s="3" t="s">
        <v>19</v>
      </c>
      <c r="C1038" s="4">
        <v>45358</v>
      </c>
      <c r="D1038" s="3" t="s">
        <v>45</v>
      </c>
      <c r="E1038" s="3" t="s">
        <v>39</v>
      </c>
      <c r="F1038" s="5">
        <v>1</v>
      </c>
      <c r="G1038" s="6">
        <v>16.87</v>
      </c>
      <c r="H1038" s="6">
        <v>16.87</v>
      </c>
      <c r="I1038" s="6">
        <v>1.69</v>
      </c>
      <c r="J1038" s="6">
        <v>15.18</v>
      </c>
      <c r="K1038" s="5">
        <v>34</v>
      </c>
      <c r="L1038" s="13" t="str">
        <f t="shared" si="32"/>
        <v>Discount Applied</v>
      </c>
      <c r="M1038" s="13" t="str">
        <f t="shared" si="33"/>
        <v>Bronze</v>
      </c>
      <c r="N1038" s="13"/>
    </row>
    <row r="1039" spans="1:14" x14ac:dyDescent="0.3">
      <c r="A1039" s="3">
        <v>6194</v>
      </c>
      <c r="B1039" s="3" t="s">
        <v>26</v>
      </c>
      <c r="C1039" s="4">
        <v>45203</v>
      </c>
      <c r="D1039" s="3" t="s">
        <v>28</v>
      </c>
      <c r="E1039" s="3" t="s">
        <v>37</v>
      </c>
      <c r="F1039" s="5">
        <v>5</v>
      </c>
      <c r="G1039" s="6">
        <v>14.11</v>
      </c>
      <c r="H1039" s="6">
        <v>70.55</v>
      </c>
      <c r="I1039" s="6">
        <v>7.05</v>
      </c>
      <c r="J1039" s="6">
        <v>63.5</v>
      </c>
      <c r="K1039" s="5">
        <v>172</v>
      </c>
      <c r="L1039" s="13" t="str">
        <f t="shared" si="32"/>
        <v>Discount Applied</v>
      </c>
      <c r="M1039" s="13" t="str">
        <f t="shared" si="33"/>
        <v>Gold</v>
      </c>
      <c r="N1039" s="13"/>
    </row>
    <row r="1040" spans="1:14" x14ac:dyDescent="0.3">
      <c r="A1040" s="3">
        <v>2215</v>
      </c>
      <c r="B1040" s="3" t="s">
        <v>19</v>
      </c>
      <c r="C1040" s="4">
        <v>45427</v>
      </c>
      <c r="D1040" s="3" t="s">
        <v>34</v>
      </c>
      <c r="E1040" s="3" t="s">
        <v>46</v>
      </c>
      <c r="F1040" s="5">
        <v>4</v>
      </c>
      <c r="G1040" s="6">
        <v>23.08</v>
      </c>
      <c r="H1040" s="6">
        <v>92.32</v>
      </c>
      <c r="I1040" s="6">
        <v>18.46</v>
      </c>
      <c r="J1040" s="6">
        <v>73.86</v>
      </c>
      <c r="K1040" s="5">
        <v>341</v>
      </c>
      <c r="L1040" s="13" t="str">
        <f t="shared" si="32"/>
        <v>Discount Applied</v>
      </c>
      <c r="M1040" s="13" t="str">
        <f t="shared" si="33"/>
        <v>Platinum</v>
      </c>
      <c r="N1040" s="13"/>
    </row>
    <row r="1041" spans="1:14" x14ac:dyDescent="0.3">
      <c r="A1041" s="3">
        <v>8632</v>
      </c>
      <c r="B1041" s="3" t="s">
        <v>36</v>
      </c>
      <c r="C1041" s="4">
        <v>45767</v>
      </c>
      <c r="D1041" s="3" t="s">
        <v>15</v>
      </c>
      <c r="E1041" s="3" t="s">
        <v>16</v>
      </c>
      <c r="F1041" s="5">
        <v>4</v>
      </c>
      <c r="G1041" s="6">
        <v>7.74</v>
      </c>
      <c r="H1041" s="6">
        <v>30.96</v>
      </c>
      <c r="I1041" s="6">
        <v>1.18</v>
      </c>
      <c r="J1041" s="6">
        <v>29.78</v>
      </c>
      <c r="K1041" s="5">
        <v>202</v>
      </c>
      <c r="L1041" s="13" t="str">
        <f t="shared" si="32"/>
        <v>Discount Applied</v>
      </c>
      <c r="M1041" s="13" t="str">
        <f t="shared" si="33"/>
        <v>Silver</v>
      </c>
      <c r="N1041" s="13"/>
    </row>
    <row r="1042" spans="1:14" x14ac:dyDescent="0.3">
      <c r="A1042" s="3">
        <v>9476</v>
      </c>
      <c r="B1042" s="3" t="s">
        <v>26</v>
      </c>
      <c r="C1042" s="4">
        <v>45169</v>
      </c>
      <c r="D1042" s="3" t="s">
        <v>35</v>
      </c>
      <c r="E1042" s="3" t="s">
        <v>43</v>
      </c>
      <c r="F1042" s="5">
        <v>2</v>
      </c>
      <c r="G1042" s="6">
        <v>21.5</v>
      </c>
      <c r="H1042" s="6">
        <v>43</v>
      </c>
      <c r="I1042" s="6">
        <v>3.58</v>
      </c>
      <c r="J1042" s="6">
        <v>39.42</v>
      </c>
      <c r="K1042" s="5">
        <v>292</v>
      </c>
      <c r="L1042" s="13" t="str">
        <f t="shared" si="32"/>
        <v>Discount Applied</v>
      </c>
      <c r="M1042" s="13" t="str">
        <f t="shared" si="33"/>
        <v>Silver</v>
      </c>
      <c r="N1042" s="13"/>
    </row>
    <row r="1043" spans="1:14" x14ac:dyDescent="0.3">
      <c r="A1043" s="3">
        <v>3102</v>
      </c>
      <c r="B1043" s="3" t="s">
        <v>14</v>
      </c>
      <c r="C1043" s="4">
        <v>45804</v>
      </c>
      <c r="D1043" s="3" t="s">
        <v>15</v>
      </c>
      <c r="E1043" s="3" t="s">
        <v>44</v>
      </c>
      <c r="F1043" s="5">
        <v>5</v>
      </c>
      <c r="G1043" s="6">
        <v>16.7</v>
      </c>
      <c r="H1043" s="6">
        <v>83.5</v>
      </c>
      <c r="I1043" s="6">
        <v>3.09</v>
      </c>
      <c r="J1043" s="6">
        <v>80.41</v>
      </c>
      <c r="K1043" s="5">
        <v>387</v>
      </c>
      <c r="L1043" s="13" t="str">
        <f t="shared" si="32"/>
        <v>Discount Applied</v>
      </c>
      <c r="M1043" s="13" t="str">
        <f t="shared" si="33"/>
        <v>Platinum</v>
      </c>
      <c r="N1043" s="13"/>
    </row>
    <row r="1044" spans="1:14" x14ac:dyDescent="0.3">
      <c r="A1044" s="3">
        <v>3981</v>
      </c>
      <c r="B1044" s="3" t="s">
        <v>26</v>
      </c>
      <c r="C1044" s="4">
        <v>45172</v>
      </c>
      <c r="D1044" s="3" t="s">
        <v>38</v>
      </c>
      <c r="E1044" s="3" t="s">
        <v>39</v>
      </c>
      <c r="F1044" s="5">
        <v>1</v>
      </c>
      <c r="G1044" s="6">
        <v>20.079999999999998</v>
      </c>
      <c r="H1044" s="6">
        <v>20.079999999999998</v>
      </c>
      <c r="I1044" s="6">
        <v>2.1</v>
      </c>
      <c r="J1044" s="6">
        <v>17.98</v>
      </c>
      <c r="K1044" s="5">
        <v>272</v>
      </c>
      <c r="L1044" s="13" t="str">
        <f t="shared" si="32"/>
        <v>Discount Applied</v>
      </c>
      <c r="M1044" s="13" t="str">
        <f t="shared" si="33"/>
        <v>Bronze</v>
      </c>
      <c r="N1044" s="13"/>
    </row>
    <row r="1045" spans="1:14" x14ac:dyDescent="0.3">
      <c r="A1045" s="3">
        <v>3114</v>
      </c>
      <c r="B1045" s="3" t="s">
        <v>42</v>
      </c>
      <c r="C1045" s="4">
        <v>45197</v>
      </c>
      <c r="D1045" s="3" t="s">
        <v>17</v>
      </c>
      <c r="E1045" s="3" t="s">
        <v>33</v>
      </c>
      <c r="F1045" s="5">
        <v>1</v>
      </c>
      <c r="G1045" s="6">
        <v>24.39</v>
      </c>
      <c r="H1045" s="6">
        <v>24.39</v>
      </c>
      <c r="I1045" s="6">
        <v>2.44</v>
      </c>
      <c r="J1045" s="6">
        <v>21.95</v>
      </c>
      <c r="K1045" s="5">
        <v>310</v>
      </c>
      <c r="L1045" s="13" t="str">
        <f t="shared" si="32"/>
        <v>Discount Applied</v>
      </c>
      <c r="M1045" s="13" t="str">
        <f t="shared" si="33"/>
        <v>Silver</v>
      </c>
      <c r="N1045" s="13"/>
    </row>
    <row r="1046" spans="1:14" x14ac:dyDescent="0.3">
      <c r="A1046" s="3">
        <v>9238</v>
      </c>
      <c r="B1046" s="3" t="s">
        <v>31</v>
      </c>
      <c r="C1046" s="4">
        <v>45749</v>
      </c>
      <c r="D1046" s="3" t="s">
        <v>45</v>
      </c>
      <c r="E1046" s="3" t="s">
        <v>39</v>
      </c>
      <c r="F1046" s="5">
        <v>3</v>
      </c>
      <c r="G1046" s="6">
        <v>13.66</v>
      </c>
      <c r="H1046" s="6">
        <v>40.98</v>
      </c>
      <c r="I1046" s="6">
        <v>2.27</v>
      </c>
      <c r="J1046" s="6">
        <v>38.71</v>
      </c>
      <c r="K1046" s="5">
        <v>212</v>
      </c>
      <c r="L1046" s="13" t="str">
        <f t="shared" si="32"/>
        <v>Discount Applied</v>
      </c>
      <c r="M1046" s="13" t="str">
        <f t="shared" si="33"/>
        <v>Silver</v>
      </c>
      <c r="N1046" s="13"/>
    </row>
    <row r="1047" spans="1:14" x14ac:dyDescent="0.3">
      <c r="A1047" s="3">
        <v>1907</v>
      </c>
      <c r="B1047" s="3" t="s">
        <v>30</v>
      </c>
      <c r="C1047" s="4">
        <v>45426</v>
      </c>
      <c r="D1047" s="3" t="s">
        <v>15</v>
      </c>
      <c r="E1047" s="3" t="s">
        <v>48</v>
      </c>
      <c r="F1047" s="5">
        <v>1</v>
      </c>
      <c r="G1047" s="6">
        <v>16.7</v>
      </c>
      <c r="H1047" s="6">
        <v>16.7</v>
      </c>
      <c r="I1047" s="6">
        <v>3.34</v>
      </c>
      <c r="J1047" s="6">
        <v>13.36</v>
      </c>
      <c r="K1047" s="5">
        <v>146</v>
      </c>
      <c r="L1047" s="13" t="str">
        <f t="shared" si="32"/>
        <v>Discount Applied</v>
      </c>
      <c r="M1047" s="13" t="str">
        <f t="shared" si="33"/>
        <v>Bronze</v>
      </c>
      <c r="N1047" s="13"/>
    </row>
    <row r="1048" spans="1:14" x14ac:dyDescent="0.3">
      <c r="A1048" s="3">
        <v>3034</v>
      </c>
      <c r="B1048" s="3" t="s">
        <v>30</v>
      </c>
      <c r="C1048" s="4">
        <v>45585</v>
      </c>
      <c r="D1048" s="3" t="s">
        <v>15</v>
      </c>
      <c r="E1048" s="3" t="s">
        <v>41</v>
      </c>
      <c r="F1048" s="5">
        <v>3</v>
      </c>
      <c r="G1048" s="6">
        <v>28.6</v>
      </c>
      <c r="H1048" s="6">
        <v>85.8</v>
      </c>
      <c r="I1048" s="6">
        <v>3.46</v>
      </c>
      <c r="J1048" s="6">
        <v>82.34</v>
      </c>
      <c r="K1048" s="5">
        <v>347</v>
      </c>
      <c r="L1048" s="13" t="str">
        <f t="shared" si="32"/>
        <v>Discount Applied</v>
      </c>
      <c r="M1048" s="13" t="str">
        <f t="shared" si="33"/>
        <v>Platinum</v>
      </c>
      <c r="N1048" s="13"/>
    </row>
    <row r="1049" spans="1:14" x14ac:dyDescent="0.3">
      <c r="A1049" s="3">
        <v>3507</v>
      </c>
      <c r="B1049" s="3" t="s">
        <v>36</v>
      </c>
      <c r="C1049" s="4">
        <v>45614</v>
      </c>
      <c r="D1049" s="3" t="s">
        <v>34</v>
      </c>
      <c r="E1049" s="3" t="s">
        <v>39</v>
      </c>
      <c r="F1049" s="5">
        <v>1</v>
      </c>
      <c r="G1049" s="6">
        <v>9.6300000000000008</v>
      </c>
      <c r="H1049" s="6">
        <v>9.6300000000000008</v>
      </c>
      <c r="I1049" s="6">
        <v>1.93</v>
      </c>
      <c r="J1049" s="6">
        <v>7.7</v>
      </c>
      <c r="K1049" s="5">
        <v>50</v>
      </c>
      <c r="L1049" s="13" t="str">
        <f t="shared" si="32"/>
        <v>Discount Applied</v>
      </c>
      <c r="M1049" s="13" t="str">
        <f t="shared" si="33"/>
        <v>Bronze</v>
      </c>
      <c r="N1049" s="13"/>
    </row>
    <row r="1050" spans="1:14" x14ac:dyDescent="0.3">
      <c r="A1050" s="3">
        <v>3697</v>
      </c>
      <c r="B1050" s="3" t="s">
        <v>24</v>
      </c>
      <c r="C1050" s="4">
        <v>45672</v>
      </c>
      <c r="D1050" s="3" t="s">
        <v>22</v>
      </c>
      <c r="E1050" s="3" t="s">
        <v>13</v>
      </c>
      <c r="F1050" s="5">
        <v>4</v>
      </c>
      <c r="G1050" s="6">
        <v>28.3</v>
      </c>
      <c r="H1050" s="6">
        <v>113.2</v>
      </c>
      <c r="I1050" s="6">
        <v>1.81</v>
      </c>
      <c r="J1050" s="6">
        <v>111.39</v>
      </c>
      <c r="K1050" s="5">
        <v>460</v>
      </c>
      <c r="L1050" s="13" t="str">
        <f t="shared" si="32"/>
        <v>Discount Applied</v>
      </c>
      <c r="M1050" s="13" t="str">
        <f t="shared" si="33"/>
        <v>Platinum</v>
      </c>
      <c r="N1050" s="13"/>
    </row>
    <row r="1051" spans="1:14" x14ac:dyDescent="0.3">
      <c r="A1051" s="3">
        <v>6286</v>
      </c>
      <c r="B1051" s="3" t="s">
        <v>42</v>
      </c>
      <c r="C1051" s="4">
        <v>45433</v>
      </c>
      <c r="D1051" s="3" t="s">
        <v>45</v>
      </c>
      <c r="E1051" s="3" t="s">
        <v>46</v>
      </c>
      <c r="F1051" s="5">
        <v>5</v>
      </c>
      <c r="G1051" s="6">
        <v>12.16</v>
      </c>
      <c r="H1051" s="6">
        <v>60.8</v>
      </c>
      <c r="I1051" s="6">
        <v>2.27</v>
      </c>
      <c r="J1051" s="6">
        <v>58.53</v>
      </c>
      <c r="K1051" s="5">
        <v>58</v>
      </c>
      <c r="L1051" s="13" t="str">
        <f t="shared" si="32"/>
        <v>Discount Applied</v>
      </c>
      <c r="M1051" s="13" t="str">
        <f t="shared" si="33"/>
        <v>Gold</v>
      </c>
      <c r="N1051" s="13"/>
    </row>
    <row r="1052" spans="1:14" x14ac:dyDescent="0.3">
      <c r="A1052" s="3">
        <v>4694</v>
      </c>
      <c r="B1052" s="3" t="s">
        <v>14</v>
      </c>
      <c r="C1052" s="4">
        <v>45489</v>
      </c>
      <c r="D1052" s="3" t="s">
        <v>20</v>
      </c>
      <c r="E1052" s="3" t="s">
        <v>43</v>
      </c>
      <c r="F1052" s="5">
        <v>4</v>
      </c>
      <c r="G1052" s="6">
        <v>1.83</v>
      </c>
      <c r="H1052" s="6">
        <v>7.32</v>
      </c>
      <c r="I1052" s="6">
        <v>2.08</v>
      </c>
      <c r="J1052" s="6">
        <v>5.24</v>
      </c>
      <c r="K1052" s="5">
        <v>324</v>
      </c>
      <c r="L1052" s="13" t="str">
        <f t="shared" si="32"/>
        <v>Discount Applied</v>
      </c>
      <c r="M1052" s="13" t="str">
        <f t="shared" si="33"/>
        <v>Bronze</v>
      </c>
      <c r="N1052" s="13"/>
    </row>
    <row r="1053" spans="1:14" x14ac:dyDescent="0.3">
      <c r="A1053" s="3">
        <v>9501</v>
      </c>
      <c r="B1053" s="3" t="s">
        <v>11</v>
      </c>
      <c r="C1053" s="4">
        <v>45590</v>
      </c>
      <c r="D1053" s="3" t="s">
        <v>17</v>
      </c>
      <c r="E1053" s="3" t="s">
        <v>18</v>
      </c>
      <c r="F1053" s="5">
        <v>2</v>
      </c>
      <c r="G1053" s="6">
        <v>9.82</v>
      </c>
      <c r="H1053" s="6">
        <v>19.64</v>
      </c>
      <c r="I1053" s="6">
        <v>4.3899999999999997</v>
      </c>
      <c r="J1053" s="6">
        <v>15.25</v>
      </c>
      <c r="K1053" s="5">
        <v>208</v>
      </c>
      <c r="L1053" s="13" t="str">
        <f t="shared" si="32"/>
        <v>Discount Applied</v>
      </c>
      <c r="M1053" s="13" t="str">
        <f t="shared" si="33"/>
        <v>Bronze</v>
      </c>
      <c r="N1053" s="13"/>
    </row>
    <row r="1054" spans="1:14" x14ac:dyDescent="0.3">
      <c r="A1054" s="3">
        <v>5653</v>
      </c>
      <c r="B1054" s="3" t="s">
        <v>14</v>
      </c>
      <c r="C1054" s="4">
        <v>45556</v>
      </c>
      <c r="D1054" s="3" t="s">
        <v>17</v>
      </c>
      <c r="E1054" s="3" t="s">
        <v>41</v>
      </c>
      <c r="F1054" s="5">
        <v>3</v>
      </c>
      <c r="G1054" s="6">
        <v>16.66</v>
      </c>
      <c r="H1054" s="6">
        <v>49.98</v>
      </c>
      <c r="I1054" s="6">
        <v>4.8099999999999996</v>
      </c>
      <c r="J1054" s="6">
        <v>45.17</v>
      </c>
      <c r="K1054" s="5">
        <v>86</v>
      </c>
      <c r="L1054" s="13" t="str">
        <f t="shared" si="32"/>
        <v>Discount Applied</v>
      </c>
      <c r="M1054" s="13" t="str">
        <f t="shared" si="33"/>
        <v>Silver</v>
      </c>
      <c r="N1054" s="13"/>
    </row>
    <row r="1055" spans="1:14" x14ac:dyDescent="0.3">
      <c r="A1055" s="3">
        <v>2292</v>
      </c>
      <c r="B1055" s="3" t="s">
        <v>14</v>
      </c>
      <c r="C1055" s="4">
        <v>45454</v>
      </c>
      <c r="D1055" s="3" t="s">
        <v>45</v>
      </c>
      <c r="E1055" s="3" t="s">
        <v>40</v>
      </c>
      <c r="F1055" s="5">
        <v>1</v>
      </c>
      <c r="G1055" s="6">
        <v>24.56</v>
      </c>
      <c r="H1055" s="6">
        <v>24.56</v>
      </c>
      <c r="I1055" s="6">
        <v>0</v>
      </c>
      <c r="J1055" s="6">
        <v>24.56</v>
      </c>
      <c r="K1055" s="5">
        <v>492</v>
      </c>
      <c r="L1055" s="13" t="str">
        <f t="shared" si="32"/>
        <v>No Discount</v>
      </c>
      <c r="M1055" s="13" t="str">
        <f t="shared" si="33"/>
        <v>Silver</v>
      </c>
      <c r="N1055" s="13"/>
    </row>
    <row r="1056" spans="1:14" x14ac:dyDescent="0.3">
      <c r="A1056" s="3">
        <v>4216</v>
      </c>
      <c r="B1056" s="3" t="s">
        <v>19</v>
      </c>
      <c r="C1056" s="4">
        <v>45649</v>
      </c>
      <c r="D1056" s="3" t="s">
        <v>12</v>
      </c>
      <c r="E1056" s="3" t="s">
        <v>40</v>
      </c>
      <c r="F1056" s="5">
        <v>4</v>
      </c>
      <c r="G1056" s="6">
        <v>8.92</v>
      </c>
      <c r="H1056" s="6">
        <v>35.68</v>
      </c>
      <c r="I1056" s="6">
        <v>5.35</v>
      </c>
      <c r="J1056" s="6">
        <v>30.33</v>
      </c>
      <c r="K1056" s="5">
        <v>128</v>
      </c>
      <c r="L1056" s="13" t="str">
        <f t="shared" si="32"/>
        <v>Discount Applied</v>
      </c>
      <c r="M1056" s="13" t="str">
        <f t="shared" si="33"/>
        <v>Silver</v>
      </c>
      <c r="N1056" s="13"/>
    </row>
    <row r="1057" spans="1:14" x14ac:dyDescent="0.3">
      <c r="A1057" s="3">
        <v>5496</v>
      </c>
      <c r="B1057" s="3" t="s">
        <v>42</v>
      </c>
      <c r="C1057" s="4">
        <v>45338</v>
      </c>
      <c r="D1057" s="3" t="s">
        <v>28</v>
      </c>
      <c r="E1057" s="3" t="s">
        <v>46</v>
      </c>
      <c r="F1057" s="5">
        <v>3</v>
      </c>
      <c r="G1057" s="6">
        <v>2.31</v>
      </c>
      <c r="H1057" s="6">
        <v>6.93</v>
      </c>
      <c r="I1057" s="6">
        <v>1.04</v>
      </c>
      <c r="J1057" s="6">
        <v>5.89</v>
      </c>
      <c r="K1057" s="5">
        <v>378</v>
      </c>
      <c r="L1057" s="13" t="str">
        <f t="shared" si="32"/>
        <v>Discount Applied</v>
      </c>
      <c r="M1057" s="13" t="str">
        <f t="shared" si="33"/>
        <v>Bronze</v>
      </c>
      <c r="N1057" s="13"/>
    </row>
    <row r="1058" spans="1:14" x14ac:dyDescent="0.3">
      <c r="A1058" s="3">
        <v>9740</v>
      </c>
      <c r="B1058" s="3" t="s">
        <v>11</v>
      </c>
      <c r="C1058" s="4">
        <v>45165</v>
      </c>
      <c r="D1058" s="3" t="s">
        <v>20</v>
      </c>
      <c r="E1058" s="3" t="s">
        <v>48</v>
      </c>
      <c r="F1058" s="5">
        <v>2</v>
      </c>
      <c r="G1058" s="6">
        <v>22.02</v>
      </c>
      <c r="H1058" s="6">
        <v>44.04</v>
      </c>
      <c r="I1058" s="6">
        <v>8.81</v>
      </c>
      <c r="J1058" s="6">
        <v>35.229999999999997</v>
      </c>
      <c r="K1058" s="5">
        <v>143</v>
      </c>
      <c r="L1058" s="13" t="str">
        <f t="shared" si="32"/>
        <v>Discount Applied</v>
      </c>
      <c r="M1058" s="13" t="str">
        <f t="shared" si="33"/>
        <v>Silver</v>
      </c>
      <c r="N1058" s="13"/>
    </row>
    <row r="1059" spans="1:14" x14ac:dyDescent="0.3">
      <c r="A1059" s="3">
        <v>9234</v>
      </c>
      <c r="B1059" s="3" t="s">
        <v>14</v>
      </c>
      <c r="C1059" s="4">
        <v>45532</v>
      </c>
      <c r="D1059" s="3" t="s">
        <v>22</v>
      </c>
      <c r="E1059" s="3" t="s">
        <v>21</v>
      </c>
      <c r="F1059" s="5">
        <v>3</v>
      </c>
      <c r="G1059" s="6">
        <v>29.4</v>
      </c>
      <c r="H1059" s="6">
        <v>88.2</v>
      </c>
      <c r="I1059" s="6">
        <v>13.23</v>
      </c>
      <c r="J1059" s="6">
        <v>74.97</v>
      </c>
      <c r="K1059" s="5">
        <v>362</v>
      </c>
      <c r="L1059" s="13" t="str">
        <f t="shared" si="32"/>
        <v>Discount Applied</v>
      </c>
      <c r="M1059" s="13" t="str">
        <f t="shared" si="33"/>
        <v>Platinum</v>
      </c>
      <c r="N1059" s="13"/>
    </row>
    <row r="1060" spans="1:14" x14ac:dyDescent="0.3">
      <c r="A1060" s="3">
        <v>3762</v>
      </c>
      <c r="B1060" s="3" t="s">
        <v>42</v>
      </c>
      <c r="C1060" s="4">
        <v>45445</v>
      </c>
      <c r="D1060" s="3" t="s">
        <v>27</v>
      </c>
      <c r="E1060" s="3" t="s">
        <v>21</v>
      </c>
      <c r="F1060" s="5">
        <v>3</v>
      </c>
      <c r="G1060" s="6">
        <v>7.1</v>
      </c>
      <c r="H1060" s="6">
        <v>21.3</v>
      </c>
      <c r="I1060" s="6">
        <v>4.66</v>
      </c>
      <c r="J1060" s="6">
        <v>16.64</v>
      </c>
      <c r="K1060" s="5">
        <v>491</v>
      </c>
      <c r="L1060" s="13" t="str">
        <f t="shared" si="32"/>
        <v>Discount Applied</v>
      </c>
      <c r="M1060" s="13" t="str">
        <f t="shared" si="33"/>
        <v>Bronze</v>
      </c>
      <c r="N1060" s="13"/>
    </row>
    <row r="1061" spans="1:14" x14ac:dyDescent="0.3">
      <c r="A1061" s="3">
        <v>3526</v>
      </c>
      <c r="B1061" s="3" t="s">
        <v>19</v>
      </c>
      <c r="C1061" s="4">
        <v>45348</v>
      </c>
      <c r="D1061" s="3" t="s">
        <v>27</v>
      </c>
      <c r="E1061" s="3" t="s">
        <v>39</v>
      </c>
      <c r="F1061" s="5">
        <v>5</v>
      </c>
      <c r="G1061" s="6">
        <v>14.81</v>
      </c>
      <c r="H1061" s="6">
        <v>74.05</v>
      </c>
      <c r="I1061" s="6">
        <v>0</v>
      </c>
      <c r="J1061" s="6">
        <v>74.05</v>
      </c>
      <c r="K1061" s="5">
        <v>461</v>
      </c>
      <c r="L1061" s="13" t="str">
        <f t="shared" si="32"/>
        <v>No Discount</v>
      </c>
      <c r="M1061" s="13" t="str">
        <f t="shared" si="33"/>
        <v>Platinum</v>
      </c>
      <c r="N1061" s="13"/>
    </row>
    <row r="1062" spans="1:14" x14ac:dyDescent="0.3">
      <c r="A1062" s="3">
        <v>6531</v>
      </c>
      <c r="B1062" s="3" t="s">
        <v>19</v>
      </c>
      <c r="C1062" s="4">
        <v>45691</v>
      </c>
      <c r="D1062" s="3" t="s">
        <v>20</v>
      </c>
      <c r="E1062" s="3" t="s">
        <v>18</v>
      </c>
      <c r="F1062" s="5">
        <v>4</v>
      </c>
      <c r="G1062" s="6">
        <v>23.1</v>
      </c>
      <c r="H1062" s="6">
        <v>92.4</v>
      </c>
      <c r="I1062" s="6">
        <v>0</v>
      </c>
      <c r="J1062" s="6">
        <v>92.4</v>
      </c>
      <c r="K1062" s="5">
        <v>275</v>
      </c>
      <c r="L1062" s="13" t="str">
        <f t="shared" si="32"/>
        <v>No Discount</v>
      </c>
      <c r="M1062" s="13" t="str">
        <f t="shared" si="33"/>
        <v>Platinum</v>
      </c>
      <c r="N1062" s="13"/>
    </row>
    <row r="1063" spans="1:14" x14ac:dyDescent="0.3">
      <c r="A1063" s="3">
        <v>1674</v>
      </c>
      <c r="B1063" s="3" t="s">
        <v>11</v>
      </c>
      <c r="C1063" s="4">
        <v>45311</v>
      </c>
      <c r="D1063" s="3" t="s">
        <v>38</v>
      </c>
      <c r="E1063" s="3" t="s">
        <v>39</v>
      </c>
      <c r="F1063" s="5">
        <v>4</v>
      </c>
      <c r="G1063" s="6">
        <v>20.49</v>
      </c>
      <c r="H1063" s="6">
        <v>81.96</v>
      </c>
      <c r="I1063" s="6">
        <v>2.4300000000000002</v>
      </c>
      <c r="J1063" s="6">
        <v>79.53</v>
      </c>
      <c r="K1063" s="5">
        <v>180</v>
      </c>
      <c r="L1063" s="13" t="str">
        <f t="shared" si="32"/>
        <v>Discount Applied</v>
      </c>
      <c r="M1063" s="13" t="str">
        <f t="shared" si="33"/>
        <v>Platinum</v>
      </c>
      <c r="N1063" s="13"/>
    </row>
    <row r="1064" spans="1:14" x14ac:dyDescent="0.3">
      <c r="A1064" s="3">
        <v>1464</v>
      </c>
      <c r="B1064" s="3" t="s">
        <v>19</v>
      </c>
      <c r="C1064" s="4">
        <v>45684</v>
      </c>
      <c r="D1064" s="3" t="s">
        <v>12</v>
      </c>
      <c r="E1064" s="3" t="s">
        <v>48</v>
      </c>
      <c r="F1064" s="5">
        <v>4</v>
      </c>
      <c r="G1064" s="6">
        <v>11.73</v>
      </c>
      <c r="H1064" s="6">
        <v>46.92</v>
      </c>
      <c r="I1064" s="6">
        <v>1.89</v>
      </c>
      <c r="J1064" s="6">
        <v>45.03</v>
      </c>
      <c r="K1064" s="5">
        <v>98</v>
      </c>
      <c r="L1064" s="13" t="str">
        <f t="shared" si="32"/>
        <v>Discount Applied</v>
      </c>
      <c r="M1064" s="13" t="str">
        <f t="shared" si="33"/>
        <v>Silver</v>
      </c>
      <c r="N1064" s="13"/>
    </row>
    <row r="1065" spans="1:14" x14ac:dyDescent="0.3">
      <c r="A1065" s="3">
        <v>1744</v>
      </c>
      <c r="B1065" s="3" t="s">
        <v>31</v>
      </c>
      <c r="C1065" s="4">
        <v>45300</v>
      </c>
      <c r="D1065" s="3" t="s">
        <v>35</v>
      </c>
      <c r="E1065" s="3" t="s">
        <v>23</v>
      </c>
      <c r="F1065" s="5">
        <v>2</v>
      </c>
      <c r="G1065" s="6">
        <v>3.6</v>
      </c>
      <c r="H1065" s="6">
        <v>7.2</v>
      </c>
      <c r="I1065" s="6">
        <v>0</v>
      </c>
      <c r="J1065" s="6">
        <v>7.2</v>
      </c>
      <c r="K1065" s="5">
        <v>314</v>
      </c>
      <c r="L1065" s="13" t="str">
        <f t="shared" si="32"/>
        <v>No Discount</v>
      </c>
      <c r="M1065" s="13" t="str">
        <f t="shared" si="33"/>
        <v>Bronze</v>
      </c>
      <c r="N1065" s="13"/>
    </row>
    <row r="1066" spans="1:14" x14ac:dyDescent="0.3">
      <c r="A1066" s="3">
        <v>5336</v>
      </c>
      <c r="B1066" s="3" t="s">
        <v>42</v>
      </c>
      <c r="C1066" s="4">
        <v>45250</v>
      </c>
      <c r="D1066" s="3" t="s">
        <v>17</v>
      </c>
      <c r="E1066" s="3" t="s">
        <v>47</v>
      </c>
      <c r="F1066" s="5">
        <v>3</v>
      </c>
      <c r="G1066" s="6">
        <v>2.06</v>
      </c>
      <c r="H1066" s="6">
        <v>6.18</v>
      </c>
      <c r="I1066" s="6">
        <v>1.78</v>
      </c>
      <c r="J1066" s="6">
        <v>4.4000000000000004</v>
      </c>
      <c r="K1066" s="5">
        <v>252</v>
      </c>
      <c r="L1066" s="13" t="str">
        <f t="shared" si="32"/>
        <v>Discount Applied</v>
      </c>
      <c r="M1066" s="13" t="str">
        <f t="shared" si="33"/>
        <v>Bronze</v>
      </c>
      <c r="N1066" s="13"/>
    </row>
    <row r="1067" spans="1:14" x14ac:dyDescent="0.3">
      <c r="A1067" s="3">
        <v>4453</v>
      </c>
      <c r="B1067" s="3" t="s">
        <v>24</v>
      </c>
      <c r="C1067" s="4">
        <v>45496</v>
      </c>
      <c r="D1067" s="3" t="s">
        <v>15</v>
      </c>
      <c r="E1067" s="3" t="s">
        <v>13</v>
      </c>
      <c r="F1067" s="5">
        <v>5</v>
      </c>
      <c r="G1067" s="6">
        <v>15.5</v>
      </c>
      <c r="H1067" s="6">
        <v>77.5</v>
      </c>
      <c r="I1067" s="6">
        <v>0</v>
      </c>
      <c r="J1067" s="6">
        <v>77.5</v>
      </c>
      <c r="K1067" s="5">
        <v>87</v>
      </c>
      <c r="L1067" s="13" t="str">
        <f t="shared" si="32"/>
        <v>No Discount</v>
      </c>
      <c r="M1067" s="13" t="str">
        <f t="shared" si="33"/>
        <v>Platinum</v>
      </c>
      <c r="N1067" s="13"/>
    </row>
    <row r="1068" spans="1:14" x14ac:dyDescent="0.3">
      <c r="A1068" s="3">
        <v>1496</v>
      </c>
      <c r="B1068" s="3" t="s">
        <v>19</v>
      </c>
      <c r="C1068" s="4">
        <v>45843</v>
      </c>
      <c r="D1068" s="3" t="s">
        <v>15</v>
      </c>
      <c r="E1068" s="3" t="s">
        <v>41</v>
      </c>
      <c r="F1068" s="5">
        <v>1</v>
      </c>
      <c r="G1068" s="6">
        <v>4.6900000000000004</v>
      </c>
      <c r="H1068" s="6">
        <v>4.6900000000000004</v>
      </c>
      <c r="I1068" s="6">
        <v>3.92</v>
      </c>
      <c r="J1068" s="6">
        <v>0.77</v>
      </c>
      <c r="K1068" s="5">
        <v>477</v>
      </c>
      <c r="L1068" s="13" t="str">
        <f t="shared" si="32"/>
        <v>Discount Applied</v>
      </c>
      <c r="M1068" s="13" t="str">
        <f t="shared" si="33"/>
        <v>Bronze</v>
      </c>
      <c r="N1068" s="13"/>
    </row>
    <row r="1069" spans="1:14" x14ac:dyDescent="0.3">
      <c r="A1069" s="3">
        <v>9938</v>
      </c>
      <c r="B1069" s="3" t="s">
        <v>30</v>
      </c>
      <c r="C1069" s="4">
        <v>45213</v>
      </c>
      <c r="D1069" s="3" t="s">
        <v>17</v>
      </c>
      <c r="E1069" s="3" t="s">
        <v>39</v>
      </c>
      <c r="F1069" s="5">
        <v>5</v>
      </c>
      <c r="G1069" s="6">
        <v>18.809999999999999</v>
      </c>
      <c r="H1069" s="6">
        <v>94.05</v>
      </c>
      <c r="I1069" s="6">
        <v>4.75</v>
      </c>
      <c r="J1069" s="6">
        <v>89.3</v>
      </c>
      <c r="K1069" s="5">
        <v>348</v>
      </c>
      <c r="L1069" s="13" t="str">
        <f t="shared" si="32"/>
        <v>Discount Applied</v>
      </c>
      <c r="M1069" s="13" t="str">
        <f t="shared" si="33"/>
        <v>Platinum</v>
      </c>
      <c r="N1069" s="13"/>
    </row>
    <row r="1070" spans="1:14" x14ac:dyDescent="0.3">
      <c r="A1070" s="3">
        <v>5012</v>
      </c>
      <c r="B1070" s="3" t="s">
        <v>31</v>
      </c>
      <c r="C1070" s="4">
        <v>45663</v>
      </c>
      <c r="D1070" s="3" t="s">
        <v>22</v>
      </c>
      <c r="E1070" s="3" t="s">
        <v>16</v>
      </c>
      <c r="F1070" s="5">
        <v>4</v>
      </c>
      <c r="G1070" s="6">
        <v>8.94</v>
      </c>
      <c r="H1070" s="6">
        <v>35.76</v>
      </c>
      <c r="I1070" s="6">
        <v>3.58</v>
      </c>
      <c r="J1070" s="6">
        <v>32.18</v>
      </c>
      <c r="K1070" s="5">
        <v>348</v>
      </c>
      <c r="L1070" s="13" t="str">
        <f t="shared" si="32"/>
        <v>Discount Applied</v>
      </c>
      <c r="M1070" s="13" t="str">
        <f t="shared" si="33"/>
        <v>Silver</v>
      </c>
      <c r="N1070" s="13"/>
    </row>
    <row r="1071" spans="1:14" x14ac:dyDescent="0.3">
      <c r="A1071" s="3">
        <v>7653</v>
      </c>
      <c r="B1071" s="3" t="s">
        <v>36</v>
      </c>
      <c r="C1071" s="4">
        <v>45696</v>
      </c>
      <c r="D1071" s="3" t="s">
        <v>38</v>
      </c>
      <c r="E1071" s="3" t="s">
        <v>40</v>
      </c>
      <c r="F1071" s="5">
        <v>2</v>
      </c>
      <c r="G1071" s="6">
        <v>2.35</v>
      </c>
      <c r="H1071" s="6">
        <v>4.7</v>
      </c>
      <c r="I1071" s="6">
        <v>2.8</v>
      </c>
      <c r="J1071" s="6">
        <v>1.9</v>
      </c>
      <c r="K1071" s="5">
        <v>470</v>
      </c>
      <c r="L1071" s="13" t="str">
        <f t="shared" si="32"/>
        <v>Discount Applied</v>
      </c>
      <c r="M1071" s="13" t="str">
        <f t="shared" si="33"/>
        <v>Bronze</v>
      </c>
      <c r="N1071" s="13"/>
    </row>
    <row r="1072" spans="1:14" x14ac:dyDescent="0.3">
      <c r="A1072" s="3">
        <v>1981</v>
      </c>
      <c r="B1072" s="3" t="s">
        <v>31</v>
      </c>
      <c r="C1072" s="4">
        <v>45572</v>
      </c>
      <c r="D1072" s="3" t="s">
        <v>20</v>
      </c>
      <c r="E1072" s="3" t="s">
        <v>44</v>
      </c>
      <c r="F1072" s="5">
        <v>3</v>
      </c>
      <c r="G1072" s="6">
        <v>3.36</v>
      </c>
      <c r="H1072" s="6">
        <v>10.08</v>
      </c>
      <c r="I1072" s="6">
        <v>0</v>
      </c>
      <c r="J1072" s="6">
        <v>10.08</v>
      </c>
      <c r="K1072" s="5">
        <v>292</v>
      </c>
      <c r="L1072" s="13" t="str">
        <f t="shared" si="32"/>
        <v>No Discount</v>
      </c>
      <c r="M1072" s="13" t="str">
        <f t="shared" si="33"/>
        <v>Bronze</v>
      </c>
      <c r="N1072" s="13"/>
    </row>
    <row r="1073" spans="1:14" x14ac:dyDescent="0.3">
      <c r="A1073" s="3">
        <v>8202</v>
      </c>
      <c r="B1073" s="3" t="s">
        <v>42</v>
      </c>
      <c r="C1073" s="4">
        <v>45370</v>
      </c>
      <c r="D1073" s="3" t="s">
        <v>20</v>
      </c>
      <c r="E1073" s="3" t="s">
        <v>43</v>
      </c>
      <c r="F1073" s="5">
        <v>2</v>
      </c>
      <c r="G1073" s="6">
        <v>6.7</v>
      </c>
      <c r="H1073" s="6">
        <v>13.4</v>
      </c>
      <c r="I1073" s="6">
        <v>3.5</v>
      </c>
      <c r="J1073" s="6">
        <v>9.9</v>
      </c>
      <c r="K1073" s="5">
        <v>168</v>
      </c>
      <c r="L1073" s="13" t="str">
        <f t="shared" si="32"/>
        <v>Discount Applied</v>
      </c>
      <c r="M1073" s="13" t="str">
        <f t="shared" si="33"/>
        <v>Bronze</v>
      </c>
      <c r="N1073" s="13"/>
    </row>
    <row r="1074" spans="1:14" x14ac:dyDescent="0.3">
      <c r="A1074" s="3">
        <v>4342</v>
      </c>
      <c r="B1074" s="3" t="s">
        <v>11</v>
      </c>
      <c r="C1074" s="4">
        <v>45806</v>
      </c>
      <c r="D1074" s="3" t="s">
        <v>12</v>
      </c>
      <c r="E1074" s="3" t="s">
        <v>47</v>
      </c>
      <c r="F1074" s="5">
        <v>4</v>
      </c>
      <c r="G1074" s="6">
        <v>24.42</v>
      </c>
      <c r="H1074" s="6">
        <v>97.68</v>
      </c>
      <c r="I1074" s="6">
        <v>14.65</v>
      </c>
      <c r="J1074" s="6">
        <v>83.03</v>
      </c>
      <c r="K1074" s="5">
        <v>303</v>
      </c>
      <c r="L1074" s="13" t="str">
        <f t="shared" si="32"/>
        <v>Discount Applied</v>
      </c>
      <c r="M1074" s="13" t="str">
        <f t="shared" si="33"/>
        <v>Platinum</v>
      </c>
      <c r="N1074" s="13"/>
    </row>
    <row r="1075" spans="1:14" x14ac:dyDescent="0.3">
      <c r="A1075" s="3">
        <v>3353</v>
      </c>
      <c r="B1075" s="3" t="s">
        <v>42</v>
      </c>
      <c r="C1075" s="4">
        <v>45697</v>
      </c>
      <c r="D1075" s="3" t="s">
        <v>15</v>
      </c>
      <c r="E1075" s="3" t="s">
        <v>47</v>
      </c>
      <c r="F1075" s="5">
        <v>2</v>
      </c>
      <c r="G1075" s="6">
        <v>28.8</v>
      </c>
      <c r="H1075" s="6">
        <v>57.6</v>
      </c>
      <c r="I1075" s="6">
        <v>8.64</v>
      </c>
      <c r="J1075" s="6">
        <v>48.96</v>
      </c>
      <c r="K1075" s="5">
        <v>426</v>
      </c>
      <c r="L1075" s="13" t="str">
        <f t="shared" si="32"/>
        <v>Discount Applied</v>
      </c>
      <c r="M1075" s="13" t="str">
        <f t="shared" si="33"/>
        <v>Silver</v>
      </c>
      <c r="N1075" s="13"/>
    </row>
    <row r="1076" spans="1:14" x14ac:dyDescent="0.3">
      <c r="A1076" s="3">
        <v>6231</v>
      </c>
      <c r="B1076" s="3" t="s">
        <v>14</v>
      </c>
      <c r="C1076" s="4">
        <v>45761</v>
      </c>
      <c r="D1076" s="3" t="s">
        <v>17</v>
      </c>
      <c r="E1076" s="3" t="s">
        <v>43</v>
      </c>
      <c r="F1076" s="5">
        <v>5</v>
      </c>
      <c r="G1076" s="6">
        <v>18.96</v>
      </c>
      <c r="H1076" s="6">
        <v>94.8</v>
      </c>
      <c r="I1076" s="6">
        <v>0</v>
      </c>
      <c r="J1076" s="6">
        <v>94.8</v>
      </c>
      <c r="K1076" s="5">
        <v>391</v>
      </c>
      <c r="L1076" s="13" t="str">
        <f t="shared" si="32"/>
        <v>No Discount</v>
      </c>
      <c r="M1076" s="13" t="str">
        <f t="shared" si="33"/>
        <v>Platinum</v>
      </c>
      <c r="N1076" s="13"/>
    </row>
    <row r="1077" spans="1:14" x14ac:dyDescent="0.3">
      <c r="A1077" s="3">
        <v>6658</v>
      </c>
      <c r="B1077" s="3" t="s">
        <v>26</v>
      </c>
      <c r="C1077" s="4">
        <v>45540</v>
      </c>
      <c r="D1077" s="3" t="s">
        <v>28</v>
      </c>
      <c r="E1077" s="3" t="s">
        <v>48</v>
      </c>
      <c r="F1077" s="5">
        <v>1</v>
      </c>
      <c r="G1077" s="6">
        <v>29.25</v>
      </c>
      <c r="H1077" s="6">
        <v>29.25</v>
      </c>
      <c r="I1077" s="6">
        <v>2.93</v>
      </c>
      <c r="J1077" s="6">
        <v>26.32</v>
      </c>
      <c r="K1077" s="5">
        <v>469</v>
      </c>
      <c r="L1077" s="13" t="str">
        <f t="shared" si="32"/>
        <v>Discount Applied</v>
      </c>
      <c r="M1077" s="13" t="str">
        <f t="shared" si="33"/>
        <v>Silver</v>
      </c>
      <c r="N1077" s="13"/>
    </row>
    <row r="1078" spans="1:14" x14ac:dyDescent="0.3">
      <c r="A1078" s="3">
        <v>3142</v>
      </c>
      <c r="B1078" s="3" t="s">
        <v>36</v>
      </c>
      <c r="C1078" s="4">
        <v>45239</v>
      </c>
      <c r="D1078" s="3" t="s">
        <v>15</v>
      </c>
      <c r="E1078" s="3" t="s">
        <v>41</v>
      </c>
      <c r="F1078" s="5">
        <v>1</v>
      </c>
      <c r="G1078" s="6">
        <v>27.64</v>
      </c>
      <c r="H1078" s="6">
        <v>27.64</v>
      </c>
      <c r="I1078" s="6">
        <v>4.1500000000000004</v>
      </c>
      <c r="J1078" s="6">
        <v>23.49</v>
      </c>
      <c r="K1078" s="5">
        <v>226</v>
      </c>
      <c r="L1078" s="13" t="str">
        <f t="shared" si="32"/>
        <v>Discount Applied</v>
      </c>
      <c r="M1078" s="13" t="str">
        <f t="shared" si="33"/>
        <v>Silver</v>
      </c>
      <c r="N1078" s="13"/>
    </row>
    <row r="1079" spans="1:14" x14ac:dyDescent="0.3">
      <c r="A1079" s="3">
        <v>2739</v>
      </c>
      <c r="B1079" s="3" t="s">
        <v>24</v>
      </c>
      <c r="C1079" s="4">
        <v>45760</v>
      </c>
      <c r="D1079" s="3" t="s">
        <v>15</v>
      </c>
      <c r="E1079" s="3" t="s">
        <v>48</v>
      </c>
      <c r="F1079" s="5">
        <v>1</v>
      </c>
      <c r="G1079" s="6">
        <v>17.21</v>
      </c>
      <c r="H1079" s="6">
        <v>17.21</v>
      </c>
      <c r="I1079" s="6">
        <v>1.72</v>
      </c>
      <c r="J1079" s="6">
        <v>15.49</v>
      </c>
      <c r="K1079" s="5">
        <v>150</v>
      </c>
      <c r="L1079" s="13" t="str">
        <f t="shared" si="32"/>
        <v>Discount Applied</v>
      </c>
      <c r="M1079" s="13" t="str">
        <f t="shared" si="33"/>
        <v>Bronze</v>
      </c>
      <c r="N1079" s="13"/>
    </row>
    <row r="1080" spans="1:14" x14ac:dyDescent="0.3">
      <c r="A1080" s="3">
        <v>4960</v>
      </c>
      <c r="B1080" s="3" t="s">
        <v>11</v>
      </c>
      <c r="C1080" s="4">
        <v>45328</v>
      </c>
      <c r="D1080" s="3" t="s">
        <v>28</v>
      </c>
      <c r="E1080" s="3" t="s">
        <v>16</v>
      </c>
      <c r="F1080" s="5">
        <v>2</v>
      </c>
      <c r="G1080" s="6">
        <v>26.06</v>
      </c>
      <c r="H1080" s="6">
        <v>52.12</v>
      </c>
      <c r="I1080" s="6">
        <v>5.21</v>
      </c>
      <c r="J1080" s="6">
        <v>46.91</v>
      </c>
      <c r="K1080" s="5">
        <v>403</v>
      </c>
      <c r="L1080" s="13" t="str">
        <f t="shared" si="32"/>
        <v>Discount Applied</v>
      </c>
      <c r="M1080" s="13" t="str">
        <f t="shared" si="33"/>
        <v>Silver</v>
      </c>
      <c r="N1080" s="13"/>
    </row>
    <row r="1081" spans="1:14" x14ac:dyDescent="0.3">
      <c r="A1081" s="3">
        <v>3007</v>
      </c>
      <c r="B1081" s="3" t="s">
        <v>24</v>
      </c>
      <c r="C1081" s="4">
        <v>45165</v>
      </c>
      <c r="D1081" s="3" t="s">
        <v>45</v>
      </c>
      <c r="E1081" s="3" t="s">
        <v>16</v>
      </c>
      <c r="F1081" s="5">
        <v>5</v>
      </c>
      <c r="G1081" s="6">
        <v>18.95</v>
      </c>
      <c r="H1081" s="6">
        <v>94.75</v>
      </c>
      <c r="I1081" s="6">
        <v>9.4700000000000006</v>
      </c>
      <c r="J1081" s="6">
        <v>85.28</v>
      </c>
      <c r="K1081" s="5">
        <v>173</v>
      </c>
      <c r="L1081" s="13" t="str">
        <f t="shared" si="32"/>
        <v>Discount Applied</v>
      </c>
      <c r="M1081" s="13" t="str">
        <f t="shared" si="33"/>
        <v>Platinum</v>
      </c>
      <c r="N1081" s="13"/>
    </row>
    <row r="1082" spans="1:14" x14ac:dyDescent="0.3">
      <c r="A1082" s="3">
        <v>8366</v>
      </c>
      <c r="B1082" s="3" t="s">
        <v>14</v>
      </c>
      <c r="C1082" s="4">
        <v>45575</v>
      </c>
      <c r="D1082" s="3" t="s">
        <v>22</v>
      </c>
      <c r="E1082" s="3" t="s">
        <v>44</v>
      </c>
      <c r="F1082" s="5">
        <v>1</v>
      </c>
      <c r="G1082" s="6">
        <v>3.97</v>
      </c>
      <c r="H1082" s="6">
        <v>3.97</v>
      </c>
      <c r="I1082" s="6">
        <v>4.16</v>
      </c>
      <c r="J1082" s="6">
        <v>-0.19</v>
      </c>
      <c r="K1082" s="5">
        <v>304</v>
      </c>
      <c r="L1082" s="13" t="str">
        <f t="shared" si="32"/>
        <v>Discount Applied</v>
      </c>
      <c r="M1082" s="13" t="str">
        <f t="shared" si="33"/>
        <v>Bronze</v>
      </c>
      <c r="N1082" s="13"/>
    </row>
    <row r="1083" spans="1:14" x14ac:dyDescent="0.3">
      <c r="A1083" s="3">
        <v>3308</v>
      </c>
      <c r="B1083" s="3" t="s">
        <v>42</v>
      </c>
      <c r="C1083" s="4">
        <v>45508</v>
      </c>
      <c r="D1083" s="3" t="s">
        <v>28</v>
      </c>
      <c r="E1083" s="3" t="s">
        <v>41</v>
      </c>
      <c r="F1083" s="5">
        <v>5</v>
      </c>
      <c r="G1083" s="6">
        <v>8.42</v>
      </c>
      <c r="H1083" s="6">
        <v>42.1</v>
      </c>
      <c r="I1083" s="6">
        <v>0</v>
      </c>
      <c r="J1083" s="6">
        <v>42.1</v>
      </c>
      <c r="K1083" s="5">
        <v>215</v>
      </c>
      <c r="L1083" s="13" t="str">
        <f t="shared" si="32"/>
        <v>No Discount</v>
      </c>
      <c r="M1083" s="13" t="str">
        <f t="shared" si="33"/>
        <v>Silver</v>
      </c>
      <c r="N1083" s="13"/>
    </row>
    <row r="1084" spans="1:14" x14ac:dyDescent="0.3">
      <c r="A1084" s="3">
        <v>1829</v>
      </c>
      <c r="B1084" s="3" t="s">
        <v>26</v>
      </c>
      <c r="C1084" s="4">
        <v>45620</v>
      </c>
      <c r="D1084" s="3" t="s">
        <v>34</v>
      </c>
      <c r="E1084" s="3" t="s">
        <v>25</v>
      </c>
      <c r="F1084" s="5">
        <v>2</v>
      </c>
      <c r="G1084" s="6">
        <v>24.1</v>
      </c>
      <c r="H1084" s="6">
        <v>48.2</v>
      </c>
      <c r="I1084" s="6">
        <v>7.23</v>
      </c>
      <c r="J1084" s="6">
        <v>40.97</v>
      </c>
      <c r="K1084" s="5">
        <v>30</v>
      </c>
      <c r="L1084" s="13" t="str">
        <f t="shared" si="32"/>
        <v>Discount Applied</v>
      </c>
      <c r="M1084" s="13" t="str">
        <f t="shared" si="33"/>
        <v>Silver</v>
      </c>
      <c r="N1084" s="13"/>
    </row>
    <row r="1085" spans="1:14" x14ac:dyDescent="0.3">
      <c r="A1085" s="3">
        <v>7293</v>
      </c>
      <c r="B1085" s="3" t="s">
        <v>24</v>
      </c>
      <c r="C1085" s="4">
        <v>45196</v>
      </c>
      <c r="D1085" s="3" t="s">
        <v>38</v>
      </c>
      <c r="E1085" s="3" t="s">
        <v>23</v>
      </c>
      <c r="F1085" s="5">
        <v>3</v>
      </c>
      <c r="G1085" s="6">
        <v>17.920000000000002</v>
      </c>
      <c r="H1085" s="6">
        <v>53.76</v>
      </c>
      <c r="I1085" s="6">
        <v>10.75</v>
      </c>
      <c r="J1085" s="6">
        <v>43.01</v>
      </c>
      <c r="K1085" s="5">
        <v>277</v>
      </c>
      <c r="L1085" s="13" t="str">
        <f t="shared" si="32"/>
        <v>Discount Applied</v>
      </c>
      <c r="M1085" s="13" t="str">
        <f t="shared" si="33"/>
        <v>Silver</v>
      </c>
      <c r="N1085" s="13"/>
    </row>
    <row r="1086" spans="1:14" x14ac:dyDescent="0.3">
      <c r="A1086" s="3">
        <v>7850</v>
      </c>
      <c r="B1086" s="3" t="s">
        <v>26</v>
      </c>
      <c r="C1086" s="4">
        <v>45454</v>
      </c>
      <c r="D1086" s="3" t="s">
        <v>35</v>
      </c>
      <c r="E1086" s="3" t="s">
        <v>21</v>
      </c>
      <c r="F1086" s="5">
        <v>3</v>
      </c>
      <c r="G1086" s="6">
        <v>11.69</v>
      </c>
      <c r="H1086" s="6">
        <v>35.07</v>
      </c>
      <c r="I1086" s="6">
        <v>1.95</v>
      </c>
      <c r="J1086" s="6">
        <v>33.119999999999997</v>
      </c>
      <c r="K1086" s="5">
        <v>4</v>
      </c>
      <c r="L1086" s="13" t="str">
        <f t="shared" si="32"/>
        <v>Discount Applied</v>
      </c>
      <c r="M1086" s="13" t="str">
        <f t="shared" si="33"/>
        <v>Silver</v>
      </c>
      <c r="N1086" s="13"/>
    </row>
    <row r="1087" spans="1:14" x14ac:dyDescent="0.3">
      <c r="A1087" s="3">
        <v>3616</v>
      </c>
      <c r="B1087" s="3" t="s">
        <v>14</v>
      </c>
      <c r="C1087" s="4">
        <v>45553</v>
      </c>
      <c r="D1087" s="3" t="s">
        <v>12</v>
      </c>
      <c r="E1087" s="3" t="s">
        <v>16</v>
      </c>
      <c r="F1087" s="5">
        <v>3</v>
      </c>
      <c r="G1087" s="6">
        <v>6.66</v>
      </c>
      <c r="H1087" s="6">
        <v>19.98</v>
      </c>
      <c r="I1087" s="6">
        <v>2.37</v>
      </c>
      <c r="J1087" s="6">
        <v>17.61</v>
      </c>
      <c r="K1087" s="5">
        <v>102</v>
      </c>
      <c r="L1087" s="13" t="str">
        <f t="shared" si="32"/>
        <v>Discount Applied</v>
      </c>
      <c r="M1087" s="13" t="str">
        <f t="shared" si="33"/>
        <v>Bronze</v>
      </c>
      <c r="N1087" s="13"/>
    </row>
    <row r="1088" spans="1:14" x14ac:dyDescent="0.3">
      <c r="A1088" s="3">
        <v>6364</v>
      </c>
      <c r="B1088" s="3" t="s">
        <v>26</v>
      </c>
      <c r="C1088" s="4">
        <v>45742</v>
      </c>
      <c r="D1088" s="3" t="s">
        <v>45</v>
      </c>
      <c r="E1088" s="3" t="s">
        <v>21</v>
      </c>
      <c r="F1088" s="5">
        <v>5</v>
      </c>
      <c r="G1088" s="6">
        <v>17.41</v>
      </c>
      <c r="H1088" s="6">
        <v>87.05</v>
      </c>
      <c r="I1088" s="6">
        <v>8.7100000000000009</v>
      </c>
      <c r="J1088" s="6">
        <v>78.34</v>
      </c>
      <c r="K1088" s="5">
        <v>171</v>
      </c>
      <c r="L1088" s="13" t="str">
        <f t="shared" si="32"/>
        <v>Discount Applied</v>
      </c>
      <c r="M1088" s="13" t="str">
        <f t="shared" si="33"/>
        <v>Platinum</v>
      </c>
      <c r="N1088" s="13"/>
    </row>
    <row r="1089" spans="1:14" x14ac:dyDescent="0.3">
      <c r="A1089" s="3">
        <v>6123</v>
      </c>
      <c r="B1089" s="3" t="s">
        <v>36</v>
      </c>
      <c r="C1089" s="4">
        <v>45784</v>
      </c>
      <c r="D1089" s="3" t="s">
        <v>34</v>
      </c>
      <c r="E1089" s="3" t="s">
        <v>48</v>
      </c>
      <c r="F1089" s="5">
        <v>4</v>
      </c>
      <c r="G1089" s="6">
        <v>26.4</v>
      </c>
      <c r="H1089" s="6">
        <v>105.6</v>
      </c>
      <c r="I1089" s="6">
        <v>10.56</v>
      </c>
      <c r="J1089" s="6">
        <v>95.04</v>
      </c>
      <c r="K1089" s="5">
        <v>466</v>
      </c>
      <c r="L1089" s="13" t="str">
        <f t="shared" si="32"/>
        <v>Discount Applied</v>
      </c>
      <c r="M1089" s="13" t="str">
        <f t="shared" si="33"/>
        <v>Platinum</v>
      </c>
      <c r="N1089" s="13"/>
    </row>
    <row r="1090" spans="1:14" x14ac:dyDescent="0.3">
      <c r="A1090" s="3">
        <v>3610</v>
      </c>
      <c r="B1090" s="3" t="s">
        <v>42</v>
      </c>
      <c r="C1090" s="4">
        <v>45242</v>
      </c>
      <c r="D1090" s="3" t="s">
        <v>12</v>
      </c>
      <c r="E1090" s="3" t="s">
        <v>25</v>
      </c>
      <c r="F1090" s="5">
        <v>2</v>
      </c>
      <c r="G1090" s="6">
        <v>14.52</v>
      </c>
      <c r="H1090" s="6">
        <v>29.04</v>
      </c>
      <c r="I1090" s="6">
        <v>2.9</v>
      </c>
      <c r="J1090" s="6">
        <v>26.14</v>
      </c>
      <c r="K1090" s="5">
        <v>109</v>
      </c>
      <c r="L1090" s="13" t="str">
        <f t="shared" si="32"/>
        <v>Discount Applied</v>
      </c>
      <c r="M1090" s="13" t="str">
        <f t="shared" si="33"/>
        <v>Silver</v>
      </c>
      <c r="N1090" s="13"/>
    </row>
    <row r="1091" spans="1:14" x14ac:dyDescent="0.3">
      <c r="A1091" s="3">
        <v>9433</v>
      </c>
      <c r="B1091" s="3" t="s">
        <v>36</v>
      </c>
      <c r="C1091" s="4">
        <v>45643</v>
      </c>
      <c r="D1091" s="3" t="s">
        <v>20</v>
      </c>
      <c r="E1091" s="3" t="s">
        <v>44</v>
      </c>
      <c r="F1091" s="5">
        <v>4</v>
      </c>
      <c r="G1091" s="6">
        <v>6.33</v>
      </c>
      <c r="H1091" s="6">
        <v>25.32</v>
      </c>
      <c r="I1091" s="6">
        <v>1.29</v>
      </c>
      <c r="J1091" s="6">
        <v>24.03</v>
      </c>
      <c r="K1091" s="5">
        <v>3</v>
      </c>
      <c r="L1091" s="13" t="str">
        <f t="shared" ref="L1091:L1154" si="34">IF(I1091&gt;0,"Discount Applied","No Discount")</f>
        <v>Discount Applied</v>
      </c>
      <c r="M1091" s="13" t="str">
        <f t="shared" ref="M1091:M1154" si="35">IF(J1091 &gt;= 70, "Platinum",
   IF(J1091 &gt;= 50, "Gold",
      IF(J1091 &gt;= 20, "Silver", "Bronze")))</f>
        <v>Silver</v>
      </c>
      <c r="N1091" s="13"/>
    </row>
    <row r="1092" spans="1:14" x14ac:dyDescent="0.3">
      <c r="A1092" s="3">
        <v>9171</v>
      </c>
      <c r="B1092" s="3" t="s">
        <v>31</v>
      </c>
      <c r="C1092" s="4">
        <v>45494</v>
      </c>
      <c r="D1092" s="3" t="s">
        <v>38</v>
      </c>
      <c r="E1092" s="3" t="s">
        <v>48</v>
      </c>
      <c r="F1092" s="5">
        <v>2</v>
      </c>
      <c r="G1092" s="6">
        <v>9.42</v>
      </c>
      <c r="H1092" s="6">
        <v>18.84</v>
      </c>
      <c r="I1092" s="6">
        <v>4.9000000000000004</v>
      </c>
      <c r="J1092" s="6">
        <v>13.94</v>
      </c>
      <c r="K1092" s="5">
        <v>99</v>
      </c>
      <c r="L1092" s="13" t="str">
        <f t="shared" si="34"/>
        <v>Discount Applied</v>
      </c>
      <c r="M1092" s="13" t="str">
        <f t="shared" si="35"/>
        <v>Bronze</v>
      </c>
      <c r="N1092" s="13"/>
    </row>
    <row r="1093" spans="1:14" x14ac:dyDescent="0.3">
      <c r="A1093" s="3">
        <v>6055</v>
      </c>
      <c r="B1093" s="3" t="s">
        <v>42</v>
      </c>
      <c r="C1093" s="4">
        <v>45673</v>
      </c>
      <c r="D1093" s="3" t="s">
        <v>17</v>
      </c>
      <c r="E1093" s="3" t="s">
        <v>37</v>
      </c>
      <c r="F1093" s="5">
        <v>2</v>
      </c>
      <c r="G1093" s="6">
        <v>7.34</v>
      </c>
      <c r="H1093" s="6">
        <v>14.68</v>
      </c>
      <c r="I1093" s="6">
        <v>2.2000000000000002</v>
      </c>
      <c r="J1093" s="6">
        <v>12.48</v>
      </c>
      <c r="K1093" s="5">
        <v>134</v>
      </c>
      <c r="L1093" s="13" t="str">
        <f t="shared" si="34"/>
        <v>Discount Applied</v>
      </c>
      <c r="M1093" s="13" t="str">
        <f t="shared" si="35"/>
        <v>Bronze</v>
      </c>
      <c r="N1093" s="13"/>
    </row>
    <row r="1094" spans="1:14" x14ac:dyDescent="0.3">
      <c r="A1094" s="3">
        <v>1379</v>
      </c>
      <c r="B1094" s="3" t="s">
        <v>14</v>
      </c>
      <c r="C1094" s="4">
        <v>45412</v>
      </c>
      <c r="D1094" s="3" t="s">
        <v>17</v>
      </c>
      <c r="E1094" s="3" t="s">
        <v>29</v>
      </c>
      <c r="F1094" s="5">
        <v>2</v>
      </c>
      <c r="G1094" s="6">
        <v>1.61</v>
      </c>
      <c r="H1094" s="6">
        <v>3.22</v>
      </c>
      <c r="I1094" s="6">
        <v>1.08</v>
      </c>
      <c r="J1094" s="6">
        <v>2.14</v>
      </c>
      <c r="K1094" s="5">
        <v>431</v>
      </c>
      <c r="L1094" s="13" t="str">
        <f t="shared" si="34"/>
        <v>Discount Applied</v>
      </c>
      <c r="M1094" s="13" t="str">
        <f t="shared" si="35"/>
        <v>Bronze</v>
      </c>
      <c r="N1094" s="13"/>
    </row>
    <row r="1095" spans="1:14" x14ac:dyDescent="0.3">
      <c r="A1095" s="3">
        <v>7442</v>
      </c>
      <c r="B1095" s="3" t="s">
        <v>19</v>
      </c>
      <c r="C1095" s="4">
        <v>45826</v>
      </c>
      <c r="D1095" s="3" t="s">
        <v>20</v>
      </c>
      <c r="E1095" s="3" t="s">
        <v>48</v>
      </c>
      <c r="F1095" s="5">
        <v>3</v>
      </c>
      <c r="G1095" s="6">
        <v>28.14</v>
      </c>
      <c r="H1095" s="6">
        <v>84.42</v>
      </c>
      <c r="I1095" s="6">
        <v>16.88</v>
      </c>
      <c r="J1095" s="6">
        <v>67.540000000000006</v>
      </c>
      <c r="K1095" s="5">
        <v>156</v>
      </c>
      <c r="L1095" s="13" t="str">
        <f t="shared" si="34"/>
        <v>Discount Applied</v>
      </c>
      <c r="M1095" s="13" t="str">
        <f t="shared" si="35"/>
        <v>Gold</v>
      </c>
      <c r="N1095" s="13"/>
    </row>
    <row r="1096" spans="1:14" x14ac:dyDescent="0.3">
      <c r="A1096" s="3">
        <v>8491</v>
      </c>
      <c r="B1096" s="3" t="s">
        <v>36</v>
      </c>
      <c r="C1096" s="4">
        <v>45741</v>
      </c>
      <c r="D1096" s="3" t="s">
        <v>22</v>
      </c>
      <c r="E1096" s="3" t="s">
        <v>29</v>
      </c>
      <c r="F1096" s="5">
        <v>5</v>
      </c>
      <c r="G1096" s="6">
        <v>29.33</v>
      </c>
      <c r="H1096" s="6">
        <v>146.65</v>
      </c>
      <c r="I1096" s="6">
        <v>0</v>
      </c>
      <c r="J1096" s="6">
        <v>146.65</v>
      </c>
      <c r="K1096" s="5">
        <v>319</v>
      </c>
      <c r="L1096" s="13" t="str">
        <f t="shared" si="34"/>
        <v>No Discount</v>
      </c>
      <c r="M1096" s="13" t="str">
        <f t="shared" si="35"/>
        <v>Platinum</v>
      </c>
      <c r="N1096" s="13"/>
    </row>
    <row r="1097" spans="1:14" x14ac:dyDescent="0.3">
      <c r="A1097" s="3">
        <v>4524</v>
      </c>
      <c r="B1097" s="3" t="s">
        <v>11</v>
      </c>
      <c r="C1097" s="4">
        <v>45481</v>
      </c>
      <c r="D1097" s="3" t="s">
        <v>15</v>
      </c>
      <c r="E1097" s="3" t="s">
        <v>41</v>
      </c>
      <c r="F1097" s="5">
        <v>2</v>
      </c>
      <c r="G1097" s="6">
        <v>24.04</v>
      </c>
      <c r="H1097" s="6">
        <v>48.08</v>
      </c>
      <c r="I1097" s="6">
        <v>0</v>
      </c>
      <c r="J1097" s="6">
        <v>48.08</v>
      </c>
      <c r="K1097" s="5">
        <v>98</v>
      </c>
      <c r="L1097" s="13" t="str">
        <f t="shared" si="34"/>
        <v>No Discount</v>
      </c>
      <c r="M1097" s="13" t="str">
        <f t="shared" si="35"/>
        <v>Silver</v>
      </c>
      <c r="N1097" s="13"/>
    </row>
    <row r="1098" spans="1:14" x14ac:dyDescent="0.3">
      <c r="A1098" s="3">
        <v>6781</v>
      </c>
      <c r="B1098" s="3" t="s">
        <v>36</v>
      </c>
      <c r="C1098" s="4">
        <v>45852</v>
      </c>
      <c r="D1098" s="3" t="s">
        <v>22</v>
      </c>
      <c r="E1098" s="3" t="s">
        <v>16</v>
      </c>
      <c r="F1098" s="5">
        <v>2</v>
      </c>
      <c r="G1098" s="6">
        <v>27.7</v>
      </c>
      <c r="H1098" s="6">
        <v>55.4</v>
      </c>
      <c r="I1098" s="6">
        <v>2.1800000000000002</v>
      </c>
      <c r="J1098" s="6">
        <v>53.22</v>
      </c>
      <c r="K1098" s="5">
        <v>390</v>
      </c>
      <c r="L1098" s="13" t="str">
        <f t="shared" si="34"/>
        <v>Discount Applied</v>
      </c>
      <c r="M1098" s="13" t="str">
        <f t="shared" si="35"/>
        <v>Gold</v>
      </c>
      <c r="N1098" s="13"/>
    </row>
    <row r="1099" spans="1:14" x14ac:dyDescent="0.3">
      <c r="A1099" s="3">
        <v>1828</v>
      </c>
      <c r="B1099" s="3" t="s">
        <v>19</v>
      </c>
      <c r="C1099" s="4">
        <v>45790</v>
      </c>
      <c r="D1099" s="3" t="s">
        <v>22</v>
      </c>
      <c r="E1099" s="3" t="s">
        <v>25</v>
      </c>
      <c r="F1099" s="5">
        <v>1</v>
      </c>
      <c r="G1099" s="6">
        <v>19.239999999999998</v>
      </c>
      <c r="H1099" s="6">
        <v>19.239999999999998</v>
      </c>
      <c r="I1099" s="6">
        <v>4.87</v>
      </c>
      <c r="J1099" s="6">
        <v>14.37</v>
      </c>
      <c r="K1099" s="5">
        <v>143</v>
      </c>
      <c r="L1099" s="13" t="str">
        <f t="shared" si="34"/>
        <v>Discount Applied</v>
      </c>
      <c r="M1099" s="13" t="str">
        <f t="shared" si="35"/>
        <v>Bronze</v>
      </c>
      <c r="N1099" s="13"/>
    </row>
    <row r="1100" spans="1:14" x14ac:dyDescent="0.3">
      <c r="A1100" s="3">
        <v>9108</v>
      </c>
      <c r="B1100" s="3" t="s">
        <v>26</v>
      </c>
      <c r="C1100" s="4">
        <v>45547</v>
      </c>
      <c r="D1100" s="3" t="s">
        <v>17</v>
      </c>
      <c r="E1100" s="3" t="s">
        <v>43</v>
      </c>
      <c r="F1100" s="5">
        <v>4</v>
      </c>
      <c r="G1100" s="6">
        <v>23.93</v>
      </c>
      <c r="H1100" s="6">
        <v>95.72</v>
      </c>
      <c r="I1100" s="6">
        <v>19.14</v>
      </c>
      <c r="J1100" s="6">
        <v>76.58</v>
      </c>
      <c r="K1100" s="5">
        <v>314</v>
      </c>
      <c r="L1100" s="13" t="str">
        <f t="shared" si="34"/>
        <v>Discount Applied</v>
      </c>
      <c r="M1100" s="13" t="str">
        <f t="shared" si="35"/>
        <v>Platinum</v>
      </c>
      <c r="N1100" s="13"/>
    </row>
    <row r="1101" spans="1:14" x14ac:dyDescent="0.3">
      <c r="A1101" s="3">
        <v>8710</v>
      </c>
      <c r="B1101" s="3" t="s">
        <v>14</v>
      </c>
      <c r="C1101" s="4">
        <v>45381</v>
      </c>
      <c r="D1101" s="3" t="s">
        <v>20</v>
      </c>
      <c r="E1101" s="3" t="s">
        <v>46</v>
      </c>
      <c r="F1101" s="5">
        <v>3</v>
      </c>
      <c r="G1101" s="6">
        <v>15.45</v>
      </c>
      <c r="H1101" s="6">
        <v>46.35</v>
      </c>
      <c r="I1101" s="6">
        <v>6.95</v>
      </c>
      <c r="J1101" s="6">
        <v>39.4</v>
      </c>
      <c r="K1101" s="5">
        <v>237</v>
      </c>
      <c r="L1101" s="13" t="str">
        <f t="shared" si="34"/>
        <v>Discount Applied</v>
      </c>
      <c r="M1101" s="13" t="str">
        <f t="shared" si="35"/>
        <v>Silver</v>
      </c>
      <c r="N1101" s="13"/>
    </row>
    <row r="1102" spans="1:14" x14ac:dyDescent="0.3">
      <c r="A1102" s="3">
        <v>9793</v>
      </c>
      <c r="B1102" s="3" t="s">
        <v>36</v>
      </c>
      <c r="C1102" s="4">
        <v>45270</v>
      </c>
      <c r="D1102" s="3" t="s">
        <v>38</v>
      </c>
      <c r="E1102" s="3" t="s">
        <v>47</v>
      </c>
      <c r="F1102" s="5">
        <v>4</v>
      </c>
      <c r="G1102" s="6">
        <v>14.73</v>
      </c>
      <c r="H1102" s="6">
        <v>58.92</v>
      </c>
      <c r="I1102" s="6">
        <v>0</v>
      </c>
      <c r="J1102" s="6">
        <v>58.92</v>
      </c>
      <c r="K1102" s="5">
        <v>297</v>
      </c>
      <c r="L1102" s="13" t="str">
        <f t="shared" si="34"/>
        <v>No Discount</v>
      </c>
      <c r="M1102" s="13" t="str">
        <f t="shared" si="35"/>
        <v>Gold</v>
      </c>
      <c r="N1102" s="13"/>
    </row>
    <row r="1103" spans="1:14" x14ac:dyDescent="0.3">
      <c r="A1103" s="3">
        <v>2761</v>
      </c>
      <c r="B1103" s="3" t="s">
        <v>31</v>
      </c>
      <c r="C1103" s="4">
        <v>45871</v>
      </c>
      <c r="D1103" s="3" t="s">
        <v>17</v>
      </c>
      <c r="E1103" s="3" t="s">
        <v>25</v>
      </c>
      <c r="F1103" s="5">
        <v>2</v>
      </c>
      <c r="G1103" s="6">
        <v>14.1</v>
      </c>
      <c r="H1103" s="6">
        <v>28.2</v>
      </c>
      <c r="I1103" s="6">
        <v>5.64</v>
      </c>
      <c r="J1103" s="6">
        <v>22.56</v>
      </c>
      <c r="K1103" s="5">
        <v>120</v>
      </c>
      <c r="L1103" s="13" t="str">
        <f t="shared" si="34"/>
        <v>Discount Applied</v>
      </c>
      <c r="M1103" s="13" t="str">
        <f t="shared" si="35"/>
        <v>Silver</v>
      </c>
      <c r="N1103" s="13"/>
    </row>
    <row r="1104" spans="1:14" x14ac:dyDescent="0.3">
      <c r="A1104" s="3">
        <v>3194</v>
      </c>
      <c r="B1104" s="3" t="s">
        <v>30</v>
      </c>
      <c r="C1104" s="4">
        <v>45413</v>
      </c>
      <c r="D1104" s="3" t="s">
        <v>20</v>
      </c>
      <c r="E1104" s="3" t="s">
        <v>32</v>
      </c>
      <c r="F1104" s="5">
        <v>5</v>
      </c>
      <c r="G1104" s="6">
        <v>5.55</v>
      </c>
      <c r="H1104" s="6">
        <v>27.75</v>
      </c>
      <c r="I1104" s="6">
        <v>4.16</v>
      </c>
      <c r="J1104" s="6">
        <v>23.59</v>
      </c>
      <c r="K1104" s="5">
        <v>431</v>
      </c>
      <c r="L1104" s="13" t="str">
        <f t="shared" si="34"/>
        <v>Discount Applied</v>
      </c>
      <c r="M1104" s="13" t="str">
        <f t="shared" si="35"/>
        <v>Silver</v>
      </c>
      <c r="N1104" s="13"/>
    </row>
    <row r="1105" spans="1:14" x14ac:dyDescent="0.3">
      <c r="A1105" s="3">
        <v>7606</v>
      </c>
      <c r="B1105" s="3" t="s">
        <v>14</v>
      </c>
      <c r="C1105" s="4">
        <v>45840</v>
      </c>
      <c r="D1105" s="3" t="s">
        <v>15</v>
      </c>
      <c r="E1105" s="3" t="s">
        <v>41</v>
      </c>
      <c r="F1105" s="5">
        <v>1</v>
      </c>
      <c r="G1105" s="6">
        <v>9.5500000000000007</v>
      </c>
      <c r="H1105" s="6">
        <v>9.5500000000000007</v>
      </c>
      <c r="I1105" s="6">
        <v>1.91</v>
      </c>
      <c r="J1105" s="6">
        <v>7.64</v>
      </c>
      <c r="K1105" s="5">
        <v>265</v>
      </c>
      <c r="L1105" s="13" t="str">
        <f t="shared" si="34"/>
        <v>Discount Applied</v>
      </c>
      <c r="M1105" s="13" t="str">
        <f t="shared" si="35"/>
        <v>Bronze</v>
      </c>
      <c r="N1105" s="13"/>
    </row>
    <row r="1106" spans="1:14" x14ac:dyDescent="0.3">
      <c r="A1106" s="3">
        <v>1741</v>
      </c>
      <c r="B1106" s="3" t="s">
        <v>31</v>
      </c>
      <c r="C1106" s="4">
        <v>45802</v>
      </c>
      <c r="D1106" s="3" t="s">
        <v>45</v>
      </c>
      <c r="E1106" s="3" t="s">
        <v>46</v>
      </c>
      <c r="F1106" s="5">
        <v>5</v>
      </c>
      <c r="G1106" s="6">
        <v>10.74</v>
      </c>
      <c r="H1106" s="6">
        <v>53.7</v>
      </c>
      <c r="I1106" s="6">
        <v>5.37</v>
      </c>
      <c r="J1106" s="6">
        <v>48.33</v>
      </c>
      <c r="K1106" s="5">
        <v>230</v>
      </c>
      <c r="L1106" s="13" t="str">
        <f t="shared" si="34"/>
        <v>Discount Applied</v>
      </c>
      <c r="M1106" s="13" t="str">
        <f t="shared" si="35"/>
        <v>Silver</v>
      </c>
      <c r="N1106" s="13"/>
    </row>
    <row r="1107" spans="1:14" x14ac:dyDescent="0.3">
      <c r="A1107" s="3">
        <v>1838</v>
      </c>
      <c r="B1107" s="3" t="s">
        <v>24</v>
      </c>
      <c r="C1107" s="4">
        <v>45339</v>
      </c>
      <c r="D1107" s="3" t="s">
        <v>22</v>
      </c>
      <c r="E1107" s="3" t="s">
        <v>47</v>
      </c>
      <c r="F1107" s="5">
        <v>3</v>
      </c>
      <c r="G1107" s="6">
        <v>8.91</v>
      </c>
      <c r="H1107" s="6">
        <v>26.73</v>
      </c>
      <c r="I1107" s="6">
        <v>2.67</v>
      </c>
      <c r="J1107" s="6">
        <v>24.06</v>
      </c>
      <c r="K1107" s="5">
        <v>12</v>
      </c>
      <c r="L1107" s="13" t="str">
        <f t="shared" si="34"/>
        <v>Discount Applied</v>
      </c>
      <c r="M1107" s="13" t="str">
        <f t="shared" si="35"/>
        <v>Silver</v>
      </c>
      <c r="N1107" s="13"/>
    </row>
    <row r="1108" spans="1:14" x14ac:dyDescent="0.3">
      <c r="A1108" s="3">
        <v>4189</v>
      </c>
      <c r="B1108" s="3" t="s">
        <v>42</v>
      </c>
      <c r="C1108" s="4">
        <v>45638</v>
      </c>
      <c r="D1108" s="3" t="s">
        <v>35</v>
      </c>
      <c r="E1108" s="3" t="s">
        <v>43</v>
      </c>
      <c r="F1108" s="5">
        <v>3</v>
      </c>
      <c r="G1108" s="6">
        <v>27.13</v>
      </c>
      <c r="H1108" s="6">
        <v>81.39</v>
      </c>
      <c r="I1108" s="6">
        <v>12.21</v>
      </c>
      <c r="J1108" s="6">
        <v>69.180000000000007</v>
      </c>
      <c r="K1108" s="5">
        <v>150</v>
      </c>
      <c r="L1108" s="13" t="str">
        <f t="shared" si="34"/>
        <v>Discount Applied</v>
      </c>
      <c r="M1108" s="13" t="str">
        <f t="shared" si="35"/>
        <v>Gold</v>
      </c>
      <c r="N1108" s="13"/>
    </row>
    <row r="1109" spans="1:14" x14ac:dyDescent="0.3">
      <c r="A1109" s="3">
        <v>7329</v>
      </c>
      <c r="B1109" s="3" t="s">
        <v>42</v>
      </c>
      <c r="C1109" s="4">
        <v>45242</v>
      </c>
      <c r="D1109" s="3" t="s">
        <v>15</v>
      </c>
      <c r="E1109" s="3" t="s">
        <v>48</v>
      </c>
      <c r="F1109" s="5">
        <v>1</v>
      </c>
      <c r="G1109" s="6">
        <v>11.44</v>
      </c>
      <c r="H1109" s="6">
        <v>11.44</v>
      </c>
      <c r="I1109" s="6">
        <v>1.72</v>
      </c>
      <c r="J1109" s="6">
        <v>9.7200000000000006</v>
      </c>
      <c r="K1109" s="5">
        <v>279</v>
      </c>
      <c r="L1109" s="13" t="str">
        <f t="shared" si="34"/>
        <v>Discount Applied</v>
      </c>
      <c r="M1109" s="13" t="str">
        <f t="shared" si="35"/>
        <v>Bronze</v>
      </c>
      <c r="N1109" s="13"/>
    </row>
    <row r="1110" spans="1:14" x14ac:dyDescent="0.3">
      <c r="A1110" s="3">
        <v>8378</v>
      </c>
      <c r="B1110" s="3" t="s">
        <v>42</v>
      </c>
      <c r="C1110" s="4">
        <v>45622</v>
      </c>
      <c r="D1110" s="3" t="s">
        <v>27</v>
      </c>
      <c r="E1110" s="3" t="s">
        <v>21</v>
      </c>
      <c r="F1110" s="5">
        <v>3</v>
      </c>
      <c r="G1110" s="6">
        <v>9.77</v>
      </c>
      <c r="H1110" s="6">
        <v>29.31</v>
      </c>
      <c r="I1110" s="6">
        <v>5.86</v>
      </c>
      <c r="J1110" s="6">
        <v>23.45</v>
      </c>
      <c r="K1110" s="5">
        <v>417</v>
      </c>
      <c r="L1110" s="13" t="str">
        <f t="shared" si="34"/>
        <v>Discount Applied</v>
      </c>
      <c r="M1110" s="13" t="str">
        <f t="shared" si="35"/>
        <v>Silver</v>
      </c>
      <c r="N1110" s="13"/>
    </row>
    <row r="1111" spans="1:14" x14ac:dyDescent="0.3">
      <c r="A1111" s="3">
        <v>5582</v>
      </c>
      <c r="B1111" s="3" t="s">
        <v>19</v>
      </c>
      <c r="C1111" s="4">
        <v>45217</v>
      </c>
      <c r="D1111" s="3" t="s">
        <v>38</v>
      </c>
      <c r="E1111" s="3" t="s">
        <v>13</v>
      </c>
      <c r="F1111" s="5">
        <v>1</v>
      </c>
      <c r="G1111" s="6">
        <v>23.32</v>
      </c>
      <c r="H1111" s="6">
        <v>23.32</v>
      </c>
      <c r="I1111" s="6">
        <v>2.33</v>
      </c>
      <c r="J1111" s="6">
        <v>20.99</v>
      </c>
      <c r="K1111" s="5">
        <v>144</v>
      </c>
      <c r="L1111" s="13" t="str">
        <f t="shared" si="34"/>
        <v>Discount Applied</v>
      </c>
      <c r="M1111" s="13" t="str">
        <f t="shared" si="35"/>
        <v>Silver</v>
      </c>
      <c r="N1111" s="13"/>
    </row>
    <row r="1112" spans="1:14" x14ac:dyDescent="0.3">
      <c r="A1112" s="3">
        <v>2946</v>
      </c>
      <c r="B1112" s="3" t="s">
        <v>24</v>
      </c>
      <c r="C1112" s="4">
        <v>45642</v>
      </c>
      <c r="D1112" s="3" t="s">
        <v>28</v>
      </c>
      <c r="E1112" s="3" t="s">
        <v>39</v>
      </c>
      <c r="F1112" s="5">
        <v>4</v>
      </c>
      <c r="G1112" s="6">
        <v>19.96</v>
      </c>
      <c r="H1112" s="6">
        <v>79.84</v>
      </c>
      <c r="I1112" s="6">
        <v>7.98</v>
      </c>
      <c r="J1112" s="6">
        <v>71.86</v>
      </c>
      <c r="K1112" s="5">
        <v>389</v>
      </c>
      <c r="L1112" s="13" t="str">
        <f t="shared" si="34"/>
        <v>Discount Applied</v>
      </c>
      <c r="M1112" s="13" t="str">
        <f t="shared" si="35"/>
        <v>Platinum</v>
      </c>
      <c r="N1112" s="13"/>
    </row>
    <row r="1113" spans="1:14" x14ac:dyDescent="0.3">
      <c r="A1113" s="3">
        <v>7114</v>
      </c>
      <c r="B1113" s="3"/>
      <c r="C1113" s="4">
        <v>45604</v>
      </c>
      <c r="D1113" s="3" t="s">
        <v>17</v>
      </c>
      <c r="E1113" s="3" t="s">
        <v>44</v>
      </c>
      <c r="F1113" s="5">
        <v>4</v>
      </c>
      <c r="G1113" s="6">
        <v>7.77</v>
      </c>
      <c r="H1113" s="6">
        <v>31.08</v>
      </c>
      <c r="I1113" s="6">
        <v>0</v>
      </c>
      <c r="J1113" s="6">
        <v>31.08</v>
      </c>
      <c r="K1113" s="5">
        <v>300</v>
      </c>
      <c r="L1113" s="13" t="str">
        <f t="shared" si="34"/>
        <v>No Discount</v>
      </c>
      <c r="M1113" s="13" t="str">
        <f t="shared" si="35"/>
        <v>Silver</v>
      </c>
      <c r="N1113" s="13"/>
    </row>
    <row r="1114" spans="1:14" x14ac:dyDescent="0.3">
      <c r="A1114" s="3">
        <v>6555</v>
      </c>
      <c r="B1114" s="3" t="s">
        <v>26</v>
      </c>
      <c r="C1114" s="4">
        <v>45277</v>
      </c>
      <c r="D1114" s="3" t="s">
        <v>22</v>
      </c>
      <c r="E1114" s="3" t="s">
        <v>43</v>
      </c>
      <c r="F1114" s="5">
        <v>3</v>
      </c>
      <c r="G1114" s="6">
        <v>25.52</v>
      </c>
      <c r="H1114" s="6">
        <v>76.56</v>
      </c>
      <c r="I1114" s="6">
        <v>15.31</v>
      </c>
      <c r="J1114" s="6">
        <v>61.25</v>
      </c>
      <c r="K1114" s="5">
        <v>219</v>
      </c>
      <c r="L1114" s="13" t="str">
        <f t="shared" si="34"/>
        <v>Discount Applied</v>
      </c>
      <c r="M1114" s="13" t="str">
        <f t="shared" si="35"/>
        <v>Gold</v>
      </c>
      <c r="N1114" s="13"/>
    </row>
    <row r="1115" spans="1:14" x14ac:dyDescent="0.3">
      <c r="A1115" s="3">
        <v>6990</v>
      </c>
      <c r="B1115" s="3" t="s">
        <v>26</v>
      </c>
      <c r="C1115" s="4">
        <v>45799</v>
      </c>
      <c r="D1115" s="3" t="s">
        <v>45</v>
      </c>
      <c r="E1115" s="3" t="s">
        <v>18</v>
      </c>
      <c r="F1115" s="5">
        <v>1</v>
      </c>
      <c r="G1115" s="6">
        <v>11.86</v>
      </c>
      <c r="H1115" s="6">
        <v>11.86</v>
      </c>
      <c r="I1115" s="6">
        <v>1.78</v>
      </c>
      <c r="J1115" s="6">
        <v>10.08</v>
      </c>
      <c r="K1115" s="5">
        <v>295</v>
      </c>
      <c r="L1115" s="13" t="str">
        <f t="shared" si="34"/>
        <v>Discount Applied</v>
      </c>
      <c r="M1115" s="13" t="str">
        <f t="shared" si="35"/>
        <v>Bronze</v>
      </c>
      <c r="N1115" s="13"/>
    </row>
    <row r="1116" spans="1:14" x14ac:dyDescent="0.3">
      <c r="A1116" s="3">
        <v>3363</v>
      </c>
      <c r="B1116" s="3" t="s">
        <v>31</v>
      </c>
      <c r="C1116" s="4">
        <v>45785</v>
      </c>
      <c r="D1116" s="3" t="s">
        <v>45</v>
      </c>
      <c r="E1116" s="3" t="s">
        <v>23</v>
      </c>
      <c r="F1116" s="5">
        <v>3</v>
      </c>
      <c r="G1116" s="6">
        <v>7.53</v>
      </c>
      <c r="H1116" s="6">
        <v>22.59</v>
      </c>
      <c r="I1116" s="6">
        <v>0</v>
      </c>
      <c r="J1116" s="6">
        <v>22.59</v>
      </c>
      <c r="K1116" s="5">
        <v>217</v>
      </c>
      <c r="L1116" s="13" t="str">
        <f t="shared" si="34"/>
        <v>No Discount</v>
      </c>
      <c r="M1116" s="13" t="str">
        <f t="shared" si="35"/>
        <v>Silver</v>
      </c>
      <c r="N1116" s="13"/>
    </row>
    <row r="1117" spans="1:14" x14ac:dyDescent="0.3">
      <c r="A1117" s="3">
        <v>9341</v>
      </c>
      <c r="B1117" s="3" t="s">
        <v>14</v>
      </c>
      <c r="C1117" s="4">
        <v>45208</v>
      </c>
      <c r="D1117" s="3" t="s">
        <v>35</v>
      </c>
      <c r="E1117" s="3" t="s">
        <v>21</v>
      </c>
      <c r="F1117" s="5">
        <v>5</v>
      </c>
      <c r="G1117" s="6">
        <v>1.66</v>
      </c>
      <c r="H1117" s="6">
        <v>8.3000000000000007</v>
      </c>
      <c r="I1117" s="6">
        <v>1.66</v>
      </c>
      <c r="J1117" s="6">
        <v>6.64</v>
      </c>
      <c r="K1117" s="5">
        <v>402</v>
      </c>
      <c r="L1117" s="13" t="str">
        <f t="shared" si="34"/>
        <v>Discount Applied</v>
      </c>
      <c r="M1117" s="13" t="str">
        <f t="shared" si="35"/>
        <v>Bronze</v>
      </c>
      <c r="N1117" s="13"/>
    </row>
    <row r="1118" spans="1:14" x14ac:dyDescent="0.3">
      <c r="A1118" s="3">
        <v>9193</v>
      </c>
      <c r="B1118" s="3" t="s">
        <v>19</v>
      </c>
      <c r="C1118" s="4">
        <v>45643</v>
      </c>
      <c r="D1118" s="3" t="s">
        <v>22</v>
      </c>
      <c r="E1118" s="3" t="s">
        <v>32</v>
      </c>
      <c r="F1118" s="5">
        <v>4</v>
      </c>
      <c r="G1118" s="6">
        <v>6.91</v>
      </c>
      <c r="H1118" s="6">
        <v>27.64</v>
      </c>
      <c r="I1118" s="6">
        <v>2.5499999999999998</v>
      </c>
      <c r="J1118" s="6">
        <v>25.09</v>
      </c>
      <c r="K1118" s="5">
        <v>200</v>
      </c>
      <c r="L1118" s="13" t="str">
        <f t="shared" si="34"/>
        <v>Discount Applied</v>
      </c>
      <c r="M1118" s="13" t="str">
        <f t="shared" si="35"/>
        <v>Silver</v>
      </c>
      <c r="N1118" s="13"/>
    </row>
    <row r="1119" spans="1:14" x14ac:dyDescent="0.3">
      <c r="A1119" s="3">
        <v>1742</v>
      </c>
      <c r="B1119" s="3" t="s">
        <v>26</v>
      </c>
      <c r="C1119" s="4">
        <v>45650</v>
      </c>
      <c r="D1119" s="3" t="s">
        <v>15</v>
      </c>
      <c r="E1119" s="3" t="s">
        <v>21</v>
      </c>
      <c r="F1119" s="5">
        <v>5</v>
      </c>
      <c r="G1119" s="6">
        <v>28.89</v>
      </c>
      <c r="H1119" s="6">
        <v>144.44999999999999</v>
      </c>
      <c r="I1119" s="6">
        <v>1.69</v>
      </c>
      <c r="J1119" s="6">
        <v>142.76</v>
      </c>
      <c r="K1119" s="5">
        <v>327</v>
      </c>
      <c r="L1119" s="13" t="str">
        <f t="shared" si="34"/>
        <v>Discount Applied</v>
      </c>
      <c r="M1119" s="13" t="str">
        <f t="shared" si="35"/>
        <v>Platinum</v>
      </c>
      <c r="N1119" s="13"/>
    </row>
    <row r="1120" spans="1:14" x14ac:dyDescent="0.3">
      <c r="A1120" s="3">
        <v>3245</v>
      </c>
      <c r="B1120" s="3" t="s">
        <v>14</v>
      </c>
      <c r="C1120" s="4">
        <v>45740</v>
      </c>
      <c r="D1120" s="3" t="s">
        <v>34</v>
      </c>
      <c r="E1120" s="3" t="s">
        <v>40</v>
      </c>
      <c r="F1120" s="5">
        <v>5</v>
      </c>
      <c r="G1120" s="6">
        <v>15.16</v>
      </c>
      <c r="H1120" s="6">
        <v>75.8</v>
      </c>
      <c r="I1120" s="6">
        <v>4.6500000000000004</v>
      </c>
      <c r="J1120" s="6">
        <v>71.150000000000006</v>
      </c>
      <c r="K1120" s="5">
        <v>95</v>
      </c>
      <c r="L1120" s="13" t="str">
        <f t="shared" si="34"/>
        <v>Discount Applied</v>
      </c>
      <c r="M1120" s="13" t="str">
        <f t="shared" si="35"/>
        <v>Platinum</v>
      </c>
      <c r="N1120" s="13"/>
    </row>
    <row r="1121" spans="1:14" x14ac:dyDescent="0.3">
      <c r="A1121" s="3">
        <v>8761</v>
      </c>
      <c r="B1121" s="3" t="s">
        <v>24</v>
      </c>
      <c r="C1121" s="4">
        <v>45625</v>
      </c>
      <c r="D1121" s="3" t="s">
        <v>35</v>
      </c>
      <c r="E1121" s="3" t="s">
        <v>44</v>
      </c>
      <c r="F1121" s="5">
        <v>2</v>
      </c>
      <c r="G1121" s="6">
        <v>9.43</v>
      </c>
      <c r="H1121" s="6">
        <v>18.86</v>
      </c>
      <c r="I1121" s="6">
        <v>1.89</v>
      </c>
      <c r="J1121" s="6">
        <v>16.97</v>
      </c>
      <c r="K1121" s="5">
        <v>268</v>
      </c>
      <c r="L1121" s="13" t="str">
        <f t="shared" si="34"/>
        <v>Discount Applied</v>
      </c>
      <c r="M1121" s="13" t="str">
        <f t="shared" si="35"/>
        <v>Bronze</v>
      </c>
      <c r="N1121" s="13"/>
    </row>
    <row r="1122" spans="1:14" x14ac:dyDescent="0.3">
      <c r="A1122" s="3">
        <v>8487</v>
      </c>
      <c r="B1122" s="3" t="s">
        <v>31</v>
      </c>
      <c r="C1122" s="4">
        <v>45531</v>
      </c>
      <c r="D1122" s="3" t="s">
        <v>22</v>
      </c>
      <c r="E1122" s="3" t="s">
        <v>46</v>
      </c>
      <c r="F1122" s="5">
        <v>1</v>
      </c>
      <c r="G1122" s="6">
        <v>5.97</v>
      </c>
      <c r="H1122" s="6">
        <v>5.97</v>
      </c>
      <c r="I1122" s="6">
        <v>0.6</v>
      </c>
      <c r="J1122" s="6">
        <v>5.37</v>
      </c>
      <c r="K1122" s="5">
        <v>440</v>
      </c>
      <c r="L1122" s="13" t="str">
        <f t="shared" si="34"/>
        <v>Discount Applied</v>
      </c>
      <c r="M1122" s="13" t="str">
        <f t="shared" si="35"/>
        <v>Bronze</v>
      </c>
      <c r="N1122" s="13"/>
    </row>
    <row r="1123" spans="1:14" x14ac:dyDescent="0.3">
      <c r="A1123" s="3">
        <v>9446</v>
      </c>
      <c r="B1123" s="3" t="s">
        <v>19</v>
      </c>
      <c r="C1123" s="4">
        <v>45369</v>
      </c>
      <c r="D1123" s="3" t="s">
        <v>15</v>
      </c>
      <c r="E1123" s="3" t="s">
        <v>41</v>
      </c>
      <c r="F1123" s="5">
        <v>5</v>
      </c>
      <c r="G1123" s="6">
        <v>13.12</v>
      </c>
      <c r="H1123" s="6">
        <v>65.599999999999994</v>
      </c>
      <c r="I1123" s="6">
        <v>6.56</v>
      </c>
      <c r="J1123" s="6">
        <v>59.04</v>
      </c>
      <c r="K1123" s="5">
        <v>380</v>
      </c>
      <c r="L1123" s="13" t="str">
        <f t="shared" si="34"/>
        <v>Discount Applied</v>
      </c>
      <c r="M1123" s="13" t="str">
        <f t="shared" si="35"/>
        <v>Gold</v>
      </c>
      <c r="N1123" s="13"/>
    </row>
    <row r="1124" spans="1:14" x14ac:dyDescent="0.3">
      <c r="A1124" s="3">
        <v>6373</v>
      </c>
      <c r="B1124" s="3" t="s">
        <v>42</v>
      </c>
      <c r="C1124" s="4">
        <v>45520</v>
      </c>
      <c r="D1124" s="3" t="s">
        <v>34</v>
      </c>
      <c r="E1124" s="3" t="s">
        <v>44</v>
      </c>
      <c r="F1124" s="5">
        <v>3</v>
      </c>
      <c r="G1124" s="6">
        <v>13.52</v>
      </c>
      <c r="H1124" s="6">
        <v>40.56</v>
      </c>
      <c r="I1124" s="6">
        <v>8.11</v>
      </c>
      <c r="J1124" s="6">
        <v>32.450000000000003</v>
      </c>
      <c r="K1124" s="5">
        <v>363</v>
      </c>
      <c r="L1124" s="13" t="str">
        <f t="shared" si="34"/>
        <v>Discount Applied</v>
      </c>
      <c r="M1124" s="13" t="str">
        <f t="shared" si="35"/>
        <v>Silver</v>
      </c>
      <c r="N1124" s="13"/>
    </row>
    <row r="1125" spans="1:14" x14ac:dyDescent="0.3">
      <c r="A1125" s="3">
        <v>6218</v>
      </c>
      <c r="B1125" s="3" t="s">
        <v>30</v>
      </c>
      <c r="C1125" s="4">
        <v>45770</v>
      </c>
      <c r="D1125" s="3" t="s">
        <v>28</v>
      </c>
      <c r="E1125" s="3" t="s">
        <v>44</v>
      </c>
      <c r="F1125" s="5">
        <v>5</v>
      </c>
      <c r="G1125" s="6">
        <v>21.78</v>
      </c>
      <c r="H1125" s="6">
        <v>108.9</v>
      </c>
      <c r="I1125" s="6">
        <v>21.78</v>
      </c>
      <c r="J1125" s="6">
        <v>87.12</v>
      </c>
      <c r="K1125" s="5">
        <v>234</v>
      </c>
      <c r="L1125" s="13" t="str">
        <f t="shared" si="34"/>
        <v>Discount Applied</v>
      </c>
      <c r="M1125" s="13" t="str">
        <f t="shared" si="35"/>
        <v>Platinum</v>
      </c>
      <c r="N1125" s="13"/>
    </row>
    <row r="1126" spans="1:14" x14ac:dyDescent="0.3">
      <c r="A1126" s="3">
        <v>7438</v>
      </c>
      <c r="B1126" s="3" t="s">
        <v>31</v>
      </c>
      <c r="C1126" s="4">
        <v>45376</v>
      </c>
      <c r="D1126" s="3" t="s">
        <v>34</v>
      </c>
      <c r="E1126" s="3" t="s">
        <v>33</v>
      </c>
      <c r="F1126" s="5">
        <v>1</v>
      </c>
      <c r="G1126" s="6">
        <v>24.9</v>
      </c>
      <c r="H1126" s="6">
        <v>24.9</v>
      </c>
      <c r="I1126" s="6">
        <v>2.3199999999999998</v>
      </c>
      <c r="J1126" s="6">
        <v>22.58</v>
      </c>
      <c r="K1126" s="5">
        <v>309</v>
      </c>
      <c r="L1126" s="13" t="str">
        <f t="shared" si="34"/>
        <v>Discount Applied</v>
      </c>
      <c r="M1126" s="13" t="str">
        <f t="shared" si="35"/>
        <v>Silver</v>
      </c>
      <c r="N1126" s="13"/>
    </row>
    <row r="1127" spans="1:14" x14ac:dyDescent="0.3">
      <c r="A1127" s="3">
        <v>5902</v>
      </c>
      <c r="B1127" s="3" t="s">
        <v>26</v>
      </c>
      <c r="C1127" s="4">
        <v>45201</v>
      </c>
      <c r="D1127" s="3" t="s">
        <v>45</v>
      </c>
      <c r="E1127" s="3" t="s">
        <v>33</v>
      </c>
      <c r="F1127" s="5">
        <v>5</v>
      </c>
      <c r="G1127" s="6">
        <v>2.12</v>
      </c>
      <c r="H1127" s="6">
        <v>10.6</v>
      </c>
      <c r="I1127" s="6">
        <v>0</v>
      </c>
      <c r="J1127" s="6">
        <v>10.6</v>
      </c>
      <c r="K1127" s="5">
        <v>46</v>
      </c>
      <c r="L1127" s="13" t="str">
        <f t="shared" si="34"/>
        <v>No Discount</v>
      </c>
      <c r="M1127" s="13" t="str">
        <f t="shared" si="35"/>
        <v>Bronze</v>
      </c>
      <c r="N1127" s="13"/>
    </row>
    <row r="1128" spans="1:14" x14ac:dyDescent="0.3">
      <c r="A1128" s="3">
        <v>6511</v>
      </c>
      <c r="B1128" s="3" t="s">
        <v>26</v>
      </c>
      <c r="C1128" s="4">
        <v>45267</v>
      </c>
      <c r="D1128" s="3" t="s">
        <v>22</v>
      </c>
      <c r="E1128" s="3" t="s">
        <v>37</v>
      </c>
      <c r="F1128" s="5">
        <v>4</v>
      </c>
      <c r="G1128" s="6">
        <v>18.77</v>
      </c>
      <c r="H1128" s="6">
        <v>75.08</v>
      </c>
      <c r="I1128" s="6">
        <v>7.51</v>
      </c>
      <c r="J1128" s="6">
        <v>67.569999999999993</v>
      </c>
      <c r="K1128" s="5">
        <v>414</v>
      </c>
      <c r="L1128" s="13" t="str">
        <f t="shared" si="34"/>
        <v>Discount Applied</v>
      </c>
      <c r="M1128" s="13" t="str">
        <f t="shared" si="35"/>
        <v>Gold</v>
      </c>
      <c r="N1128" s="13"/>
    </row>
    <row r="1129" spans="1:14" x14ac:dyDescent="0.3">
      <c r="A1129" s="3">
        <v>9351</v>
      </c>
      <c r="B1129" s="3" t="s">
        <v>42</v>
      </c>
      <c r="C1129" s="4">
        <v>45467</v>
      </c>
      <c r="D1129" s="3" t="s">
        <v>34</v>
      </c>
      <c r="E1129" s="3" t="s">
        <v>16</v>
      </c>
      <c r="F1129" s="5">
        <v>4</v>
      </c>
      <c r="G1129" s="6">
        <v>12.15</v>
      </c>
      <c r="H1129" s="6">
        <v>48.6</v>
      </c>
      <c r="I1129" s="6">
        <v>0</v>
      </c>
      <c r="J1129" s="6">
        <v>48.6</v>
      </c>
      <c r="K1129" s="5">
        <v>337</v>
      </c>
      <c r="L1129" s="13" t="str">
        <f t="shared" si="34"/>
        <v>No Discount</v>
      </c>
      <c r="M1129" s="13" t="str">
        <f t="shared" si="35"/>
        <v>Silver</v>
      </c>
      <c r="N1129" s="13"/>
    </row>
    <row r="1130" spans="1:14" x14ac:dyDescent="0.3">
      <c r="A1130" s="3">
        <v>9025</v>
      </c>
      <c r="B1130" s="3" t="s">
        <v>11</v>
      </c>
      <c r="C1130" s="4">
        <v>45505</v>
      </c>
      <c r="D1130" s="3" t="s">
        <v>20</v>
      </c>
      <c r="E1130" s="3" t="s">
        <v>40</v>
      </c>
      <c r="F1130" s="5">
        <v>2</v>
      </c>
      <c r="G1130" s="6">
        <v>26.67</v>
      </c>
      <c r="H1130" s="6">
        <v>53.34</v>
      </c>
      <c r="I1130" s="6">
        <v>0</v>
      </c>
      <c r="J1130" s="6">
        <v>53.34</v>
      </c>
      <c r="K1130" s="5">
        <v>80</v>
      </c>
      <c r="L1130" s="13" t="str">
        <f t="shared" si="34"/>
        <v>No Discount</v>
      </c>
      <c r="M1130" s="13" t="str">
        <f t="shared" si="35"/>
        <v>Gold</v>
      </c>
      <c r="N1130" s="13"/>
    </row>
    <row r="1131" spans="1:14" x14ac:dyDescent="0.3">
      <c r="A1131" s="3">
        <v>5911</v>
      </c>
      <c r="B1131" s="3" t="s">
        <v>14</v>
      </c>
      <c r="C1131" s="4">
        <v>45409</v>
      </c>
      <c r="D1131" s="3" t="s">
        <v>35</v>
      </c>
      <c r="E1131" s="3" t="s">
        <v>43</v>
      </c>
      <c r="F1131" s="5">
        <v>2</v>
      </c>
      <c r="G1131" s="6">
        <v>27.34</v>
      </c>
      <c r="H1131" s="6">
        <v>54.68</v>
      </c>
      <c r="I1131" s="6">
        <v>8.1999999999999993</v>
      </c>
      <c r="J1131" s="6">
        <v>46.48</v>
      </c>
      <c r="K1131" s="5">
        <v>210</v>
      </c>
      <c r="L1131" s="13" t="str">
        <f t="shared" si="34"/>
        <v>Discount Applied</v>
      </c>
      <c r="M1131" s="13" t="str">
        <f t="shared" si="35"/>
        <v>Silver</v>
      </c>
      <c r="N1131" s="13"/>
    </row>
    <row r="1132" spans="1:14" x14ac:dyDescent="0.3">
      <c r="A1132" s="3">
        <v>1272</v>
      </c>
      <c r="B1132" s="3" t="s">
        <v>11</v>
      </c>
      <c r="C1132" s="4">
        <v>45387</v>
      </c>
      <c r="D1132" s="3" t="s">
        <v>15</v>
      </c>
      <c r="E1132" s="3" t="s">
        <v>46</v>
      </c>
      <c r="F1132" s="5">
        <v>3</v>
      </c>
      <c r="G1132" s="6">
        <v>12.88</v>
      </c>
      <c r="H1132" s="6">
        <v>38.64</v>
      </c>
      <c r="I1132" s="6">
        <v>7.73</v>
      </c>
      <c r="J1132" s="6">
        <v>30.91</v>
      </c>
      <c r="K1132" s="5">
        <v>84</v>
      </c>
      <c r="L1132" s="13" t="str">
        <f t="shared" si="34"/>
        <v>Discount Applied</v>
      </c>
      <c r="M1132" s="13" t="str">
        <f t="shared" si="35"/>
        <v>Silver</v>
      </c>
      <c r="N1132" s="13"/>
    </row>
    <row r="1133" spans="1:14" x14ac:dyDescent="0.3">
      <c r="A1133" s="3">
        <v>6427</v>
      </c>
      <c r="B1133" s="3" t="s">
        <v>14</v>
      </c>
      <c r="C1133" s="4">
        <v>45715</v>
      </c>
      <c r="D1133" s="3" t="s">
        <v>12</v>
      </c>
      <c r="E1133" s="3" t="s">
        <v>33</v>
      </c>
      <c r="F1133" s="5">
        <v>1</v>
      </c>
      <c r="G1133" s="6">
        <v>3.11</v>
      </c>
      <c r="H1133" s="6">
        <v>3.11</v>
      </c>
      <c r="I1133" s="6">
        <v>0.31</v>
      </c>
      <c r="J1133" s="6">
        <v>2.8</v>
      </c>
      <c r="K1133" s="5">
        <v>355</v>
      </c>
      <c r="L1133" s="13" t="str">
        <f t="shared" si="34"/>
        <v>Discount Applied</v>
      </c>
      <c r="M1133" s="13" t="str">
        <f t="shared" si="35"/>
        <v>Bronze</v>
      </c>
      <c r="N1133" s="13"/>
    </row>
    <row r="1134" spans="1:14" x14ac:dyDescent="0.3">
      <c r="A1134" s="3">
        <v>2795</v>
      </c>
      <c r="B1134" s="3"/>
      <c r="C1134" s="4">
        <v>45454</v>
      </c>
      <c r="D1134" s="3" t="s">
        <v>20</v>
      </c>
      <c r="E1134" s="3" t="s">
        <v>44</v>
      </c>
      <c r="F1134" s="5">
        <v>4</v>
      </c>
      <c r="G1134" s="6">
        <v>2.09</v>
      </c>
      <c r="H1134" s="6">
        <v>8.36</v>
      </c>
      <c r="I1134" s="6">
        <v>0</v>
      </c>
      <c r="J1134" s="6">
        <v>8.36</v>
      </c>
      <c r="K1134" s="5">
        <v>128</v>
      </c>
      <c r="L1134" s="13" t="str">
        <f t="shared" si="34"/>
        <v>No Discount</v>
      </c>
      <c r="M1134" s="13" t="str">
        <f t="shared" si="35"/>
        <v>Bronze</v>
      </c>
      <c r="N1134" s="13"/>
    </row>
    <row r="1135" spans="1:14" x14ac:dyDescent="0.3">
      <c r="A1135" s="3">
        <v>6040</v>
      </c>
      <c r="B1135" s="3" t="s">
        <v>19</v>
      </c>
      <c r="C1135" s="4">
        <v>45735</v>
      </c>
      <c r="D1135" s="3" t="s">
        <v>22</v>
      </c>
      <c r="E1135" s="3" t="s">
        <v>33</v>
      </c>
      <c r="F1135" s="5">
        <v>4</v>
      </c>
      <c r="G1135" s="6">
        <v>14.37</v>
      </c>
      <c r="H1135" s="6">
        <v>57.48</v>
      </c>
      <c r="I1135" s="6">
        <v>0</v>
      </c>
      <c r="J1135" s="6">
        <v>57.48</v>
      </c>
      <c r="K1135" s="5">
        <v>42</v>
      </c>
      <c r="L1135" s="13" t="str">
        <f t="shared" si="34"/>
        <v>No Discount</v>
      </c>
      <c r="M1135" s="13" t="str">
        <f t="shared" si="35"/>
        <v>Gold</v>
      </c>
      <c r="N1135" s="13"/>
    </row>
    <row r="1136" spans="1:14" x14ac:dyDescent="0.3">
      <c r="A1136" s="3">
        <v>8775</v>
      </c>
      <c r="B1136" s="3" t="s">
        <v>26</v>
      </c>
      <c r="C1136" s="4">
        <v>45544</v>
      </c>
      <c r="D1136" s="3" t="s">
        <v>34</v>
      </c>
      <c r="E1136" s="3" t="s">
        <v>47</v>
      </c>
      <c r="F1136" s="5">
        <v>3</v>
      </c>
      <c r="G1136" s="6">
        <v>25.4</v>
      </c>
      <c r="H1136" s="6">
        <v>76.2</v>
      </c>
      <c r="I1136" s="6">
        <v>1.4</v>
      </c>
      <c r="J1136" s="6">
        <v>74.8</v>
      </c>
      <c r="K1136" s="5">
        <v>87</v>
      </c>
      <c r="L1136" s="13" t="str">
        <f t="shared" si="34"/>
        <v>Discount Applied</v>
      </c>
      <c r="M1136" s="13" t="str">
        <f t="shared" si="35"/>
        <v>Platinum</v>
      </c>
      <c r="N1136" s="13"/>
    </row>
    <row r="1137" spans="1:14" x14ac:dyDescent="0.3">
      <c r="A1137" s="3">
        <v>8871</v>
      </c>
      <c r="B1137" s="3" t="s">
        <v>30</v>
      </c>
      <c r="C1137" s="4">
        <v>45392</v>
      </c>
      <c r="D1137" s="3" t="s">
        <v>15</v>
      </c>
      <c r="E1137" s="3" t="s">
        <v>18</v>
      </c>
      <c r="F1137" s="5">
        <v>4</v>
      </c>
      <c r="G1137" s="6">
        <v>5.88</v>
      </c>
      <c r="H1137" s="6">
        <v>23.52</v>
      </c>
      <c r="I1137" s="6">
        <v>0</v>
      </c>
      <c r="J1137" s="6">
        <v>23.52</v>
      </c>
      <c r="K1137" s="5">
        <v>343</v>
      </c>
      <c r="L1137" s="13" t="str">
        <f t="shared" si="34"/>
        <v>No Discount</v>
      </c>
      <c r="M1137" s="13" t="str">
        <f t="shared" si="35"/>
        <v>Silver</v>
      </c>
      <c r="N1137" s="13"/>
    </row>
    <row r="1138" spans="1:14" x14ac:dyDescent="0.3">
      <c r="A1138" s="3">
        <v>9589</v>
      </c>
      <c r="B1138" s="3" t="s">
        <v>30</v>
      </c>
      <c r="C1138" s="4">
        <v>45507</v>
      </c>
      <c r="D1138" s="3" t="s">
        <v>34</v>
      </c>
      <c r="E1138" s="3" t="s">
        <v>33</v>
      </c>
      <c r="F1138" s="5">
        <v>3</v>
      </c>
      <c r="G1138" s="6">
        <v>6.15</v>
      </c>
      <c r="H1138" s="6">
        <v>18.45</v>
      </c>
      <c r="I1138" s="6">
        <v>0</v>
      </c>
      <c r="J1138" s="6">
        <v>18.45</v>
      </c>
      <c r="K1138" s="5">
        <v>365</v>
      </c>
      <c r="L1138" s="13" t="str">
        <f t="shared" si="34"/>
        <v>No Discount</v>
      </c>
      <c r="M1138" s="13" t="str">
        <f t="shared" si="35"/>
        <v>Bronze</v>
      </c>
      <c r="N1138" s="13"/>
    </row>
    <row r="1139" spans="1:14" x14ac:dyDescent="0.3">
      <c r="A1139" s="3">
        <v>7229</v>
      </c>
      <c r="B1139" s="3" t="s">
        <v>14</v>
      </c>
      <c r="C1139" s="4">
        <v>45352</v>
      </c>
      <c r="D1139" s="3" t="s">
        <v>17</v>
      </c>
      <c r="E1139" s="3" t="s">
        <v>33</v>
      </c>
      <c r="F1139" s="5">
        <v>1</v>
      </c>
      <c r="G1139" s="6">
        <v>25.25</v>
      </c>
      <c r="H1139" s="6">
        <v>25.25</v>
      </c>
      <c r="I1139" s="6">
        <v>2.5299999999999998</v>
      </c>
      <c r="J1139" s="6">
        <v>22.72</v>
      </c>
      <c r="K1139" s="5">
        <v>415</v>
      </c>
      <c r="L1139" s="13" t="str">
        <f t="shared" si="34"/>
        <v>Discount Applied</v>
      </c>
      <c r="M1139" s="13" t="str">
        <f t="shared" si="35"/>
        <v>Silver</v>
      </c>
      <c r="N1139" s="13"/>
    </row>
    <row r="1140" spans="1:14" x14ac:dyDescent="0.3">
      <c r="A1140" s="3">
        <v>4968</v>
      </c>
      <c r="B1140" s="3" t="s">
        <v>30</v>
      </c>
      <c r="C1140" s="4">
        <v>45337</v>
      </c>
      <c r="D1140" s="3" t="s">
        <v>45</v>
      </c>
      <c r="E1140" s="3" t="s">
        <v>40</v>
      </c>
      <c r="F1140" s="5">
        <v>5</v>
      </c>
      <c r="G1140" s="6">
        <v>1.1299999999999999</v>
      </c>
      <c r="H1140" s="6">
        <v>5.65</v>
      </c>
      <c r="I1140" s="6">
        <v>1.1299999999999999</v>
      </c>
      <c r="J1140" s="6">
        <v>4.5199999999999996</v>
      </c>
      <c r="K1140" s="5">
        <v>395</v>
      </c>
      <c r="L1140" s="13" t="str">
        <f t="shared" si="34"/>
        <v>Discount Applied</v>
      </c>
      <c r="M1140" s="13" t="str">
        <f t="shared" si="35"/>
        <v>Bronze</v>
      </c>
      <c r="N1140" s="13"/>
    </row>
    <row r="1141" spans="1:14" x14ac:dyDescent="0.3">
      <c r="A1141" s="3">
        <v>2800</v>
      </c>
      <c r="B1141" s="3" t="s">
        <v>42</v>
      </c>
      <c r="C1141" s="4">
        <v>45220</v>
      </c>
      <c r="D1141" s="3" t="s">
        <v>22</v>
      </c>
      <c r="E1141" s="3" t="s">
        <v>25</v>
      </c>
      <c r="F1141" s="5">
        <v>2</v>
      </c>
      <c r="G1141" s="6">
        <v>3.64</v>
      </c>
      <c r="H1141" s="6">
        <v>7.28</v>
      </c>
      <c r="I1141" s="6">
        <v>2.35</v>
      </c>
      <c r="J1141" s="6">
        <v>4.93</v>
      </c>
      <c r="K1141" s="5">
        <v>215</v>
      </c>
      <c r="L1141" s="13" t="str">
        <f t="shared" si="34"/>
        <v>Discount Applied</v>
      </c>
      <c r="M1141" s="13" t="str">
        <f t="shared" si="35"/>
        <v>Bronze</v>
      </c>
      <c r="N1141" s="13"/>
    </row>
    <row r="1142" spans="1:14" x14ac:dyDescent="0.3">
      <c r="A1142" s="3">
        <v>1310</v>
      </c>
      <c r="B1142" s="3" t="s">
        <v>42</v>
      </c>
      <c r="C1142" s="4">
        <v>45370</v>
      </c>
      <c r="D1142" s="3" t="s">
        <v>27</v>
      </c>
      <c r="E1142" s="3" t="s">
        <v>43</v>
      </c>
      <c r="F1142" s="5">
        <v>2</v>
      </c>
      <c r="G1142" s="6">
        <v>28.79</v>
      </c>
      <c r="H1142" s="6">
        <v>57.58</v>
      </c>
      <c r="I1142" s="6">
        <v>0</v>
      </c>
      <c r="J1142" s="6">
        <v>57.58</v>
      </c>
      <c r="K1142" s="5">
        <v>49</v>
      </c>
      <c r="L1142" s="13" t="str">
        <f t="shared" si="34"/>
        <v>No Discount</v>
      </c>
      <c r="M1142" s="13" t="str">
        <f t="shared" si="35"/>
        <v>Gold</v>
      </c>
      <c r="N1142" s="13"/>
    </row>
    <row r="1143" spans="1:14" x14ac:dyDescent="0.3">
      <c r="A1143" s="3">
        <v>3481</v>
      </c>
      <c r="B1143" s="3" t="s">
        <v>19</v>
      </c>
      <c r="C1143" s="4">
        <v>45816</v>
      </c>
      <c r="D1143" s="3" t="s">
        <v>12</v>
      </c>
      <c r="E1143" s="3" t="s">
        <v>16</v>
      </c>
      <c r="F1143" s="5">
        <v>5</v>
      </c>
      <c r="G1143" s="6">
        <v>4.1100000000000003</v>
      </c>
      <c r="H1143" s="6">
        <v>20.55</v>
      </c>
      <c r="I1143" s="6">
        <v>3.51</v>
      </c>
      <c r="J1143" s="6">
        <v>17.04</v>
      </c>
      <c r="K1143" s="5">
        <v>167</v>
      </c>
      <c r="L1143" s="13" t="str">
        <f t="shared" si="34"/>
        <v>Discount Applied</v>
      </c>
      <c r="M1143" s="13" t="str">
        <f t="shared" si="35"/>
        <v>Bronze</v>
      </c>
      <c r="N1143" s="13"/>
    </row>
    <row r="1144" spans="1:14" x14ac:dyDescent="0.3">
      <c r="A1144" s="3">
        <v>4340</v>
      </c>
      <c r="B1144" s="3" t="s">
        <v>42</v>
      </c>
      <c r="C1144" s="4">
        <v>45337</v>
      </c>
      <c r="D1144" s="3" t="s">
        <v>38</v>
      </c>
      <c r="E1144" s="3" t="s">
        <v>32</v>
      </c>
      <c r="F1144" s="5">
        <v>4</v>
      </c>
      <c r="G1144" s="6">
        <v>4.49</v>
      </c>
      <c r="H1144" s="6">
        <v>17.96</v>
      </c>
      <c r="I1144" s="6">
        <v>2.69</v>
      </c>
      <c r="J1144" s="6">
        <v>15.27</v>
      </c>
      <c r="K1144" s="5">
        <v>109</v>
      </c>
      <c r="L1144" s="13" t="str">
        <f t="shared" si="34"/>
        <v>Discount Applied</v>
      </c>
      <c r="M1144" s="13" t="str">
        <f t="shared" si="35"/>
        <v>Bronze</v>
      </c>
      <c r="N1144" s="13"/>
    </row>
    <row r="1145" spans="1:14" x14ac:dyDescent="0.3">
      <c r="A1145" s="3">
        <v>8726</v>
      </c>
      <c r="B1145" s="3" t="s">
        <v>36</v>
      </c>
      <c r="C1145" s="4">
        <v>45776</v>
      </c>
      <c r="D1145" s="3" t="s">
        <v>34</v>
      </c>
      <c r="E1145" s="3" t="s">
        <v>39</v>
      </c>
      <c r="F1145" s="5">
        <v>4</v>
      </c>
      <c r="G1145" s="6">
        <v>19.96</v>
      </c>
      <c r="H1145" s="6">
        <v>79.84</v>
      </c>
      <c r="I1145" s="6">
        <v>15.97</v>
      </c>
      <c r="J1145" s="6">
        <v>63.87</v>
      </c>
      <c r="K1145" s="5">
        <v>6</v>
      </c>
      <c r="L1145" s="13" t="str">
        <f t="shared" si="34"/>
        <v>Discount Applied</v>
      </c>
      <c r="M1145" s="13" t="str">
        <f t="shared" si="35"/>
        <v>Gold</v>
      </c>
      <c r="N1145" s="13"/>
    </row>
    <row r="1146" spans="1:14" x14ac:dyDescent="0.3">
      <c r="A1146" s="3">
        <v>3262</v>
      </c>
      <c r="B1146" s="3" t="s">
        <v>26</v>
      </c>
      <c r="C1146" s="4">
        <v>45870</v>
      </c>
      <c r="D1146" s="3" t="s">
        <v>17</v>
      </c>
      <c r="E1146" s="3" t="s">
        <v>43</v>
      </c>
      <c r="F1146" s="5">
        <v>3</v>
      </c>
      <c r="G1146" s="6">
        <v>19.84</v>
      </c>
      <c r="H1146" s="6">
        <v>59.52</v>
      </c>
      <c r="I1146" s="6">
        <v>4.54</v>
      </c>
      <c r="J1146" s="6">
        <v>54.98</v>
      </c>
      <c r="K1146" s="5">
        <v>188</v>
      </c>
      <c r="L1146" s="13" t="str">
        <f t="shared" si="34"/>
        <v>Discount Applied</v>
      </c>
      <c r="M1146" s="13" t="str">
        <f t="shared" si="35"/>
        <v>Gold</v>
      </c>
      <c r="N1146" s="13"/>
    </row>
    <row r="1147" spans="1:14" x14ac:dyDescent="0.3">
      <c r="A1147" s="3">
        <v>4397</v>
      </c>
      <c r="B1147" s="3" t="s">
        <v>24</v>
      </c>
      <c r="C1147" s="4">
        <v>45292</v>
      </c>
      <c r="D1147" s="3" t="s">
        <v>35</v>
      </c>
      <c r="E1147" s="3" t="s">
        <v>47</v>
      </c>
      <c r="F1147" s="5">
        <v>1</v>
      </c>
      <c r="G1147" s="6">
        <v>21.65</v>
      </c>
      <c r="H1147" s="6">
        <v>21.65</v>
      </c>
      <c r="I1147" s="6">
        <v>3.25</v>
      </c>
      <c r="J1147" s="6">
        <v>18.399999999999999</v>
      </c>
      <c r="K1147" s="5">
        <v>405</v>
      </c>
      <c r="L1147" s="13" t="str">
        <f t="shared" si="34"/>
        <v>Discount Applied</v>
      </c>
      <c r="M1147" s="13" t="str">
        <f t="shared" si="35"/>
        <v>Bronze</v>
      </c>
      <c r="N1147" s="13"/>
    </row>
    <row r="1148" spans="1:14" x14ac:dyDescent="0.3">
      <c r="A1148" s="3">
        <v>8837</v>
      </c>
      <c r="B1148" s="3" t="s">
        <v>11</v>
      </c>
      <c r="C1148" s="4">
        <v>45532</v>
      </c>
      <c r="D1148" s="3" t="s">
        <v>28</v>
      </c>
      <c r="E1148" s="3" t="s">
        <v>21</v>
      </c>
      <c r="F1148" s="5">
        <v>4</v>
      </c>
      <c r="G1148" s="6">
        <v>20.65</v>
      </c>
      <c r="H1148" s="6">
        <v>82.6</v>
      </c>
      <c r="I1148" s="6">
        <v>12.39</v>
      </c>
      <c r="J1148" s="6">
        <v>70.209999999999994</v>
      </c>
      <c r="K1148" s="5">
        <v>497</v>
      </c>
      <c r="L1148" s="13" t="str">
        <f t="shared" si="34"/>
        <v>Discount Applied</v>
      </c>
      <c r="M1148" s="13" t="str">
        <f t="shared" si="35"/>
        <v>Platinum</v>
      </c>
      <c r="N1148" s="13"/>
    </row>
    <row r="1149" spans="1:14" x14ac:dyDescent="0.3">
      <c r="A1149" s="3">
        <v>7173</v>
      </c>
      <c r="B1149" s="3" t="s">
        <v>19</v>
      </c>
      <c r="C1149" s="4">
        <v>45507</v>
      </c>
      <c r="D1149" s="3" t="s">
        <v>27</v>
      </c>
      <c r="E1149" s="3" t="s">
        <v>21</v>
      </c>
      <c r="F1149" s="5">
        <v>4</v>
      </c>
      <c r="G1149" s="6">
        <v>2.95</v>
      </c>
      <c r="H1149" s="6">
        <v>11.8</v>
      </c>
      <c r="I1149" s="6">
        <v>1.18</v>
      </c>
      <c r="J1149" s="6">
        <v>10.62</v>
      </c>
      <c r="K1149" s="5">
        <v>9</v>
      </c>
      <c r="L1149" s="13" t="str">
        <f t="shared" si="34"/>
        <v>Discount Applied</v>
      </c>
      <c r="M1149" s="13" t="str">
        <f t="shared" si="35"/>
        <v>Bronze</v>
      </c>
      <c r="N1149" s="13"/>
    </row>
    <row r="1150" spans="1:14" x14ac:dyDescent="0.3">
      <c r="A1150" s="3">
        <v>3837</v>
      </c>
      <c r="B1150" s="3" t="s">
        <v>14</v>
      </c>
      <c r="C1150" s="4">
        <v>45827</v>
      </c>
      <c r="D1150" s="3" t="s">
        <v>27</v>
      </c>
      <c r="E1150" s="3" t="s">
        <v>25</v>
      </c>
      <c r="F1150" s="5">
        <v>5</v>
      </c>
      <c r="G1150" s="6">
        <v>18.03</v>
      </c>
      <c r="H1150" s="6">
        <v>90.15</v>
      </c>
      <c r="I1150" s="6">
        <v>3.47</v>
      </c>
      <c r="J1150" s="6">
        <v>86.68</v>
      </c>
      <c r="K1150" s="5">
        <v>6</v>
      </c>
      <c r="L1150" s="13" t="str">
        <f t="shared" si="34"/>
        <v>Discount Applied</v>
      </c>
      <c r="M1150" s="13" t="str">
        <f t="shared" si="35"/>
        <v>Platinum</v>
      </c>
      <c r="N1150" s="13"/>
    </row>
    <row r="1151" spans="1:14" x14ac:dyDescent="0.3">
      <c r="A1151" s="3">
        <v>9734</v>
      </c>
      <c r="B1151" s="3" t="s">
        <v>11</v>
      </c>
      <c r="C1151" s="4">
        <v>45531</v>
      </c>
      <c r="D1151" s="3" t="s">
        <v>35</v>
      </c>
      <c r="E1151" s="3" t="s">
        <v>25</v>
      </c>
      <c r="F1151" s="5">
        <v>4</v>
      </c>
      <c r="G1151" s="6">
        <v>22.95</v>
      </c>
      <c r="H1151" s="6">
        <v>91.8</v>
      </c>
      <c r="I1151" s="6">
        <v>1.55</v>
      </c>
      <c r="J1151" s="6">
        <v>90.25</v>
      </c>
      <c r="K1151" s="5">
        <v>317</v>
      </c>
      <c r="L1151" s="13" t="str">
        <f t="shared" si="34"/>
        <v>Discount Applied</v>
      </c>
      <c r="M1151" s="13" t="str">
        <f t="shared" si="35"/>
        <v>Platinum</v>
      </c>
      <c r="N1151" s="13"/>
    </row>
    <row r="1152" spans="1:14" x14ac:dyDescent="0.3">
      <c r="A1152" s="3">
        <v>9950</v>
      </c>
      <c r="B1152" s="3" t="s">
        <v>26</v>
      </c>
      <c r="C1152" s="4">
        <v>45214</v>
      </c>
      <c r="D1152" s="3" t="s">
        <v>35</v>
      </c>
      <c r="E1152" s="3" t="s">
        <v>44</v>
      </c>
      <c r="F1152" s="5">
        <v>2</v>
      </c>
      <c r="G1152" s="6">
        <v>11.89</v>
      </c>
      <c r="H1152" s="6">
        <v>23.78</v>
      </c>
      <c r="I1152" s="6">
        <v>4.76</v>
      </c>
      <c r="J1152" s="6">
        <v>19.02</v>
      </c>
      <c r="K1152" s="5">
        <v>328</v>
      </c>
      <c r="L1152" s="13" t="str">
        <f t="shared" si="34"/>
        <v>Discount Applied</v>
      </c>
      <c r="M1152" s="13" t="str">
        <f t="shared" si="35"/>
        <v>Bronze</v>
      </c>
      <c r="N1152" s="13"/>
    </row>
    <row r="1153" spans="1:14" x14ac:dyDescent="0.3">
      <c r="A1153" s="3">
        <v>5331</v>
      </c>
      <c r="B1153" s="3" t="s">
        <v>26</v>
      </c>
      <c r="C1153" s="4">
        <v>45537</v>
      </c>
      <c r="D1153" s="3" t="s">
        <v>22</v>
      </c>
      <c r="E1153" s="3" t="s">
        <v>41</v>
      </c>
      <c r="F1153" s="5">
        <v>3</v>
      </c>
      <c r="G1153" s="6">
        <v>10.199999999999999</v>
      </c>
      <c r="H1153" s="6">
        <v>30.6</v>
      </c>
      <c r="I1153" s="6">
        <v>4.17</v>
      </c>
      <c r="J1153" s="6">
        <v>26.43</v>
      </c>
      <c r="K1153" s="5">
        <v>402</v>
      </c>
      <c r="L1153" s="13" t="str">
        <f t="shared" si="34"/>
        <v>Discount Applied</v>
      </c>
      <c r="M1153" s="13" t="str">
        <f t="shared" si="35"/>
        <v>Silver</v>
      </c>
      <c r="N1153" s="13"/>
    </row>
    <row r="1154" spans="1:14" x14ac:dyDescent="0.3">
      <c r="A1154" s="3">
        <v>8932</v>
      </c>
      <c r="B1154" s="3" t="s">
        <v>24</v>
      </c>
      <c r="C1154" s="4">
        <v>45331</v>
      </c>
      <c r="D1154" s="3" t="s">
        <v>27</v>
      </c>
      <c r="E1154" s="3" t="s">
        <v>37</v>
      </c>
      <c r="F1154" s="5">
        <v>1</v>
      </c>
      <c r="G1154" s="6">
        <v>7.63</v>
      </c>
      <c r="H1154" s="6">
        <v>7.63</v>
      </c>
      <c r="I1154" s="6">
        <v>1.1399999999999999</v>
      </c>
      <c r="J1154" s="6">
        <v>6.49</v>
      </c>
      <c r="K1154" s="5">
        <v>375</v>
      </c>
      <c r="L1154" s="13" t="str">
        <f t="shared" si="34"/>
        <v>Discount Applied</v>
      </c>
      <c r="M1154" s="13" t="str">
        <f t="shared" si="35"/>
        <v>Bronze</v>
      </c>
      <c r="N1154" s="13"/>
    </row>
    <row r="1155" spans="1:14" x14ac:dyDescent="0.3">
      <c r="A1155" s="3">
        <v>5038</v>
      </c>
      <c r="B1155" s="3" t="s">
        <v>42</v>
      </c>
      <c r="C1155" s="4">
        <v>45598</v>
      </c>
      <c r="D1155" s="3" t="s">
        <v>17</v>
      </c>
      <c r="E1155" s="3" t="s">
        <v>18</v>
      </c>
      <c r="F1155" s="5">
        <v>1</v>
      </c>
      <c r="G1155" s="6">
        <v>27.28</v>
      </c>
      <c r="H1155" s="6">
        <v>27.28</v>
      </c>
      <c r="I1155" s="6">
        <v>0</v>
      </c>
      <c r="J1155" s="6">
        <v>27.28</v>
      </c>
      <c r="K1155" s="5">
        <v>340</v>
      </c>
      <c r="L1155" s="13" t="str">
        <f t="shared" ref="L1155:L1218" si="36">IF(I1155&gt;0,"Discount Applied","No Discount")</f>
        <v>No Discount</v>
      </c>
      <c r="M1155" s="13" t="str">
        <f t="shared" ref="M1155:M1218" si="37">IF(J1155 &gt;= 70, "Platinum",
   IF(J1155 &gt;= 50, "Gold",
      IF(J1155 &gt;= 20, "Silver", "Bronze")))</f>
        <v>Silver</v>
      </c>
      <c r="N1155" s="13"/>
    </row>
    <row r="1156" spans="1:14" x14ac:dyDescent="0.3">
      <c r="A1156" s="3">
        <v>5890</v>
      </c>
      <c r="B1156" s="3" t="s">
        <v>42</v>
      </c>
      <c r="C1156" s="4">
        <v>45182</v>
      </c>
      <c r="D1156" s="3" t="s">
        <v>28</v>
      </c>
      <c r="E1156" s="3" t="s">
        <v>32</v>
      </c>
      <c r="F1156" s="5">
        <v>5</v>
      </c>
      <c r="G1156" s="6">
        <v>10.32</v>
      </c>
      <c r="H1156" s="6">
        <v>51.6</v>
      </c>
      <c r="I1156" s="6">
        <v>4.4800000000000004</v>
      </c>
      <c r="J1156" s="6">
        <v>47.12</v>
      </c>
      <c r="K1156" s="5">
        <v>226</v>
      </c>
      <c r="L1156" s="13" t="str">
        <f t="shared" si="36"/>
        <v>Discount Applied</v>
      </c>
      <c r="M1156" s="13" t="str">
        <f t="shared" si="37"/>
        <v>Silver</v>
      </c>
      <c r="N1156" s="13"/>
    </row>
    <row r="1157" spans="1:14" x14ac:dyDescent="0.3">
      <c r="A1157" s="3">
        <v>5876</v>
      </c>
      <c r="B1157" s="3" t="s">
        <v>11</v>
      </c>
      <c r="C1157" s="4">
        <v>45363</v>
      </c>
      <c r="D1157" s="3" t="s">
        <v>17</v>
      </c>
      <c r="E1157" s="3" t="s">
        <v>40</v>
      </c>
      <c r="F1157" s="5">
        <v>2</v>
      </c>
      <c r="G1157" s="6">
        <v>28.2</v>
      </c>
      <c r="H1157" s="6">
        <v>56.4</v>
      </c>
      <c r="I1157" s="6">
        <v>11.28</v>
      </c>
      <c r="J1157" s="6">
        <v>45.12</v>
      </c>
      <c r="K1157" s="5">
        <v>64</v>
      </c>
      <c r="L1157" s="13" t="str">
        <f t="shared" si="36"/>
        <v>Discount Applied</v>
      </c>
      <c r="M1157" s="13" t="str">
        <f t="shared" si="37"/>
        <v>Silver</v>
      </c>
      <c r="N1157" s="13"/>
    </row>
    <row r="1158" spans="1:14" x14ac:dyDescent="0.3">
      <c r="A1158" s="3">
        <v>5735</v>
      </c>
      <c r="B1158" s="3" t="s">
        <v>14</v>
      </c>
      <c r="C1158" s="4">
        <v>45609</v>
      </c>
      <c r="D1158" s="3" t="s">
        <v>17</v>
      </c>
      <c r="E1158" s="3" t="s">
        <v>25</v>
      </c>
      <c r="F1158" s="5">
        <v>5</v>
      </c>
      <c r="G1158" s="6">
        <v>3.26</v>
      </c>
      <c r="H1158" s="6">
        <v>16.3</v>
      </c>
      <c r="I1158" s="6">
        <v>2.44</v>
      </c>
      <c r="J1158" s="6">
        <v>13.86</v>
      </c>
      <c r="K1158" s="5">
        <v>371</v>
      </c>
      <c r="L1158" s="13" t="str">
        <f t="shared" si="36"/>
        <v>Discount Applied</v>
      </c>
      <c r="M1158" s="13" t="str">
        <f t="shared" si="37"/>
        <v>Bronze</v>
      </c>
      <c r="N1158" s="13"/>
    </row>
    <row r="1159" spans="1:14" x14ac:dyDescent="0.3">
      <c r="A1159" s="3">
        <v>4396</v>
      </c>
      <c r="B1159" s="3" t="s">
        <v>19</v>
      </c>
      <c r="C1159" s="4">
        <v>45366</v>
      </c>
      <c r="D1159" s="3" t="s">
        <v>17</v>
      </c>
      <c r="E1159" s="3" t="s">
        <v>25</v>
      </c>
      <c r="F1159" s="5">
        <v>4</v>
      </c>
      <c r="G1159" s="6">
        <v>6.11</v>
      </c>
      <c r="H1159" s="6">
        <v>24.44</v>
      </c>
      <c r="I1159" s="6">
        <v>3.67</v>
      </c>
      <c r="J1159" s="6">
        <v>20.77</v>
      </c>
      <c r="K1159" s="5">
        <v>127</v>
      </c>
      <c r="L1159" s="13" t="str">
        <f t="shared" si="36"/>
        <v>Discount Applied</v>
      </c>
      <c r="M1159" s="13" t="str">
        <f t="shared" si="37"/>
        <v>Silver</v>
      </c>
      <c r="N1159" s="13"/>
    </row>
    <row r="1160" spans="1:14" x14ac:dyDescent="0.3">
      <c r="A1160" s="3">
        <v>9011</v>
      </c>
      <c r="B1160" s="3" t="s">
        <v>26</v>
      </c>
      <c r="C1160" s="4">
        <v>45151</v>
      </c>
      <c r="D1160" s="3" t="s">
        <v>27</v>
      </c>
      <c r="E1160" s="3" t="s">
        <v>44</v>
      </c>
      <c r="F1160" s="5">
        <v>3</v>
      </c>
      <c r="G1160" s="6">
        <v>26</v>
      </c>
      <c r="H1160" s="6">
        <v>78</v>
      </c>
      <c r="I1160" s="6">
        <v>11.7</v>
      </c>
      <c r="J1160" s="6">
        <v>66.3</v>
      </c>
      <c r="K1160" s="5">
        <v>246</v>
      </c>
      <c r="L1160" s="13" t="str">
        <f t="shared" si="36"/>
        <v>Discount Applied</v>
      </c>
      <c r="M1160" s="13" t="str">
        <f t="shared" si="37"/>
        <v>Gold</v>
      </c>
      <c r="N1160" s="13"/>
    </row>
    <row r="1161" spans="1:14" x14ac:dyDescent="0.3">
      <c r="A1161" s="3">
        <v>8861</v>
      </c>
      <c r="B1161" s="3" t="s">
        <v>24</v>
      </c>
      <c r="C1161" s="4">
        <v>45479</v>
      </c>
      <c r="D1161" s="3" t="s">
        <v>20</v>
      </c>
      <c r="E1161" s="3" t="s">
        <v>29</v>
      </c>
      <c r="F1161" s="5">
        <v>4</v>
      </c>
      <c r="G1161" s="6">
        <v>13.79</v>
      </c>
      <c r="H1161" s="6">
        <v>55.16</v>
      </c>
      <c r="I1161" s="6">
        <v>11.03</v>
      </c>
      <c r="J1161" s="6">
        <v>44.13</v>
      </c>
      <c r="K1161" s="5">
        <v>258</v>
      </c>
      <c r="L1161" s="13" t="str">
        <f t="shared" si="36"/>
        <v>Discount Applied</v>
      </c>
      <c r="M1161" s="13" t="str">
        <f t="shared" si="37"/>
        <v>Silver</v>
      </c>
      <c r="N1161" s="13"/>
    </row>
    <row r="1162" spans="1:14" x14ac:dyDescent="0.3">
      <c r="A1162" s="3">
        <v>5480</v>
      </c>
      <c r="B1162" s="3" t="s">
        <v>26</v>
      </c>
      <c r="C1162" s="4">
        <v>45830</v>
      </c>
      <c r="D1162" s="3" t="s">
        <v>12</v>
      </c>
      <c r="E1162" s="3" t="s">
        <v>32</v>
      </c>
      <c r="F1162" s="5">
        <v>4</v>
      </c>
      <c r="G1162" s="6">
        <v>25.76</v>
      </c>
      <c r="H1162" s="6">
        <v>103.04</v>
      </c>
      <c r="I1162" s="6">
        <v>3.15</v>
      </c>
      <c r="J1162" s="6">
        <v>99.89</v>
      </c>
      <c r="K1162" s="5">
        <v>388</v>
      </c>
      <c r="L1162" s="13" t="str">
        <f t="shared" si="36"/>
        <v>Discount Applied</v>
      </c>
      <c r="M1162" s="13" t="str">
        <f t="shared" si="37"/>
        <v>Platinum</v>
      </c>
      <c r="N1162" s="13"/>
    </row>
    <row r="1163" spans="1:14" x14ac:dyDescent="0.3">
      <c r="A1163" s="3">
        <v>2996</v>
      </c>
      <c r="B1163" s="3" t="s">
        <v>14</v>
      </c>
      <c r="C1163" s="4">
        <v>45710</v>
      </c>
      <c r="D1163" s="3" t="s">
        <v>34</v>
      </c>
      <c r="E1163" s="3" t="s">
        <v>13</v>
      </c>
      <c r="F1163" s="5">
        <v>4</v>
      </c>
      <c r="G1163" s="6">
        <v>14.44</v>
      </c>
      <c r="H1163" s="6">
        <v>57.76</v>
      </c>
      <c r="I1163" s="6">
        <v>5.78</v>
      </c>
      <c r="J1163" s="6">
        <v>51.98</v>
      </c>
      <c r="K1163" s="5">
        <v>232</v>
      </c>
      <c r="L1163" s="13" t="str">
        <f t="shared" si="36"/>
        <v>Discount Applied</v>
      </c>
      <c r="M1163" s="13" t="str">
        <f t="shared" si="37"/>
        <v>Gold</v>
      </c>
      <c r="N1163" s="13"/>
    </row>
    <row r="1164" spans="1:14" x14ac:dyDescent="0.3">
      <c r="A1164" s="3">
        <v>9899</v>
      </c>
      <c r="B1164" s="3" t="s">
        <v>14</v>
      </c>
      <c r="C1164" s="4">
        <v>45738</v>
      </c>
      <c r="D1164" s="3" t="s">
        <v>28</v>
      </c>
      <c r="E1164" s="3" t="s">
        <v>47</v>
      </c>
      <c r="F1164" s="5">
        <v>1</v>
      </c>
      <c r="G1164" s="6">
        <v>10.65</v>
      </c>
      <c r="H1164" s="6">
        <v>10.65</v>
      </c>
      <c r="I1164" s="6">
        <v>2.13</v>
      </c>
      <c r="J1164" s="6">
        <v>8.52</v>
      </c>
      <c r="K1164" s="5">
        <v>366</v>
      </c>
      <c r="L1164" s="13" t="str">
        <f t="shared" si="36"/>
        <v>Discount Applied</v>
      </c>
      <c r="M1164" s="13" t="str">
        <f t="shared" si="37"/>
        <v>Bronze</v>
      </c>
      <c r="N1164" s="13"/>
    </row>
    <row r="1165" spans="1:14" x14ac:dyDescent="0.3">
      <c r="A1165" s="3">
        <v>3399</v>
      </c>
      <c r="B1165" s="3" t="s">
        <v>19</v>
      </c>
      <c r="C1165" s="4">
        <v>45429</v>
      </c>
      <c r="D1165" s="3" t="s">
        <v>17</v>
      </c>
      <c r="E1165" s="3" t="s">
        <v>39</v>
      </c>
      <c r="F1165" s="5">
        <v>1</v>
      </c>
      <c r="G1165" s="6">
        <v>25.98</v>
      </c>
      <c r="H1165" s="6">
        <v>25.98</v>
      </c>
      <c r="I1165" s="6">
        <v>2.6</v>
      </c>
      <c r="J1165" s="6">
        <v>23.38</v>
      </c>
      <c r="K1165" s="5">
        <v>373</v>
      </c>
      <c r="L1165" s="13" t="str">
        <f t="shared" si="36"/>
        <v>Discount Applied</v>
      </c>
      <c r="M1165" s="13" t="str">
        <f t="shared" si="37"/>
        <v>Silver</v>
      </c>
      <c r="N1165" s="13"/>
    </row>
    <row r="1166" spans="1:14" x14ac:dyDescent="0.3">
      <c r="A1166" s="3">
        <v>1689</v>
      </c>
      <c r="B1166" s="3" t="s">
        <v>24</v>
      </c>
      <c r="C1166" s="4">
        <v>45456</v>
      </c>
      <c r="D1166" s="3" t="s">
        <v>20</v>
      </c>
      <c r="E1166" s="3" t="s">
        <v>32</v>
      </c>
      <c r="F1166" s="5">
        <v>3</v>
      </c>
      <c r="G1166" s="6">
        <v>12.13</v>
      </c>
      <c r="H1166" s="6">
        <v>36.39</v>
      </c>
      <c r="I1166" s="6">
        <v>3.64</v>
      </c>
      <c r="J1166" s="6">
        <v>32.75</v>
      </c>
      <c r="K1166" s="5">
        <v>157</v>
      </c>
      <c r="L1166" s="13" t="str">
        <f t="shared" si="36"/>
        <v>Discount Applied</v>
      </c>
      <c r="M1166" s="13" t="str">
        <f t="shared" si="37"/>
        <v>Silver</v>
      </c>
      <c r="N1166" s="13"/>
    </row>
    <row r="1167" spans="1:14" x14ac:dyDescent="0.3">
      <c r="A1167" s="3">
        <v>2294</v>
      </c>
      <c r="B1167" s="3" t="s">
        <v>31</v>
      </c>
      <c r="C1167" s="4">
        <v>45587</v>
      </c>
      <c r="D1167" s="3" t="s">
        <v>15</v>
      </c>
      <c r="E1167" s="3" t="s">
        <v>32</v>
      </c>
      <c r="F1167" s="5">
        <v>5</v>
      </c>
      <c r="G1167" s="6">
        <v>5.7</v>
      </c>
      <c r="H1167" s="6">
        <v>28.5</v>
      </c>
      <c r="I1167" s="6">
        <v>4.2699999999999996</v>
      </c>
      <c r="J1167" s="6">
        <v>24.23</v>
      </c>
      <c r="K1167" s="5">
        <v>390</v>
      </c>
      <c r="L1167" s="13" t="str">
        <f t="shared" si="36"/>
        <v>Discount Applied</v>
      </c>
      <c r="M1167" s="13" t="str">
        <f t="shared" si="37"/>
        <v>Silver</v>
      </c>
      <c r="N1167" s="13"/>
    </row>
    <row r="1168" spans="1:14" x14ac:dyDescent="0.3">
      <c r="A1168" s="3">
        <v>8247</v>
      </c>
      <c r="B1168" s="3" t="s">
        <v>36</v>
      </c>
      <c r="C1168" s="4">
        <v>45426</v>
      </c>
      <c r="D1168" s="3" t="s">
        <v>38</v>
      </c>
      <c r="E1168" s="3" t="s">
        <v>47</v>
      </c>
      <c r="F1168" s="5">
        <v>3</v>
      </c>
      <c r="G1168" s="6">
        <v>21.19</v>
      </c>
      <c r="H1168" s="6">
        <v>63.57</v>
      </c>
      <c r="I1168" s="6">
        <v>6.36</v>
      </c>
      <c r="J1168" s="6">
        <v>57.21</v>
      </c>
      <c r="K1168" s="5">
        <v>333</v>
      </c>
      <c r="L1168" s="13" t="str">
        <f t="shared" si="36"/>
        <v>Discount Applied</v>
      </c>
      <c r="M1168" s="13" t="str">
        <f t="shared" si="37"/>
        <v>Gold</v>
      </c>
      <c r="N1168" s="13"/>
    </row>
    <row r="1169" spans="1:14" x14ac:dyDescent="0.3">
      <c r="A1169" s="3">
        <v>5201</v>
      </c>
      <c r="B1169" s="3" t="s">
        <v>42</v>
      </c>
      <c r="C1169" s="4">
        <v>45202</v>
      </c>
      <c r="D1169" s="3" t="s">
        <v>17</v>
      </c>
      <c r="E1169" s="3" t="s">
        <v>47</v>
      </c>
      <c r="F1169" s="5">
        <v>1</v>
      </c>
      <c r="G1169" s="6">
        <v>27.71</v>
      </c>
      <c r="H1169" s="6">
        <v>27.71</v>
      </c>
      <c r="I1169" s="6">
        <v>0</v>
      </c>
      <c r="J1169" s="6">
        <v>27.71</v>
      </c>
      <c r="K1169" s="5">
        <v>185</v>
      </c>
      <c r="L1169" s="13" t="str">
        <f t="shared" si="36"/>
        <v>No Discount</v>
      </c>
      <c r="M1169" s="13" t="str">
        <f t="shared" si="37"/>
        <v>Silver</v>
      </c>
      <c r="N1169" s="13"/>
    </row>
    <row r="1170" spans="1:14" x14ac:dyDescent="0.3">
      <c r="A1170" s="3">
        <v>8849</v>
      </c>
      <c r="B1170" s="3" t="s">
        <v>19</v>
      </c>
      <c r="C1170" s="4">
        <v>45536</v>
      </c>
      <c r="D1170" s="3" t="s">
        <v>35</v>
      </c>
      <c r="E1170" s="3" t="s">
        <v>33</v>
      </c>
      <c r="F1170" s="5">
        <v>2</v>
      </c>
      <c r="G1170" s="6">
        <v>8.36</v>
      </c>
      <c r="H1170" s="6">
        <v>16.72</v>
      </c>
      <c r="I1170" s="6">
        <v>1.47</v>
      </c>
      <c r="J1170" s="6">
        <v>15.25</v>
      </c>
      <c r="K1170" s="5">
        <v>308</v>
      </c>
      <c r="L1170" s="13" t="str">
        <f t="shared" si="36"/>
        <v>Discount Applied</v>
      </c>
      <c r="M1170" s="13" t="str">
        <f t="shared" si="37"/>
        <v>Bronze</v>
      </c>
      <c r="N1170" s="13"/>
    </row>
    <row r="1171" spans="1:14" x14ac:dyDescent="0.3">
      <c r="A1171" s="3">
        <v>4310</v>
      </c>
      <c r="B1171" s="3" t="s">
        <v>11</v>
      </c>
      <c r="C1171" s="4">
        <v>45738</v>
      </c>
      <c r="D1171" s="3" t="s">
        <v>27</v>
      </c>
      <c r="E1171" s="3" t="s">
        <v>32</v>
      </c>
      <c r="F1171" s="5">
        <v>4</v>
      </c>
      <c r="G1171" s="6">
        <v>21.47</v>
      </c>
      <c r="H1171" s="6">
        <v>85.88</v>
      </c>
      <c r="I1171" s="6">
        <v>4.6399999999999997</v>
      </c>
      <c r="J1171" s="6">
        <v>81.239999999999995</v>
      </c>
      <c r="K1171" s="5">
        <v>498</v>
      </c>
      <c r="L1171" s="13" t="str">
        <f t="shared" si="36"/>
        <v>Discount Applied</v>
      </c>
      <c r="M1171" s="13" t="str">
        <f t="shared" si="37"/>
        <v>Platinum</v>
      </c>
      <c r="N1171" s="13"/>
    </row>
    <row r="1172" spans="1:14" x14ac:dyDescent="0.3">
      <c r="A1172" s="3">
        <v>5450</v>
      </c>
      <c r="B1172" s="3" t="s">
        <v>24</v>
      </c>
      <c r="C1172" s="4">
        <v>45786</v>
      </c>
      <c r="D1172" s="3" t="s">
        <v>34</v>
      </c>
      <c r="E1172" s="3" t="s">
        <v>16</v>
      </c>
      <c r="F1172" s="5">
        <v>3</v>
      </c>
      <c r="G1172" s="6">
        <v>21.05</v>
      </c>
      <c r="H1172" s="6">
        <v>63.15</v>
      </c>
      <c r="I1172" s="6">
        <v>2.23</v>
      </c>
      <c r="J1172" s="6">
        <v>60.92</v>
      </c>
      <c r="K1172" s="5">
        <v>256</v>
      </c>
      <c r="L1172" s="13" t="str">
        <f t="shared" si="36"/>
        <v>Discount Applied</v>
      </c>
      <c r="M1172" s="13" t="str">
        <f t="shared" si="37"/>
        <v>Gold</v>
      </c>
      <c r="N1172" s="13"/>
    </row>
    <row r="1173" spans="1:14" x14ac:dyDescent="0.3">
      <c r="A1173" s="3">
        <v>2789</v>
      </c>
      <c r="B1173" s="3" t="s">
        <v>24</v>
      </c>
      <c r="C1173" s="4">
        <v>45244</v>
      </c>
      <c r="D1173" s="3" t="s">
        <v>15</v>
      </c>
      <c r="E1173" s="3" t="s">
        <v>48</v>
      </c>
      <c r="F1173" s="5">
        <v>5</v>
      </c>
      <c r="G1173" s="6">
        <v>23.51</v>
      </c>
      <c r="H1173" s="6">
        <v>117.55</v>
      </c>
      <c r="I1173" s="6">
        <v>17.63</v>
      </c>
      <c r="J1173" s="6">
        <v>99.92</v>
      </c>
      <c r="K1173" s="5">
        <v>176</v>
      </c>
      <c r="L1173" s="13" t="str">
        <f t="shared" si="36"/>
        <v>Discount Applied</v>
      </c>
      <c r="M1173" s="13" t="str">
        <f t="shared" si="37"/>
        <v>Platinum</v>
      </c>
      <c r="N1173" s="13"/>
    </row>
    <row r="1174" spans="1:14" x14ac:dyDescent="0.3">
      <c r="A1174" s="3">
        <v>1831</v>
      </c>
      <c r="B1174" s="3" t="s">
        <v>42</v>
      </c>
      <c r="C1174" s="4">
        <v>45450</v>
      </c>
      <c r="D1174" s="3" t="s">
        <v>20</v>
      </c>
      <c r="E1174" s="3" t="s">
        <v>37</v>
      </c>
      <c r="F1174" s="5">
        <v>1</v>
      </c>
      <c r="G1174" s="6">
        <v>29.61</v>
      </c>
      <c r="H1174" s="6">
        <v>29.61</v>
      </c>
      <c r="I1174" s="6">
        <v>1.39</v>
      </c>
      <c r="J1174" s="6">
        <v>28.22</v>
      </c>
      <c r="K1174" s="5">
        <v>417</v>
      </c>
      <c r="L1174" s="13" t="str">
        <f t="shared" si="36"/>
        <v>Discount Applied</v>
      </c>
      <c r="M1174" s="13" t="str">
        <f t="shared" si="37"/>
        <v>Silver</v>
      </c>
      <c r="N1174" s="13"/>
    </row>
    <row r="1175" spans="1:14" x14ac:dyDescent="0.3">
      <c r="A1175" s="3">
        <v>9700</v>
      </c>
      <c r="B1175" s="3" t="s">
        <v>24</v>
      </c>
      <c r="C1175" s="4">
        <v>45762</v>
      </c>
      <c r="D1175" s="3" t="s">
        <v>38</v>
      </c>
      <c r="E1175" s="3" t="s">
        <v>16</v>
      </c>
      <c r="F1175" s="5">
        <v>3</v>
      </c>
      <c r="G1175" s="6">
        <v>22.25</v>
      </c>
      <c r="H1175" s="6">
        <v>66.75</v>
      </c>
      <c r="I1175" s="6">
        <v>10.01</v>
      </c>
      <c r="J1175" s="6">
        <v>56.74</v>
      </c>
      <c r="K1175" s="5">
        <v>87</v>
      </c>
      <c r="L1175" s="13" t="str">
        <f t="shared" si="36"/>
        <v>Discount Applied</v>
      </c>
      <c r="M1175" s="13" t="str">
        <f t="shared" si="37"/>
        <v>Gold</v>
      </c>
      <c r="N1175" s="13"/>
    </row>
    <row r="1176" spans="1:14" x14ac:dyDescent="0.3">
      <c r="A1176" s="3">
        <v>2641</v>
      </c>
      <c r="B1176" s="3" t="s">
        <v>19</v>
      </c>
      <c r="C1176" s="4">
        <v>45578</v>
      </c>
      <c r="D1176" s="3" t="s">
        <v>34</v>
      </c>
      <c r="E1176" s="3" t="s">
        <v>44</v>
      </c>
      <c r="F1176" s="5">
        <v>4</v>
      </c>
      <c r="G1176" s="6">
        <v>6.27</v>
      </c>
      <c r="H1176" s="6">
        <v>25.08</v>
      </c>
      <c r="I1176" s="6">
        <v>2.5099999999999998</v>
      </c>
      <c r="J1176" s="6">
        <v>22.57</v>
      </c>
      <c r="K1176" s="5">
        <v>485</v>
      </c>
      <c r="L1176" s="13" t="str">
        <f t="shared" si="36"/>
        <v>Discount Applied</v>
      </c>
      <c r="M1176" s="13" t="str">
        <f t="shared" si="37"/>
        <v>Silver</v>
      </c>
      <c r="N1176" s="13"/>
    </row>
    <row r="1177" spans="1:14" x14ac:dyDescent="0.3">
      <c r="A1177" s="3">
        <v>6411</v>
      </c>
      <c r="B1177" s="3" t="s">
        <v>42</v>
      </c>
      <c r="C1177" s="4">
        <v>45731</v>
      </c>
      <c r="D1177" s="3" t="s">
        <v>34</v>
      </c>
      <c r="E1177" s="3" t="s">
        <v>44</v>
      </c>
      <c r="F1177" s="5">
        <v>1</v>
      </c>
      <c r="G1177" s="6">
        <v>22.74</v>
      </c>
      <c r="H1177" s="6">
        <v>22.74</v>
      </c>
      <c r="I1177" s="6">
        <v>3.41</v>
      </c>
      <c r="J1177" s="6">
        <v>19.329999999999998</v>
      </c>
      <c r="K1177" s="5">
        <v>414</v>
      </c>
      <c r="L1177" s="13" t="str">
        <f t="shared" si="36"/>
        <v>Discount Applied</v>
      </c>
      <c r="M1177" s="13" t="str">
        <f t="shared" si="37"/>
        <v>Bronze</v>
      </c>
      <c r="N1177" s="13"/>
    </row>
    <row r="1178" spans="1:14" x14ac:dyDescent="0.3">
      <c r="A1178" s="3">
        <v>8739</v>
      </c>
      <c r="B1178" s="3" t="s">
        <v>24</v>
      </c>
      <c r="C1178" s="4">
        <v>45299</v>
      </c>
      <c r="D1178" s="3" t="s">
        <v>45</v>
      </c>
      <c r="E1178" s="3" t="s">
        <v>48</v>
      </c>
      <c r="F1178" s="5">
        <v>2</v>
      </c>
      <c r="G1178" s="6">
        <v>3.3</v>
      </c>
      <c r="H1178" s="6">
        <v>6.6</v>
      </c>
      <c r="I1178" s="6">
        <v>2.11</v>
      </c>
      <c r="J1178" s="6">
        <v>4.49</v>
      </c>
      <c r="K1178" s="5">
        <v>43</v>
      </c>
      <c r="L1178" s="13" t="str">
        <f t="shared" si="36"/>
        <v>Discount Applied</v>
      </c>
      <c r="M1178" s="13" t="str">
        <f t="shared" si="37"/>
        <v>Bronze</v>
      </c>
      <c r="N1178" s="13"/>
    </row>
    <row r="1179" spans="1:14" x14ac:dyDescent="0.3">
      <c r="A1179" s="3">
        <v>3252</v>
      </c>
      <c r="B1179" s="3" t="s">
        <v>36</v>
      </c>
      <c r="C1179" s="4">
        <v>45456</v>
      </c>
      <c r="D1179" s="3" t="s">
        <v>12</v>
      </c>
      <c r="E1179" s="3" t="s">
        <v>25</v>
      </c>
      <c r="F1179" s="5">
        <v>4</v>
      </c>
      <c r="G1179" s="6">
        <v>15.06</v>
      </c>
      <c r="H1179" s="6">
        <v>60.24</v>
      </c>
      <c r="I1179" s="6">
        <v>1.24</v>
      </c>
      <c r="J1179" s="6">
        <v>59</v>
      </c>
      <c r="K1179" s="5">
        <v>389</v>
      </c>
      <c r="L1179" s="13" t="str">
        <f t="shared" si="36"/>
        <v>Discount Applied</v>
      </c>
      <c r="M1179" s="13" t="str">
        <f t="shared" si="37"/>
        <v>Gold</v>
      </c>
      <c r="N1179" s="13"/>
    </row>
    <row r="1180" spans="1:14" x14ac:dyDescent="0.3">
      <c r="A1180" s="3">
        <v>3587</v>
      </c>
      <c r="B1180" s="3" t="s">
        <v>31</v>
      </c>
      <c r="C1180" s="4">
        <v>45176</v>
      </c>
      <c r="D1180" s="3" t="s">
        <v>27</v>
      </c>
      <c r="E1180" s="3" t="s">
        <v>40</v>
      </c>
      <c r="F1180" s="5">
        <v>1</v>
      </c>
      <c r="G1180" s="6">
        <v>7.11</v>
      </c>
      <c r="H1180" s="6">
        <v>7.11</v>
      </c>
      <c r="I1180" s="6">
        <v>0.71</v>
      </c>
      <c r="J1180" s="6">
        <v>6.4</v>
      </c>
      <c r="K1180" s="5">
        <v>405</v>
      </c>
      <c r="L1180" s="13" t="str">
        <f t="shared" si="36"/>
        <v>Discount Applied</v>
      </c>
      <c r="M1180" s="13" t="str">
        <f t="shared" si="37"/>
        <v>Bronze</v>
      </c>
      <c r="N1180" s="13"/>
    </row>
    <row r="1181" spans="1:14" x14ac:dyDescent="0.3">
      <c r="A1181" s="3">
        <v>8793</v>
      </c>
      <c r="B1181" s="3" t="s">
        <v>14</v>
      </c>
      <c r="C1181" s="4">
        <v>45175</v>
      </c>
      <c r="D1181" s="3" t="s">
        <v>35</v>
      </c>
      <c r="E1181" s="3" t="s">
        <v>47</v>
      </c>
      <c r="F1181" s="5">
        <v>4</v>
      </c>
      <c r="G1181" s="6">
        <v>22.94</v>
      </c>
      <c r="H1181" s="6">
        <v>91.76</v>
      </c>
      <c r="I1181" s="6">
        <v>13.76</v>
      </c>
      <c r="J1181" s="6">
        <v>78</v>
      </c>
      <c r="K1181" s="5">
        <v>309</v>
      </c>
      <c r="L1181" s="13" t="str">
        <f t="shared" si="36"/>
        <v>Discount Applied</v>
      </c>
      <c r="M1181" s="13" t="str">
        <f t="shared" si="37"/>
        <v>Platinum</v>
      </c>
      <c r="N1181" s="13"/>
    </row>
    <row r="1182" spans="1:14" x14ac:dyDescent="0.3">
      <c r="A1182" s="3">
        <v>4267</v>
      </c>
      <c r="B1182" s="3" t="s">
        <v>36</v>
      </c>
      <c r="C1182" s="4">
        <v>45699</v>
      </c>
      <c r="D1182" s="3" t="s">
        <v>27</v>
      </c>
      <c r="E1182" s="3" t="s">
        <v>21</v>
      </c>
      <c r="F1182" s="5">
        <v>3</v>
      </c>
      <c r="G1182" s="6">
        <v>24.68</v>
      </c>
      <c r="H1182" s="6">
        <v>74.040000000000006</v>
      </c>
      <c r="I1182" s="6">
        <v>0</v>
      </c>
      <c r="J1182" s="6">
        <v>74.040000000000006</v>
      </c>
      <c r="K1182" s="5">
        <v>481</v>
      </c>
      <c r="L1182" s="13" t="str">
        <f t="shared" si="36"/>
        <v>No Discount</v>
      </c>
      <c r="M1182" s="13" t="str">
        <f t="shared" si="37"/>
        <v>Platinum</v>
      </c>
      <c r="N1182" s="13"/>
    </row>
    <row r="1183" spans="1:14" x14ac:dyDescent="0.3">
      <c r="A1183" s="3">
        <v>5706</v>
      </c>
      <c r="B1183" s="3" t="s">
        <v>24</v>
      </c>
      <c r="C1183" s="4">
        <v>45769</v>
      </c>
      <c r="D1183" s="3" t="s">
        <v>20</v>
      </c>
      <c r="E1183" s="3" t="s">
        <v>40</v>
      </c>
      <c r="F1183" s="5">
        <v>3</v>
      </c>
      <c r="G1183" s="6">
        <v>26.31</v>
      </c>
      <c r="H1183" s="6">
        <v>78.930000000000007</v>
      </c>
      <c r="I1183" s="6">
        <v>2.83</v>
      </c>
      <c r="J1183" s="6">
        <v>76.099999999999994</v>
      </c>
      <c r="K1183" s="5">
        <v>412</v>
      </c>
      <c r="L1183" s="13" t="str">
        <f t="shared" si="36"/>
        <v>Discount Applied</v>
      </c>
      <c r="M1183" s="13" t="str">
        <f t="shared" si="37"/>
        <v>Platinum</v>
      </c>
      <c r="N1183" s="13"/>
    </row>
    <row r="1184" spans="1:14" x14ac:dyDescent="0.3">
      <c r="A1184" s="3">
        <v>5676</v>
      </c>
      <c r="B1184" s="3" t="s">
        <v>24</v>
      </c>
      <c r="C1184" s="4">
        <v>45548</v>
      </c>
      <c r="D1184" s="3" t="s">
        <v>34</v>
      </c>
      <c r="E1184" s="3" t="s">
        <v>39</v>
      </c>
      <c r="F1184" s="5">
        <v>5</v>
      </c>
      <c r="G1184" s="6">
        <v>4.55</v>
      </c>
      <c r="H1184" s="6">
        <v>22.75</v>
      </c>
      <c r="I1184" s="6">
        <v>0</v>
      </c>
      <c r="J1184" s="6">
        <v>22.75</v>
      </c>
      <c r="K1184" s="5">
        <v>271</v>
      </c>
      <c r="L1184" s="13" t="str">
        <f t="shared" si="36"/>
        <v>No Discount</v>
      </c>
      <c r="M1184" s="13" t="str">
        <f t="shared" si="37"/>
        <v>Silver</v>
      </c>
      <c r="N1184" s="13"/>
    </row>
    <row r="1185" spans="1:14" x14ac:dyDescent="0.3">
      <c r="A1185" s="3">
        <v>1969</v>
      </c>
      <c r="B1185" s="3" t="s">
        <v>42</v>
      </c>
      <c r="C1185" s="4">
        <v>45260</v>
      </c>
      <c r="D1185" s="3" t="s">
        <v>22</v>
      </c>
      <c r="E1185" s="3" t="s">
        <v>33</v>
      </c>
      <c r="F1185" s="5">
        <v>5</v>
      </c>
      <c r="G1185" s="6">
        <v>20.89</v>
      </c>
      <c r="H1185" s="6">
        <v>104.45</v>
      </c>
      <c r="I1185" s="6">
        <v>2.65</v>
      </c>
      <c r="J1185" s="6">
        <v>101.8</v>
      </c>
      <c r="K1185" s="5">
        <v>445</v>
      </c>
      <c r="L1185" s="13" t="str">
        <f t="shared" si="36"/>
        <v>Discount Applied</v>
      </c>
      <c r="M1185" s="13" t="str">
        <f t="shared" si="37"/>
        <v>Platinum</v>
      </c>
      <c r="N1185" s="13"/>
    </row>
    <row r="1186" spans="1:14" x14ac:dyDescent="0.3">
      <c r="A1186" s="3">
        <v>2465</v>
      </c>
      <c r="B1186" s="3" t="s">
        <v>42</v>
      </c>
      <c r="C1186" s="4">
        <v>45253</v>
      </c>
      <c r="D1186" s="3" t="s">
        <v>12</v>
      </c>
      <c r="E1186" s="3" t="s">
        <v>21</v>
      </c>
      <c r="F1186" s="5">
        <v>1</v>
      </c>
      <c r="G1186" s="6">
        <v>19.37</v>
      </c>
      <c r="H1186" s="6">
        <v>19.37</v>
      </c>
      <c r="I1186" s="6">
        <v>0</v>
      </c>
      <c r="J1186" s="6">
        <v>19.37</v>
      </c>
      <c r="K1186" s="5">
        <v>447</v>
      </c>
      <c r="L1186" s="13" t="str">
        <f t="shared" si="36"/>
        <v>No Discount</v>
      </c>
      <c r="M1186" s="13" t="str">
        <f t="shared" si="37"/>
        <v>Bronze</v>
      </c>
      <c r="N1186" s="13"/>
    </row>
    <row r="1187" spans="1:14" x14ac:dyDescent="0.3">
      <c r="A1187" s="3">
        <v>4804</v>
      </c>
      <c r="B1187" s="3" t="s">
        <v>36</v>
      </c>
      <c r="C1187" s="4">
        <v>45868</v>
      </c>
      <c r="D1187" s="3" t="s">
        <v>27</v>
      </c>
      <c r="E1187" s="3" t="s">
        <v>33</v>
      </c>
      <c r="F1187" s="5">
        <v>2</v>
      </c>
      <c r="G1187" s="6">
        <v>18.59</v>
      </c>
      <c r="H1187" s="6">
        <v>37.18</v>
      </c>
      <c r="I1187" s="6">
        <v>5.58</v>
      </c>
      <c r="J1187" s="6">
        <v>31.6</v>
      </c>
      <c r="K1187" s="5">
        <v>204</v>
      </c>
      <c r="L1187" s="13" t="str">
        <f t="shared" si="36"/>
        <v>Discount Applied</v>
      </c>
      <c r="M1187" s="13" t="str">
        <f t="shared" si="37"/>
        <v>Silver</v>
      </c>
      <c r="N1187" s="13"/>
    </row>
    <row r="1188" spans="1:14" x14ac:dyDescent="0.3">
      <c r="A1188" s="3">
        <v>1611</v>
      </c>
      <c r="B1188" s="3" t="s">
        <v>24</v>
      </c>
      <c r="C1188" s="4">
        <v>45271</v>
      </c>
      <c r="D1188" s="3" t="s">
        <v>45</v>
      </c>
      <c r="E1188" s="3" t="s">
        <v>48</v>
      </c>
      <c r="F1188" s="5">
        <v>4</v>
      </c>
      <c r="G1188" s="6">
        <v>9.51</v>
      </c>
      <c r="H1188" s="6">
        <v>38.04</v>
      </c>
      <c r="I1188" s="6">
        <v>4.5</v>
      </c>
      <c r="J1188" s="6">
        <v>33.54</v>
      </c>
      <c r="K1188" s="5">
        <v>99</v>
      </c>
      <c r="L1188" s="13" t="str">
        <f t="shared" si="36"/>
        <v>Discount Applied</v>
      </c>
      <c r="M1188" s="13" t="str">
        <f t="shared" si="37"/>
        <v>Silver</v>
      </c>
      <c r="N1188" s="13"/>
    </row>
    <row r="1189" spans="1:14" x14ac:dyDescent="0.3">
      <c r="A1189" s="3">
        <v>3880</v>
      </c>
      <c r="B1189" s="3" t="s">
        <v>14</v>
      </c>
      <c r="C1189" s="4">
        <v>45623</v>
      </c>
      <c r="D1189" s="3" t="s">
        <v>12</v>
      </c>
      <c r="E1189" s="3" t="s">
        <v>41</v>
      </c>
      <c r="F1189" s="5">
        <v>4</v>
      </c>
      <c r="G1189" s="6">
        <v>24.1</v>
      </c>
      <c r="H1189" s="6">
        <v>96.4</v>
      </c>
      <c r="I1189" s="6">
        <v>19.28</v>
      </c>
      <c r="J1189" s="6">
        <v>77.12</v>
      </c>
      <c r="K1189" s="5">
        <v>154</v>
      </c>
      <c r="L1189" s="13" t="str">
        <f t="shared" si="36"/>
        <v>Discount Applied</v>
      </c>
      <c r="M1189" s="13" t="str">
        <f t="shared" si="37"/>
        <v>Platinum</v>
      </c>
      <c r="N1189" s="13"/>
    </row>
    <row r="1190" spans="1:14" x14ac:dyDescent="0.3">
      <c r="A1190" s="3">
        <v>1595</v>
      </c>
      <c r="B1190" s="3" t="s">
        <v>26</v>
      </c>
      <c r="C1190" s="4">
        <v>45606</v>
      </c>
      <c r="D1190" s="3" t="s">
        <v>15</v>
      </c>
      <c r="E1190" s="3" t="s">
        <v>47</v>
      </c>
      <c r="F1190" s="5">
        <v>5</v>
      </c>
      <c r="G1190" s="6">
        <v>7.98</v>
      </c>
      <c r="H1190" s="6">
        <v>39.9</v>
      </c>
      <c r="I1190" s="6">
        <v>0</v>
      </c>
      <c r="J1190" s="6">
        <v>39.9</v>
      </c>
      <c r="K1190" s="5">
        <v>108</v>
      </c>
      <c r="L1190" s="13" t="str">
        <f t="shared" si="36"/>
        <v>No Discount</v>
      </c>
      <c r="M1190" s="13" t="str">
        <f t="shared" si="37"/>
        <v>Silver</v>
      </c>
      <c r="N1190" s="13"/>
    </row>
    <row r="1191" spans="1:14" x14ac:dyDescent="0.3">
      <c r="A1191" s="3">
        <v>7504</v>
      </c>
      <c r="B1191" s="3" t="s">
        <v>11</v>
      </c>
      <c r="C1191" s="4">
        <v>45539</v>
      </c>
      <c r="D1191" s="3" t="s">
        <v>15</v>
      </c>
      <c r="E1191" s="3" t="s">
        <v>16</v>
      </c>
      <c r="F1191" s="5">
        <v>1</v>
      </c>
      <c r="G1191" s="6">
        <v>5.64</v>
      </c>
      <c r="H1191" s="6">
        <v>5.64</v>
      </c>
      <c r="I1191" s="6">
        <v>0.56000000000000005</v>
      </c>
      <c r="J1191" s="6">
        <v>5.08</v>
      </c>
      <c r="K1191" s="5">
        <v>475</v>
      </c>
      <c r="L1191" s="13" t="str">
        <f t="shared" si="36"/>
        <v>Discount Applied</v>
      </c>
      <c r="M1191" s="13" t="str">
        <f t="shared" si="37"/>
        <v>Bronze</v>
      </c>
      <c r="N1191" s="13"/>
    </row>
    <row r="1192" spans="1:14" x14ac:dyDescent="0.3">
      <c r="A1192" s="3">
        <v>9116</v>
      </c>
      <c r="B1192" s="3" t="s">
        <v>30</v>
      </c>
      <c r="C1192" s="4">
        <v>45558</v>
      </c>
      <c r="D1192" s="3" t="s">
        <v>17</v>
      </c>
      <c r="E1192" s="3" t="s">
        <v>13</v>
      </c>
      <c r="F1192" s="5">
        <v>4</v>
      </c>
      <c r="G1192" s="6">
        <v>28.58</v>
      </c>
      <c r="H1192" s="6">
        <v>114.32</v>
      </c>
      <c r="I1192" s="6">
        <v>0</v>
      </c>
      <c r="J1192" s="6">
        <v>114.32</v>
      </c>
      <c r="K1192" s="5">
        <v>343</v>
      </c>
      <c r="L1192" s="13" t="str">
        <f t="shared" si="36"/>
        <v>No Discount</v>
      </c>
      <c r="M1192" s="13" t="str">
        <f t="shared" si="37"/>
        <v>Platinum</v>
      </c>
      <c r="N1192" s="13"/>
    </row>
    <row r="1193" spans="1:14" x14ac:dyDescent="0.3">
      <c r="A1193" s="3">
        <v>5742</v>
      </c>
      <c r="B1193" s="3" t="s">
        <v>19</v>
      </c>
      <c r="C1193" s="4">
        <v>45695</v>
      </c>
      <c r="D1193" s="3" t="s">
        <v>38</v>
      </c>
      <c r="E1193" s="3" t="s">
        <v>47</v>
      </c>
      <c r="F1193" s="5">
        <v>1</v>
      </c>
      <c r="G1193" s="6">
        <v>24.06</v>
      </c>
      <c r="H1193" s="6">
        <v>24.06</v>
      </c>
      <c r="I1193" s="6">
        <v>4.07</v>
      </c>
      <c r="J1193" s="6">
        <v>19.989999999999998</v>
      </c>
      <c r="K1193" s="5">
        <v>170</v>
      </c>
      <c r="L1193" s="13" t="str">
        <f t="shared" si="36"/>
        <v>Discount Applied</v>
      </c>
      <c r="M1193" s="13" t="str">
        <f t="shared" si="37"/>
        <v>Bronze</v>
      </c>
      <c r="N1193" s="13"/>
    </row>
    <row r="1194" spans="1:14" x14ac:dyDescent="0.3">
      <c r="A1194" s="3">
        <v>1613</v>
      </c>
      <c r="B1194" s="3" t="s">
        <v>11</v>
      </c>
      <c r="C1194" s="4">
        <v>45513</v>
      </c>
      <c r="D1194" s="3" t="s">
        <v>27</v>
      </c>
      <c r="E1194" s="3" t="s">
        <v>21</v>
      </c>
      <c r="F1194" s="5">
        <v>4</v>
      </c>
      <c r="G1194" s="6">
        <v>27.38</v>
      </c>
      <c r="H1194" s="6">
        <v>109.52</v>
      </c>
      <c r="I1194" s="6">
        <v>0</v>
      </c>
      <c r="J1194" s="6">
        <v>109.52</v>
      </c>
      <c r="K1194" s="5">
        <v>380</v>
      </c>
      <c r="L1194" s="13" t="str">
        <f t="shared" si="36"/>
        <v>No Discount</v>
      </c>
      <c r="M1194" s="13" t="str">
        <f t="shared" si="37"/>
        <v>Platinum</v>
      </c>
      <c r="N1194" s="13"/>
    </row>
    <row r="1195" spans="1:14" x14ac:dyDescent="0.3">
      <c r="A1195" s="3">
        <v>5888</v>
      </c>
      <c r="B1195" s="3" t="s">
        <v>14</v>
      </c>
      <c r="C1195" s="4">
        <v>45431</v>
      </c>
      <c r="D1195" s="3" t="s">
        <v>20</v>
      </c>
      <c r="E1195" s="3" t="s">
        <v>25</v>
      </c>
      <c r="F1195" s="5">
        <v>2</v>
      </c>
      <c r="G1195" s="6">
        <v>8.5</v>
      </c>
      <c r="H1195" s="6">
        <v>17</v>
      </c>
      <c r="I1195" s="6">
        <v>1.36</v>
      </c>
      <c r="J1195" s="6">
        <v>15.64</v>
      </c>
      <c r="K1195" s="5">
        <v>148</v>
      </c>
      <c r="L1195" s="13" t="str">
        <f t="shared" si="36"/>
        <v>Discount Applied</v>
      </c>
      <c r="M1195" s="13" t="str">
        <f t="shared" si="37"/>
        <v>Bronze</v>
      </c>
      <c r="N1195" s="13"/>
    </row>
    <row r="1196" spans="1:14" x14ac:dyDescent="0.3">
      <c r="A1196" s="3">
        <v>2758</v>
      </c>
      <c r="B1196" s="3" t="s">
        <v>42</v>
      </c>
      <c r="C1196" s="4">
        <v>45668</v>
      </c>
      <c r="D1196" s="3" t="s">
        <v>15</v>
      </c>
      <c r="E1196" s="3" t="s">
        <v>23</v>
      </c>
      <c r="F1196" s="5">
        <v>2</v>
      </c>
      <c r="G1196" s="6">
        <v>25.74</v>
      </c>
      <c r="H1196" s="6">
        <v>51.48</v>
      </c>
      <c r="I1196" s="6">
        <v>3.95</v>
      </c>
      <c r="J1196" s="6">
        <v>47.53</v>
      </c>
      <c r="K1196" s="5">
        <v>488</v>
      </c>
      <c r="L1196" s="13" t="str">
        <f t="shared" si="36"/>
        <v>Discount Applied</v>
      </c>
      <c r="M1196" s="13" t="str">
        <f t="shared" si="37"/>
        <v>Silver</v>
      </c>
      <c r="N1196" s="13"/>
    </row>
    <row r="1197" spans="1:14" x14ac:dyDescent="0.3">
      <c r="A1197" s="3">
        <v>6489</v>
      </c>
      <c r="B1197" s="3" t="s">
        <v>30</v>
      </c>
      <c r="C1197" s="4">
        <v>45468</v>
      </c>
      <c r="D1197" s="3" t="s">
        <v>12</v>
      </c>
      <c r="E1197" s="3" t="s">
        <v>18</v>
      </c>
      <c r="F1197" s="5">
        <v>2</v>
      </c>
      <c r="G1197" s="6">
        <v>25.56</v>
      </c>
      <c r="H1197" s="6">
        <v>51.12</v>
      </c>
      <c r="I1197" s="6">
        <v>7.67</v>
      </c>
      <c r="J1197" s="6">
        <v>43.45</v>
      </c>
      <c r="K1197" s="5">
        <v>216</v>
      </c>
      <c r="L1197" s="13" t="str">
        <f t="shared" si="36"/>
        <v>Discount Applied</v>
      </c>
      <c r="M1197" s="13" t="str">
        <f t="shared" si="37"/>
        <v>Silver</v>
      </c>
      <c r="N1197" s="13"/>
    </row>
    <row r="1198" spans="1:14" x14ac:dyDescent="0.3">
      <c r="A1198" s="3">
        <v>8444</v>
      </c>
      <c r="B1198" s="3" t="s">
        <v>19</v>
      </c>
      <c r="C1198" s="4">
        <v>45763</v>
      </c>
      <c r="D1198" s="3" t="s">
        <v>38</v>
      </c>
      <c r="E1198" s="3" t="s">
        <v>25</v>
      </c>
      <c r="F1198" s="5">
        <v>1</v>
      </c>
      <c r="G1198" s="6">
        <v>12.45</v>
      </c>
      <c r="H1198" s="6">
        <v>12.45</v>
      </c>
      <c r="I1198" s="6">
        <v>1.87</v>
      </c>
      <c r="J1198" s="6">
        <v>10.58</v>
      </c>
      <c r="K1198" s="5">
        <v>275</v>
      </c>
      <c r="L1198" s="13" t="str">
        <f t="shared" si="36"/>
        <v>Discount Applied</v>
      </c>
      <c r="M1198" s="13" t="str">
        <f t="shared" si="37"/>
        <v>Bronze</v>
      </c>
      <c r="N1198" s="13"/>
    </row>
    <row r="1199" spans="1:14" x14ac:dyDescent="0.3">
      <c r="A1199" s="3">
        <v>9901</v>
      </c>
      <c r="B1199" s="3" t="s">
        <v>19</v>
      </c>
      <c r="C1199" s="4">
        <v>45608</v>
      </c>
      <c r="D1199" s="3" t="s">
        <v>35</v>
      </c>
      <c r="E1199" s="3" t="s">
        <v>25</v>
      </c>
      <c r="F1199" s="5">
        <v>4</v>
      </c>
      <c r="G1199" s="6">
        <v>20.71</v>
      </c>
      <c r="H1199" s="6">
        <v>82.84</v>
      </c>
      <c r="I1199" s="6">
        <v>16.57</v>
      </c>
      <c r="J1199" s="6">
        <v>66.27</v>
      </c>
      <c r="K1199" s="5">
        <v>75</v>
      </c>
      <c r="L1199" s="13" t="str">
        <f t="shared" si="36"/>
        <v>Discount Applied</v>
      </c>
      <c r="M1199" s="13" t="str">
        <f t="shared" si="37"/>
        <v>Gold</v>
      </c>
      <c r="N1199" s="13"/>
    </row>
    <row r="1200" spans="1:14" x14ac:dyDescent="0.3">
      <c r="A1200" s="3">
        <v>9092</v>
      </c>
      <c r="B1200" s="3" t="s">
        <v>31</v>
      </c>
      <c r="C1200" s="4">
        <v>45351</v>
      </c>
      <c r="D1200" s="3" t="s">
        <v>28</v>
      </c>
      <c r="E1200" s="3" t="s">
        <v>21</v>
      </c>
      <c r="F1200" s="5">
        <v>3</v>
      </c>
      <c r="G1200" s="6">
        <v>15.56</v>
      </c>
      <c r="H1200" s="6">
        <v>46.68</v>
      </c>
      <c r="I1200" s="6">
        <v>7</v>
      </c>
      <c r="J1200" s="6">
        <v>39.68</v>
      </c>
      <c r="K1200" s="5">
        <v>352</v>
      </c>
      <c r="L1200" s="13" t="str">
        <f t="shared" si="36"/>
        <v>Discount Applied</v>
      </c>
      <c r="M1200" s="13" t="str">
        <f t="shared" si="37"/>
        <v>Silver</v>
      </c>
      <c r="N1200" s="13"/>
    </row>
    <row r="1201" spans="1:14" x14ac:dyDescent="0.3">
      <c r="A1201" s="3">
        <v>3198</v>
      </c>
      <c r="B1201" s="3" t="s">
        <v>26</v>
      </c>
      <c r="C1201" s="4">
        <v>45705</v>
      </c>
      <c r="D1201" s="3" t="s">
        <v>27</v>
      </c>
      <c r="E1201" s="3" t="s">
        <v>44</v>
      </c>
      <c r="F1201" s="5">
        <v>4</v>
      </c>
      <c r="G1201" s="6">
        <v>9.44</v>
      </c>
      <c r="H1201" s="6">
        <v>37.76</v>
      </c>
      <c r="I1201" s="6">
        <v>4.92</v>
      </c>
      <c r="J1201" s="6">
        <v>32.840000000000003</v>
      </c>
      <c r="K1201" s="5">
        <v>494</v>
      </c>
      <c r="L1201" s="13" t="str">
        <f t="shared" si="36"/>
        <v>Discount Applied</v>
      </c>
      <c r="M1201" s="13" t="str">
        <f t="shared" si="37"/>
        <v>Silver</v>
      </c>
      <c r="N1201" s="13"/>
    </row>
    <row r="1202" spans="1:14" x14ac:dyDescent="0.3">
      <c r="A1202" s="3">
        <v>9261</v>
      </c>
      <c r="B1202" s="3" t="s">
        <v>36</v>
      </c>
      <c r="C1202" s="4">
        <v>45598</v>
      </c>
      <c r="D1202" s="3" t="s">
        <v>34</v>
      </c>
      <c r="E1202" s="3" t="s">
        <v>44</v>
      </c>
      <c r="F1202" s="5">
        <v>2</v>
      </c>
      <c r="G1202" s="6">
        <v>21.3</v>
      </c>
      <c r="H1202" s="6">
        <v>42.6</v>
      </c>
      <c r="I1202" s="6">
        <v>4.26</v>
      </c>
      <c r="J1202" s="6">
        <v>38.340000000000003</v>
      </c>
      <c r="K1202" s="5">
        <v>26</v>
      </c>
      <c r="L1202" s="13" t="str">
        <f t="shared" si="36"/>
        <v>Discount Applied</v>
      </c>
      <c r="M1202" s="13" t="str">
        <f t="shared" si="37"/>
        <v>Silver</v>
      </c>
      <c r="N1202" s="13"/>
    </row>
    <row r="1203" spans="1:14" x14ac:dyDescent="0.3">
      <c r="A1203" s="3">
        <v>5470</v>
      </c>
      <c r="B1203" s="3" t="s">
        <v>24</v>
      </c>
      <c r="C1203" s="4">
        <v>45277</v>
      </c>
      <c r="D1203" s="3" t="s">
        <v>35</v>
      </c>
      <c r="E1203" s="3" t="s">
        <v>29</v>
      </c>
      <c r="F1203" s="5">
        <v>1</v>
      </c>
      <c r="G1203" s="6">
        <v>16.88</v>
      </c>
      <c r="H1203" s="6">
        <v>16.88</v>
      </c>
      <c r="I1203" s="6">
        <v>0</v>
      </c>
      <c r="J1203" s="6">
        <v>16.88</v>
      </c>
      <c r="K1203" s="5">
        <v>172</v>
      </c>
      <c r="L1203" s="13" t="str">
        <f t="shared" si="36"/>
        <v>No Discount</v>
      </c>
      <c r="M1203" s="13" t="str">
        <f t="shared" si="37"/>
        <v>Bronze</v>
      </c>
      <c r="N1203" s="13"/>
    </row>
    <row r="1204" spans="1:14" x14ac:dyDescent="0.3">
      <c r="A1204" s="3">
        <v>2845</v>
      </c>
      <c r="B1204" s="3" t="s">
        <v>26</v>
      </c>
      <c r="C1204" s="4">
        <v>45633</v>
      </c>
      <c r="D1204" s="3" t="s">
        <v>22</v>
      </c>
      <c r="E1204" s="3" t="s">
        <v>32</v>
      </c>
      <c r="F1204" s="5">
        <v>4</v>
      </c>
      <c r="G1204" s="6">
        <v>3.07</v>
      </c>
      <c r="H1204" s="6">
        <v>12.28</v>
      </c>
      <c r="I1204" s="6">
        <v>1.84</v>
      </c>
      <c r="J1204" s="6">
        <v>10.44</v>
      </c>
      <c r="K1204" s="5">
        <v>372</v>
      </c>
      <c r="L1204" s="13" t="str">
        <f t="shared" si="36"/>
        <v>Discount Applied</v>
      </c>
      <c r="M1204" s="13" t="str">
        <f t="shared" si="37"/>
        <v>Bronze</v>
      </c>
      <c r="N1204" s="13"/>
    </row>
    <row r="1205" spans="1:14" x14ac:dyDescent="0.3">
      <c r="A1205" s="3">
        <v>8518</v>
      </c>
      <c r="B1205" s="3" t="s">
        <v>42</v>
      </c>
      <c r="C1205" s="4">
        <v>45259</v>
      </c>
      <c r="D1205" s="3" t="s">
        <v>38</v>
      </c>
      <c r="E1205" s="3" t="s">
        <v>32</v>
      </c>
      <c r="F1205" s="5">
        <v>1</v>
      </c>
      <c r="G1205" s="6">
        <v>4.79</v>
      </c>
      <c r="H1205" s="6">
        <v>4.79</v>
      </c>
      <c r="I1205" s="6">
        <v>0</v>
      </c>
      <c r="J1205" s="6">
        <v>4.79</v>
      </c>
      <c r="K1205" s="5">
        <v>385</v>
      </c>
      <c r="L1205" s="13" t="str">
        <f t="shared" si="36"/>
        <v>No Discount</v>
      </c>
      <c r="M1205" s="13" t="str">
        <f t="shared" si="37"/>
        <v>Bronze</v>
      </c>
      <c r="N1205" s="13"/>
    </row>
    <row r="1206" spans="1:14" x14ac:dyDescent="0.3">
      <c r="A1206" s="3">
        <v>5215</v>
      </c>
      <c r="B1206" s="3" t="s">
        <v>30</v>
      </c>
      <c r="C1206" s="4">
        <v>45169</v>
      </c>
      <c r="D1206" s="3" t="s">
        <v>45</v>
      </c>
      <c r="E1206" s="3" t="s">
        <v>29</v>
      </c>
      <c r="F1206" s="5">
        <v>5</v>
      </c>
      <c r="G1206" s="6">
        <v>4.9800000000000004</v>
      </c>
      <c r="H1206" s="6">
        <v>24.9</v>
      </c>
      <c r="I1206" s="6">
        <v>3.73</v>
      </c>
      <c r="J1206" s="6">
        <v>21.17</v>
      </c>
      <c r="K1206" s="5">
        <v>356</v>
      </c>
      <c r="L1206" s="13" t="str">
        <f t="shared" si="36"/>
        <v>Discount Applied</v>
      </c>
      <c r="M1206" s="13" t="str">
        <f t="shared" si="37"/>
        <v>Silver</v>
      </c>
      <c r="N1206" s="13"/>
    </row>
    <row r="1207" spans="1:14" x14ac:dyDescent="0.3">
      <c r="A1207" s="3">
        <v>4050</v>
      </c>
      <c r="B1207" s="3" t="s">
        <v>19</v>
      </c>
      <c r="C1207" s="4">
        <v>45293</v>
      </c>
      <c r="D1207" s="3" t="s">
        <v>17</v>
      </c>
      <c r="E1207" s="3" t="s">
        <v>44</v>
      </c>
      <c r="F1207" s="5">
        <v>2</v>
      </c>
      <c r="G1207" s="6">
        <v>22.31</v>
      </c>
      <c r="H1207" s="6">
        <v>44.62</v>
      </c>
      <c r="I1207" s="6">
        <v>0</v>
      </c>
      <c r="J1207" s="6">
        <v>44.62</v>
      </c>
      <c r="K1207" s="5">
        <v>4</v>
      </c>
      <c r="L1207" s="13" t="str">
        <f t="shared" si="36"/>
        <v>No Discount</v>
      </c>
      <c r="M1207" s="13" t="str">
        <f t="shared" si="37"/>
        <v>Silver</v>
      </c>
      <c r="N1207" s="13"/>
    </row>
    <row r="1208" spans="1:14" x14ac:dyDescent="0.3">
      <c r="A1208" s="3">
        <v>6523</v>
      </c>
      <c r="B1208" s="3" t="s">
        <v>11</v>
      </c>
      <c r="C1208" s="4">
        <v>45487</v>
      </c>
      <c r="D1208" s="3" t="s">
        <v>27</v>
      </c>
      <c r="E1208" s="3" t="s">
        <v>41</v>
      </c>
      <c r="F1208" s="5">
        <v>4</v>
      </c>
      <c r="G1208" s="6">
        <v>28.55</v>
      </c>
      <c r="H1208" s="6">
        <v>114.2</v>
      </c>
      <c r="I1208" s="6">
        <v>1.38</v>
      </c>
      <c r="J1208" s="6">
        <v>112.82</v>
      </c>
      <c r="K1208" s="5">
        <v>218</v>
      </c>
      <c r="L1208" s="13" t="str">
        <f t="shared" si="36"/>
        <v>Discount Applied</v>
      </c>
      <c r="M1208" s="13" t="str">
        <f t="shared" si="37"/>
        <v>Platinum</v>
      </c>
      <c r="N1208" s="13"/>
    </row>
    <row r="1209" spans="1:14" x14ac:dyDescent="0.3">
      <c r="A1209" s="3">
        <v>5833</v>
      </c>
      <c r="B1209" s="3" t="s">
        <v>26</v>
      </c>
      <c r="C1209" s="4">
        <v>45470</v>
      </c>
      <c r="D1209" s="3" t="s">
        <v>34</v>
      </c>
      <c r="E1209" s="3" t="s">
        <v>40</v>
      </c>
      <c r="F1209" s="5">
        <v>1</v>
      </c>
      <c r="G1209" s="6">
        <v>29.42</v>
      </c>
      <c r="H1209" s="6">
        <v>29.42</v>
      </c>
      <c r="I1209" s="6">
        <v>2.74</v>
      </c>
      <c r="J1209" s="6">
        <v>26.68</v>
      </c>
      <c r="K1209" s="5">
        <v>332</v>
      </c>
      <c r="L1209" s="13" t="str">
        <f t="shared" si="36"/>
        <v>Discount Applied</v>
      </c>
      <c r="M1209" s="13" t="str">
        <f t="shared" si="37"/>
        <v>Silver</v>
      </c>
      <c r="N1209" s="13"/>
    </row>
    <row r="1210" spans="1:14" x14ac:dyDescent="0.3">
      <c r="A1210" s="3">
        <v>7643</v>
      </c>
      <c r="B1210" s="3" t="s">
        <v>19</v>
      </c>
      <c r="C1210" s="4">
        <v>45465</v>
      </c>
      <c r="D1210" s="3" t="s">
        <v>27</v>
      </c>
      <c r="E1210" s="3" t="s">
        <v>32</v>
      </c>
      <c r="F1210" s="5">
        <v>2</v>
      </c>
      <c r="G1210" s="6">
        <v>1.98</v>
      </c>
      <c r="H1210" s="6">
        <v>3.96</v>
      </c>
      <c r="I1210" s="6">
        <v>0.4</v>
      </c>
      <c r="J1210" s="6">
        <v>3.56</v>
      </c>
      <c r="K1210" s="5">
        <v>123</v>
      </c>
      <c r="L1210" s="13" t="str">
        <f t="shared" si="36"/>
        <v>Discount Applied</v>
      </c>
      <c r="M1210" s="13" t="str">
        <f t="shared" si="37"/>
        <v>Bronze</v>
      </c>
      <c r="N1210" s="13"/>
    </row>
    <row r="1211" spans="1:14" x14ac:dyDescent="0.3">
      <c r="A1211" s="3">
        <v>7567</v>
      </c>
      <c r="B1211" s="3" t="s">
        <v>30</v>
      </c>
      <c r="C1211" s="4">
        <v>45463</v>
      </c>
      <c r="D1211" s="3" t="s">
        <v>28</v>
      </c>
      <c r="E1211" s="3" t="s">
        <v>29</v>
      </c>
      <c r="F1211" s="5">
        <v>4</v>
      </c>
      <c r="G1211" s="6">
        <v>23.49</v>
      </c>
      <c r="H1211" s="6">
        <v>93.96</v>
      </c>
      <c r="I1211" s="6">
        <v>9.4</v>
      </c>
      <c r="J1211" s="6">
        <v>84.56</v>
      </c>
      <c r="K1211" s="5">
        <v>407</v>
      </c>
      <c r="L1211" s="13" t="str">
        <f t="shared" si="36"/>
        <v>Discount Applied</v>
      </c>
      <c r="M1211" s="13" t="str">
        <f t="shared" si="37"/>
        <v>Platinum</v>
      </c>
      <c r="N1211" s="13"/>
    </row>
    <row r="1212" spans="1:14" x14ac:dyDescent="0.3">
      <c r="A1212" s="3">
        <v>2562</v>
      </c>
      <c r="B1212" s="3" t="s">
        <v>24</v>
      </c>
      <c r="C1212" s="4">
        <v>45746</v>
      </c>
      <c r="D1212" s="3" t="s">
        <v>35</v>
      </c>
      <c r="E1212" s="3" t="s">
        <v>33</v>
      </c>
      <c r="F1212" s="5">
        <v>3</v>
      </c>
      <c r="G1212" s="6">
        <v>1.33</v>
      </c>
      <c r="H1212" s="6">
        <v>3.99</v>
      </c>
      <c r="I1212" s="6">
        <v>2.96</v>
      </c>
      <c r="J1212" s="6">
        <v>1.03</v>
      </c>
      <c r="K1212" s="5">
        <v>59</v>
      </c>
      <c r="L1212" s="13" t="str">
        <f t="shared" si="36"/>
        <v>Discount Applied</v>
      </c>
      <c r="M1212" s="13" t="str">
        <f t="shared" si="37"/>
        <v>Bronze</v>
      </c>
      <c r="N1212" s="13"/>
    </row>
    <row r="1213" spans="1:14" x14ac:dyDescent="0.3">
      <c r="A1213" s="3">
        <v>3303</v>
      </c>
      <c r="B1213" s="3" t="s">
        <v>14</v>
      </c>
      <c r="C1213" s="4">
        <v>45822</v>
      </c>
      <c r="D1213" s="3" t="s">
        <v>17</v>
      </c>
      <c r="E1213" s="3" t="s">
        <v>39</v>
      </c>
      <c r="F1213" s="5">
        <v>5</v>
      </c>
      <c r="G1213" s="6">
        <v>17.61</v>
      </c>
      <c r="H1213" s="6">
        <v>88.05</v>
      </c>
      <c r="I1213" s="6">
        <v>13.21</v>
      </c>
      <c r="J1213" s="6">
        <v>74.84</v>
      </c>
      <c r="K1213" s="5">
        <v>293</v>
      </c>
      <c r="L1213" s="13" t="str">
        <f t="shared" si="36"/>
        <v>Discount Applied</v>
      </c>
      <c r="M1213" s="13" t="str">
        <f t="shared" si="37"/>
        <v>Platinum</v>
      </c>
      <c r="N1213" s="13"/>
    </row>
    <row r="1214" spans="1:14" x14ac:dyDescent="0.3">
      <c r="A1214" s="3">
        <v>6301</v>
      </c>
      <c r="B1214" s="3" t="s">
        <v>11</v>
      </c>
      <c r="C1214" s="4">
        <v>45693</v>
      </c>
      <c r="D1214" s="3" t="s">
        <v>28</v>
      </c>
      <c r="E1214" s="3" t="s">
        <v>29</v>
      </c>
      <c r="F1214" s="5">
        <v>4</v>
      </c>
      <c r="G1214" s="6">
        <v>15.03</v>
      </c>
      <c r="H1214" s="6">
        <v>60.12</v>
      </c>
      <c r="I1214" s="6">
        <v>9.02</v>
      </c>
      <c r="J1214" s="6">
        <v>51.1</v>
      </c>
      <c r="K1214" s="5">
        <v>330</v>
      </c>
      <c r="L1214" s="13" t="str">
        <f t="shared" si="36"/>
        <v>Discount Applied</v>
      </c>
      <c r="M1214" s="13" t="str">
        <f t="shared" si="37"/>
        <v>Gold</v>
      </c>
      <c r="N1214" s="13"/>
    </row>
    <row r="1215" spans="1:14" x14ac:dyDescent="0.3">
      <c r="A1215" s="3">
        <v>5064</v>
      </c>
      <c r="B1215" s="3" t="s">
        <v>19</v>
      </c>
      <c r="C1215" s="4">
        <v>45547</v>
      </c>
      <c r="D1215" s="3" t="s">
        <v>15</v>
      </c>
      <c r="E1215" s="3" t="s">
        <v>21</v>
      </c>
      <c r="F1215" s="5">
        <v>1</v>
      </c>
      <c r="G1215" s="6">
        <v>21.69</v>
      </c>
      <c r="H1215" s="6">
        <v>21.69</v>
      </c>
      <c r="I1215" s="6">
        <v>2.17</v>
      </c>
      <c r="J1215" s="6">
        <v>19.52</v>
      </c>
      <c r="K1215" s="5">
        <v>441</v>
      </c>
      <c r="L1215" s="13" t="str">
        <f t="shared" si="36"/>
        <v>Discount Applied</v>
      </c>
      <c r="M1215" s="13" t="str">
        <f t="shared" si="37"/>
        <v>Bronze</v>
      </c>
      <c r="N1215" s="13"/>
    </row>
    <row r="1216" spans="1:14" x14ac:dyDescent="0.3">
      <c r="A1216" s="3">
        <v>4858</v>
      </c>
      <c r="B1216" s="3" t="s">
        <v>31</v>
      </c>
      <c r="C1216" s="4">
        <v>45580</v>
      </c>
      <c r="D1216" s="3" t="s">
        <v>20</v>
      </c>
      <c r="E1216" s="3" t="s">
        <v>18</v>
      </c>
      <c r="F1216" s="5">
        <v>5</v>
      </c>
      <c r="G1216" s="6">
        <v>23.71</v>
      </c>
      <c r="H1216" s="6">
        <v>118.55</v>
      </c>
      <c r="I1216" s="6">
        <v>3.08</v>
      </c>
      <c r="J1216" s="6">
        <v>115.47</v>
      </c>
      <c r="K1216" s="5">
        <v>271</v>
      </c>
      <c r="L1216" s="13" t="str">
        <f t="shared" si="36"/>
        <v>Discount Applied</v>
      </c>
      <c r="M1216" s="13" t="str">
        <f t="shared" si="37"/>
        <v>Platinum</v>
      </c>
      <c r="N1216" s="13"/>
    </row>
    <row r="1217" spans="1:14" x14ac:dyDescent="0.3">
      <c r="A1217" s="3">
        <v>5947</v>
      </c>
      <c r="B1217" s="3" t="s">
        <v>14</v>
      </c>
      <c r="C1217" s="4">
        <v>45659</v>
      </c>
      <c r="D1217" s="3" t="s">
        <v>27</v>
      </c>
      <c r="E1217" s="3" t="s">
        <v>48</v>
      </c>
      <c r="F1217" s="5">
        <v>2</v>
      </c>
      <c r="G1217" s="6">
        <v>28.99</v>
      </c>
      <c r="H1217" s="6">
        <v>57.98</v>
      </c>
      <c r="I1217" s="6">
        <v>11.6</v>
      </c>
      <c r="J1217" s="6">
        <v>46.38</v>
      </c>
      <c r="K1217" s="5">
        <v>459</v>
      </c>
      <c r="L1217" s="13" t="str">
        <f t="shared" si="36"/>
        <v>Discount Applied</v>
      </c>
      <c r="M1217" s="13" t="str">
        <f t="shared" si="37"/>
        <v>Silver</v>
      </c>
      <c r="N1217" s="13"/>
    </row>
    <row r="1218" spans="1:14" x14ac:dyDescent="0.3">
      <c r="A1218" s="3">
        <v>1187</v>
      </c>
      <c r="B1218" s="3" t="s">
        <v>19</v>
      </c>
      <c r="C1218" s="4">
        <v>45553</v>
      </c>
      <c r="D1218" s="3" t="s">
        <v>12</v>
      </c>
      <c r="E1218" s="3" t="s">
        <v>18</v>
      </c>
      <c r="F1218" s="5">
        <v>4</v>
      </c>
      <c r="G1218" s="6">
        <v>24.2</v>
      </c>
      <c r="H1218" s="6">
        <v>96.8</v>
      </c>
      <c r="I1218" s="6">
        <v>19.36</v>
      </c>
      <c r="J1218" s="6">
        <v>77.44</v>
      </c>
      <c r="K1218" s="5">
        <v>62</v>
      </c>
      <c r="L1218" s="13" t="str">
        <f t="shared" si="36"/>
        <v>Discount Applied</v>
      </c>
      <c r="M1218" s="13" t="str">
        <f t="shared" si="37"/>
        <v>Platinum</v>
      </c>
      <c r="N1218" s="13"/>
    </row>
    <row r="1219" spans="1:14" x14ac:dyDescent="0.3">
      <c r="A1219" s="3">
        <v>6890</v>
      </c>
      <c r="B1219" s="3" t="s">
        <v>42</v>
      </c>
      <c r="C1219" s="4">
        <v>45388</v>
      </c>
      <c r="D1219" s="3" t="s">
        <v>27</v>
      </c>
      <c r="E1219" s="3" t="s">
        <v>29</v>
      </c>
      <c r="F1219" s="5">
        <v>1</v>
      </c>
      <c r="G1219" s="6">
        <v>17.3</v>
      </c>
      <c r="H1219" s="6">
        <v>17.3</v>
      </c>
      <c r="I1219" s="6">
        <v>4.92</v>
      </c>
      <c r="J1219" s="6">
        <v>12.38</v>
      </c>
      <c r="K1219" s="5">
        <v>435</v>
      </c>
      <c r="L1219" s="13" t="str">
        <f t="shared" ref="L1219:L1282" si="38">IF(I1219&gt;0,"Discount Applied","No Discount")</f>
        <v>Discount Applied</v>
      </c>
      <c r="M1219" s="13" t="str">
        <f t="shared" ref="M1219:M1282" si="39">IF(J1219 &gt;= 70, "Platinum",
   IF(J1219 &gt;= 50, "Gold",
      IF(J1219 &gt;= 20, "Silver", "Bronze")))</f>
        <v>Bronze</v>
      </c>
      <c r="N1219" s="13"/>
    </row>
    <row r="1220" spans="1:14" x14ac:dyDescent="0.3">
      <c r="A1220" s="3">
        <v>4871</v>
      </c>
      <c r="B1220" s="3" t="s">
        <v>14</v>
      </c>
      <c r="C1220" s="4">
        <v>45502</v>
      </c>
      <c r="D1220" s="3" t="s">
        <v>35</v>
      </c>
      <c r="E1220" s="3" t="s">
        <v>23</v>
      </c>
      <c r="F1220" s="5">
        <v>5</v>
      </c>
      <c r="G1220" s="6">
        <v>5.97</v>
      </c>
      <c r="H1220" s="6">
        <v>29.85</v>
      </c>
      <c r="I1220" s="6">
        <v>5.97</v>
      </c>
      <c r="J1220" s="6">
        <v>23.88</v>
      </c>
      <c r="K1220" s="5">
        <v>500</v>
      </c>
      <c r="L1220" s="13" t="str">
        <f t="shared" si="38"/>
        <v>Discount Applied</v>
      </c>
      <c r="M1220" s="13" t="str">
        <f t="shared" si="39"/>
        <v>Silver</v>
      </c>
      <c r="N1220" s="13"/>
    </row>
    <row r="1221" spans="1:14" x14ac:dyDescent="0.3">
      <c r="A1221" s="3">
        <v>2936</v>
      </c>
      <c r="B1221" s="3" t="s">
        <v>30</v>
      </c>
      <c r="C1221" s="4">
        <v>45410</v>
      </c>
      <c r="D1221" s="3" t="s">
        <v>12</v>
      </c>
      <c r="E1221" s="3" t="s">
        <v>46</v>
      </c>
      <c r="F1221" s="5">
        <v>3</v>
      </c>
      <c r="G1221" s="6">
        <v>20.11</v>
      </c>
      <c r="H1221" s="6">
        <v>60.33</v>
      </c>
      <c r="I1221" s="6">
        <v>2.96</v>
      </c>
      <c r="J1221" s="6">
        <v>57.37</v>
      </c>
      <c r="K1221" s="5">
        <v>227</v>
      </c>
      <c r="L1221" s="13" t="str">
        <f t="shared" si="38"/>
        <v>Discount Applied</v>
      </c>
      <c r="M1221" s="13" t="str">
        <f t="shared" si="39"/>
        <v>Gold</v>
      </c>
      <c r="N1221" s="13"/>
    </row>
    <row r="1222" spans="1:14" x14ac:dyDescent="0.3">
      <c r="A1222" s="3">
        <v>6026</v>
      </c>
      <c r="B1222" s="3" t="s">
        <v>36</v>
      </c>
      <c r="C1222" s="4">
        <v>45420</v>
      </c>
      <c r="D1222" s="3" t="s">
        <v>38</v>
      </c>
      <c r="E1222" s="3" t="s">
        <v>23</v>
      </c>
      <c r="F1222" s="5">
        <v>5</v>
      </c>
      <c r="G1222" s="6">
        <v>16.600000000000001</v>
      </c>
      <c r="H1222" s="6">
        <v>83</v>
      </c>
      <c r="I1222" s="6">
        <v>0</v>
      </c>
      <c r="J1222" s="6">
        <v>83</v>
      </c>
      <c r="K1222" s="5">
        <v>107</v>
      </c>
      <c r="L1222" s="13" t="str">
        <f t="shared" si="38"/>
        <v>No Discount</v>
      </c>
      <c r="M1222" s="13" t="str">
        <f t="shared" si="39"/>
        <v>Platinum</v>
      </c>
      <c r="N1222" s="13"/>
    </row>
    <row r="1223" spans="1:14" x14ac:dyDescent="0.3">
      <c r="A1223" s="3">
        <v>7642</v>
      </c>
      <c r="B1223" s="3" t="s">
        <v>31</v>
      </c>
      <c r="C1223" s="4">
        <v>45618</v>
      </c>
      <c r="D1223" s="3" t="s">
        <v>17</v>
      </c>
      <c r="E1223" s="3" t="s">
        <v>40</v>
      </c>
      <c r="F1223" s="5">
        <v>2</v>
      </c>
      <c r="G1223" s="6">
        <v>5.0999999999999996</v>
      </c>
      <c r="H1223" s="6">
        <v>10.199999999999999</v>
      </c>
      <c r="I1223" s="6">
        <v>2.04</v>
      </c>
      <c r="J1223" s="6">
        <v>8.16</v>
      </c>
      <c r="K1223" s="5">
        <v>438</v>
      </c>
      <c r="L1223" s="13" t="str">
        <f t="shared" si="38"/>
        <v>Discount Applied</v>
      </c>
      <c r="M1223" s="13" t="str">
        <f t="shared" si="39"/>
        <v>Bronze</v>
      </c>
      <c r="N1223" s="13"/>
    </row>
    <row r="1224" spans="1:14" x14ac:dyDescent="0.3">
      <c r="A1224" s="3">
        <v>9233</v>
      </c>
      <c r="B1224" s="3" t="s">
        <v>14</v>
      </c>
      <c r="C1224" s="4">
        <v>45294</v>
      </c>
      <c r="D1224" s="3" t="s">
        <v>17</v>
      </c>
      <c r="E1224" s="3" t="s">
        <v>23</v>
      </c>
      <c r="F1224" s="5">
        <v>3</v>
      </c>
      <c r="G1224" s="6">
        <v>4.72</v>
      </c>
      <c r="H1224" s="6">
        <v>14.16</v>
      </c>
      <c r="I1224" s="6">
        <v>3.2</v>
      </c>
      <c r="J1224" s="6">
        <v>10.96</v>
      </c>
      <c r="K1224" s="5">
        <v>318</v>
      </c>
      <c r="L1224" s="13" t="str">
        <f t="shared" si="38"/>
        <v>Discount Applied</v>
      </c>
      <c r="M1224" s="13" t="str">
        <f t="shared" si="39"/>
        <v>Bronze</v>
      </c>
      <c r="N1224" s="13"/>
    </row>
    <row r="1225" spans="1:14" x14ac:dyDescent="0.3">
      <c r="A1225" s="3">
        <v>6095</v>
      </c>
      <c r="B1225" s="3" t="s">
        <v>30</v>
      </c>
      <c r="C1225" s="4">
        <v>45361</v>
      </c>
      <c r="D1225" s="3" t="s">
        <v>20</v>
      </c>
      <c r="E1225" s="3" t="s">
        <v>29</v>
      </c>
      <c r="F1225" s="5">
        <v>4</v>
      </c>
      <c r="G1225" s="6">
        <v>14.22</v>
      </c>
      <c r="H1225" s="6">
        <v>56.88</v>
      </c>
      <c r="I1225" s="6">
        <v>0</v>
      </c>
      <c r="J1225" s="6">
        <v>56.88</v>
      </c>
      <c r="K1225" s="5">
        <v>483</v>
      </c>
      <c r="L1225" s="13" t="str">
        <f t="shared" si="38"/>
        <v>No Discount</v>
      </c>
      <c r="M1225" s="13" t="str">
        <f t="shared" si="39"/>
        <v>Gold</v>
      </c>
      <c r="N1225" s="13"/>
    </row>
    <row r="1226" spans="1:14" x14ac:dyDescent="0.3">
      <c r="A1226" s="3">
        <v>2923</v>
      </c>
      <c r="B1226" s="3"/>
      <c r="C1226" s="4">
        <v>45319</v>
      </c>
      <c r="D1226" s="3" t="s">
        <v>34</v>
      </c>
      <c r="E1226" s="3" t="s">
        <v>18</v>
      </c>
      <c r="F1226" s="5">
        <v>2</v>
      </c>
      <c r="G1226" s="6">
        <v>3.04</v>
      </c>
      <c r="H1226" s="6">
        <v>6.08</v>
      </c>
      <c r="I1226" s="6">
        <v>0</v>
      </c>
      <c r="J1226" s="6">
        <v>6.08</v>
      </c>
      <c r="K1226" s="5">
        <v>375</v>
      </c>
      <c r="L1226" s="13" t="str">
        <f t="shared" si="38"/>
        <v>No Discount</v>
      </c>
      <c r="M1226" s="13" t="str">
        <f t="shared" si="39"/>
        <v>Bronze</v>
      </c>
      <c r="N1226" s="13"/>
    </row>
    <row r="1227" spans="1:14" x14ac:dyDescent="0.3">
      <c r="A1227" s="3">
        <v>4618</v>
      </c>
      <c r="B1227" s="3" t="s">
        <v>42</v>
      </c>
      <c r="C1227" s="4">
        <v>45743</v>
      </c>
      <c r="D1227" s="3" t="s">
        <v>22</v>
      </c>
      <c r="E1227" s="3" t="s">
        <v>46</v>
      </c>
      <c r="F1227" s="5">
        <v>5</v>
      </c>
      <c r="G1227" s="6">
        <v>5.75</v>
      </c>
      <c r="H1227" s="6">
        <v>28.75</v>
      </c>
      <c r="I1227" s="6">
        <v>4.3099999999999996</v>
      </c>
      <c r="J1227" s="6">
        <v>24.44</v>
      </c>
      <c r="K1227" s="5">
        <v>420</v>
      </c>
      <c r="L1227" s="13" t="str">
        <f t="shared" si="38"/>
        <v>Discount Applied</v>
      </c>
      <c r="M1227" s="13" t="str">
        <f t="shared" si="39"/>
        <v>Silver</v>
      </c>
      <c r="N1227" s="13"/>
    </row>
    <row r="1228" spans="1:14" x14ac:dyDescent="0.3">
      <c r="A1228" s="3">
        <v>3188</v>
      </c>
      <c r="B1228" s="3" t="s">
        <v>24</v>
      </c>
      <c r="C1228" s="4">
        <v>45692</v>
      </c>
      <c r="D1228" s="3" t="s">
        <v>20</v>
      </c>
      <c r="E1228" s="3" t="s">
        <v>39</v>
      </c>
      <c r="F1228" s="5">
        <v>5</v>
      </c>
      <c r="G1228" s="6">
        <v>8.17</v>
      </c>
      <c r="H1228" s="6">
        <v>40.85</v>
      </c>
      <c r="I1228" s="6">
        <v>1.44</v>
      </c>
      <c r="J1228" s="6">
        <v>39.409999999999997</v>
      </c>
      <c r="K1228" s="5">
        <v>138</v>
      </c>
      <c r="L1228" s="13" t="str">
        <f t="shared" si="38"/>
        <v>Discount Applied</v>
      </c>
      <c r="M1228" s="13" t="str">
        <f t="shared" si="39"/>
        <v>Silver</v>
      </c>
      <c r="N1228" s="13"/>
    </row>
    <row r="1229" spans="1:14" x14ac:dyDescent="0.3">
      <c r="A1229" s="3">
        <v>3509</v>
      </c>
      <c r="B1229" s="3" t="s">
        <v>14</v>
      </c>
      <c r="C1229" s="4">
        <v>45681</v>
      </c>
      <c r="D1229" s="3" t="s">
        <v>20</v>
      </c>
      <c r="E1229" s="3" t="s">
        <v>43</v>
      </c>
      <c r="F1229" s="5">
        <v>3</v>
      </c>
      <c r="G1229" s="6">
        <v>19.559999999999999</v>
      </c>
      <c r="H1229" s="6">
        <v>58.68</v>
      </c>
      <c r="I1229" s="6">
        <v>8.8000000000000007</v>
      </c>
      <c r="J1229" s="6">
        <v>49.88</v>
      </c>
      <c r="K1229" s="5">
        <v>185</v>
      </c>
      <c r="L1229" s="13" t="str">
        <f t="shared" si="38"/>
        <v>Discount Applied</v>
      </c>
      <c r="M1229" s="13" t="str">
        <f t="shared" si="39"/>
        <v>Silver</v>
      </c>
      <c r="N1229" s="13"/>
    </row>
    <row r="1230" spans="1:14" x14ac:dyDescent="0.3">
      <c r="A1230" s="3">
        <v>7121</v>
      </c>
      <c r="B1230" s="3" t="s">
        <v>19</v>
      </c>
      <c r="C1230" s="4">
        <v>45391</v>
      </c>
      <c r="D1230" s="3" t="s">
        <v>17</v>
      </c>
      <c r="E1230" s="3" t="s">
        <v>13</v>
      </c>
      <c r="F1230" s="5">
        <v>1</v>
      </c>
      <c r="G1230" s="6">
        <v>3.83</v>
      </c>
      <c r="H1230" s="6">
        <v>3.83</v>
      </c>
      <c r="I1230" s="6">
        <v>0.38</v>
      </c>
      <c r="J1230" s="6">
        <v>3.45</v>
      </c>
      <c r="K1230" s="5">
        <v>496</v>
      </c>
      <c r="L1230" s="13" t="str">
        <f t="shared" si="38"/>
        <v>Discount Applied</v>
      </c>
      <c r="M1230" s="13" t="str">
        <f t="shared" si="39"/>
        <v>Bronze</v>
      </c>
      <c r="N1230" s="13"/>
    </row>
    <row r="1231" spans="1:14" x14ac:dyDescent="0.3">
      <c r="A1231" s="3">
        <v>9998</v>
      </c>
      <c r="B1231" s="3" t="s">
        <v>11</v>
      </c>
      <c r="C1231" s="4">
        <v>45415</v>
      </c>
      <c r="D1231" s="3" t="s">
        <v>15</v>
      </c>
      <c r="E1231" s="3" t="s">
        <v>29</v>
      </c>
      <c r="F1231" s="5">
        <v>5</v>
      </c>
      <c r="G1231" s="6">
        <v>22.11</v>
      </c>
      <c r="H1231" s="6">
        <v>110.55</v>
      </c>
      <c r="I1231" s="6">
        <v>3.12</v>
      </c>
      <c r="J1231" s="6">
        <v>107.43</v>
      </c>
      <c r="K1231" s="5">
        <v>156</v>
      </c>
      <c r="L1231" s="13" t="str">
        <f t="shared" si="38"/>
        <v>Discount Applied</v>
      </c>
      <c r="M1231" s="13" t="str">
        <f t="shared" si="39"/>
        <v>Platinum</v>
      </c>
      <c r="N1231" s="13"/>
    </row>
    <row r="1232" spans="1:14" x14ac:dyDescent="0.3">
      <c r="A1232" s="3">
        <v>8714</v>
      </c>
      <c r="B1232" s="3" t="s">
        <v>30</v>
      </c>
      <c r="C1232" s="4">
        <v>45368</v>
      </c>
      <c r="D1232" s="3" t="s">
        <v>38</v>
      </c>
      <c r="E1232" s="3" t="s">
        <v>13</v>
      </c>
      <c r="F1232" s="5">
        <v>5</v>
      </c>
      <c r="G1232" s="6">
        <v>3.86</v>
      </c>
      <c r="H1232" s="6">
        <v>19.3</v>
      </c>
      <c r="I1232" s="6">
        <v>2.9</v>
      </c>
      <c r="J1232" s="6">
        <v>16.399999999999999</v>
      </c>
      <c r="K1232" s="5">
        <v>24</v>
      </c>
      <c r="L1232" s="13" t="str">
        <f t="shared" si="38"/>
        <v>Discount Applied</v>
      </c>
      <c r="M1232" s="13" t="str">
        <f t="shared" si="39"/>
        <v>Bronze</v>
      </c>
      <c r="N1232" s="13"/>
    </row>
    <row r="1233" spans="1:14" x14ac:dyDescent="0.3">
      <c r="A1233" s="3">
        <v>9806</v>
      </c>
      <c r="B1233" s="3" t="s">
        <v>24</v>
      </c>
      <c r="C1233" s="4">
        <v>45590</v>
      </c>
      <c r="D1233" s="3" t="s">
        <v>34</v>
      </c>
      <c r="E1233" s="3" t="s">
        <v>23</v>
      </c>
      <c r="F1233" s="5">
        <v>5</v>
      </c>
      <c r="G1233" s="6">
        <v>16.989999999999998</v>
      </c>
      <c r="H1233" s="6">
        <v>84.95</v>
      </c>
      <c r="I1233" s="6">
        <v>8.5</v>
      </c>
      <c r="J1233" s="6">
        <v>76.45</v>
      </c>
      <c r="K1233" s="5">
        <v>451</v>
      </c>
      <c r="L1233" s="13" t="str">
        <f t="shared" si="38"/>
        <v>Discount Applied</v>
      </c>
      <c r="M1233" s="13" t="str">
        <f t="shared" si="39"/>
        <v>Platinum</v>
      </c>
      <c r="N1233" s="13"/>
    </row>
    <row r="1234" spans="1:14" x14ac:dyDescent="0.3">
      <c r="A1234" s="3">
        <v>4578</v>
      </c>
      <c r="B1234" s="3" t="s">
        <v>19</v>
      </c>
      <c r="C1234" s="4">
        <v>45439</v>
      </c>
      <c r="D1234" s="3" t="s">
        <v>35</v>
      </c>
      <c r="E1234" s="3" t="s">
        <v>39</v>
      </c>
      <c r="F1234" s="5">
        <v>5</v>
      </c>
      <c r="G1234" s="6">
        <v>21.67</v>
      </c>
      <c r="H1234" s="6">
        <v>108.35</v>
      </c>
      <c r="I1234" s="6">
        <v>21.67</v>
      </c>
      <c r="J1234" s="6">
        <v>86.68</v>
      </c>
      <c r="K1234" s="5">
        <v>336</v>
      </c>
      <c r="L1234" s="13" t="str">
        <f t="shared" si="38"/>
        <v>Discount Applied</v>
      </c>
      <c r="M1234" s="13" t="str">
        <f t="shared" si="39"/>
        <v>Platinum</v>
      </c>
      <c r="N1234" s="13"/>
    </row>
    <row r="1235" spans="1:14" x14ac:dyDescent="0.3">
      <c r="A1235" s="3">
        <v>5054</v>
      </c>
      <c r="B1235" s="3" t="s">
        <v>24</v>
      </c>
      <c r="C1235" s="4">
        <v>45780</v>
      </c>
      <c r="D1235" s="3" t="s">
        <v>28</v>
      </c>
      <c r="E1235" s="3" t="s">
        <v>13</v>
      </c>
      <c r="F1235" s="5">
        <v>1</v>
      </c>
      <c r="G1235" s="6">
        <v>27.62</v>
      </c>
      <c r="H1235" s="6">
        <v>27.62</v>
      </c>
      <c r="I1235" s="6">
        <v>0</v>
      </c>
      <c r="J1235" s="6">
        <v>27.62</v>
      </c>
      <c r="K1235" s="5">
        <v>327</v>
      </c>
      <c r="L1235" s="13" t="str">
        <f t="shared" si="38"/>
        <v>No Discount</v>
      </c>
      <c r="M1235" s="13" t="str">
        <f t="shared" si="39"/>
        <v>Silver</v>
      </c>
      <c r="N1235" s="13"/>
    </row>
    <row r="1236" spans="1:14" x14ac:dyDescent="0.3">
      <c r="A1236" s="3">
        <v>8319</v>
      </c>
      <c r="B1236" s="3" t="s">
        <v>42</v>
      </c>
      <c r="C1236" s="4">
        <v>45745</v>
      </c>
      <c r="D1236" s="3" t="s">
        <v>27</v>
      </c>
      <c r="E1236" s="3" t="s">
        <v>16</v>
      </c>
      <c r="F1236" s="5">
        <v>4</v>
      </c>
      <c r="G1236" s="6">
        <v>6.3</v>
      </c>
      <c r="H1236" s="6">
        <v>25.2</v>
      </c>
      <c r="I1236" s="6">
        <v>2.15</v>
      </c>
      <c r="J1236" s="6">
        <v>23.05</v>
      </c>
      <c r="K1236" s="5">
        <v>181</v>
      </c>
      <c r="L1236" s="13" t="str">
        <f t="shared" si="38"/>
        <v>Discount Applied</v>
      </c>
      <c r="M1236" s="13" t="str">
        <f t="shared" si="39"/>
        <v>Silver</v>
      </c>
      <c r="N1236" s="13"/>
    </row>
    <row r="1237" spans="1:14" x14ac:dyDescent="0.3">
      <c r="A1237" s="3">
        <v>2838</v>
      </c>
      <c r="B1237" s="3" t="s">
        <v>24</v>
      </c>
      <c r="C1237" s="4">
        <v>45370</v>
      </c>
      <c r="D1237" s="3" t="s">
        <v>38</v>
      </c>
      <c r="E1237" s="3" t="s">
        <v>25</v>
      </c>
      <c r="F1237" s="5">
        <v>3</v>
      </c>
      <c r="G1237" s="6">
        <v>19.420000000000002</v>
      </c>
      <c r="H1237" s="6">
        <v>58.26</v>
      </c>
      <c r="I1237" s="6">
        <v>5.83</v>
      </c>
      <c r="J1237" s="6">
        <v>52.43</v>
      </c>
      <c r="K1237" s="5">
        <v>44</v>
      </c>
      <c r="L1237" s="13" t="str">
        <f t="shared" si="38"/>
        <v>Discount Applied</v>
      </c>
      <c r="M1237" s="13" t="str">
        <f t="shared" si="39"/>
        <v>Gold</v>
      </c>
      <c r="N1237" s="13"/>
    </row>
    <row r="1238" spans="1:14" x14ac:dyDescent="0.3">
      <c r="A1238" s="3">
        <v>9972</v>
      </c>
      <c r="B1238" s="3" t="s">
        <v>36</v>
      </c>
      <c r="C1238" s="4">
        <v>45368</v>
      </c>
      <c r="D1238" s="3" t="s">
        <v>15</v>
      </c>
      <c r="E1238" s="3" t="s">
        <v>43</v>
      </c>
      <c r="F1238" s="5">
        <v>1</v>
      </c>
      <c r="G1238" s="6">
        <v>22.16</v>
      </c>
      <c r="H1238" s="6">
        <v>22.16</v>
      </c>
      <c r="I1238" s="6">
        <v>4.43</v>
      </c>
      <c r="J1238" s="6">
        <v>17.73</v>
      </c>
      <c r="K1238" s="5">
        <v>483</v>
      </c>
      <c r="L1238" s="13" t="str">
        <f t="shared" si="38"/>
        <v>Discount Applied</v>
      </c>
      <c r="M1238" s="13" t="str">
        <f t="shared" si="39"/>
        <v>Bronze</v>
      </c>
      <c r="N1238" s="13"/>
    </row>
    <row r="1239" spans="1:14" x14ac:dyDescent="0.3">
      <c r="A1239" s="3">
        <v>9281</v>
      </c>
      <c r="B1239" s="3" t="s">
        <v>31</v>
      </c>
      <c r="C1239" s="4">
        <v>45414</v>
      </c>
      <c r="D1239" s="3" t="s">
        <v>15</v>
      </c>
      <c r="E1239" s="3" t="s">
        <v>37</v>
      </c>
      <c r="F1239" s="5">
        <v>5</v>
      </c>
      <c r="G1239" s="6">
        <v>27.95</v>
      </c>
      <c r="H1239" s="6">
        <v>139.75</v>
      </c>
      <c r="I1239" s="6">
        <v>13.98</v>
      </c>
      <c r="J1239" s="6">
        <v>125.77</v>
      </c>
      <c r="K1239" s="5">
        <v>413</v>
      </c>
      <c r="L1239" s="13" t="str">
        <f t="shared" si="38"/>
        <v>Discount Applied</v>
      </c>
      <c r="M1239" s="13" t="str">
        <f t="shared" si="39"/>
        <v>Platinum</v>
      </c>
      <c r="N1239" s="13"/>
    </row>
    <row r="1240" spans="1:14" x14ac:dyDescent="0.3">
      <c r="A1240" s="3">
        <v>9792</v>
      </c>
      <c r="B1240" s="3" t="s">
        <v>14</v>
      </c>
      <c r="C1240" s="4">
        <v>45654</v>
      </c>
      <c r="D1240" s="3" t="s">
        <v>34</v>
      </c>
      <c r="E1240" s="3" t="s">
        <v>47</v>
      </c>
      <c r="F1240" s="5">
        <v>4</v>
      </c>
      <c r="G1240" s="6">
        <v>15.93</v>
      </c>
      <c r="H1240" s="6">
        <v>63.72</v>
      </c>
      <c r="I1240" s="6">
        <v>6.37</v>
      </c>
      <c r="J1240" s="6">
        <v>57.35</v>
      </c>
      <c r="K1240" s="5">
        <v>346</v>
      </c>
      <c r="L1240" s="13" t="str">
        <f t="shared" si="38"/>
        <v>Discount Applied</v>
      </c>
      <c r="M1240" s="13" t="str">
        <f t="shared" si="39"/>
        <v>Gold</v>
      </c>
      <c r="N1240" s="13"/>
    </row>
    <row r="1241" spans="1:14" x14ac:dyDescent="0.3">
      <c r="A1241" s="3">
        <v>9525</v>
      </c>
      <c r="B1241" s="3" t="s">
        <v>31</v>
      </c>
      <c r="C1241" s="4">
        <v>45725</v>
      </c>
      <c r="D1241" s="3" t="s">
        <v>28</v>
      </c>
      <c r="E1241" s="3" t="s">
        <v>44</v>
      </c>
      <c r="F1241" s="5">
        <v>1</v>
      </c>
      <c r="G1241" s="6">
        <v>21.7</v>
      </c>
      <c r="H1241" s="6">
        <v>21.7</v>
      </c>
      <c r="I1241" s="6">
        <v>4.34</v>
      </c>
      <c r="J1241" s="6">
        <v>17.36</v>
      </c>
      <c r="K1241" s="5">
        <v>359</v>
      </c>
      <c r="L1241" s="13" t="str">
        <f t="shared" si="38"/>
        <v>Discount Applied</v>
      </c>
      <c r="M1241" s="13" t="str">
        <f t="shared" si="39"/>
        <v>Bronze</v>
      </c>
      <c r="N1241" s="13"/>
    </row>
    <row r="1242" spans="1:14" x14ac:dyDescent="0.3">
      <c r="A1242" s="3">
        <v>2904</v>
      </c>
      <c r="B1242" s="3" t="s">
        <v>14</v>
      </c>
      <c r="C1242" s="4">
        <v>45311</v>
      </c>
      <c r="D1242" s="3" t="s">
        <v>27</v>
      </c>
      <c r="E1242" s="3" t="s">
        <v>40</v>
      </c>
      <c r="F1242" s="5">
        <v>5</v>
      </c>
      <c r="G1242" s="6">
        <v>14</v>
      </c>
      <c r="H1242" s="6">
        <v>70</v>
      </c>
      <c r="I1242" s="6">
        <v>14</v>
      </c>
      <c r="J1242" s="6">
        <v>56</v>
      </c>
      <c r="K1242" s="5">
        <v>86</v>
      </c>
      <c r="L1242" s="13" t="str">
        <f t="shared" si="38"/>
        <v>Discount Applied</v>
      </c>
      <c r="M1242" s="13" t="str">
        <f t="shared" si="39"/>
        <v>Gold</v>
      </c>
      <c r="N1242" s="13"/>
    </row>
    <row r="1243" spans="1:14" x14ac:dyDescent="0.3">
      <c r="A1243" s="3">
        <v>4365</v>
      </c>
      <c r="B1243" s="3" t="s">
        <v>11</v>
      </c>
      <c r="C1243" s="4">
        <v>45788</v>
      </c>
      <c r="D1243" s="3" t="s">
        <v>22</v>
      </c>
      <c r="E1243" s="3" t="s">
        <v>41</v>
      </c>
      <c r="F1243" s="5">
        <v>5</v>
      </c>
      <c r="G1243" s="6">
        <v>11.24</v>
      </c>
      <c r="H1243" s="6">
        <v>56.2</v>
      </c>
      <c r="I1243" s="6">
        <v>5.62</v>
      </c>
      <c r="J1243" s="6">
        <v>50.58</v>
      </c>
      <c r="K1243" s="5">
        <v>26</v>
      </c>
      <c r="L1243" s="13" t="str">
        <f t="shared" si="38"/>
        <v>Discount Applied</v>
      </c>
      <c r="M1243" s="13" t="str">
        <f t="shared" si="39"/>
        <v>Gold</v>
      </c>
      <c r="N1243" s="13"/>
    </row>
    <row r="1244" spans="1:14" x14ac:dyDescent="0.3">
      <c r="A1244" s="3">
        <v>9008</v>
      </c>
      <c r="B1244" s="3" t="s">
        <v>24</v>
      </c>
      <c r="C1244" s="4">
        <v>45355</v>
      </c>
      <c r="D1244" s="3" t="s">
        <v>34</v>
      </c>
      <c r="E1244" s="3" t="s">
        <v>23</v>
      </c>
      <c r="F1244" s="5">
        <v>1</v>
      </c>
      <c r="G1244" s="6">
        <v>10.79</v>
      </c>
      <c r="H1244" s="6">
        <v>10.79</v>
      </c>
      <c r="I1244" s="6">
        <v>4.4000000000000004</v>
      </c>
      <c r="J1244" s="6">
        <v>6.39</v>
      </c>
      <c r="K1244" s="5">
        <v>347</v>
      </c>
      <c r="L1244" s="13" t="str">
        <f t="shared" si="38"/>
        <v>Discount Applied</v>
      </c>
      <c r="M1244" s="13" t="str">
        <f t="shared" si="39"/>
        <v>Bronze</v>
      </c>
      <c r="N1244" s="13"/>
    </row>
    <row r="1245" spans="1:14" x14ac:dyDescent="0.3">
      <c r="A1245" s="3">
        <v>9361</v>
      </c>
      <c r="B1245" s="3" t="s">
        <v>11</v>
      </c>
      <c r="C1245" s="4">
        <v>45251</v>
      </c>
      <c r="D1245" s="3" t="s">
        <v>35</v>
      </c>
      <c r="E1245" s="3" t="s">
        <v>37</v>
      </c>
      <c r="F1245" s="5">
        <v>4</v>
      </c>
      <c r="G1245" s="6">
        <v>9.5</v>
      </c>
      <c r="H1245" s="6">
        <v>38</v>
      </c>
      <c r="I1245" s="6">
        <v>0</v>
      </c>
      <c r="J1245" s="6">
        <v>38</v>
      </c>
      <c r="K1245" s="5">
        <v>109</v>
      </c>
      <c r="L1245" s="13" t="str">
        <f t="shared" si="38"/>
        <v>No Discount</v>
      </c>
      <c r="M1245" s="13" t="str">
        <f t="shared" si="39"/>
        <v>Silver</v>
      </c>
      <c r="N1245" s="13"/>
    </row>
    <row r="1246" spans="1:14" x14ac:dyDescent="0.3">
      <c r="A1246" s="3">
        <v>1911</v>
      </c>
      <c r="B1246" s="3" t="s">
        <v>24</v>
      </c>
      <c r="C1246" s="4">
        <v>45623</v>
      </c>
      <c r="D1246" s="3" t="s">
        <v>17</v>
      </c>
      <c r="E1246" s="3" t="s">
        <v>37</v>
      </c>
      <c r="F1246" s="5">
        <v>5</v>
      </c>
      <c r="G1246" s="6">
        <v>24.94</v>
      </c>
      <c r="H1246" s="6">
        <v>124.7</v>
      </c>
      <c r="I1246" s="6">
        <v>4.3899999999999997</v>
      </c>
      <c r="J1246" s="6">
        <v>120.31</v>
      </c>
      <c r="K1246" s="5">
        <v>18</v>
      </c>
      <c r="L1246" s="13" t="str">
        <f t="shared" si="38"/>
        <v>Discount Applied</v>
      </c>
      <c r="M1246" s="13" t="str">
        <f t="shared" si="39"/>
        <v>Platinum</v>
      </c>
      <c r="N1246" s="13"/>
    </row>
    <row r="1247" spans="1:14" x14ac:dyDescent="0.3">
      <c r="A1247" s="3">
        <v>3161</v>
      </c>
      <c r="B1247" s="3" t="s">
        <v>31</v>
      </c>
      <c r="C1247" s="4">
        <v>45333</v>
      </c>
      <c r="D1247" s="3" t="s">
        <v>22</v>
      </c>
      <c r="E1247" s="3" t="s">
        <v>39</v>
      </c>
      <c r="F1247" s="5">
        <v>5</v>
      </c>
      <c r="G1247" s="6">
        <v>14.34</v>
      </c>
      <c r="H1247" s="6">
        <v>71.7</v>
      </c>
      <c r="I1247" s="6">
        <v>1.02</v>
      </c>
      <c r="J1247" s="6">
        <v>70.680000000000007</v>
      </c>
      <c r="K1247" s="5">
        <v>152</v>
      </c>
      <c r="L1247" s="13" t="str">
        <f t="shared" si="38"/>
        <v>Discount Applied</v>
      </c>
      <c r="M1247" s="13" t="str">
        <f t="shared" si="39"/>
        <v>Platinum</v>
      </c>
      <c r="N1247" s="13"/>
    </row>
    <row r="1248" spans="1:14" x14ac:dyDescent="0.3">
      <c r="A1248" s="3">
        <v>7806</v>
      </c>
      <c r="B1248" s="3" t="s">
        <v>19</v>
      </c>
      <c r="C1248" s="4">
        <v>45665</v>
      </c>
      <c r="D1248" s="3" t="s">
        <v>20</v>
      </c>
      <c r="E1248" s="3" t="s">
        <v>23</v>
      </c>
      <c r="F1248" s="5">
        <v>1</v>
      </c>
      <c r="G1248" s="6">
        <v>3.93</v>
      </c>
      <c r="H1248" s="6">
        <v>3.93</v>
      </c>
      <c r="I1248" s="6">
        <v>3.12</v>
      </c>
      <c r="J1248" s="6">
        <v>0.81</v>
      </c>
      <c r="K1248" s="5">
        <v>251</v>
      </c>
      <c r="L1248" s="13" t="str">
        <f t="shared" si="38"/>
        <v>Discount Applied</v>
      </c>
      <c r="M1248" s="13" t="str">
        <f t="shared" si="39"/>
        <v>Bronze</v>
      </c>
      <c r="N1248" s="13"/>
    </row>
    <row r="1249" spans="1:14" x14ac:dyDescent="0.3">
      <c r="A1249" s="3">
        <v>1945</v>
      </c>
      <c r="B1249" s="3" t="s">
        <v>19</v>
      </c>
      <c r="C1249" s="4">
        <v>45320</v>
      </c>
      <c r="D1249" s="3" t="s">
        <v>20</v>
      </c>
      <c r="E1249" s="3" t="s">
        <v>48</v>
      </c>
      <c r="F1249" s="5">
        <v>4</v>
      </c>
      <c r="G1249" s="6">
        <v>1.19</v>
      </c>
      <c r="H1249" s="6">
        <v>4.76</v>
      </c>
      <c r="I1249" s="6">
        <v>0.95</v>
      </c>
      <c r="J1249" s="6">
        <v>3.81</v>
      </c>
      <c r="K1249" s="5">
        <v>393</v>
      </c>
      <c r="L1249" s="13" t="str">
        <f t="shared" si="38"/>
        <v>Discount Applied</v>
      </c>
      <c r="M1249" s="13" t="str">
        <f t="shared" si="39"/>
        <v>Bronze</v>
      </c>
      <c r="N1249" s="13"/>
    </row>
    <row r="1250" spans="1:14" x14ac:dyDescent="0.3">
      <c r="A1250" s="3">
        <v>8575</v>
      </c>
      <c r="B1250" s="3" t="s">
        <v>26</v>
      </c>
      <c r="C1250" s="4">
        <v>45185</v>
      </c>
      <c r="D1250" s="3" t="s">
        <v>20</v>
      </c>
      <c r="E1250" s="3" t="s">
        <v>23</v>
      </c>
      <c r="F1250" s="5">
        <v>3</v>
      </c>
      <c r="G1250" s="6">
        <v>11.56</v>
      </c>
      <c r="H1250" s="6">
        <v>34.68</v>
      </c>
      <c r="I1250" s="6">
        <v>4.25</v>
      </c>
      <c r="J1250" s="6">
        <v>30.43</v>
      </c>
      <c r="K1250" s="5">
        <v>456</v>
      </c>
      <c r="L1250" s="13" t="str">
        <f t="shared" si="38"/>
        <v>Discount Applied</v>
      </c>
      <c r="M1250" s="13" t="str">
        <f t="shared" si="39"/>
        <v>Silver</v>
      </c>
      <c r="N1250" s="13"/>
    </row>
    <row r="1251" spans="1:14" x14ac:dyDescent="0.3">
      <c r="A1251" s="3">
        <v>6049</v>
      </c>
      <c r="B1251" s="3" t="s">
        <v>11</v>
      </c>
      <c r="C1251" s="4">
        <v>45466</v>
      </c>
      <c r="D1251" s="3" t="s">
        <v>45</v>
      </c>
      <c r="E1251" s="3" t="s">
        <v>33</v>
      </c>
      <c r="F1251" s="5">
        <v>2</v>
      </c>
      <c r="G1251" s="6">
        <v>5.05</v>
      </c>
      <c r="H1251" s="6">
        <v>10.1</v>
      </c>
      <c r="I1251" s="6">
        <v>2.44</v>
      </c>
      <c r="J1251" s="6">
        <v>7.66</v>
      </c>
      <c r="K1251" s="5">
        <v>382</v>
      </c>
      <c r="L1251" s="13" t="str">
        <f t="shared" si="38"/>
        <v>Discount Applied</v>
      </c>
      <c r="M1251" s="13" t="str">
        <f t="shared" si="39"/>
        <v>Bronze</v>
      </c>
      <c r="N1251" s="13"/>
    </row>
    <row r="1252" spans="1:14" x14ac:dyDescent="0.3">
      <c r="A1252" s="3">
        <v>1356</v>
      </c>
      <c r="B1252" s="3" t="s">
        <v>42</v>
      </c>
      <c r="C1252" s="4">
        <v>45702</v>
      </c>
      <c r="D1252" s="3" t="s">
        <v>15</v>
      </c>
      <c r="E1252" s="3" t="s">
        <v>44</v>
      </c>
      <c r="F1252" s="5">
        <v>3</v>
      </c>
      <c r="G1252" s="6">
        <v>2.16</v>
      </c>
      <c r="H1252" s="6">
        <v>6.48</v>
      </c>
      <c r="I1252" s="6">
        <v>0</v>
      </c>
      <c r="J1252" s="6">
        <v>6.48</v>
      </c>
      <c r="K1252" s="5">
        <v>202</v>
      </c>
      <c r="L1252" s="13" t="str">
        <f t="shared" si="38"/>
        <v>No Discount</v>
      </c>
      <c r="M1252" s="13" t="str">
        <f t="shared" si="39"/>
        <v>Bronze</v>
      </c>
      <c r="N1252" s="13"/>
    </row>
    <row r="1253" spans="1:14" x14ac:dyDescent="0.3">
      <c r="A1253" s="3">
        <v>5169</v>
      </c>
      <c r="B1253" s="3" t="s">
        <v>36</v>
      </c>
      <c r="C1253" s="4">
        <v>45223</v>
      </c>
      <c r="D1253" s="3" t="s">
        <v>12</v>
      </c>
      <c r="E1253" s="3" t="s">
        <v>29</v>
      </c>
      <c r="F1253" s="5">
        <v>2</v>
      </c>
      <c r="G1253" s="6">
        <v>28.49</v>
      </c>
      <c r="H1253" s="6">
        <v>56.98</v>
      </c>
      <c r="I1253" s="6">
        <v>2.68</v>
      </c>
      <c r="J1253" s="6">
        <v>54.3</v>
      </c>
      <c r="K1253" s="5">
        <v>491</v>
      </c>
      <c r="L1253" s="13" t="str">
        <f t="shared" si="38"/>
        <v>Discount Applied</v>
      </c>
      <c r="M1253" s="13" t="str">
        <f t="shared" si="39"/>
        <v>Gold</v>
      </c>
      <c r="N1253" s="13"/>
    </row>
    <row r="1254" spans="1:14" x14ac:dyDescent="0.3">
      <c r="A1254" s="3">
        <v>1049</v>
      </c>
      <c r="B1254" s="3" t="s">
        <v>14</v>
      </c>
      <c r="C1254" s="4">
        <v>45149</v>
      </c>
      <c r="D1254" s="3" t="s">
        <v>45</v>
      </c>
      <c r="E1254" s="3" t="s">
        <v>41</v>
      </c>
      <c r="F1254" s="5">
        <v>3</v>
      </c>
      <c r="G1254" s="6">
        <v>22.77</v>
      </c>
      <c r="H1254" s="6">
        <v>68.31</v>
      </c>
      <c r="I1254" s="6">
        <v>3.9</v>
      </c>
      <c r="J1254" s="6">
        <v>64.41</v>
      </c>
      <c r="K1254" s="5">
        <v>399</v>
      </c>
      <c r="L1254" s="13" t="str">
        <f t="shared" si="38"/>
        <v>Discount Applied</v>
      </c>
      <c r="M1254" s="13" t="str">
        <f t="shared" si="39"/>
        <v>Gold</v>
      </c>
      <c r="N1254" s="13"/>
    </row>
    <row r="1255" spans="1:14" x14ac:dyDescent="0.3">
      <c r="A1255" s="3">
        <v>4570</v>
      </c>
      <c r="B1255" s="3" t="s">
        <v>24</v>
      </c>
      <c r="C1255" s="4">
        <v>45461</v>
      </c>
      <c r="D1255" s="3" t="s">
        <v>34</v>
      </c>
      <c r="E1255" s="3" t="s">
        <v>48</v>
      </c>
      <c r="F1255" s="5">
        <v>1</v>
      </c>
      <c r="G1255" s="6">
        <v>23.98</v>
      </c>
      <c r="H1255" s="6">
        <v>23.98</v>
      </c>
      <c r="I1255" s="6">
        <v>3.6</v>
      </c>
      <c r="J1255" s="6">
        <v>20.38</v>
      </c>
      <c r="K1255" s="5">
        <v>64</v>
      </c>
      <c r="L1255" s="13" t="str">
        <f t="shared" si="38"/>
        <v>Discount Applied</v>
      </c>
      <c r="M1255" s="13" t="str">
        <f t="shared" si="39"/>
        <v>Silver</v>
      </c>
      <c r="N1255" s="13"/>
    </row>
    <row r="1256" spans="1:14" x14ac:dyDescent="0.3">
      <c r="A1256" s="3">
        <v>2196</v>
      </c>
      <c r="B1256" s="3" t="s">
        <v>14</v>
      </c>
      <c r="C1256" s="4">
        <v>45515</v>
      </c>
      <c r="D1256" s="3" t="s">
        <v>12</v>
      </c>
      <c r="E1256" s="3" t="s">
        <v>25</v>
      </c>
      <c r="F1256" s="5">
        <v>1</v>
      </c>
      <c r="G1256" s="6">
        <v>20.66</v>
      </c>
      <c r="H1256" s="6">
        <v>20.66</v>
      </c>
      <c r="I1256" s="6">
        <v>3.95</v>
      </c>
      <c r="J1256" s="6">
        <v>16.71</v>
      </c>
      <c r="K1256" s="5">
        <v>175</v>
      </c>
      <c r="L1256" s="13" t="str">
        <f t="shared" si="38"/>
        <v>Discount Applied</v>
      </c>
      <c r="M1256" s="13" t="str">
        <f t="shared" si="39"/>
        <v>Bronze</v>
      </c>
      <c r="N1256" s="13"/>
    </row>
    <row r="1257" spans="1:14" x14ac:dyDescent="0.3">
      <c r="A1257" s="3">
        <v>7941</v>
      </c>
      <c r="B1257" s="3"/>
      <c r="C1257" s="4">
        <v>45732</v>
      </c>
      <c r="D1257" s="3" t="s">
        <v>45</v>
      </c>
      <c r="E1257" s="3" t="s">
        <v>37</v>
      </c>
      <c r="F1257" s="5">
        <v>3</v>
      </c>
      <c r="G1257" s="6">
        <v>15.08</v>
      </c>
      <c r="H1257" s="6">
        <v>45.24</v>
      </c>
      <c r="I1257" s="6">
        <v>9.0500000000000007</v>
      </c>
      <c r="J1257" s="6">
        <v>36.19</v>
      </c>
      <c r="K1257" s="5">
        <v>389</v>
      </c>
      <c r="L1257" s="13" t="str">
        <f t="shared" si="38"/>
        <v>Discount Applied</v>
      </c>
      <c r="M1257" s="13" t="str">
        <f t="shared" si="39"/>
        <v>Silver</v>
      </c>
      <c r="N1257" s="13"/>
    </row>
    <row r="1258" spans="1:14" x14ac:dyDescent="0.3">
      <c r="A1258" s="3">
        <v>2044</v>
      </c>
      <c r="B1258" s="3" t="s">
        <v>19</v>
      </c>
      <c r="C1258" s="4">
        <v>45394</v>
      </c>
      <c r="D1258" s="3" t="s">
        <v>38</v>
      </c>
      <c r="E1258" s="3" t="s">
        <v>29</v>
      </c>
      <c r="F1258" s="5">
        <v>2</v>
      </c>
      <c r="G1258" s="6">
        <v>9.14</v>
      </c>
      <c r="H1258" s="6">
        <v>18.28</v>
      </c>
      <c r="I1258" s="6">
        <v>0</v>
      </c>
      <c r="J1258" s="6">
        <v>18.28</v>
      </c>
      <c r="K1258" s="5">
        <v>58</v>
      </c>
      <c r="L1258" s="13" t="str">
        <f t="shared" si="38"/>
        <v>No Discount</v>
      </c>
      <c r="M1258" s="13" t="str">
        <f t="shared" si="39"/>
        <v>Bronze</v>
      </c>
      <c r="N1258" s="13"/>
    </row>
    <row r="1259" spans="1:14" x14ac:dyDescent="0.3">
      <c r="A1259" s="3">
        <v>1987</v>
      </c>
      <c r="B1259" s="3" t="s">
        <v>42</v>
      </c>
      <c r="C1259" s="4">
        <v>45646</v>
      </c>
      <c r="D1259" s="3" t="s">
        <v>27</v>
      </c>
      <c r="E1259" s="3" t="s">
        <v>16</v>
      </c>
      <c r="F1259" s="5">
        <v>2</v>
      </c>
      <c r="G1259" s="6">
        <v>14.73</v>
      </c>
      <c r="H1259" s="6">
        <v>29.46</v>
      </c>
      <c r="I1259" s="6">
        <v>0</v>
      </c>
      <c r="J1259" s="6">
        <v>29.46</v>
      </c>
      <c r="K1259" s="5">
        <v>400</v>
      </c>
      <c r="L1259" s="13" t="str">
        <f t="shared" si="38"/>
        <v>No Discount</v>
      </c>
      <c r="M1259" s="13" t="str">
        <f t="shared" si="39"/>
        <v>Silver</v>
      </c>
      <c r="N1259" s="13"/>
    </row>
    <row r="1260" spans="1:14" x14ac:dyDescent="0.3">
      <c r="A1260" s="3">
        <v>2130</v>
      </c>
      <c r="B1260" s="3" t="s">
        <v>14</v>
      </c>
      <c r="C1260" s="4">
        <v>45850</v>
      </c>
      <c r="D1260" s="3" t="s">
        <v>28</v>
      </c>
      <c r="E1260" s="3" t="s">
        <v>29</v>
      </c>
      <c r="F1260" s="5">
        <v>2</v>
      </c>
      <c r="G1260" s="6">
        <v>29.77</v>
      </c>
      <c r="H1260" s="6">
        <v>59.54</v>
      </c>
      <c r="I1260" s="6">
        <v>11.91</v>
      </c>
      <c r="J1260" s="6">
        <v>47.63</v>
      </c>
      <c r="K1260" s="5">
        <v>302</v>
      </c>
      <c r="L1260" s="13" t="str">
        <f t="shared" si="38"/>
        <v>Discount Applied</v>
      </c>
      <c r="M1260" s="13" t="str">
        <f t="shared" si="39"/>
        <v>Silver</v>
      </c>
      <c r="N1260" s="13"/>
    </row>
    <row r="1261" spans="1:14" x14ac:dyDescent="0.3">
      <c r="A1261" s="3">
        <v>8734</v>
      </c>
      <c r="B1261" s="3" t="s">
        <v>11</v>
      </c>
      <c r="C1261" s="4">
        <v>45651</v>
      </c>
      <c r="D1261" s="3" t="s">
        <v>34</v>
      </c>
      <c r="E1261" s="3" t="s">
        <v>32</v>
      </c>
      <c r="F1261" s="5">
        <v>1</v>
      </c>
      <c r="G1261" s="6">
        <v>8.93</v>
      </c>
      <c r="H1261" s="6">
        <v>8.93</v>
      </c>
      <c r="I1261" s="6">
        <v>0.89</v>
      </c>
      <c r="J1261" s="6">
        <v>8.0399999999999991</v>
      </c>
      <c r="K1261" s="5">
        <v>98</v>
      </c>
      <c r="L1261" s="13" t="str">
        <f t="shared" si="38"/>
        <v>Discount Applied</v>
      </c>
      <c r="M1261" s="13" t="str">
        <f t="shared" si="39"/>
        <v>Bronze</v>
      </c>
      <c r="N1261" s="13"/>
    </row>
    <row r="1262" spans="1:14" x14ac:dyDescent="0.3">
      <c r="A1262" s="3">
        <v>3948</v>
      </c>
      <c r="B1262" s="3" t="s">
        <v>31</v>
      </c>
      <c r="C1262" s="4">
        <v>45560</v>
      </c>
      <c r="D1262" s="3" t="s">
        <v>28</v>
      </c>
      <c r="E1262" s="3" t="s">
        <v>44</v>
      </c>
      <c r="F1262" s="5">
        <v>1</v>
      </c>
      <c r="G1262" s="6">
        <v>26.06</v>
      </c>
      <c r="H1262" s="6">
        <v>26.06</v>
      </c>
      <c r="I1262" s="6">
        <v>2.23</v>
      </c>
      <c r="J1262" s="6">
        <v>23.83</v>
      </c>
      <c r="K1262" s="5">
        <v>194</v>
      </c>
      <c r="L1262" s="13" t="str">
        <f t="shared" si="38"/>
        <v>Discount Applied</v>
      </c>
      <c r="M1262" s="13" t="str">
        <f t="shared" si="39"/>
        <v>Silver</v>
      </c>
      <c r="N1262" s="13"/>
    </row>
    <row r="1263" spans="1:14" x14ac:dyDescent="0.3">
      <c r="A1263" s="3">
        <v>3218</v>
      </c>
      <c r="B1263" s="3" t="s">
        <v>42</v>
      </c>
      <c r="C1263" s="4">
        <v>45854</v>
      </c>
      <c r="D1263" s="3" t="s">
        <v>17</v>
      </c>
      <c r="E1263" s="3" t="s">
        <v>21</v>
      </c>
      <c r="F1263" s="5">
        <v>4</v>
      </c>
      <c r="G1263" s="6">
        <v>14.89</v>
      </c>
      <c r="H1263" s="6">
        <v>59.56</v>
      </c>
      <c r="I1263" s="6">
        <v>0</v>
      </c>
      <c r="J1263" s="6">
        <v>59.56</v>
      </c>
      <c r="K1263" s="5">
        <v>261</v>
      </c>
      <c r="L1263" s="13" t="str">
        <f t="shared" si="38"/>
        <v>No Discount</v>
      </c>
      <c r="M1263" s="13" t="str">
        <f t="shared" si="39"/>
        <v>Gold</v>
      </c>
      <c r="N1263" s="13"/>
    </row>
    <row r="1264" spans="1:14" x14ac:dyDescent="0.3">
      <c r="A1264" s="3">
        <v>7887</v>
      </c>
      <c r="B1264" s="3" t="s">
        <v>31</v>
      </c>
      <c r="C1264" s="4">
        <v>45469</v>
      </c>
      <c r="D1264" s="3" t="s">
        <v>35</v>
      </c>
      <c r="E1264" s="3" t="s">
        <v>48</v>
      </c>
      <c r="F1264" s="5">
        <v>3</v>
      </c>
      <c r="G1264" s="6">
        <v>11.53</v>
      </c>
      <c r="H1264" s="6">
        <v>34.590000000000003</v>
      </c>
      <c r="I1264" s="6">
        <v>0</v>
      </c>
      <c r="J1264" s="6">
        <v>34.590000000000003</v>
      </c>
      <c r="K1264" s="5">
        <v>482</v>
      </c>
      <c r="L1264" s="13" t="str">
        <f t="shared" si="38"/>
        <v>No Discount</v>
      </c>
      <c r="M1264" s="13" t="str">
        <f t="shared" si="39"/>
        <v>Silver</v>
      </c>
      <c r="N1264" s="13"/>
    </row>
    <row r="1265" spans="1:14" x14ac:dyDescent="0.3">
      <c r="A1265" s="3">
        <v>7266</v>
      </c>
      <c r="B1265" s="3" t="s">
        <v>24</v>
      </c>
      <c r="C1265" s="4">
        <v>45870</v>
      </c>
      <c r="D1265" s="3" t="s">
        <v>17</v>
      </c>
      <c r="E1265" s="3" t="s">
        <v>21</v>
      </c>
      <c r="F1265" s="5">
        <v>1</v>
      </c>
      <c r="G1265" s="6">
        <v>6.26</v>
      </c>
      <c r="H1265" s="6">
        <v>6.26</v>
      </c>
      <c r="I1265" s="6">
        <v>0</v>
      </c>
      <c r="J1265" s="6">
        <v>6.26</v>
      </c>
      <c r="K1265" s="5">
        <v>0</v>
      </c>
      <c r="L1265" s="13" t="str">
        <f t="shared" si="38"/>
        <v>No Discount</v>
      </c>
      <c r="M1265" s="13" t="str">
        <f t="shared" si="39"/>
        <v>Bronze</v>
      </c>
      <c r="N1265" s="13"/>
    </row>
    <row r="1266" spans="1:14" x14ac:dyDescent="0.3">
      <c r="A1266" s="3">
        <v>7184</v>
      </c>
      <c r="B1266" s="3" t="s">
        <v>36</v>
      </c>
      <c r="C1266" s="4">
        <v>45794</v>
      </c>
      <c r="D1266" s="3" t="s">
        <v>17</v>
      </c>
      <c r="E1266" s="3" t="s">
        <v>37</v>
      </c>
      <c r="F1266" s="5">
        <v>4</v>
      </c>
      <c r="G1266" s="6">
        <v>9.11</v>
      </c>
      <c r="H1266" s="6">
        <v>36.44</v>
      </c>
      <c r="I1266" s="6">
        <v>3.64</v>
      </c>
      <c r="J1266" s="6">
        <v>32.799999999999997</v>
      </c>
      <c r="K1266" s="5">
        <v>310</v>
      </c>
      <c r="L1266" s="13" t="str">
        <f t="shared" si="38"/>
        <v>Discount Applied</v>
      </c>
      <c r="M1266" s="13" t="str">
        <f t="shared" si="39"/>
        <v>Silver</v>
      </c>
      <c r="N1266" s="13"/>
    </row>
    <row r="1267" spans="1:14" x14ac:dyDescent="0.3">
      <c r="A1267" s="3">
        <v>2314</v>
      </c>
      <c r="B1267" s="3" t="s">
        <v>19</v>
      </c>
      <c r="C1267" s="4">
        <v>45757</v>
      </c>
      <c r="D1267" s="3" t="s">
        <v>35</v>
      </c>
      <c r="E1267" s="3" t="s">
        <v>47</v>
      </c>
      <c r="F1267" s="5">
        <v>3</v>
      </c>
      <c r="G1267" s="6">
        <v>10.68</v>
      </c>
      <c r="H1267" s="6">
        <v>32.04</v>
      </c>
      <c r="I1267" s="6">
        <v>0</v>
      </c>
      <c r="J1267" s="6">
        <v>32.04</v>
      </c>
      <c r="K1267" s="5">
        <v>57</v>
      </c>
      <c r="L1267" s="13" t="str">
        <f t="shared" si="38"/>
        <v>No Discount</v>
      </c>
      <c r="M1267" s="13" t="str">
        <f t="shared" si="39"/>
        <v>Silver</v>
      </c>
      <c r="N1267" s="13"/>
    </row>
    <row r="1268" spans="1:14" x14ac:dyDescent="0.3">
      <c r="A1268" s="3">
        <v>6697</v>
      </c>
      <c r="B1268" s="3" t="s">
        <v>31</v>
      </c>
      <c r="C1268" s="4">
        <v>45289</v>
      </c>
      <c r="D1268" s="3" t="s">
        <v>27</v>
      </c>
      <c r="E1268" s="3" t="s">
        <v>18</v>
      </c>
      <c r="F1268" s="5">
        <v>2</v>
      </c>
      <c r="G1268" s="6">
        <v>10.6</v>
      </c>
      <c r="H1268" s="6">
        <v>21.2</v>
      </c>
      <c r="I1268" s="6">
        <v>0</v>
      </c>
      <c r="J1268" s="6">
        <v>21.2</v>
      </c>
      <c r="K1268" s="5">
        <v>379</v>
      </c>
      <c r="L1268" s="13" t="str">
        <f t="shared" si="38"/>
        <v>No Discount</v>
      </c>
      <c r="M1268" s="13" t="str">
        <f t="shared" si="39"/>
        <v>Silver</v>
      </c>
      <c r="N1268" s="13"/>
    </row>
    <row r="1269" spans="1:14" x14ac:dyDescent="0.3">
      <c r="A1269" s="3">
        <v>3924</v>
      </c>
      <c r="B1269" s="3" t="s">
        <v>14</v>
      </c>
      <c r="C1269" s="4">
        <v>45825</v>
      </c>
      <c r="D1269" s="3" t="s">
        <v>28</v>
      </c>
      <c r="E1269" s="3" t="s">
        <v>23</v>
      </c>
      <c r="F1269" s="5">
        <v>2</v>
      </c>
      <c r="G1269" s="6">
        <v>19.850000000000001</v>
      </c>
      <c r="H1269" s="6">
        <v>39.700000000000003</v>
      </c>
      <c r="I1269" s="6">
        <v>4.55</v>
      </c>
      <c r="J1269" s="6">
        <v>35.15</v>
      </c>
      <c r="K1269" s="5">
        <v>107</v>
      </c>
      <c r="L1269" s="13" t="str">
        <f t="shared" si="38"/>
        <v>Discount Applied</v>
      </c>
      <c r="M1269" s="13" t="str">
        <f t="shared" si="39"/>
        <v>Silver</v>
      </c>
      <c r="N1269" s="13"/>
    </row>
    <row r="1270" spans="1:14" x14ac:dyDescent="0.3">
      <c r="A1270" s="3">
        <v>7439</v>
      </c>
      <c r="B1270" s="3" t="s">
        <v>19</v>
      </c>
      <c r="C1270" s="4">
        <v>45152</v>
      </c>
      <c r="D1270" s="3" t="s">
        <v>27</v>
      </c>
      <c r="E1270" s="3" t="s">
        <v>48</v>
      </c>
      <c r="F1270" s="5">
        <v>1</v>
      </c>
      <c r="G1270" s="6">
        <v>18</v>
      </c>
      <c r="H1270" s="6">
        <v>18</v>
      </c>
      <c r="I1270" s="6">
        <v>3.6</v>
      </c>
      <c r="J1270" s="6">
        <v>14.4</v>
      </c>
      <c r="K1270" s="5">
        <v>467</v>
      </c>
      <c r="L1270" s="13" t="str">
        <f t="shared" si="38"/>
        <v>Discount Applied</v>
      </c>
      <c r="M1270" s="13" t="str">
        <f t="shared" si="39"/>
        <v>Bronze</v>
      </c>
      <c r="N1270" s="13"/>
    </row>
    <row r="1271" spans="1:14" x14ac:dyDescent="0.3">
      <c r="A1271" s="3">
        <v>3086</v>
      </c>
      <c r="B1271" s="3" t="s">
        <v>26</v>
      </c>
      <c r="C1271" s="4">
        <v>45586</v>
      </c>
      <c r="D1271" s="3" t="s">
        <v>15</v>
      </c>
      <c r="E1271" s="3" t="s">
        <v>43</v>
      </c>
      <c r="F1271" s="5">
        <v>5</v>
      </c>
      <c r="G1271" s="6">
        <v>18.940000000000001</v>
      </c>
      <c r="H1271" s="6">
        <v>94.7</v>
      </c>
      <c r="I1271" s="6">
        <v>18.940000000000001</v>
      </c>
      <c r="J1271" s="6">
        <v>75.760000000000005</v>
      </c>
      <c r="K1271" s="5">
        <v>154</v>
      </c>
      <c r="L1271" s="13" t="str">
        <f t="shared" si="38"/>
        <v>Discount Applied</v>
      </c>
      <c r="M1271" s="13" t="str">
        <f t="shared" si="39"/>
        <v>Platinum</v>
      </c>
      <c r="N1271" s="13"/>
    </row>
    <row r="1272" spans="1:14" x14ac:dyDescent="0.3">
      <c r="A1272" s="3">
        <v>4648</v>
      </c>
      <c r="B1272" s="3" t="s">
        <v>14</v>
      </c>
      <c r="C1272" s="4">
        <v>45866</v>
      </c>
      <c r="D1272" s="3" t="s">
        <v>34</v>
      </c>
      <c r="E1272" s="3" t="s">
        <v>40</v>
      </c>
      <c r="F1272" s="5">
        <v>2</v>
      </c>
      <c r="G1272" s="6">
        <v>6.55</v>
      </c>
      <c r="H1272" s="6">
        <v>13.1</v>
      </c>
      <c r="I1272" s="6">
        <v>4.9000000000000004</v>
      </c>
      <c r="J1272" s="6">
        <v>8.1999999999999993</v>
      </c>
      <c r="K1272" s="5">
        <v>281</v>
      </c>
      <c r="L1272" s="13" t="str">
        <f t="shared" si="38"/>
        <v>Discount Applied</v>
      </c>
      <c r="M1272" s="13" t="str">
        <f t="shared" si="39"/>
        <v>Bronze</v>
      </c>
      <c r="N1272" s="13"/>
    </row>
    <row r="1273" spans="1:14" x14ac:dyDescent="0.3">
      <c r="A1273" s="3">
        <v>1056</v>
      </c>
      <c r="B1273" s="3" t="s">
        <v>36</v>
      </c>
      <c r="C1273" s="4">
        <v>45366</v>
      </c>
      <c r="D1273" s="3" t="s">
        <v>45</v>
      </c>
      <c r="E1273" s="3" t="s">
        <v>48</v>
      </c>
      <c r="F1273" s="5">
        <v>4</v>
      </c>
      <c r="G1273" s="6">
        <v>2.95</v>
      </c>
      <c r="H1273" s="6">
        <v>11.8</v>
      </c>
      <c r="I1273" s="6">
        <v>2.36</v>
      </c>
      <c r="J1273" s="6">
        <v>9.44</v>
      </c>
      <c r="K1273" s="5">
        <v>214</v>
      </c>
      <c r="L1273" s="13" t="str">
        <f t="shared" si="38"/>
        <v>Discount Applied</v>
      </c>
      <c r="M1273" s="13" t="str">
        <f t="shared" si="39"/>
        <v>Bronze</v>
      </c>
      <c r="N1273" s="13"/>
    </row>
    <row r="1274" spans="1:14" x14ac:dyDescent="0.3">
      <c r="A1274" s="3">
        <v>1372</v>
      </c>
      <c r="B1274" s="3" t="s">
        <v>30</v>
      </c>
      <c r="C1274" s="4">
        <v>45643</v>
      </c>
      <c r="D1274" s="3" t="s">
        <v>34</v>
      </c>
      <c r="E1274" s="3" t="s">
        <v>37</v>
      </c>
      <c r="F1274" s="5">
        <v>1</v>
      </c>
      <c r="G1274" s="6">
        <v>28.71</v>
      </c>
      <c r="H1274" s="6">
        <v>28.71</v>
      </c>
      <c r="I1274" s="6">
        <v>0</v>
      </c>
      <c r="J1274" s="6">
        <v>28.71</v>
      </c>
      <c r="K1274" s="5">
        <v>31</v>
      </c>
      <c r="L1274" s="13" t="str">
        <f t="shared" si="38"/>
        <v>No Discount</v>
      </c>
      <c r="M1274" s="13" t="str">
        <f t="shared" si="39"/>
        <v>Silver</v>
      </c>
      <c r="N1274" s="13"/>
    </row>
    <row r="1275" spans="1:14" x14ac:dyDescent="0.3">
      <c r="A1275" s="3">
        <v>8585</v>
      </c>
      <c r="B1275" s="3" t="s">
        <v>24</v>
      </c>
      <c r="C1275" s="4">
        <v>45552</v>
      </c>
      <c r="D1275" s="3" t="s">
        <v>45</v>
      </c>
      <c r="E1275" s="3" t="s">
        <v>18</v>
      </c>
      <c r="F1275" s="5">
        <v>5</v>
      </c>
      <c r="G1275" s="6">
        <v>29.16</v>
      </c>
      <c r="H1275" s="6">
        <v>145.80000000000001</v>
      </c>
      <c r="I1275" s="6">
        <v>2.54</v>
      </c>
      <c r="J1275" s="6">
        <v>143.26</v>
      </c>
      <c r="K1275" s="5">
        <v>84</v>
      </c>
      <c r="L1275" s="13" t="str">
        <f t="shared" si="38"/>
        <v>Discount Applied</v>
      </c>
      <c r="M1275" s="13" t="str">
        <f t="shared" si="39"/>
        <v>Platinum</v>
      </c>
      <c r="N1275" s="13"/>
    </row>
    <row r="1276" spans="1:14" x14ac:dyDescent="0.3">
      <c r="A1276" s="3">
        <v>9920</v>
      </c>
      <c r="B1276" s="3" t="s">
        <v>24</v>
      </c>
      <c r="C1276" s="4">
        <v>45835</v>
      </c>
      <c r="D1276" s="3" t="s">
        <v>20</v>
      </c>
      <c r="E1276" s="3" t="s">
        <v>13</v>
      </c>
      <c r="F1276" s="5">
        <v>2</v>
      </c>
      <c r="G1276" s="6">
        <v>6.33</v>
      </c>
      <c r="H1276" s="6">
        <v>12.66</v>
      </c>
      <c r="I1276" s="6">
        <v>3.79</v>
      </c>
      <c r="J1276" s="6">
        <v>8.8699999999999992</v>
      </c>
      <c r="K1276" s="5">
        <v>81</v>
      </c>
      <c r="L1276" s="13" t="str">
        <f t="shared" si="38"/>
        <v>Discount Applied</v>
      </c>
      <c r="M1276" s="13" t="str">
        <f t="shared" si="39"/>
        <v>Bronze</v>
      </c>
      <c r="N1276" s="13"/>
    </row>
    <row r="1277" spans="1:14" x14ac:dyDescent="0.3">
      <c r="A1277" s="3">
        <v>9715</v>
      </c>
      <c r="B1277" s="3" t="s">
        <v>14</v>
      </c>
      <c r="C1277" s="4">
        <v>45806</v>
      </c>
      <c r="D1277" s="3" t="s">
        <v>45</v>
      </c>
      <c r="E1277" s="3" t="s">
        <v>46</v>
      </c>
      <c r="F1277" s="5">
        <v>5</v>
      </c>
      <c r="G1277" s="6">
        <v>8.5</v>
      </c>
      <c r="H1277" s="6">
        <v>42.5</v>
      </c>
      <c r="I1277" s="6">
        <v>6.38</v>
      </c>
      <c r="J1277" s="6">
        <v>36.119999999999997</v>
      </c>
      <c r="K1277" s="5">
        <v>436</v>
      </c>
      <c r="L1277" s="13" t="str">
        <f t="shared" si="38"/>
        <v>Discount Applied</v>
      </c>
      <c r="M1277" s="13" t="str">
        <f t="shared" si="39"/>
        <v>Silver</v>
      </c>
      <c r="N1277" s="13"/>
    </row>
    <row r="1278" spans="1:14" x14ac:dyDescent="0.3">
      <c r="A1278" s="3">
        <v>4762</v>
      </c>
      <c r="B1278" s="3" t="s">
        <v>30</v>
      </c>
      <c r="C1278" s="4">
        <v>45508</v>
      </c>
      <c r="D1278" s="3" t="s">
        <v>38</v>
      </c>
      <c r="E1278" s="3" t="s">
        <v>48</v>
      </c>
      <c r="F1278" s="5">
        <v>2</v>
      </c>
      <c r="G1278" s="6">
        <v>7.48</v>
      </c>
      <c r="H1278" s="6">
        <v>14.96</v>
      </c>
      <c r="I1278" s="6">
        <v>2.2400000000000002</v>
      </c>
      <c r="J1278" s="6">
        <v>12.72</v>
      </c>
      <c r="K1278" s="5">
        <v>273</v>
      </c>
      <c r="L1278" s="13" t="str">
        <f t="shared" si="38"/>
        <v>Discount Applied</v>
      </c>
      <c r="M1278" s="13" t="str">
        <f t="shared" si="39"/>
        <v>Bronze</v>
      </c>
      <c r="N1278" s="13"/>
    </row>
    <row r="1279" spans="1:14" x14ac:dyDescent="0.3">
      <c r="A1279" s="3">
        <v>8546</v>
      </c>
      <c r="B1279" s="3" t="s">
        <v>31</v>
      </c>
      <c r="C1279" s="4">
        <v>45294</v>
      </c>
      <c r="D1279" s="3" t="s">
        <v>27</v>
      </c>
      <c r="E1279" s="3" t="s">
        <v>41</v>
      </c>
      <c r="F1279" s="5">
        <v>3</v>
      </c>
      <c r="G1279" s="6">
        <v>27.88</v>
      </c>
      <c r="H1279" s="6">
        <v>83.64</v>
      </c>
      <c r="I1279" s="6">
        <v>0</v>
      </c>
      <c r="J1279" s="6">
        <v>83.64</v>
      </c>
      <c r="K1279" s="5">
        <v>138</v>
      </c>
      <c r="L1279" s="13" t="str">
        <f t="shared" si="38"/>
        <v>No Discount</v>
      </c>
      <c r="M1279" s="13" t="str">
        <f t="shared" si="39"/>
        <v>Platinum</v>
      </c>
      <c r="N1279" s="13"/>
    </row>
    <row r="1280" spans="1:14" x14ac:dyDescent="0.3">
      <c r="A1280" s="3">
        <v>3541</v>
      </c>
      <c r="B1280" s="3" t="s">
        <v>42</v>
      </c>
      <c r="C1280" s="4">
        <v>45401</v>
      </c>
      <c r="D1280" s="3" t="s">
        <v>17</v>
      </c>
      <c r="E1280" s="3" t="s">
        <v>18</v>
      </c>
      <c r="F1280" s="5">
        <v>1</v>
      </c>
      <c r="G1280" s="6">
        <v>1.03</v>
      </c>
      <c r="H1280" s="6">
        <v>1.03</v>
      </c>
      <c r="I1280" s="6">
        <v>0.15</v>
      </c>
      <c r="J1280" s="6">
        <v>0.88</v>
      </c>
      <c r="K1280" s="5">
        <v>177</v>
      </c>
      <c r="L1280" s="13" t="str">
        <f t="shared" si="38"/>
        <v>Discount Applied</v>
      </c>
      <c r="M1280" s="13" t="str">
        <f t="shared" si="39"/>
        <v>Bronze</v>
      </c>
      <c r="N1280" s="13"/>
    </row>
    <row r="1281" spans="1:14" x14ac:dyDescent="0.3">
      <c r="A1281" s="3">
        <v>4088</v>
      </c>
      <c r="B1281" s="3" t="s">
        <v>11</v>
      </c>
      <c r="C1281" s="4">
        <v>45712</v>
      </c>
      <c r="D1281" s="3" t="s">
        <v>38</v>
      </c>
      <c r="E1281" s="3" t="s">
        <v>13</v>
      </c>
      <c r="F1281" s="5">
        <v>2</v>
      </c>
      <c r="G1281" s="6">
        <v>12.83</v>
      </c>
      <c r="H1281" s="6">
        <v>25.66</v>
      </c>
      <c r="I1281" s="6">
        <v>3.85</v>
      </c>
      <c r="J1281" s="6">
        <v>21.81</v>
      </c>
      <c r="K1281" s="5">
        <v>313</v>
      </c>
      <c r="L1281" s="13" t="str">
        <f t="shared" si="38"/>
        <v>Discount Applied</v>
      </c>
      <c r="M1281" s="13" t="str">
        <f t="shared" si="39"/>
        <v>Silver</v>
      </c>
      <c r="N1281" s="13"/>
    </row>
    <row r="1282" spans="1:14" x14ac:dyDescent="0.3">
      <c r="A1282" s="3">
        <v>2848</v>
      </c>
      <c r="B1282" s="3" t="s">
        <v>31</v>
      </c>
      <c r="C1282" s="4">
        <v>45648</v>
      </c>
      <c r="D1282" s="3" t="s">
        <v>27</v>
      </c>
      <c r="E1282" s="3" t="s">
        <v>39</v>
      </c>
      <c r="F1282" s="5">
        <v>3</v>
      </c>
      <c r="G1282" s="6">
        <v>7.35</v>
      </c>
      <c r="H1282" s="6">
        <v>22.05</v>
      </c>
      <c r="I1282" s="6">
        <v>4.41</v>
      </c>
      <c r="J1282" s="6">
        <v>17.64</v>
      </c>
      <c r="K1282" s="5">
        <v>494</v>
      </c>
      <c r="L1282" s="13" t="str">
        <f t="shared" si="38"/>
        <v>Discount Applied</v>
      </c>
      <c r="M1282" s="13" t="str">
        <f t="shared" si="39"/>
        <v>Bronze</v>
      </c>
      <c r="N1282" s="13"/>
    </row>
    <row r="1283" spans="1:14" x14ac:dyDescent="0.3">
      <c r="A1283" s="3">
        <v>7868</v>
      </c>
      <c r="B1283" s="3" t="s">
        <v>30</v>
      </c>
      <c r="C1283" s="4">
        <v>45703</v>
      </c>
      <c r="D1283" s="3" t="s">
        <v>12</v>
      </c>
      <c r="E1283" s="3" t="s">
        <v>18</v>
      </c>
      <c r="F1283" s="5">
        <v>5</v>
      </c>
      <c r="G1283" s="6">
        <v>4.08</v>
      </c>
      <c r="H1283" s="6">
        <v>20.399999999999999</v>
      </c>
      <c r="I1283" s="6">
        <v>0</v>
      </c>
      <c r="J1283" s="6">
        <v>20.399999999999999</v>
      </c>
      <c r="K1283" s="5">
        <v>381</v>
      </c>
      <c r="L1283" s="13" t="str">
        <f t="shared" ref="L1283:L1346" si="40">IF(I1283&gt;0,"Discount Applied","No Discount")</f>
        <v>No Discount</v>
      </c>
      <c r="M1283" s="13" t="str">
        <f t="shared" ref="M1283:M1346" si="41">IF(J1283 &gt;= 70, "Platinum",
   IF(J1283 &gt;= 50, "Gold",
      IF(J1283 &gt;= 20, "Silver", "Bronze")))</f>
        <v>Silver</v>
      </c>
      <c r="N1283" s="13"/>
    </row>
    <row r="1284" spans="1:14" x14ac:dyDescent="0.3">
      <c r="A1284" s="3">
        <v>1256</v>
      </c>
      <c r="B1284" s="3" t="s">
        <v>30</v>
      </c>
      <c r="C1284" s="4">
        <v>45155</v>
      </c>
      <c r="D1284" s="3" t="s">
        <v>27</v>
      </c>
      <c r="E1284" s="3" t="s">
        <v>18</v>
      </c>
      <c r="F1284" s="5">
        <v>2</v>
      </c>
      <c r="G1284" s="6">
        <v>24.68</v>
      </c>
      <c r="H1284" s="6">
        <v>49.36</v>
      </c>
      <c r="I1284" s="6">
        <v>7.4</v>
      </c>
      <c r="J1284" s="6">
        <v>41.96</v>
      </c>
      <c r="K1284" s="5">
        <v>112</v>
      </c>
      <c r="L1284" s="13" t="str">
        <f t="shared" si="40"/>
        <v>Discount Applied</v>
      </c>
      <c r="M1284" s="13" t="str">
        <f t="shared" si="41"/>
        <v>Silver</v>
      </c>
      <c r="N1284" s="13"/>
    </row>
    <row r="1285" spans="1:14" x14ac:dyDescent="0.3">
      <c r="A1285" s="3">
        <v>4376</v>
      </c>
      <c r="B1285" s="3" t="s">
        <v>42</v>
      </c>
      <c r="C1285" s="4">
        <v>45759</v>
      </c>
      <c r="D1285" s="3" t="s">
        <v>28</v>
      </c>
      <c r="E1285" s="3" t="s">
        <v>32</v>
      </c>
      <c r="F1285" s="5">
        <v>2</v>
      </c>
      <c r="G1285" s="6">
        <v>13.93</v>
      </c>
      <c r="H1285" s="6">
        <v>27.86</v>
      </c>
      <c r="I1285" s="6">
        <v>4.18</v>
      </c>
      <c r="J1285" s="6">
        <v>23.68</v>
      </c>
      <c r="K1285" s="5">
        <v>373</v>
      </c>
      <c r="L1285" s="13" t="str">
        <f t="shared" si="40"/>
        <v>Discount Applied</v>
      </c>
      <c r="M1285" s="13" t="str">
        <f t="shared" si="41"/>
        <v>Silver</v>
      </c>
      <c r="N1285" s="13"/>
    </row>
    <row r="1286" spans="1:14" x14ac:dyDescent="0.3">
      <c r="A1286" s="3">
        <v>2653</v>
      </c>
      <c r="B1286" s="3" t="s">
        <v>19</v>
      </c>
      <c r="C1286" s="4">
        <v>45586</v>
      </c>
      <c r="D1286" s="3" t="s">
        <v>45</v>
      </c>
      <c r="E1286" s="3" t="s">
        <v>43</v>
      </c>
      <c r="F1286" s="5">
        <v>4</v>
      </c>
      <c r="G1286" s="6">
        <v>6.25</v>
      </c>
      <c r="H1286" s="6">
        <v>25</v>
      </c>
      <c r="I1286" s="6">
        <v>5</v>
      </c>
      <c r="J1286" s="6">
        <v>20</v>
      </c>
      <c r="K1286" s="5">
        <v>94</v>
      </c>
      <c r="L1286" s="13" t="str">
        <f t="shared" si="40"/>
        <v>Discount Applied</v>
      </c>
      <c r="M1286" s="13" t="str">
        <f t="shared" si="41"/>
        <v>Silver</v>
      </c>
      <c r="N1286" s="13"/>
    </row>
    <row r="1287" spans="1:14" x14ac:dyDescent="0.3">
      <c r="A1287" s="3">
        <v>1550</v>
      </c>
      <c r="B1287" s="3" t="s">
        <v>26</v>
      </c>
      <c r="C1287" s="4">
        <v>45281</v>
      </c>
      <c r="D1287" s="3" t="s">
        <v>34</v>
      </c>
      <c r="E1287" s="3" t="s">
        <v>37</v>
      </c>
      <c r="F1287" s="5">
        <v>1</v>
      </c>
      <c r="G1287" s="6">
        <v>9.98</v>
      </c>
      <c r="H1287" s="6">
        <v>9.98</v>
      </c>
      <c r="I1287" s="6">
        <v>1</v>
      </c>
      <c r="J1287" s="6">
        <v>8.98</v>
      </c>
      <c r="K1287" s="5">
        <v>453</v>
      </c>
      <c r="L1287" s="13" t="str">
        <f t="shared" si="40"/>
        <v>Discount Applied</v>
      </c>
      <c r="M1287" s="13" t="str">
        <f t="shared" si="41"/>
        <v>Bronze</v>
      </c>
      <c r="N1287" s="13"/>
    </row>
    <row r="1288" spans="1:14" x14ac:dyDescent="0.3">
      <c r="A1288" s="3">
        <v>1797</v>
      </c>
      <c r="B1288" s="3" t="s">
        <v>42</v>
      </c>
      <c r="C1288" s="4">
        <v>45787</v>
      </c>
      <c r="D1288" s="3" t="s">
        <v>15</v>
      </c>
      <c r="E1288" s="3" t="s">
        <v>41</v>
      </c>
      <c r="F1288" s="5">
        <v>1</v>
      </c>
      <c r="G1288" s="6">
        <v>13.36</v>
      </c>
      <c r="H1288" s="6">
        <v>13.36</v>
      </c>
      <c r="I1288" s="6">
        <v>3.9</v>
      </c>
      <c r="J1288" s="6">
        <v>9.4600000000000009</v>
      </c>
      <c r="K1288" s="5">
        <v>232</v>
      </c>
      <c r="L1288" s="13" t="str">
        <f t="shared" si="40"/>
        <v>Discount Applied</v>
      </c>
      <c r="M1288" s="13" t="str">
        <f t="shared" si="41"/>
        <v>Bronze</v>
      </c>
      <c r="N1288" s="13"/>
    </row>
    <row r="1289" spans="1:14" x14ac:dyDescent="0.3">
      <c r="A1289" s="3">
        <v>1724</v>
      </c>
      <c r="B1289" s="3" t="s">
        <v>19</v>
      </c>
      <c r="C1289" s="4">
        <v>45545</v>
      </c>
      <c r="D1289" s="3" t="s">
        <v>12</v>
      </c>
      <c r="E1289" s="3" t="s">
        <v>48</v>
      </c>
      <c r="F1289" s="5">
        <v>4</v>
      </c>
      <c r="G1289" s="6">
        <v>12.13</v>
      </c>
      <c r="H1289" s="6">
        <v>48.52</v>
      </c>
      <c r="I1289" s="6">
        <v>0</v>
      </c>
      <c r="J1289" s="6">
        <v>48.52</v>
      </c>
      <c r="K1289" s="5">
        <v>56</v>
      </c>
      <c r="L1289" s="13" t="str">
        <f t="shared" si="40"/>
        <v>No Discount</v>
      </c>
      <c r="M1289" s="13" t="str">
        <f t="shared" si="41"/>
        <v>Silver</v>
      </c>
      <c r="N1289" s="13"/>
    </row>
    <row r="1290" spans="1:14" x14ac:dyDescent="0.3">
      <c r="A1290" s="3">
        <v>8191</v>
      </c>
      <c r="B1290" s="3" t="s">
        <v>31</v>
      </c>
      <c r="C1290" s="4">
        <v>45212</v>
      </c>
      <c r="D1290" s="3" t="s">
        <v>34</v>
      </c>
      <c r="E1290" s="3" t="s">
        <v>25</v>
      </c>
      <c r="F1290" s="5">
        <v>1</v>
      </c>
      <c r="G1290" s="6">
        <v>8.75</v>
      </c>
      <c r="H1290" s="6">
        <v>8.75</v>
      </c>
      <c r="I1290" s="6">
        <v>4.83</v>
      </c>
      <c r="J1290" s="6">
        <v>3.92</v>
      </c>
      <c r="K1290" s="5">
        <v>480</v>
      </c>
      <c r="L1290" s="13" t="str">
        <f t="shared" si="40"/>
        <v>Discount Applied</v>
      </c>
      <c r="M1290" s="13" t="str">
        <f t="shared" si="41"/>
        <v>Bronze</v>
      </c>
      <c r="N1290" s="13"/>
    </row>
    <row r="1291" spans="1:14" x14ac:dyDescent="0.3">
      <c r="A1291" s="3">
        <v>1924</v>
      </c>
      <c r="B1291" s="3" t="s">
        <v>11</v>
      </c>
      <c r="C1291" s="4">
        <v>45664</v>
      </c>
      <c r="D1291" s="3" t="s">
        <v>38</v>
      </c>
      <c r="E1291" s="3" t="s">
        <v>21</v>
      </c>
      <c r="F1291" s="5">
        <v>1</v>
      </c>
      <c r="G1291" s="6">
        <v>6.86</v>
      </c>
      <c r="H1291" s="6">
        <v>6.86</v>
      </c>
      <c r="I1291" s="6">
        <v>1.37</v>
      </c>
      <c r="J1291" s="6">
        <v>5.49</v>
      </c>
      <c r="K1291" s="5">
        <v>245</v>
      </c>
      <c r="L1291" s="13" t="str">
        <f t="shared" si="40"/>
        <v>Discount Applied</v>
      </c>
      <c r="M1291" s="13" t="str">
        <f t="shared" si="41"/>
        <v>Bronze</v>
      </c>
      <c r="N1291" s="13"/>
    </row>
    <row r="1292" spans="1:14" x14ac:dyDescent="0.3">
      <c r="A1292" s="3">
        <v>9255</v>
      </c>
      <c r="B1292" s="3" t="s">
        <v>30</v>
      </c>
      <c r="C1292" s="4">
        <v>45288</v>
      </c>
      <c r="D1292" s="3" t="s">
        <v>22</v>
      </c>
      <c r="E1292" s="3" t="s">
        <v>47</v>
      </c>
      <c r="F1292" s="5">
        <v>2</v>
      </c>
      <c r="G1292" s="6">
        <v>8.06</v>
      </c>
      <c r="H1292" s="6">
        <v>16.12</v>
      </c>
      <c r="I1292" s="6">
        <v>0</v>
      </c>
      <c r="J1292" s="6">
        <v>16.12</v>
      </c>
      <c r="K1292" s="5">
        <v>278</v>
      </c>
      <c r="L1292" s="13" t="str">
        <f t="shared" si="40"/>
        <v>No Discount</v>
      </c>
      <c r="M1292" s="13" t="str">
        <f t="shared" si="41"/>
        <v>Bronze</v>
      </c>
      <c r="N1292" s="13"/>
    </row>
    <row r="1293" spans="1:14" x14ac:dyDescent="0.3">
      <c r="A1293" s="3">
        <v>4836</v>
      </c>
      <c r="B1293" s="3" t="s">
        <v>14</v>
      </c>
      <c r="C1293" s="4">
        <v>45515</v>
      </c>
      <c r="D1293" s="3" t="s">
        <v>15</v>
      </c>
      <c r="E1293" s="3" t="s">
        <v>39</v>
      </c>
      <c r="F1293" s="5">
        <v>1</v>
      </c>
      <c r="G1293" s="6">
        <v>3.97</v>
      </c>
      <c r="H1293" s="6">
        <v>3.97</v>
      </c>
      <c r="I1293" s="6">
        <v>4.55</v>
      </c>
      <c r="J1293" s="6">
        <v>-0.57999999999999996</v>
      </c>
      <c r="K1293" s="5">
        <v>151</v>
      </c>
      <c r="L1293" s="13" t="str">
        <f t="shared" si="40"/>
        <v>Discount Applied</v>
      </c>
      <c r="M1293" s="13" t="str">
        <f t="shared" si="41"/>
        <v>Bronze</v>
      </c>
      <c r="N1293" s="13"/>
    </row>
    <row r="1294" spans="1:14" x14ac:dyDescent="0.3">
      <c r="A1294" s="3">
        <v>6224</v>
      </c>
      <c r="B1294" s="3" t="s">
        <v>24</v>
      </c>
      <c r="C1294" s="4">
        <v>45871</v>
      </c>
      <c r="D1294" s="3" t="s">
        <v>34</v>
      </c>
      <c r="E1294" s="3" t="s">
        <v>39</v>
      </c>
      <c r="F1294" s="5">
        <v>2</v>
      </c>
      <c r="G1294" s="6">
        <v>1.69</v>
      </c>
      <c r="H1294" s="6">
        <v>3.38</v>
      </c>
      <c r="I1294" s="6">
        <v>0.68</v>
      </c>
      <c r="J1294" s="6">
        <v>2.7</v>
      </c>
      <c r="K1294" s="5">
        <v>218</v>
      </c>
      <c r="L1294" s="13" t="str">
        <f t="shared" si="40"/>
        <v>Discount Applied</v>
      </c>
      <c r="M1294" s="13" t="str">
        <f t="shared" si="41"/>
        <v>Bronze</v>
      </c>
      <c r="N1294" s="13"/>
    </row>
    <row r="1295" spans="1:14" x14ac:dyDescent="0.3">
      <c r="A1295" s="3">
        <v>6253</v>
      </c>
      <c r="B1295" s="3" t="s">
        <v>36</v>
      </c>
      <c r="C1295" s="4">
        <v>45150</v>
      </c>
      <c r="D1295" s="3" t="s">
        <v>27</v>
      </c>
      <c r="E1295" s="3" t="s">
        <v>37</v>
      </c>
      <c r="F1295" s="5">
        <v>2</v>
      </c>
      <c r="G1295" s="6">
        <v>27.72</v>
      </c>
      <c r="H1295" s="6">
        <v>55.44</v>
      </c>
      <c r="I1295" s="6">
        <v>0</v>
      </c>
      <c r="J1295" s="6">
        <v>55.44</v>
      </c>
      <c r="K1295" s="5">
        <v>350</v>
      </c>
      <c r="L1295" s="13" t="str">
        <f t="shared" si="40"/>
        <v>No Discount</v>
      </c>
      <c r="M1295" s="13" t="str">
        <f t="shared" si="41"/>
        <v>Gold</v>
      </c>
      <c r="N1295" s="13"/>
    </row>
    <row r="1296" spans="1:14" x14ac:dyDescent="0.3">
      <c r="A1296" s="3">
        <v>5944</v>
      </c>
      <c r="B1296" s="3" t="s">
        <v>11</v>
      </c>
      <c r="C1296" s="4">
        <v>45442</v>
      </c>
      <c r="D1296" s="3" t="s">
        <v>45</v>
      </c>
      <c r="E1296" s="3" t="s">
        <v>29</v>
      </c>
      <c r="F1296" s="5">
        <v>1</v>
      </c>
      <c r="G1296" s="6">
        <v>7.5</v>
      </c>
      <c r="H1296" s="6">
        <v>7.5</v>
      </c>
      <c r="I1296" s="6">
        <v>1.1200000000000001</v>
      </c>
      <c r="J1296" s="6">
        <v>6.38</v>
      </c>
      <c r="K1296" s="5">
        <v>489</v>
      </c>
      <c r="L1296" s="13" t="str">
        <f t="shared" si="40"/>
        <v>Discount Applied</v>
      </c>
      <c r="M1296" s="13" t="str">
        <f t="shared" si="41"/>
        <v>Bronze</v>
      </c>
      <c r="N1296" s="13"/>
    </row>
    <row r="1297" spans="1:14" x14ac:dyDescent="0.3">
      <c r="A1297" s="3">
        <v>7775</v>
      </c>
      <c r="B1297" s="3" t="s">
        <v>11</v>
      </c>
      <c r="C1297" s="4">
        <v>45491</v>
      </c>
      <c r="D1297" s="3" t="s">
        <v>28</v>
      </c>
      <c r="E1297" s="3" t="s">
        <v>21</v>
      </c>
      <c r="F1297" s="5">
        <v>1</v>
      </c>
      <c r="G1297" s="6">
        <v>11.44</v>
      </c>
      <c r="H1297" s="6">
        <v>11.44</v>
      </c>
      <c r="I1297" s="6">
        <v>3.42</v>
      </c>
      <c r="J1297" s="6">
        <v>8.02</v>
      </c>
      <c r="K1297" s="5">
        <v>473</v>
      </c>
      <c r="L1297" s="13" t="str">
        <f t="shared" si="40"/>
        <v>Discount Applied</v>
      </c>
      <c r="M1297" s="13" t="str">
        <f t="shared" si="41"/>
        <v>Bronze</v>
      </c>
      <c r="N1297" s="13"/>
    </row>
    <row r="1298" spans="1:14" x14ac:dyDescent="0.3">
      <c r="A1298" s="3">
        <v>5508</v>
      </c>
      <c r="B1298" s="3" t="s">
        <v>19</v>
      </c>
      <c r="C1298" s="4">
        <v>45401</v>
      </c>
      <c r="D1298" s="3" t="s">
        <v>20</v>
      </c>
      <c r="E1298" s="3" t="s">
        <v>46</v>
      </c>
      <c r="F1298" s="5">
        <v>3</v>
      </c>
      <c r="G1298" s="6">
        <v>18.38</v>
      </c>
      <c r="H1298" s="6">
        <v>55.14</v>
      </c>
      <c r="I1298" s="6">
        <v>11.03</v>
      </c>
      <c r="J1298" s="6">
        <v>44.11</v>
      </c>
      <c r="K1298" s="5">
        <v>347</v>
      </c>
      <c r="L1298" s="13" t="str">
        <f t="shared" si="40"/>
        <v>Discount Applied</v>
      </c>
      <c r="M1298" s="13" t="str">
        <f t="shared" si="41"/>
        <v>Silver</v>
      </c>
      <c r="N1298" s="13"/>
    </row>
    <row r="1299" spans="1:14" x14ac:dyDescent="0.3">
      <c r="A1299" s="3">
        <v>3869</v>
      </c>
      <c r="B1299" s="3" t="s">
        <v>30</v>
      </c>
      <c r="C1299" s="4">
        <v>45597</v>
      </c>
      <c r="D1299" s="3" t="s">
        <v>28</v>
      </c>
      <c r="E1299" s="3" t="s">
        <v>37</v>
      </c>
      <c r="F1299" s="5">
        <v>3</v>
      </c>
      <c r="G1299" s="6">
        <v>26.38</v>
      </c>
      <c r="H1299" s="6">
        <v>79.14</v>
      </c>
      <c r="I1299" s="6">
        <v>0</v>
      </c>
      <c r="J1299" s="6">
        <v>79.14</v>
      </c>
      <c r="K1299" s="5">
        <v>138</v>
      </c>
      <c r="L1299" s="13" t="str">
        <f t="shared" si="40"/>
        <v>No Discount</v>
      </c>
      <c r="M1299" s="13" t="str">
        <f t="shared" si="41"/>
        <v>Platinum</v>
      </c>
      <c r="N1299" s="13"/>
    </row>
    <row r="1300" spans="1:14" x14ac:dyDescent="0.3">
      <c r="A1300" s="3">
        <v>7999</v>
      </c>
      <c r="B1300" s="3" t="s">
        <v>36</v>
      </c>
      <c r="C1300" s="4">
        <v>45348</v>
      </c>
      <c r="D1300" s="3" t="s">
        <v>35</v>
      </c>
      <c r="E1300" s="3" t="s">
        <v>43</v>
      </c>
      <c r="F1300" s="5">
        <v>1</v>
      </c>
      <c r="G1300" s="6">
        <v>25.98</v>
      </c>
      <c r="H1300" s="6">
        <v>25.98</v>
      </c>
      <c r="I1300" s="6">
        <v>0</v>
      </c>
      <c r="J1300" s="6">
        <v>25.98</v>
      </c>
      <c r="K1300" s="5">
        <v>500</v>
      </c>
      <c r="L1300" s="13" t="str">
        <f t="shared" si="40"/>
        <v>No Discount</v>
      </c>
      <c r="M1300" s="13" t="str">
        <f t="shared" si="41"/>
        <v>Silver</v>
      </c>
      <c r="N1300" s="13"/>
    </row>
    <row r="1301" spans="1:14" x14ac:dyDescent="0.3">
      <c r="A1301" s="3">
        <v>9120</v>
      </c>
      <c r="B1301" s="3" t="s">
        <v>19</v>
      </c>
      <c r="C1301" s="4">
        <v>45683</v>
      </c>
      <c r="D1301" s="3" t="s">
        <v>22</v>
      </c>
      <c r="E1301" s="3" t="s">
        <v>41</v>
      </c>
      <c r="F1301" s="5">
        <v>4</v>
      </c>
      <c r="G1301" s="6">
        <v>13.94</v>
      </c>
      <c r="H1301" s="6">
        <v>55.76</v>
      </c>
      <c r="I1301" s="6">
        <v>1.45</v>
      </c>
      <c r="J1301" s="6">
        <v>54.31</v>
      </c>
      <c r="K1301" s="5">
        <v>407</v>
      </c>
      <c r="L1301" s="13" t="str">
        <f t="shared" si="40"/>
        <v>Discount Applied</v>
      </c>
      <c r="M1301" s="13" t="str">
        <f t="shared" si="41"/>
        <v>Gold</v>
      </c>
      <c r="N1301" s="13"/>
    </row>
    <row r="1302" spans="1:14" x14ac:dyDescent="0.3">
      <c r="A1302" s="3">
        <v>6642</v>
      </c>
      <c r="B1302" s="3" t="s">
        <v>24</v>
      </c>
      <c r="C1302" s="4">
        <v>45193</v>
      </c>
      <c r="D1302" s="3" t="s">
        <v>35</v>
      </c>
      <c r="E1302" s="3" t="s">
        <v>41</v>
      </c>
      <c r="F1302" s="5">
        <v>1</v>
      </c>
      <c r="G1302" s="6">
        <v>10.36</v>
      </c>
      <c r="H1302" s="6">
        <v>10.36</v>
      </c>
      <c r="I1302" s="6">
        <v>1.04</v>
      </c>
      <c r="J1302" s="6">
        <v>9.32</v>
      </c>
      <c r="K1302" s="5">
        <v>65</v>
      </c>
      <c r="L1302" s="13" t="str">
        <f t="shared" si="40"/>
        <v>Discount Applied</v>
      </c>
      <c r="M1302" s="13" t="str">
        <f t="shared" si="41"/>
        <v>Bronze</v>
      </c>
      <c r="N1302" s="13"/>
    </row>
    <row r="1303" spans="1:14" x14ac:dyDescent="0.3">
      <c r="A1303" s="3">
        <v>7244</v>
      </c>
      <c r="B1303" s="3" t="s">
        <v>36</v>
      </c>
      <c r="C1303" s="4">
        <v>45506</v>
      </c>
      <c r="D1303" s="3" t="s">
        <v>22</v>
      </c>
      <c r="E1303" s="3" t="s">
        <v>47</v>
      </c>
      <c r="F1303" s="5">
        <v>4</v>
      </c>
      <c r="G1303" s="6">
        <v>14.95</v>
      </c>
      <c r="H1303" s="6">
        <v>59.8</v>
      </c>
      <c r="I1303" s="6">
        <v>4.17</v>
      </c>
      <c r="J1303" s="6">
        <v>55.63</v>
      </c>
      <c r="K1303" s="5">
        <v>498</v>
      </c>
      <c r="L1303" s="13" t="str">
        <f t="shared" si="40"/>
        <v>Discount Applied</v>
      </c>
      <c r="M1303" s="13" t="str">
        <f t="shared" si="41"/>
        <v>Gold</v>
      </c>
      <c r="N1303" s="13"/>
    </row>
    <row r="1304" spans="1:14" x14ac:dyDescent="0.3">
      <c r="A1304" s="3">
        <v>9592</v>
      </c>
      <c r="B1304" s="3" t="s">
        <v>36</v>
      </c>
      <c r="C1304" s="4">
        <v>45269</v>
      </c>
      <c r="D1304" s="3" t="s">
        <v>34</v>
      </c>
      <c r="E1304" s="3" t="s">
        <v>25</v>
      </c>
      <c r="F1304" s="5">
        <v>4</v>
      </c>
      <c r="G1304" s="6">
        <v>13.13</v>
      </c>
      <c r="H1304" s="6">
        <v>52.52</v>
      </c>
      <c r="I1304" s="6">
        <v>3.14</v>
      </c>
      <c r="J1304" s="6">
        <v>49.38</v>
      </c>
      <c r="K1304" s="5">
        <v>254</v>
      </c>
      <c r="L1304" s="13" t="str">
        <f t="shared" si="40"/>
        <v>Discount Applied</v>
      </c>
      <c r="M1304" s="13" t="str">
        <f t="shared" si="41"/>
        <v>Silver</v>
      </c>
      <c r="N1304" s="13"/>
    </row>
    <row r="1305" spans="1:14" x14ac:dyDescent="0.3">
      <c r="A1305" s="3">
        <v>7821</v>
      </c>
      <c r="B1305" s="3" t="s">
        <v>42</v>
      </c>
      <c r="C1305" s="4">
        <v>45677</v>
      </c>
      <c r="D1305" s="3" t="s">
        <v>20</v>
      </c>
      <c r="E1305" s="3" t="s">
        <v>43</v>
      </c>
      <c r="F1305" s="5">
        <v>5</v>
      </c>
      <c r="G1305" s="6">
        <v>21.72</v>
      </c>
      <c r="H1305" s="6">
        <v>108.6</v>
      </c>
      <c r="I1305" s="6">
        <v>0</v>
      </c>
      <c r="J1305" s="6">
        <v>108.6</v>
      </c>
      <c r="K1305" s="5">
        <v>269</v>
      </c>
      <c r="L1305" s="13" t="str">
        <f t="shared" si="40"/>
        <v>No Discount</v>
      </c>
      <c r="M1305" s="13" t="str">
        <f t="shared" si="41"/>
        <v>Platinum</v>
      </c>
      <c r="N1305" s="13"/>
    </row>
    <row r="1306" spans="1:14" x14ac:dyDescent="0.3">
      <c r="A1306" s="3">
        <v>7167</v>
      </c>
      <c r="B1306" s="3" t="s">
        <v>11</v>
      </c>
      <c r="C1306" s="4">
        <v>45861</v>
      </c>
      <c r="D1306" s="3" t="s">
        <v>17</v>
      </c>
      <c r="E1306" s="3" t="s">
        <v>23</v>
      </c>
      <c r="F1306" s="5">
        <v>1</v>
      </c>
      <c r="G1306" s="6">
        <v>6.89</v>
      </c>
      <c r="H1306" s="6">
        <v>6.89</v>
      </c>
      <c r="I1306" s="6">
        <v>1.03</v>
      </c>
      <c r="J1306" s="6">
        <v>5.86</v>
      </c>
      <c r="K1306" s="5">
        <v>435</v>
      </c>
      <c r="L1306" s="13" t="str">
        <f t="shared" si="40"/>
        <v>Discount Applied</v>
      </c>
      <c r="M1306" s="13" t="str">
        <f t="shared" si="41"/>
        <v>Bronze</v>
      </c>
      <c r="N1306" s="13"/>
    </row>
    <row r="1307" spans="1:14" x14ac:dyDescent="0.3">
      <c r="A1307" s="3">
        <v>9813</v>
      </c>
      <c r="B1307" s="3" t="s">
        <v>14</v>
      </c>
      <c r="C1307" s="4">
        <v>45681</v>
      </c>
      <c r="D1307" s="3" t="s">
        <v>45</v>
      </c>
      <c r="E1307" s="3" t="s">
        <v>41</v>
      </c>
      <c r="F1307" s="5">
        <v>1</v>
      </c>
      <c r="G1307" s="6">
        <v>2.72</v>
      </c>
      <c r="H1307" s="6">
        <v>2.72</v>
      </c>
      <c r="I1307" s="6">
        <v>0.54</v>
      </c>
      <c r="J1307" s="6">
        <v>2.1800000000000002</v>
      </c>
      <c r="K1307" s="5">
        <v>178</v>
      </c>
      <c r="L1307" s="13" t="str">
        <f t="shared" si="40"/>
        <v>Discount Applied</v>
      </c>
      <c r="M1307" s="13" t="str">
        <f t="shared" si="41"/>
        <v>Bronze</v>
      </c>
      <c r="N1307" s="13"/>
    </row>
    <row r="1308" spans="1:14" x14ac:dyDescent="0.3">
      <c r="A1308" s="3">
        <v>4948</v>
      </c>
      <c r="B1308" s="3" t="s">
        <v>30</v>
      </c>
      <c r="C1308" s="4">
        <v>45641</v>
      </c>
      <c r="D1308" s="3" t="s">
        <v>45</v>
      </c>
      <c r="E1308" s="3" t="s">
        <v>41</v>
      </c>
      <c r="F1308" s="5">
        <v>5</v>
      </c>
      <c r="G1308" s="6">
        <v>29.17</v>
      </c>
      <c r="H1308" s="6">
        <v>145.85</v>
      </c>
      <c r="I1308" s="6">
        <v>29.17</v>
      </c>
      <c r="J1308" s="6">
        <v>116.68</v>
      </c>
      <c r="K1308" s="5">
        <v>467</v>
      </c>
      <c r="L1308" s="13" t="str">
        <f t="shared" si="40"/>
        <v>Discount Applied</v>
      </c>
      <c r="M1308" s="13" t="str">
        <f t="shared" si="41"/>
        <v>Platinum</v>
      </c>
      <c r="N1308" s="13"/>
    </row>
    <row r="1309" spans="1:14" x14ac:dyDescent="0.3">
      <c r="A1309" s="3">
        <v>4692</v>
      </c>
      <c r="B1309" s="3" t="s">
        <v>42</v>
      </c>
      <c r="C1309" s="4">
        <v>45430</v>
      </c>
      <c r="D1309" s="3" t="s">
        <v>17</v>
      </c>
      <c r="E1309" s="3" t="s">
        <v>40</v>
      </c>
      <c r="F1309" s="5">
        <v>2</v>
      </c>
      <c r="G1309" s="6">
        <v>4.3899999999999997</v>
      </c>
      <c r="H1309" s="6">
        <v>8.7799999999999994</v>
      </c>
      <c r="I1309" s="6">
        <v>0.88</v>
      </c>
      <c r="J1309" s="6">
        <v>7.9</v>
      </c>
      <c r="K1309" s="5">
        <v>356</v>
      </c>
      <c r="L1309" s="13" t="str">
        <f t="shared" si="40"/>
        <v>Discount Applied</v>
      </c>
      <c r="M1309" s="13" t="str">
        <f t="shared" si="41"/>
        <v>Bronze</v>
      </c>
      <c r="N1309" s="13"/>
    </row>
    <row r="1310" spans="1:14" x14ac:dyDescent="0.3">
      <c r="A1310" s="3">
        <v>3365</v>
      </c>
      <c r="B1310" s="3" t="s">
        <v>31</v>
      </c>
      <c r="C1310" s="4">
        <v>45315</v>
      </c>
      <c r="D1310" s="3" t="s">
        <v>20</v>
      </c>
      <c r="E1310" s="3" t="s">
        <v>23</v>
      </c>
      <c r="F1310" s="5">
        <v>1</v>
      </c>
      <c r="G1310" s="6">
        <v>21.33</v>
      </c>
      <c r="H1310" s="6">
        <v>21.33</v>
      </c>
      <c r="I1310" s="6">
        <v>2.13</v>
      </c>
      <c r="J1310" s="6">
        <v>19.2</v>
      </c>
      <c r="K1310" s="5">
        <v>339</v>
      </c>
      <c r="L1310" s="13" t="str">
        <f t="shared" si="40"/>
        <v>Discount Applied</v>
      </c>
      <c r="M1310" s="13" t="str">
        <f t="shared" si="41"/>
        <v>Bronze</v>
      </c>
      <c r="N1310" s="13"/>
    </row>
    <row r="1311" spans="1:14" x14ac:dyDescent="0.3">
      <c r="A1311" s="3">
        <v>8586</v>
      </c>
      <c r="B1311" s="3" t="s">
        <v>19</v>
      </c>
      <c r="C1311" s="4">
        <v>45516</v>
      </c>
      <c r="D1311" s="3" t="s">
        <v>12</v>
      </c>
      <c r="E1311" s="3" t="s">
        <v>41</v>
      </c>
      <c r="F1311" s="5">
        <v>3</v>
      </c>
      <c r="G1311" s="6">
        <v>5.09</v>
      </c>
      <c r="H1311" s="6">
        <v>15.27</v>
      </c>
      <c r="I1311" s="6">
        <v>3.28</v>
      </c>
      <c r="J1311" s="6">
        <v>11.99</v>
      </c>
      <c r="K1311" s="5">
        <v>125</v>
      </c>
      <c r="L1311" s="13" t="str">
        <f t="shared" si="40"/>
        <v>Discount Applied</v>
      </c>
      <c r="M1311" s="13" t="str">
        <f t="shared" si="41"/>
        <v>Bronze</v>
      </c>
      <c r="N1311" s="13"/>
    </row>
    <row r="1312" spans="1:14" x14ac:dyDescent="0.3">
      <c r="A1312" s="3">
        <v>1944</v>
      </c>
      <c r="B1312" s="3" t="s">
        <v>24</v>
      </c>
      <c r="C1312" s="4">
        <v>45498</v>
      </c>
      <c r="D1312" s="3" t="s">
        <v>34</v>
      </c>
      <c r="E1312" s="3" t="s">
        <v>29</v>
      </c>
      <c r="F1312" s="5">
        <v>4</v>
      </c>
      <c r="G1312" s="6">
        <v>22.55</v>
      </c>
      <c r="H1312" s="6">
        <v>90.2</v>
      </c>
      <c r="I1312" s="6">
        <v>9.02</v>
      </c>
      <c r="J1312" s="6">
        <v>81.180000000000007</v>
      </c>
      <c r="K1312" s="5">
        <v>383</v>
      </c>
      <c r="L1312" s="13" t="str">
        <f t="shared" si="40"/>
        <v>Discount Applied</v>
      </c>
      <c r="M1312" s="13" t="str">
        <f t="shared" si="41"/>
        <v>Platinum</v>
      </c>
      <c r="N1312" s="13"/>
    </row>
    <row r="1313" spans="1:14" x14ac:dyDescent="0.3">
      <c r="A1313" s="3">
        <v>7761</v>
      </c>
      <c r="B1313" s="3" t="s">
        <v>24</v>
      </c>
      <c r="C1313" s="4">
        <v>45467</v>
      </c>
      <c r="D1313" s="3" t="s">
        <v>22</v>
      </c>
      <c r="E1313" s="3" t="s">
        <v>33</v>
      </c>
      <c r="F1313" s="5">
        <v>1</v>
      </c>
      <c r="G1313" s="6">
        <v>9.31</v>
      </c>
      <c r="H1313" s="6">
        <v>9.31</v>
      </c>
      <c r="I1313" s="6">
        <v>0</v>
      </c>
      <c r="J1313" s="6">
        <v>9.31</v>
      </c>
      <c r="K1313" s="5">
        <v>79</v>
      </c>
      <c r="L1313" s="13" t="str">
        <f t="shared" si="40"/>
        <v>No Discount</v>
      </c>
      <c r="M1313" s="13" t="str">
        <f t="shared" si="41"/>
        <v>Bronze</v>
      </c>
      <c r="N1313" s="13"/>
    </row>
    <row r="1314" spans="1:14" x14ac:dyDescent="0.3">
      <c r="A1314" s="3">
        <v>9683</v>
      </c>
      <c r="B1314" s="3" t="s">
        <v>31</v>
      </c>
      <c r="C1314" s="4">
        <v>45853</v>
      </c>
      <c r="D1314" s="3" t="s">
        <v>28</v>
      </c>
      <c r="E1314" s="3" t="s">
        <v>29</v>
      </c>
      <c r="F1314" s="5">
        <v>5</v>
      </c>
      <c r="G1314" s="6">
        <v>5.64</v>
      </c>
      <c r="H1314" s="6">
        <v>28.2</v>
      </c>
      <c r="I1314" s="6">
        <v>0</v>
      </c>
      <c r="J1314" s="6">
        <v>28.2</v>
      </c>
      <c r="K1314" s="5">
        <v>202</v>
      </c>
      <c r="L1314" s="13" t="str">
        <f t="shared" si="40"/>
        <v>No Discount</v>
      </c>
      <c r="M1314" s="13" t="str">
        <f t="shared" si="41"/>
        <v>Silver</v>
      </c>
      <c r="N1314" s="13"/>
    </row>
    <row r="1315" spans="1:14" x14ac:dyDescent="0.3">
      <c r="A1315" s="3">
        <v>7363</v>
      </c>
      <c r="B1315" s="3" t="s">
        <v>26</v>
      </c>
      <c r="C1315" s="4">
        <v>45733</v>
      </c>
      <c r="D1315" s="3" t="s">
        <v>38</v>
      </c>
      <c r="E1315" s="3" t="s">
        <v>13</v>
      </c>
      <c r="F1315" s="5">
        <v>5</v>
      </c>
      <c r="G1315" s="6">
        <v>15.54</v>
      </c>
      <c r="H1315" s="6">
        <v>77.7</v>
      </c>
      <c r="I1315" s="6">
        <v>7.77</v>
      </c>
      <c r="J1315" s="6">
        <v>69.930000000000007</v>
      </c>
      <c r="K1315" s="5">
        <v>363</v>
      </c>
      <c r="L1315" s="13" t="str">
        <f t="shared" si="40"/>
        <v>Discount Applied</v>
      </c>
      <c r="M1315" s="13" t="str">
        <f t="shared" si="41"/>
        <v>Gold</v>
      </c>
      <c r="N1315" s="13"/>
    </row>
    <row r="1316" spans="1:14" x14ac:dyDescent="0.3">
      <c r="A1316" s="3">
        <v>5177</v>
      </c>
      <c r="B1316" s="3" t="s">
        <v>19</v>
      </c>
      <c r="C1316" s="4">
        <v>45767</v>
      </c>
      <c r="D1316" s="3" t="s">
        <v>35</v>
      </c>
      <c r="E1316" s="3" t="s">
        <v>43</v>
      </c>
      <c r="F1316" s="5">
        <v>5</v>
      </c>
      <c r="G1316" s="6">
        <v>11.94</v>
      </c>
      <c r="H1316" s="6">
        <v>59.7</v>
      </c>
      <c r="I1316" s="6">
        <v>0</v>
      </c>
      <c r="J1316" s="6">
        <v>59.7</v>
      </c>
      <c r="K1316" s="5">
        <v>486</v>
      </c>
      <c r="L1316" s="13" t="str">
        <f t="shared" si="40"/>
        <v>No Discount</v>
      </c>
      <c r="M1316" s="13" t="str">
        <f t="shared" si="41"/>
        <v>Gold</v>
      </c>
      <c r="N1316" s="13"/>
    </row>
    <row r="1317" spans="1:14" x14ac:dyDescent="0.3">
      <c r="A1317" s="3">
        <v>2295</v>
      </c>
      <c r="B1317" s="3" t="s">
        <v>42</v>
      </c>
      <c r="C1317" s="4">
        <v>45736</v>
      </c>
      <c r="D1317" s="3" t="s">
        <v>20</v>
      </c>
      <c r="E1317" s="3" t="s">
        <v>40</v>
      </c>
      <c r="F1317" s="5">
        <v>2</v>
      </c>
      <c r="G1317" s="6">
        <v>12.37</v>
      </c>
      <c r="H1317" s="6">
        <v>24.74</v>
      </c>
      <c r="I1317" s="6">
        <v>0</v>
      </c>
      <c r="J1317" s="6">
        <v>24.74</v>
      </c>
      <c r="K1317" s="5">
        <v>421</v>
      </c>
      <c r="L1317" s="13" t="str">
        <f t="shared" si="40"/>
        <v>No Discount</v>
      </c>
      <c r="M1317" s="13" t="str">
        <f t="shared" si="41"/>
        <v>Silver</v>
      </c>
      <c r="N1317" s="13"/>
    </row>
    <row r="1318" spans="1:14" x14ac:dyDescent="0.3">
      <c r="A1318" s="3">
        <v>8369</v>
      </c>
      <c r="B1318" s="3" t="s">
        <v>26</v>
      </c>
      <c r="C1318" s="4">
        <v>45673</v>
      </c>
      <c r="D1318" s="3" t="s">
        <v>45</v>
      </c>
      <c r="E1318" s="3" t="s">
        <v>21</v>
      </c>
      <c r="F1318" s="5">
        <v>4</v>
      </c>
      <c r="G1318" s="6">
        <v>24.98</v>
      </c>
      <c r="H1318" s="6">
        <v>99.92</v>
      </c>
      <c r="I1318" s="6">
        <v>14.99</v>
      </c>
      <c r="J1318" s="6">
        <v>84.93</v>
      </c>
      <c r="K1318" s="5">
        <v>84</v>
      </c>
      <c r="L1318" s="13" t="str">
        <f t="shared" si="40"/>
        <v>Discount Applied</v>
      </c>
      <c r="M1318" s="13" t="str">
        <f t="shared" si="41"/>
        <v>Platinum</v>
      </c>
      <c r="N1318" s="13"/>
    </row>
    <row r="1319" spans="1:14" x14ac:dyDescent="0.3">
      <c r="A1319" s="3">
        <v>7079</v>
      </c>
      <c r="B1319" s="3" t="s">
        <v>24</v>
      </c>
      <c r="C1319" s="4">
        <v>45553</v>
      </c>
      <c r="D1319" s="3" t="s">
        <v>17</v>
      </c>
      <c r="E1319" s="3" t="s">
        <v>13</v>
      </c>
      <c r="F1319" s="5">
        <v>1</v>
      </c>
      <c r="G1319" s="6">
        <v>4.0199999999999996</v>
      </c>
      <c r="H1319" s="6">
        <v>4.0199999999999996</v>
      </c>
      <c r="I1319" s="6">
        <v>1.96</v>
      </c>
      <c r="J1319" s="6">
        <v>2.06</v>
      </c>
      <c r="K1319" s="5">
        <v>185</v>
      </c>
      <c r="L1319" s="13" t="str">
        <f t="shared" si="40"/>
        <v>Discount Applied</v>
      </c>
      <c r="M1319" s="13" t="str">
        <f t="shared" si="41"/>
        <v>Bronze</v>
      </c>
      <c r="N1319" s="13"/>
    </row>
    <row r="1320" spans="1:14" x14ac:dyDescent="0.3">
      <c r="A1320" s="3">
        <v>9775</v>
      </c>
      <c r="B1320" s="3" t="s">
        <v>19</v>
      </c>
      <c r="C1320" s="4">
        <v>45555</v>
      </c>
      <c r="D1320" s="3" t="s">
        <v>38</v>
      </c>
      <c r="E1320" s="3" t="s">
        <v>48</v>
      </c>
      <c r="F1320" s="5">
        <v>1</v>
      </c>
      <c r="G1320" s="6">
        <v>7.14</v>
      </c>
      <c r="H1320" s="6">
        <v>7.14</v>
      </c>
      <c r="I1320" s="6">
        <v>1.43</v>
      </c>
      <c r="J1320" s="6">
        <v>5.71</v>
      </c>
      <c r="K1320" s="5">
        <v>5</v>
      </c>
      <c r="L1320" s="13" t="str">
        <f t="shared" si="40"/>
        <v>Discount Applied</v>
      </c>
      <c r="M1320" s="13" t="str">
        <f t="shared" si="41"/>
        <v>Bronze</v>
      </c>
      <c r="N1320" s="13"/>
    </row>
    <row r="1321" spans="1:14" x14ac:dyDescent="0.3">
      <c r="A1321" s="3">
        <v>4120</v>
      </c>
      <c r="B1321" s="3" t="s">
        <v>14</v>
      </c>
      <c r="C1321" s="4">
        <v>45205</v>
      </c>
      <c r="D1321" s="3" t="s">
        <v>17</v>
      </c>
      <c r="E1321" s="3" t="s">
        <v>40</v>
      </c>
      <c r="F1321" s="5">
        <v>2</v>
      </c>
      <c r="G1321" s="6">
        <v>8.8000000000000007</v>
      </c>
      <c r="H1321" s="6">
        <v>17.600000000000001</v>
      </c>
      <c r="I1321" s="6">
        <v>4.95</v>
      </c>
      <c r="J1321" s="6">
        <v>12.65</v>
      </c>
      <c r="K1321" s="5">
        <v>500</v>
      </c>
      <c r="L1321" s="13" t="str">
        <f t="shared" si="40"/>
        <v>Discount Applied</v>
      </c>
      <c r="M1321" s="13" t="str">
        <f t="shared" si="41"/>
        <v>Bronze</v>
      </c>
      <c r="N1321" s="13"/>
    </row>
    <row r="1322" spans="1:14" x14ac:dyDescent="0.3">
      <c r="A1322" s="3">
        <v>5398</v>
      </c>
      <c r="B1322" s="3" t="s">
        <v>26</v>
      </c>
      <c r="C1322" s="4">
        <v>45192</v>
      </c>
      <c r="D1322" s="3" t="s">
        <v>12</v>
      </c>
      <c r="E1322" s="3" t="s">
        <v>40</v>
      </c>
      <c r="F1322" s="5">
        <v>3</v>
      </c>
      <c r="G1322" s="6">
        <v>3.69</v>
      </c>
      <c r="H1322" s="6">
        <v>11.07</v>
      </c>
      <c r="I1322" s="6">
        <v>1.66</v>
      </c>
      <c r="J1322" s="6">
        <v>9.41</v>
      </c>
      <c r="K1322" s="5">
        <v>158</v>
      </c>
      <c r="L1322" s="13" t="str">
        <f t="shared" si="40"/>
        <v>Discount Applied</v>
      </c>
      <c r="M1322" s="13" t="str">
        <f t="shared" si="41"/>
        <v>Bronze</v>
      </c>
      <c r="N1322" s="13"/>
    </row>
    <row r="1323" spans="1:14" x14ac:dyDescent="0.3">
      <c r="A1323" s="3">
        <v>1647</v>
      </c>
      <c r="B1323" s="3" t="s">
        <v>30</v>
      </c>
      <c r="C1323" s="4">
        <v>45846</v>
      </c>
      <c r="D1323" s="3" t="s">
        <v>20</v>
      </c>
      <c r="E1323" s="3" t="s">
        <v>46</v>
      </c>
      <c r="F1323" s="5">
        <v>2</v>
      </c>
      <c r="G1323" s="6">
        <v>10.11</v>
      </c>
      <c r="H1323" s="6">
        <v>20.22</v>
      </c>
      <c r="I1323" s="6">
        <v>4.04</v>
      </c>
      <c r="J1323" s="6">
        <v>16.18</v>
      </c>
      <c r="K1323" s="5">
        <v>200</v>
      </c>
      <c r="L1323" s="13" t="str">
        <f t="shared" si="40"/>
        <v>Discount Applied</v>
      </c>
      <c r="M1323" s="13" t="str">
        <f t="shared" si="41"/>
        <v>Bronze</v>
      </c>
      <c r="N1323" s="13"/>
    </row>
    <row r="1324" spans="1:14" x14ac:dyDescent="0.3">
      <c r="A1324" s="3">
        <v>2192</v>
      </c>
      <c r="B1324" s="3" t="s">
        <v>11</v>
      </c>
      <c r="C1324" s="4">
        <v>45302</v>
      </c>
      <c r="D1324" s="3" t="s">
        <v>22</v>
      </c>
      <c r="E1324" s="3" t="s">
        <v>16</v>
      </c>
      <c r="F1324" s="5">
        <v>5</v>
      </c>
      <c r="G1324" s="6">
        <v>3.92</v>
      </c>
      <c r="H1324" s="6">
        <v>19.600000000000001</v>
      </c>
      <c r="I1324" s="6">
        <v>3.35</v>
      </c>
      <c r="J1324" s="6">
        <v>16.25</v>
      </c>
      <c r="K1324" s="5">
        <v>413</v>
      </c>
      <c r="L1324" s="13" t="str">
        <f t="shared" si="40"/>
        <v>Discount Applied</v>
      </c>
      <c r="M1324" s="13" t="str">
        <f t="shared" si="41"/>
        <v>Bronze</v>
      </c>
      <c r="N1324" s="13"/>
    </row>
    <row r="1325" spans="1:14" x14ac:dyDescent="0.3">
      <c r="A1325" s="3">
        <v>4555</v>
      </c>
      <c r="B1325" s="3" t="s">
        <v>24</v>
      </c>
      <c r="C1325" s="4">
        <v>45261</v>
      </c>
      <c r="D1325" s="3" t="s">
        <v>45</v>
      </c>
      <c r="E1325" s="3" t="s">
        <v>40</v>
      </c>
      <c r="F1325" s="5">
        <v>3</v>
      </c>
      <c r="G1325" s="6">
        <v>5.67</v>
      </c>
      <c r="H1325" s="6">
        <v>17.010000000000002</v>
      </c>
      <c r="I1325" s="6">
        <v>4.54</v>
      </c>
      <c r="J1325" s="6">
        <v>12.47</v>
      </c>
      <c r="K1325" s="5">
        <v>349</v>
      </c>
      <c r="L1325" s="13" t="str">
        <f t="shared" si="40"/>
        <v>Discount Applied</v>
      </c>
      <c r="M1325" s="13" t="str">
        <f t="shared" si="41"/>
        <v>Bronze</v>
      </c>
      <c r="N1325" s="13"/>
    </row>
    <row r="1326" spans="1:14" x14ac:dyDescent="0.3">
      <c r="A1326" s="3">
        <v>4422</v>
      </c>
      <c r="B1326" s="3" t="s">
        <v>11</v>
      </c>
      <c r="C1326" s="4">
        <v>45399</v>
      </c>
      <c r="D1326" s="3" t="s">
        <v>17</v>
      </c>
      <c r="E1326" s="3" t="s">
        <v>44</v>
      </c>
      <c r="F1326" s="5">
        <v>2</v>
      </c>
      <c r="G1326" s="6">
        <v>23.29</v>
      </c>
      <c r="H1326" s="6">
        <v>46.58</v>
      </c>
      <c r="I1326" s="6">
        <v>4.66</v>
      </c>
      <c r="J1326" s="6">
        <v>41.92</v>
      </c>
      <c r="K1326" s="5">
        <v>82</v>
      </c>
      <c r="L1326" s="13" t="str">
        <f t="shared" si="40"/>
        <v>Discount Applied</v>
      </c>
      <c r="M1326" s="13" t="str">
        <f t="shared" si="41"/>
        <v>Silver</v>
      </c>
      <c r="N1326" s="13"/>
    </row>
    <row r="1327" spans="1:14" x14ac:dyDescent="0.3">
      <c r="A1327" s="3">
        <v>6455</v>
      </c>
      <c r="B1327" s="3" t="s">
        <v>19</v>
      </c>
      <c r="C1327" s="4">
        <v>45488</v>
      </c>
      <c r="D1327" s="3" t="s">
        <v>22</v>
      </c>
      <c r="E1327" s="3" t="s">
        <v>37</v>
      </c>
      <c r="F1327" s="5">
        <v>3</v>
      </c>
      <c r="G1327" s="6">
        <v>19.07</v>
      </c>
      <c r="H1327" s="6">
        <v>57.21</v>
      </c>
      <c r="I1327" s="6">
        <v>4.5599999999999996</v>
      </c>
      <c r="J1327" s="6">
        <v>52.65</v>
      </c>
      <c r="K1327" s="5">
        <v>481</v>
      </c>
      <c r="L1327" s="13" t="str">
        <f t="shared" si="40"/>
        <v>Discount Applied</v>
      </c>
      <c r="M1327" s="13" t="str">
        <f t="shared" si="41"/>
        <v>Gold</v>
      </c>
      <c r="N1327" s="13"/>
    </row>
    <row r="1328" spans="1:14" x14ac:dyDescent="0.3">
      <c r="A1328" s="3">
        <v>1251</v>
      </c>
      <c r="B1328" s="3" t="s">
        <v>24</v>
      </c>
      <c r="C1328" s="4">
        <v>45673</v>
      </c>
      <c r="D1328" s="3" t="s">
        <v>17</v>
      </c>
      <c r="E1328" s="3" t="s">
        <v>44</v>
      </c>
      <c r="F1328" s="5">
        <v>5</v>
      </c>
      <c r="G1328" s="6">
        <v>18.59</v>
      </c>
      <c r="H1328" s="6">
        <v>92.95</v>
      </c>
      <c r="I1328" s="6">
        <v>3.51</v>
      </c>
      <c r="J1328" s="6">
        <v>89.44</v>
      </c>
      <c r="K1328" s="5">
        <v>490</v>
      </c>
      <c r="L1328" s="13" t="str">
        <f t="shared" si="40"/>
        <v>Discount Applied</v>
      </c>
      <c r="M1328" s="13" t="str">
        <f t="shared" si="41"/>
        <v>Platinum</v>
      </c>
      <c r="N1328" s="13"/>
    </row>
    <row r="1329" spans="1:14" x14ac:dyDescent="0.3">
      <c r="A1329" s="3">
        <v>4113</v>
      </c>
      <c r="B1329" s="3" t="s">
        <v>26</v>
      </c>
      <c r="C1329" s="4">
        <v>45701</v>
      </c>
      <c r="D1329" s="3" t="s">
        <v>15</v>
      </c>
      <c r="E1329" s="3" t="s">
        <v>39</v>
      </c>
      <c r="F1329" s="5">
        <v>2</v>
      </c>
      <c r="G1329" s="6">
        <v>23.21</v>
      </c>
      <c r="H1329" s="6">
        <v>46.42</v>
      </c>
      <c r="I1329" s="6">
        <v>4.6399999999999997</v>
      </c>
      <c r="J1329" s="6">
        <v>41.78</v>
      </c>
      <c r="K1329" s="5">
        <v>158</v>
      </c>
      <c r="L1329" s="13" t="str">
        <f t="shared" si="40"/>
        <v>Discount Applied</v>
      </c>
      <c r="M1329" s="13" t="str">
        <f t="shared" si="41"/>
        <v>Silver</v>
      </c>
      <c r="N1329" s="13"/>
    </row>
    <row r="1330" spans="1:14" x14ac:dyDescent="0.3">
      <c r="A1330" s="3">
        <v>2922</v>
      </c>
      <c r="B1330" s="3" t="s">
        <v>11</v>
      </c>
      <c r="C1330" s="4">
        <v>45215</v>
      </c>
      <c r="D1330" s="3" t="s">
        <v>45</v>
      </c>
      <c r="E1330" s="3" t="s">
        <v>21</v>
      </c>
      <c r="F1330" s="5">
        <v>2</v>
      </c>
      <c r="G1330" s="6">
        <v>28.08</v>
      </c>
      <c r="H1330" s="6">
        <v>56.16</v>
      </c>
      <c r="I1330" s="6">
        <v>8.42</v>
      </c>
      <c r="J1330" s="6">
        <v>47.74</v>
      </c>
      <c r="K1330" s="5">
        <v>82</v>
      </c>
      <c r="L1330" s="13" t="str">
        <f t="shared" si="40"/>
        <v>Discount Applied</v>
      </c>
      <c r="M1330" s="13" t="str">
        <f t="shared" si="41"/>
        <v>Silver</v>
      </c>
      <c r="N1330" s="13"/>
    </row>
    <row r="1331" spans="1:14" x14ac:dyDescent="0.3">
      <c r="A1331" s="3">
        <v>8846</v>
      </c>
      <c r="B1331" s="3" t="s">
        <v>36</v>
      </c>
      <c r="C1331" s="4">
        <v>45491</v>
      </c>
      <c r="D1331" s="3" t="s">
        <v>22</v>
      </c>
      <c r="E1331" s="3" t="s">
        <v>43</v>
      </c>
      <c r="F1331" s="5">
        <v>1</v>
      </c>
      <c r="G1331" s="6">
        <v>6.19</v>
      </c>
      <c r="H1331" s="6">
        <v>6.19</v>
      </c>
      <c r="I1331" s="6">
        <v>0.93</v>
      </c>
      <c r="J1331" s="6">
        <v>5.26</v>
      </c>
      <c r="K1331" s="5">
        <v>395</v>
      </c>
      <c r="L1331" s="13" t="str">
        <f t="shared" si="40"/>
        <v>Discount Applied</v>
      </c>
      <c r="M1331" s="13" t="str">
        <f t="shared" si="41"/>
        <v>Bronze</v>
      </c>
      <c r="N1331" s="13"/>
    </row>
    <row r="1332" spans="1:14" x14ac:dyDescent="0.3">
      <c r="A1332" s="3">
        <v>4974</v>
      </c>
      <c r="B1332" s="3" t="s">
        <v>26</v>
      </c>
      <c r="C1332" s="4">
        <v>45497</v>
      </c>
      <c r="D1332" s="3" t="s">
        <v>35</v>
      </c>
      <c r="E1332" s="3" t="s">
        <v>33</v>
      </c>
      <c r="F1332" s="5">
        <v>2</v>
      </c>
      <c r="G1332" s="6">
        <v>28.25</v>
      </c>
      <c r="H1332" s="6">
        <v>56.5</v>
      </c>
      <c r="I1332" s="6">
        <v>2.4500000000000002</v>
      </c>
      <c r="J1332" s="6">
        <v>54.05</v>
      </c>
      <c r="K1332" s="5">
        <v>497</v>
      </c>
      <c r="L1332" s="13" t="str">
        <f t="shared" si="40"/>
        <v>Discount Applied</v>
      </c>
      <c r="M1332" s="13" t="str">
        <f t="shared" si="41"/>
        <v>Gold</v>
      </c>
      <c r="N1332" s="13"/>
    </row>
    <row r="1333" spans="1:14" x14ac:dyDescent="0.3">
      <c r="A1333" s="3">
        <v>4350</v>
      </c>
      <c r="B1333" s="3" t="s">
        <v>30</v>
      </c>
      <c r="C1333" s="4">
        <v>45543</v>
      </c>
      <c r="D1333" s="3" t="s">
        <v>20</v>
      </c>
      <c r="E1333" s="3" t="s">
        <v>16</v>
      </c>
      <c r="F1333" s="5">
        <v>5</v>
      </c>
      <c r="G1333" s="6">
        <v>27.59</v>
      </c>
      <c r="H1333" s="6">
        <v>137.94999999999999</v>
      </c>
      <c r="I1333" s="6">
        <v>20.69</v>
      </c>
      <c r="J1333" s="6">
        <v>117.26</v>
      </c>
      <c r="K1333" s="5">
        <v>66</v>
      </c>
      <c r="L1333" s="13" t="str">
        <f t="shared" si="40"/>
        <v>Discount Applied</v>
      </c>
      <c r="M1333" s="13" t="str">
        <f t="shared" si="41"/>
        <v>Platinum</v>
      </c>
      <c r="N1333" s="13"/>
    </row>
    <row r="1334" spans="1:14" x14ac:dyDescent="0.3">
      <c r="A1334" s="3">
        <v>4921</v>
      </c>
      <c r="B1334" s="3" t="s">
        <v>14</v>
      </c>
      <c r="C1334" s="4">
        <v>45499</v>
      </c>
      <c r="D1334" s="3" t="s">
        <v>28</v>
      </c>
      <c r="E1334" s="3" t="s">
        <v>21</v>
      </c>
      <c r="F1334" s="5">
        <v>3</v>
      </c>
      <c r="G1334" s="6">
        <v>3.41</v>
      </c>
      <c r="H1334" s="6">
        <v>10.23</v>
      </c>
      <c r="I1334" s="6">
        <v>1.53</v>
      </c>
      <c r="J1334" s="6">
        <v>8.6999999999999993</v>
      </c>
      <c r="K1334" s="5">
        <v>211</v>
      </c>
      <c r="L1334" s="13" t="str">
        <f t="shared" si="40"/>
        <v>Discount Applied</v>
      </c>
      <c r="M1334" s="13" t="str">
        <f t="shared" si="41"/>
        <v>Bronze</v>
      </c>
      <c r="N1334" s="13"/>
    </row>
    <row r="1335" spans="1:14" x14ac:dyDescent="0.3">
      <c r="A1335" s="3">
        <v>6269</v>
      </c>
      <c r="B1335" s="3" t="s">
        <v>31</v>
      </c>
      <c r="C1335" s="4">
        <v>45579</v>
      </c>
      <c r="D1335" s="3" t="s">
        <v>28</v>
      </c>
      <c r="E1335" s="3" t="s">
        <v>40</v>
      </c>
      <c r="F1335" s="5">
        <v>2</v>
      </c>
      <c r="G1335" s="6">
        <v>21.28</v>
      </c>
      <c r="H1335" s="6">
        <v>42.56</v>
      </c>
      <c r="I1335" s="6">
        <v>8.51</v>
      </c>
      <c r="J1335" s="6">
        <v>34.049999999999997</v>
      </c>
      <c r="K1335" s="5">
        <v>287</v>
      </c>
      <c r="L1335" s="13" t="str">
        <f t="shared" si="40"/>
        <v>Discount Applied</v>
      </c>
      <c r="M1335" s="13" t="str">
        <f t="shared" si="41"/>
        <v>Silver</v>
      </c>
      <c r="N1335" s="13"/>
    </row>
    <row r="1336" spans="1:14" x14ac:dyDescent="0.3">
      <c r="A1336" s="3">
        <v>5637</v>
      </c>
      <c r="B1336" s="3" t="s">
        <v>11</v>
      </c>
      <c r="C1336" s="4">
        <v>45667</v>
      </c>
      <c r="D1336" s="3" t="s">
        <v>35</v>
      </c>
      <c r="E1336" s="3" t="s">
        <v>32</v>
      </c>
      <c r="F1336" s="5">
        <v>2</v>
      </c>
      <c r="G1336" s="6">
        <v>17.52</v>
      </c>
      <c r="H1336" s="6">
        <v>35.04</v>
      </c>
      <c r="I1336" s="6">
        <v>7.01</v>
      </c>
      <c r="J1336" s="6">
        <v>28.03</v>
      </c>
      <c r="K1336" s="5">
        <v>437</v>
      </c>
      <c r="L1336" s="13" t="str">
        <f t="shared" si="40"/>
        <v>Discount Applied</v>
      </c>
      <c r="M1336" s="13" t="str">
        <f t="shared" si="41"/>
        <v>Silver</v>
      </c>
      <c r="N1336" s="13"/>
    </row>
    <row r="1337" spans="1:14" x14ac:dyDescent="0.3">
      <c r="A1337" s="3">
        <v>8639</v>
      </c>
      <c r="B1337" s="3" t="s">
        <v>24</v>
      </c>
      <c r="C1337" s="4">
        <v>45706</v>
      </c>
      <c r="D1337" s="3" t="s">
        <v>45</v>
      </c>
      <c r="E1337" s="3" t="s">
        <v>43</v>
      </c>
      <c r="F1337" s="5">
        <v>3</v>
      </c>
      <c r="G1337" s="6">
        <v>14.5</v>
      </c>
      <c r="H1337" s="6">
        <v>43.5</v>
      </c>
      <c r="I1337" s="6">
        <v>1.34</v>
      </c>
      <c r="J1337" s="6">
        <v>42.16</v>
      </c>
      <c r="K1337" s="5">
        <v>328</v>
      </c>
      <c r="L1337" s="13" t="str">
        <f t="shared" si="40"/>
        <v>Discount Applied</v>
      </c>
      <c r="M1337" s="13" t="str">
        <f t="shared" si="41"/>
        <v>Silver</v>
      </c>
      <c r="N1337" s="13"/>
    </row>
    <row r="1338" spans="1:14" x14ac:dyDescent="0.3">
      <c r="A1338" s="3">
        <v>6886</v>
      </c>
      <c r="B1338" s="3" t="s">
        <v>11</v>
      </c>
      <c r="C1338" s="4">
        <v>45452</v>
      </c>
      <c r="D1338" s="3" t="s">
        <v>20</v>
      </c>
      <c r="E1338" s="3" t="s">
        <v>16</v>
      </c>
      <c r="F1338" s="5">
        <v>2</v>
      </c>
      <c r="G1338" s="6">
        <v>12.63</v>
      </c>
      <c r="H1338" s="6">
        <v>25.26</v>
      </c>
      <c r="I1338" s="6">
        <v>3.79</v>
      </c>
      <c r="J1338" s="6">
        <v>21.47</v>
      </c>
      <c r="K1338" s="5">
        <v>33</v>
      </c>
      <c r="L1338" s="13" t="str">
        <f t="shared" si="40"/>
        <v>Discount Applied</v>
      </c>
      <c r="M1338" s="13" t="str">
        <f t="shared" si="41"/>
        <v>Silver</v>
      </c>
      <c r="N1338" s="13"/>
    </row>
    <row r="1339" spans="1:14" x14ac:dyDescent="0.3">
      <c r="A1339" s="3">
        <v>5285</v>
      </c>
      <c r="B1339" s="3" t="s">
        <v>26</v>
      </c>
      <c r="C1339" s="4">
        <v>45779</v>
      </c>
      <c r="D1339" s="3" t="s">
        <v>17</v>
      </c>
      <c r="E1339" s="3" t="s">
        <v>47</v>
      </c>
      <c r="F1339" s="5">
        <v>1</v>
      </c>
      <c r="G1339" s="6">
        <v>9.06</v>
      </c>
      <c r="H1339" s="6">
        <v>9.06</v>
      </c>
      <c r="I1339" s="6">
        <v>0.91</v>
      </c>
      <c r="J1339" s="6">
        <v>8.15</v>
      </c>
      <c r="K1339" s="5">
        <v>19</v>
      </c>
      <c r="L1339" s="13" t="str">
        <f t="shared" si="40"/>
        <v>Discount Applied</v>
      </c>
      <c r="M1339" s="13" t="str">
        <f t="shared" si="41"/>
        <v>Bronze</v>
      </c>
      <c r="N1339" s="13"/>
    </row>
    <row r="1340" spans="1:14" x14ac:dyDescent="0.3">
      <c r="A1340" s="3">
        <v>9401</v>
      </c>
      <c r="B1340" s="3" t="s">
        <v>19</v>
      </c>
      <c r="C1340" s="4">
        <v>45724</v>
      </c>
      <c r="D1340" s="3" t="s">
        <v>27</v>
      </c>
      <c r="E1340" s="3" t="s">
        <v>44</v>
      </c>
      <c r="F1340" s="5">
        <v>3</v>
      </c>
      <c r="G1340" s="6">
        <v>17.47</v>
      </c>
      <c r="H1340" s="6">
        <v>52.41</v>
      </c>
      <c r="I1340" s="6">
        <v>4.75</v>
      </c>
      <c r="J1340" s="6">
        <v>47.66</v>
      </c>
      <c r="K1340" s="5">
        <v>307</v>
      </c>
      <c r="L1340" s="13" t="str">
        <f t="shared" si="40"/>
        <v>Discount Applied</v>
      </c>
      <c r="M1340" s="13" t="str">
        <f t="shared" si="41"/>
        <v>Silver</v>
      </c>
      <c r="N1340" s="13"/>
    </row>
    <row r="1341" spans="1:14" x14ac:dyDescent="0.3">
      <c r="A1341" s="3">
        <v>9147</v>
      </c>
      <c r="B1341" s="3" t="s">
        <v>36</v>
      </c>
      <c r="C1341" s="4">
        <v>45594</v>
      </c>
      <c r="D1341" s="3" t="s">
        <v>20</v>
      </c>
      <c r="E1341" s="3" t="s">
        <v>47</v>
      </c>
      <c r="F1341" s="5">
        <v>2</v>
      </c>
      <c r="G1341" s="6">
        <v>2.56</v>
      </c>
      <c r="H1341" s="6">
        <v>5.12</v>
      </c>
      <c r="I1341" s="6">
        <v>0</v>
      </c>
      <c r="J1341" s="6">
        <v>5.12</v>
      </c>
      <c r="K1341" s="5">
        <v>444</v>
      </c>
      <c r="L1341" s="13" t="str">
        <f t="shared" si="40"/>
        <v>No Discount</v>
      </c>
      <c r="M1341" s="13" t="str">
        <f t="shared" si="41"/>
        <v>Bronze</v>
      </c>
      <c r="N1341" s="13"/>
    </row>
    <row r="1342" spans="1:14" x14ac:dyDescent="0.3">
      <c r="A1342" s="3">
        <v>2615</v>
      </c>
      <c r="B1342" s="3" t="s">
        <v>24</v>
      </c>
      <c r="C1342" s="4">
        <v>45180</v>
      </c>
      <c r="D1342" s="3" t="s">
        <v>35</v>
      </c>
      <c r="E1342" s="3" t="s">
        <v>13</v>
      </c>
      <c r="F1342" s="5">
        <v>2</v>
      </c>
      <c r="G1342" s="6">
        <v>3.41</v>
      </c>
      <c r="H1342" s="6">
        <v>6.82</v>
      </c>
      <c r="I1342" s="6">
        <v>0.68</v>
      </c>
      <c r="J1342" s="6">
        <v>6.14</v>
      </c>
      <c r="K1342" s="5">
        <v>35</v>
      </c>
      <c r="L1342" s="13" t="str">
        <f t="shared" si="40"/>
        <v>Discount Applied</v>
      </c>
      <c r="M1342" s="13" t="str">
        <f t="shared" si="41"/>
        <v>Bronze</v>
      </c>
      <c r="N1342" s="13"/>
    </row>
    <row r="1343" spans="1:14" x14ac:dyDescent="0.3">
      <c r="A1343" s="3">
        <v>6246</v>
      </c>
      <c r="B1343" s="3" t="s">
        <v>11</v>
      </c>
      <c r="C1343" s="4">
        <v>45412</v>
      </c>
      <c r="D1343" s="3" t="s">
        <v>35</v>
      </c>
      <c r="E1343" s="3" t="s">
        <v>33</v>
      </c>
      <c r="F1343" s="5">
        <v>4</v>
      </c>
      <c r="G1343" s="6">
        <v>16.21</v>
      </c>
      <c r="H1343" s="6">
        <v>64.84</v>
      </c>
      <c r="I1343" s="6">
        <v>12.97</v>
      </c>
      <c r="J1343" s="6">
        <v>51.87</v>
      </c>
      <c r="K1343" s="5">
        <v>342</v>
      </c>
      <c r="L1343" s="13" t="str">
        <f t="shared" si="40"/>
        <v>Discount Applied</v>
      </c>
      <c r="M1343" s="13" t="str">
        <f t="shared" si="41"/>
        <v>Gold</v>
      </c>
      <c r="N1343" s="13"/>
    </row>
    <row r="1344" spans="1:14" x14ac:dyDescent="0.3">
      <c r="A1344" s="3">
        <v>4328</v>
      </c>
      <c r="B1344" s="3" t="s">
        <v>31</v>
      </c>
      <c r="C1344" s="4">
        <v>45565</v>
      </c>
      <c r="D1344" s="3" t="s">
        <v>15</v>
      </c>
      <c r="E1344" s="3" t="s">
        <v>16</v>
      </c>
      <c r="F1344" s="5">
        <v>3</v>
      </c>
      <c r="G1344" s="6">
        <v>28.93</v>
      </c>
      <c r="H1344" s="6">
        <v>86.79</v>
      </c>
      <c r="I1344" s="6">
        <v>17.36</v>
      </c>
      <c r="J1344" s="6">
        <v>69.430000000000007</v>
      </c>
      <c r="K1344" s="5">
        <v>152</v>
      </c>
      <c r="L1344" s="13" t="str">
        <f t="shared" si="40"/>
        <v>Discount Applied</v>
      </c>
      <c r="M1344" s="13" t="str">
        <f t="shared" si="41"/>
        <v>Gold</v>
      </c>
      <c r="N1344" s="13"/>
    </row>
    <row r="1345" spans="1:14" x14ac:dyDescent="0.3">
      <c r="A1345" s="3">
        <v>6126</v>
      </c>
      <c r="B1345" s="3" t="s">
        <v>36</v>
      </c>
      <c r="C1345" s="4">
        <v>45870</v>
      </c>
      <c r="D1345" s="3" t="s">
        <v>20</v>
      </c>
      <c r="E1345" s="3" t="s">
        <v>47</v>
      </c>
      <c r="F1345" s="5">
        <v>4</v>
      </c>
      <c r="G1345" s="6">
        <v>16.52</v>
      </c>
      <c r="H1345" s="6">
        <v>66.08</v>
      </c>
      <c r="I1345" s="6">
        <v>0</v>
      </c>
      <c r="J1345" s="6">
        <v>66.08</v>
      </c>
      <c r="K1345" s="5">
        <v>401</v>
      </c>
      <c r="L1345" s="13" t="str">
        <f t="shared" si="40"/>
        <v>No Discount</v>
      </c>
      <c r="M1345" s="13" t="str">
        <f t="shared" si="41"/>
        <v>Gold</v>
      </c>
      <c r="N1345" s="13"/>
    </row>
    <row r="1346" spans="1:14" x14ac:dyDescent="0.3">
      <c r="A1346" s="3">
        <v>1749</v>
      </c>
      <c r="B1346" s="3" t="s">
        <v>24</v>
      </c>
      <c r="C1346" s="4">
        <v>45870</v>
      </c>
      <c r="D1346" s="3" t="s">
        <v>22</v>
      </c>
      <c r="E1346" s="3" t="s">
        <v>32</v>
      </c>
      <c r="F1346" s="5">
        <v>1</v>
      </c>
      <c r="G1346" s="6">
        <v>17.260000000000002</v>
      </c>
      <c r="H1346" s="6">
        <v>17.260000000000002</v>
      </c>
      <c r="I1346" s="6">
        <v>3.89</v>
      </c>
      <c r="J1346" s="6">
        <v>13.37</v>
      </c>
      <c r="K1346" s="5">
        <v>457</v>
      </c>
      <c r="L1346" s="13" t="str">
        <f t="shared" si="40"/>
        <v>Discount Applied</v>
      </c>
      <c r="M1346" s="13" t="str">
        <f t="shared" si="41"/>
        <v>Bronze</v>
      </c>
      <c r="N1346" s="13"/>
    </row>
    <row r="1347" spans="1:14" x14ac:dyDescent="0.3">
      <c r="A1347" s="3">
        <v>4625</v>
      </c>
      <c r="B1347" s="3" t="s">
        <v>19</v>
      </c>
      <c r="C1347" s="4">
        <v>45169</v>
      </c>
      <c r="D1347" s="3" t="s">
        <v>22</v>
      </c>
      <c r="E1347" s="3" t="s">
        <v>21</v>
      </c>
      <c r="F1347" s="5">
        <v>1</v>
      </c>
      <c r="G1347" s="6">
        <v>5.35</v>
      </c>
      <c r="H1347" s="6">
        <v>5.35</v>
      </c>
      <c r="I1347" s="6">
        <v>0.54</v>
      </c>
      <c r="J1347" s="6">
        <v>4.8099999999999996</v>
      </c>
      <c r="K1347" s="5">
        <v>234</v>
      </c>
      <c r="L1347" s="13" t="str">
        <f t="shared" ref="L1347:L1410" si="42">IF(I1347&gt;0,"Discount Applied","No Discount")</f>
        <v>Discount Applied</v>
      </c>
      <c r="M1347" s="13" t="str">
        <f t="shared" ref="M1347:M1410" si="43">IF(J1347 &gt;= 70, "Platinum",
   IF(J1347 &gt;= 50, "Gold",
      IF(J1347 &gt;= 20, "Silver", "Bronze")))</f>
        <v>Bronze</v>
      </c>
      <c r="N1347" s="13"/>
    </row>
    <row r="1348" spans="1:14" x14ac:dyDescent="0.3">
      <c r="A1348" s="3">
        <v>3390</v>
      </c>
      <c r="B1348" s="3" t="s">
        <v>36</v>
      </c>
      <c r="C1348" s="4">
        <v>45462</v>
      </c>
      <c r="D1348" s="3" t="s">
        <v>15</v>
      </c>
      <c r="E1348" s="3" t="s">
        <v>16</v>
      </c>
      <c r="F1348" s="5">
        <v>3</v>
      </c>
      <c r="G1348" s="6">
        <v>16.09</v>
      </c>
      <c r="H1348" s="6">
        <v>48.27</v>
      </c>
      <c r="I1348" s="6">
        <v>9.65</v>
      </c>
      <c r="J1348" s="6">
        <v>38.619999999999997</v>
      </c>
      <c r="K1348" s="5">
        <v>1</v>
      </c>
      <c r="L1348" s="13" t="str">
        <f t="shared" si="42"/>
        <v>Discount Applied</v>
      </c>
      <c r="M1348" s="13" t="str">
        <f t="shared" si="43"/>
        <v>Silver</v>
      </c>
      <c r="N1348" s="13"/>
    </row>
    <row r="1349" spans="1:14" x14ac:dyDescent="0.3">
      <c r="A1349" s="3">
        <v>7841</v>
      </c>
      <c r="B1349" s="3" t="s">
        <v>26</v>
      </c>
      <c r="C1349" s="4">
        <v>45742</v>
      </c>
      <c r="D1349" s="3" t="s">
        <v>27</v>
      </c>
      <c r="E1349" s="3" t="s">
        <v>48</v>
      </c>
      <c r="F1349" s="5">
        <v>1</v>
      </c>
      <c r="G1349" s="6">
        <v>7.33</v>
      </c>
      <c r="H1349" s="6">
        <v>7.33</v>
      </c>
      <c r="I1349" s="6">
        <v>0</v>
      </c>
      <c r="J1349" s="6">
        <v>7.33</v>
      </c>
      <c r="K1349" s="5">
        <v>96</v>
      </c>
      <c r="L1349" s="13" t="str">
        <f t="shared" si="42"/>
        <v>No Discount</v>
      </c>
      <c r="M1349" s="13" t="str">
        <f t="shared" si="43"/>
        <v>Bronze</v>
      </c>
      <c r="N1349" s="13"/>
    </row>
    <row r="1350" spans="1:14" x14ac:dyDescent="0.3">
      <c r="A1350" s="3">
        <v>3497</v>
      </c>
      <c r="B1350" s="3" t="s">
        <v>14</v>
      </c>
      <c r="C1350" s="4">
        <v>45739</v>
      </c>
      <c r="D1350" s="3" t="s">
        <v>34</v>
      </c>
      <c r="E1350" s="3" t="s">
        <v>32</v>
      </c>
      <c r="F1350" s="5">
        <v>2</v>
      </c>
      <c r="G1350" s="6">
        <v>11.08</v>
      </c>
      <c r="H1350" s="6">
        <v>22.16</v>
      </c>
      <c r="I1350" s="6">
        <v>0</v>
      </c>
      <c r="J1350" s="6">
        <v>22.16</v>
      </c>
      <c r="K1350" s="5">
        <v>487</v>
      </c>
      <c r="L1350" s="13" t="str">
        <f t="shared" si="42"/>
        <v>No Discount</v>
      </c>
      <c r="M1350" s="13" t="str">
        <f t="shared" si="43"/>
        <v>Silver</v>
      </c>
      <c r="N1350" s="13"/>
    </row>
    <row r="1351" spans="1:14" x14ac:dyDescent="0.3">
      <c r="A1351" s="3">
        <v>6404</v>
      </c>
      <c r="B1351" s="3"/>
      <c r="C1351" s="4">
        <v>45435</v>
      </c>
      <c r="D1351" s="3" t="s">
        <v>22</v>
      </c>
      <c r="E1351" s="3" t="s">
        <v>23</v>
      </c>
      <c r="F1351" s="5">
        <v>1</v>
      </c>
      <c r="G1351" s="6">
        <v>9.75</v>
      </c>
      <c r="H1351" s="6">
        <v>9.75</v>
      </c>
      <c r="I1351" s="6">
        <v>0</v>
      </c>
      <c r="J1351" s="6">
        <v>9.75</v>
      </c>
      <c r="K1351" s="5">
        <v>157</v>
      </c>
      <c r="L1351" s="13" t="str">
        <f t="shared" si="42"/>
        <v>No Discount</v>
      </c>
      <c r="M1351" s="13" t="str">
        <f t="shared" si="43"/>
        <v>Bronze</v>
      </c>
      <c r="N1351" s="13"/>
    </row>
    <row r="1352" spans="1:14" x14ac:dyDescent="0.3">
      <c r="A1352" s="3">
        <v>7223</v>
      </c>
      <c r="B1352" s="3" t="s">
        <v>26</v>
      </c>
      <c r="C1352" s="4">
        <v>45493</v>
      </c>
      <c r="D1352" s="3" t="s">
        <v>27</v>
      </c>
      <c r="E1352" s="3" t="s">
        <v>33</v>
      </c>
      <c r="F1352" s="5">
        <v>4</v>
      </c>
      <c r="G1352" s="6">
        <v>12.89</v>
      </c>
      <c r="H1352" s="6">
        <v>51.56</v>
      </c>
      <c r="I1352" s="6">
        <v>4.9000000000000004</v>
      </c>
      <c r="J1352" s="6">
        <v>46.66</v>
      </c>
      <c r="K1352" s="5">
        <v>180</v>
      </c>
      <c r="L1352" s="13" t="str">
        <f t="shared" si="42"/>
        <v>Discount Applied</v>
      </c>
      <c r="M1352" s="13" t="str">
        <f t="shared" si="43"/>
        <v>Silver</v>
      </c>
      <c r="N1352" s="13"/>
    </row>
    <row r="1353" spans="1:14" x14ac:dyDescent="0.3">
      <c r="A1353" s="3">
        <v>5026</v>
      </c>
      <c r="B1353" s="3" t="s">
        <v>36</v>
      </c>
      <c r="C1353" s="4">
        <v>45436</v>
      </c>
      <c r="D1353" s="3" t="s">
        <v>15</v>
      </c>
      <c r="E1353" s="3" t="s">
        <v>29</v>
      </c>
      <c r="F1353" s="5">
        <v>4</v>
      </c>
      <c r="G1353" s="6">
        <v>13.41</v>
      </c>
      <c r="H1353" s="6">
        <v>53.64</v>
      </c>
      <c r="I1353" s="6">
        <v>2.74</v>
      </c>
      <c r="J1353" s="6">
        <v>50.9</v>
      </c>
      <c r="K1353" s="5">
        <v>90</v>
      </c>
      <c r="L1353" s="13" t="str">
        <f t="shared" si="42"/>
        <v>Discount Applied</v>
      </c>
      <c r="M1353" s="13" t="str">
        <f t="shared" si="43"/>
        <v>Gold</v>
      </c>
      <c r="N1353" s="13"/>
    </row>
    <row r="1354" spans="1:14" x14ac:dyDescent="0.3">
      <c r="A1354" s="3">
        <v>6530</v>
      </c>
      <c r="B1354" s="3" t="s">
        <v>30</v>
      </c>
      <c r="C1354" s="4">
        <v>45675</v>
      </c>
      <c r="D1354" s="3" t="s">
        <v>27</v>
      </c>
      <c r="E1354" s="3" t="s">
        <v>16</v>
      </c>
      <c r="F1354" s="5">
        <v>3</v>
      </c>
      <c r="G1354" s="6">
        <v>21.35</v>
      </c>
      <c r="H1354" s="6">
        <v>64.05</v>
      </c>
      <c r="I1354" s="6">
        <v>4.22</v>
      </c>
      <c r="J1354" s="6">
        <v>59.83</v>
      </c>
      <c r="K1354" s="5">
        <v>480</v>
      </c>
      <c r="L1354" s="13" t="str">
        <f t="shared" si="42"/>
        <v>Discount Applied</v>
      </c>
      <c r="M1354" s="13" t="str">
        <f t="shared" si="43"/>
        <v>Gold</v>
      </c>
      <c r="N1354" s="13"/>
    </row>
    <row r="1355" spans="1:14" x14ac:dyDescent="0.3">
      <c r="A1355" s="3">
        <v>9005</v>
      </c>
      <c r="B1355" s="3" t="s">
        <v>11</v>
      </c>
      <c r="C1355" s="4">
        <v>45248</v>
      </c>
      <c r="D1355" s="3" t="s">
        <v>15</v>
      </c>
      <c r="E1355" s="3" t="s">
        <v>39</v>
      </c>
      <c r="F1355" s="5">
        <v>5</v>
      </c>
      <c r="G1355" s="6">
        <v>28.03</v>
      </c>
      <c r="H1355" s="6">
        <v>140.15</v>
      </c>
      <c r="I1355" s="6">
        <v>0</v>
      </c>
      <c r="J1355" s="6">
        <v>140.15</v>
      </c>
      <c r="K1355" s="5">
        <v>53</v>
      </c>
      <c r="L1355" s="13" t="str">
        <f t="shared" si="42"/>
        <v>No Discount</v>
      </c>
      <c r="M1355" s="13" t="str">
        <f t="shared" si="43"/>
        <v>Platinum</v>
      </c>
      <c r="N1355" s="13"/>
    </row>
    <row r="1356" spans="1:14" x14ac:dyDescent="0.3">
      <c r="A1356" s="3">
        <v>9037</v>
      </c>
      <c r="B1356" s="3" t="s">
        <v>14</v>
      </c>
      <c r="C1356" s="4">
        <v>45237</v>
      </c>
      <c r="D1356" s="3" t="s">
        <v>15</v>
      </c>
      <c r="E1356" s="3" t="s">
        <v>33</v>
      </c>
      <c r="F1356" s="5">
        <v>5</v>
      </c>
      <c r="G1356" s="6">
        <v>17.850000000000001</v>
      </c>
      <c r="H1356" s="6">
        <v>89.25</v>
      </c>
      <c r="I1356" s="6">
        <v>8.93</v>
      </c>
      <c r="J1356" s="6">
        <v>80.319999999999993</v>
      </c>
      <c r="K1356" s="5">
        <v>16</v>
      </c>
      <c r="L1356" s="13" t="str">
        <f t="shared" si="42"/>
        <v>Discount Applied</v>
      </c>
      <c r="M1356" s="13" t="str">
        <f t="shared" si="43"/>
        <v>Platinum</v>
      </c>
      <c r="N1356" s="13"/>
    </row>
    <row r="1357" spans="1:14" x14ac:dyDescent="0.3">
      <c r="A1357" s="3">
        <v>3756</v>
      </c>
      <c r="B1357" s="3" t="s">
        <v>42</v>
      </c>
      <c r="C1357" s="4">
        <v>45562</v>
      </c>
      <c r="D1357" s="3" t="s">
        <v>17</v>
      </c>
      <c r="E1357" s="3" t="s">
        <v>33</v>
      </c>
      <c r="F1357" s="5">
        <v>5</v>
      </c>
      <c r="G1357" s="6">
        <v>12.04</v>
      </c>
      <c r="H1357" s="6">
        <v>60.2</v>
      </c>
      <c r="I1357" s="6">
        <v>2.4</v>
      </c>
      <c r="J1357" s="6">
        <v>57.8</v>
      </c>
      <c r="K1357" s="5">
        <v>100</v>
      </c>
      <c r="L1357" s="13" t="str">
        <f t="shared" si="42"/>
        <v>Discount Applied</v>
      </c>
      <c r="M1357" s="13" t="str">
        <f t="shared" si="43"/>
        <v>Gold</v>
      </c>
      <c r="N1357" s="13"/>
    </row>
    <row r="1358" spans="1:14" x14ac:dyDescent="0.3">
      <c r="A1358" s="3">
        <v>6770</v>
      </c>
      <c r="B1358" s="3" t="s">
        <v>26</v>
      </c>
      <c r="C1358" s="4">
        <v>45555</v>
      </c>
      <c r="D1358" s="3" t="s">
        <v>20</v>
      </c>
      <c r="E1358" s="3" t="s">
        <v>32</v>
      </c>
      <c r="F1358" s="5">
        <v>1</v>
      </c>
      <c r="G1358" s="6">
        <v>28.24</v>
      </c>
      <c r="H1358" s="6">
        <v>28.24</v>
      </c>
      <c r="I1358" s="6">
        <v>2.13</v>
      </c>
      <c r="J1358" s="6">
        <v>26.11</v>
      </c>
      <c r="K1358" s="5">
        <v>400</v>
      </c>
      <c r="L1358" s="13" t="str">
        <f t="shared" si="42"/>
        <v>Discount Applied</v>
      </c>
      <c r="M1358" s="13" t="str">
        <f t="shared" si="43"/>
        <v>Silver</v>
      </c>
      <c r="N1358" s="13"/>
    </row>
    <row r="1359" spans="1:14" x14ac:dyDescent="0.3">
      <c r="A1359" s="3">
        <v>3293</v>
      </c>
      <c r="B1359" s="3" t="s">
        <v>30</v>
      </c>
      <c r="C1359" s="4">
        <v>45710</v>
      </c>
      <c r="D1359" s="3" t="s">
        <v>35</v>
      </c>
      <c r="E1359" s="3" t="s">
        <v>16</v>
      </c>
      <c r="F1359" s="5">
        <v>2</v>
      </c>
      <c r="G1359" s="6">
        <v>1.1100000000000001</v>
      </c>
      <c r="H1359" s="6">
        <v>2.2200000000000002</v>
      </c>
      <c r="I1359" s="6">
        <v>1.06</v>
      </c>
      <c r="J1359" s="6">
        <v>1.1599999999999999</v>
      </c>
      <c r="K1359" s="5">
        <v>465</v>
      </c>
      <c r="L1359" s="13" t="str">
        <f t="shared" si="42"/>
        <v>Discount Applied</v>
      </c>
      <c r="M1359" s="13" t="str">
        <f t="shared" si="43"/>
        <v>Bronze</v>
      </c>
      <c r="N1359" s="13"/>
    </row>
    <row r="1360" spans="1:14" x14ac:dyDescent="0.3">
      <c r="A1360" s="3">
        <v>9954</v>
      </c>
      <c r="B1360" s="3" t="s">
        <v>19</v>
      </c>
      <c r="C1360" s="4">
        <v>45793</v>
      </c>
      <c r="D1360" s="3" t="s">
        <v>22</v>
      </c>
      <c r="E1360" s="3" t="s">
        <v>46</v>
      </c>
      <c r="F1360" s="5">
        <v>5</v>
      </c>
      <c r="G1360" s="6">
        <v>10.199999999999999</v>
      </c>
      <c r="H1360" s="6">
        <v>51</v>
      </c>
      <c r="I1360" s="6">
        <v>10.199999999999999</v>
      </c>
      <c r="J1360" s="6">
        <v>40.799999999999997</v>
      </c>
      <c r="K1360" s="5">
        <v>87</v>
      </c>
      <c r="L1360" s="13" t="str">
        <f t="shared" si="42"/>
        <v>Discount Applied</v>
      </c>
      <c r="M1360" s="13" t="str">
        <f t="shared" si="43"/>
        <v>Silver</v>
      </c>
      <c r="N1360" s="13"/>
    </row>
    <row r="1361" spans="1:14" x14ac:dyDescent="0.3">
      <c r="A1361" s="3">
        <v>4015</v>
      </c>
      <c r="B1361" s="3" t="s">
        <v>14</v>
      </c>
      <c r="C1361" s="4">
        <v>45732</v>
      </c>
      <c r="D1361" s="3" t="s">
        <v>20</v>
      </c>
      <c r="E1361" s="3" t="s">
        <v>44</v>
      </c>
      <c r="F1361" s="5">
        <v>5</v>
      </c>
      <c r="G1361" s="6">
        <v>19.68</v>
      </c>
      <c r="H1361" s="6">
        <v>98.4</v>
      </c>
      <c r="I1361" s="6">
        <v>2.72</v>
      </c>
      <c r="J1361" s="6">
        <v>95.68</v>
      </c>
      <c r="K1361" s="5">
        <v>424</v>
      </c>
      <c r="L1361" s="13" t="str">
        <f t="shared" si="42"/>
        <v>Discount Applied</v>
      </c>
      <c r="M1361" s="13" t="str">
        <f t="shared" si="43"/>
        <v>Platinum</v>
      </c>
      <c r="N1361" s="13"/>
    </row>
    <row r="1362" spans="1:14" x14ac:dyDescent="0.3">
      <c r="A1362" s="3">
        <v>1962</v>
      </c>
      <c r="B1362" s="3" t="s">
        <v>24</v>
      </c>
      <c r="C1362" s="4">
        <v>45376</v>
      </c>
      <c r="D1362" s="3" t="s">
        <v>34</v>
      </c>
      <c r="E1362" s="3" t="s">
        <v>32</v>
      </c>
      <c r="F1362" s="5">
        <v>3</v>
      </c>
      <c r="G1362" s="6">
        <v>15.99</v>
      </c>
      <c r="H1362" s="6">
        <v>47.97</v>
      </c>
      <c r="I1362" s="6">
        <v>3.84</v>
      </c>
      <c r="J1362" s="6">
        <v>44.13</v>
      </c>
      <c r="K1362" s="5">
        <v>223</v>
      </c>
      <c r="L1362" s="13" t="str">
        <f t="shared" si="42"/>
        <v>Discount Applied</v>
      </c>
      <c r="M1362" s="13" t="str">
        <f t="shared" si="43"/>
        <v>Silver</v>
      </c>
      <c r="N1362" s="13"/>
    </row>
    <row r="1363" spans="1:14" x14ac:dyDescent="0.3">
      <c r="A1363" s="3">
        <v>1554</v>
      </c>
      <c r="B1363" s="3" t="s">
        <v>19</v>
      </c>
      <c r="C1363" s="4">
        <v>45668</v>
      </c>
      <c r="D1363" s="3" t="s">
        <v>38</v>
      </c>
      <c r="E1363" s="3" t="s">
        <v>48</v>
      </c>
      <c r="F1363" s="5">
        <v>5</v>
      </c>
      <c r="G1363" s="6">
        <v>23.73</v>
      </c>
      <c r="H1363" s="6">
        <v>118.65</v>
      </c>
      <c r="I1363" s="6">
        <v>1.64</v>
      </c>
      <c r="J1363" s="6">
        <v>117.01</v>
      </c>
      <c r="K1363" s="5">
        <v>431</v>
      </c>
      <c r="L1363" s="13" t="str">
        <f t="shared" si="42"/>
        <v>Discount Applied</v>
      </c>
      <c r="M1363" s="13" t="str">
        <f t="shared" si="43"/>
        <v>Platinum</v>
      </c>
      <c r="N1363" s="13"/>
    </row>
    <row r="1364" spans="1:14" x14ac:dyDescent="0.3">
      <c r="A1364" s="3">
        <v>2217</v>
      </c>
      <c r="B1364" s="3" t="s">
        <v>36</v>
      </c>
      <c r="C1364" s="4">
        <v>45474</v>
      </c>
      <c r="D1364" s="3" t="s">
        <v>17</v>
      </c>
      <c r="E1364" s="3" t="s">
        <v>43</v>
      </c>
      <c r="F1364" s="5">
        <v>1</v>
      </c>
      <c r="G1364" s="6">
        <v>1.73</v>
      </c>
      <c r="H1364" s="6">
        <v>1.73</v>
      </c>
      <c r="I1364" s="6">
        <v>3.47</v>
      </c>
      <c r="J1364" s="6">
        <v>-1.74</v>
      </c>
      <c r="K1364" s="5">
        <v>5</v>
      </c>
      <c r="L1364" s="13" t="str">
        <f t="shared" si="42"/>
        <v>Discount Applied</v>
      </c>
      <c r="M1364" s="13" t="str">
        <f t="shared" si="43"/>
        <v>Bronze</v>
      </c>
      <c r="N1364" s="13"/>
    </row>
    <row r="1365" spans="1:14" x14ac:dyDescent="0.3">
      <c r="A1365" s="3">
        <v>1794</v>
      </c>
      <c r="B1365" s="3" t="s">
        <v>14</v>
      </c>
      <c r="C1365" s="4">
        <v>45439</v>
      </c>
      <c r="D1365" s="3" t="s">
        <v>15</v>
      </c>
      <c r="E1365" s="3" t="s">
        <v>32</v>
      </c>
      <c r="F1365" s="5">
        <v>1</v>
      </c>
      <c r="G1365" s="6">
        <v>22.52</v>
      </c>
      <c r="H1365" s="6">
        <v>22.52</v>
      </c>
      <c r="I1365" s="6">
        <v>0</v>
      </c>
      <c r="J1365" s="6">
        <v>22.52</v>
      </c>
      <c r="K1365" s="5">
        <v>66</v>
      </c>
      <c r="L1365" s="13" t="str">
        <f t="shared" si="42"/>
        <v>No Discount</v>
      </c>
      <c r="M1365" s="13" t="str">
        <f t="shared" si="43"/>
        <v>Silver</v>
      </c>
      <c r="N1365" s="13"/>
    </row>
    <row r="1366" spans="1:14" x14ac:dyDescent="0.3">
      <c r="A1366" s="3">
        <v>1104</v>
      </c>
      <c r="B1366" s="3" t="s">
        <v>36</v>
      </c>
      <c r="C1366" s="4">
        <v>45337</v>
      </c>
      <c r="D1366" s="3" t="s">
        <v>34</v>
      </c>
      <c r="E1366" s="3" t="s">
        <v>25</v>
      </c>
      <c r="F1366" s="5">
        <v>2</v>
      </c>
      <c r="G1366" s="6">
        <v>9.6</v>
      </c>
      <c r="H1366" s="6">
        <v>19.2</v>
      </c>
      <c r="I1366" s="6">
        <v>0</v>
      </c>
      <c r="J1366" s="6">
        <v>19.2</v>
      </c>
      <c r="K1366" s="5">
        <v>274</v>
      </c>
      <c r="L1366" s="13" t="str">
        <f t="shared" si="42"/>
        <v>No Discount</v>
      </c>
      <c r="M1366" s="13" t="str">
        <f t="shared" si="43"/>
        <v>Bronze</v>
      </c>
      <c r="N1366" s="13"/>
    </row>
    <row r="1367" spans="1:14" x14ac:dyDescent="0.3">
      <c r="A1367" s="3">
        <v>4791</v>
      </c>
      <c r="B1367" s="3" t="s">
        <v>24</v>
      </c>
      <c r="C1367" s="4">
        <v>45413</v>
      </c>
      <c r="D1367" s="3" t="s">
        <v>35</v>
      </c>
      <c r="E1367" s="3" t="s">
        <v>40</v>
      </c>
      <c r="F1367" s="5">
        <v>3</v>
      </c>
      <c r="G1367" s="6">
        <v>3.4</v>
      </c>
      <c r="H1367" s="6">
        <v>10.199999999999999</v>
      </c>
      <c r="I1367" s="6">
        <v>0</v>
      </c>
      <c r="J1367" s="6">
        <v>10.199999999999999</v>
      </c>
      <c r="K1367" s="5">
        <v>73</v>
      </c>
      <c r="L1367" s="13" t="str">
        <f t="shared" si="42"/>
        <v>No Discount</v>
      </c>
      <c r="M1367" s="13" t="str">
        <f t="shared" si="43"/>
        <v>Bronze</v>
      </c>
      <c r="N1367" s="13"/>
    </row>
    <row r="1368" spans="1:14" x14ac:dyDescent="0.3">
      <c r="A1368" s="3">
        <v>3474</v>
      </c>
      <c r="B1368" s="3" t="s">
        <v>11</v>
      </c>
      <c r="C1368" s="4">
        <v>45359</v>
      </c>
      <c r="D1368" s="3" t="s">
        <v>15</v>
      </c>
      <c r="E1368" s="3" t="s">
        <v>33</v>
      </c>
      <c r="F1368" s="5">
        <v>5</v>
      </c>
      <c r="G1368" s="6">
        <v>4.55</v>
      </c>
      <c r="H1368" s="6">
        <v>22.75</v>
      </c>
      <c r="I1368" s="6">
        <v>3.41</v>
      </c>
      <c r="J1368" s="6">
        <v>19.34</v>
      </c>
      <c r="K1368" s="5">
        <v>72</v>
      </c>
      <c r="L1368" s="13" t="str">
        <f t="shared" si="42"/>
        <v>Discount Applied</v>
      </c>
      <c r="M1368" s="13" t="str">
        <f t="shared" si="43"/>
        <v>Bronze</v>
      </c>
      <c r="N1368" s="13"/>
    </row>
    <row r="1369" spans="1:14" x14ac:dyDescent="0.3">
      <c r="A1369" s="3">
        <v>4583</v>
      </c>
      <c r="B1369" s="3" t="s">
        <v>19</v>
      </c>
      <c r="C1369" s="4">
        <v>45873</v>
      </c>
      <c r="D1369" s="3" t="s">
        <v>15</v>
      </c>
      <c r="E1369" s="3" t="s">
        <v>43</v>
      </c>
      <c r="F1369" s="5">
        <v>4</v>
      </c>
      <c r="G1369" s="6">
        <v>25.48</v>
      </c>
      <c r="H1369" s="6">
        <v>101.92</v>
      </c>
      <c r="I1369" s="6">
        <v>10.19</v>
      </c>
      <c r="J1369" s="6">
        <v>91.73</v>
      </c>
      <c r="K1369" s="5">
        <v>467</v>
      </c>
      <c r="L1369" s="13" t="str">
        <f t="shared" si="42"/>
        <v>Discount Applied</v>
      </c>
      <c r="M1369" s="13" t="str">
        <f t="shared" si="43"/>
        <v>Platinum</v>
      </c>
      <c r="N1369" s="13"/>
    </row>
    <row r="1370" spans="1:14" x14ac:dyDescent="0.3">
      <c r="A1370" s="3">
        <v>8471</v>
      </c>
      <c r="B1370" s="3" t="s">
        <v>11</v>
      </c>
      <c r="C1370" s="4">
        <v>45170</v>
      </c>
      <c r="D1370" s="3" t="s">
        <v>45</v>
      </c>
      <c r="E1370" s="3" t="s">
        <v>39</v>
      </c>
      <c r="F1370" s="5">
        <v>4</v>
      </c>
      <c r="G1370" s="6">
        <v>3.12</v>
      </c>
      <c r="H1370" s="6">
        <v>12.48</v>
      </c>
      <c r="I1370" s="6">
        <v>2.5</v>
      </c>
      <c r="J1370" s="6">
        <v>9.98</v>
      </c>
      <c r="K1370" s="5">
        <v>491</v>
      </c>
      <c r="L1370" s="13" t="str">
        <f t="shared" si="42"/>
        <v>Discount Applied</v>
      </c>
      <c r="M1370" s="13" t="str">
        <f t="shared" si="43"/>
        <v>Bronze</v>
      </c>
      <c r="N1370" s="13"/>
    </row>
    <row r="1371" spans="1:14" x14ac:dyDescent="0.3">
      <c r="A1371" s="3">
        <v>1990</v>
      </c>
      <c r="B1371" s="3" t="s">
        <v>24</v>
      </c>
      <c r="C1371" s="4">
        <v>45622</v>
      </c>
      <c r="D1371" s="3" t="s">
        <v>20</v>
      </c>
      <c r="E1371" s="3" t="s">
        <v>21</v>
      </c>
      <c r="F1371" s="5">
        <v>4</v>
      </c>
      <c r="G1371" s="6">
        <v>24.44</v>
      </c>
      <c r="H1371" s="6">
        <v>97.76</v>
      </c>
      <c r="I1371" s="6">
        <v>4.6100000000000003</v>
      </c>
      <c r="J1371" s="6">
        <v>93.15</v>
      </c>
      <c r="K1371" s="5">
        <v>92</v>
      </c>
      <c r="L1371" s="13" t="str">
        <f t="shared" si="42"/>
        <v>Discount Applied</v>
      </c>
      <c r="M1371" s="13" t="str">
        <f t="shared" si="43"/>
        <v>Platinum</v>
      </c>
      <c r="N1371" s="13"/>
    </row>
    <row r="1372" spans="1:14" x14ac:dyDescent="0.3">
      <c r="A1372" s="3">
        <v>8993</v>
      </c>
      <c r="B1372" s="3" t="s">
        <v>31</v>
      </c>
      <c r="C1372" s="4">
        <v>45331</v>
      </c>
      <c r="D1372" s="3" t="s">
        <v>15</v>
      </c>
      <c r="E1372" s="3" t="s">
        <v>21</v>
      </c>
      <c r="F1372" s="5">
        <v>3</v>
      </c>
      <c r="G1372" s="6">
        <v>15.02</v>
      </c>
      <c r="H1372" s="6">
        <v>45.06</v>
      </c>
      <c r="I1372" s="6">
        <v>9.01</v>
      </c>
      <c r="J1372" s="6">
        <v>36.049999999999997</v>
      </c>
      <c r="K1372" s="5">
        <v>314</v>
      </c>
      <c r="L1372" s="13" t="str">
        <f t="shared" si="42"/>
        <v>Discount Applied</v>
      </c>
      <c r="M1372" s="13" t="str">
        <f t="shared" si="43"/>
        <v>Silver</v>
      </c>
      <c r="N1372" s="13"/>
    </row>
    <row r="1373" spans="1:14" x14ac:dyDescent="0.3">
      <c r="A1373" s="3">
        <v>1108</v>
      </c>
      <c r="B1373" s="3"/>
      <c r="C1373" s="4">
        <v>45197</v>
      </c>
      <c r="D1373" s="3" t="s">
        <v>35</v>
      </c>
      <c r="E1373" s="3" t="s">
        <v>48</v>
      </c>
      <c r="F1373" s="5">
        <v>2</v>
      </c>
      <c r="G1373" s="6">
        <v>18.57</v>
      </c>
      <c r="H1373" s="6">
        <v>37.14</v>
      </c>
      <c r="I1373" s="6">
        <v>3.05</v>
      </c>
      <c r="J1373" s="6">
        <v>34.090000000000003</v>
      </c>
      <c r="K1373" s="5">
        <v>274</v>
      </c>
      <c r="L1373" s="13" t="str">
        <f t="shared" si="42"/>
        <v>Discount Applied</v>
      </c>
      <c r="M1373" s="13" t="str">
        <f t="shared" si="43"/>
        <v>Silver</v>
      </c>
      <c r="N1373" s="13"/>
    </row>
    <row r="1374" spans="1:14" x14ac:dyDescent="0.3">
      <c r="A1374" s="3">
        <v>7739</v>
      </c>
      <c r="B1374" s="3" t="s">
        <v>19</v>
      </c>
      <c r="C1374" s="4">
        <v>45606</v>
      </c>
      <c r="D1374" s="3" t="s">
        <v>17</v>
      </c>
      <c r="E1374" s="3" t="s">
        <v>23</v>
      </c>
      <c r="F1374" s="5">
        <v>1</v>
      </c>
      <c r="G1374" s="6">
        <v>27.05</v>
      </c>
      <c r="H1374" s="6">
        <v>27.05</v>
      </c>
      <c r="I1374" s="6">
        <v>5.41</v>
      </c>
      <c r="J1374" s="6">
        <v>21.64</v>
      </c>
      <c r="K1374" s="5">
        <v>15</v>
      </c>
      <c r="L1374" s="13" t="str">
        <f t="shared" si="42"/>
        <v>Discount Applied</v>
      </c>
      <c r="M1374" s="13" t="str">
        <f t="shared" si="43"/>
        <v>Silver</v>
      </c>
      <c r="N1374" s="13"/>
    </row>
    <row r="1375" spans="1:14" x14ac:dyDescent="0.3">
      <c r="A1375" s="3">
        <v>1274</v>
      </c>
      <c r="B1375" s="3" t="s">
        <v>42</v>
      </c>
      <c r="C1375" s="4">
        <v>45491</v>
      </c>
      <c r="D1375" s="3" t="s">
        <v>15</v>
      </c>
      <c r="E1375" s="3" t="s">
        <v>41</v>
      </c>
      <c r="F1375" s="5">
        <v>3</v>
      </c>
      <c r="G1375" s="6">
        <v>8.93</v>
      </c>
      <c r="H1375" s="6">
        <v>26.79</v>
      </c>
      <c r="I1375" s="6">
        <v>4.0199999999999996</v>
      </c>
      <c r="J1375" s="6">
        <v>22.77</v>
      </c>
      <c r="K1375" s="5">
        <v>102</v>
      </c>
      <c r="L1375" s="13" t="str">
        <f t="shared" si="42"/>
        <v>Discount Applied</v>
      </c>
      <c r="M1375" s="13" t="str">
        <f t="shared" si="43"/>
        <v>Silver</v>
      </c>
      <c r="N1375" s="13"/>
    </row>
    <row r="1376" spans="1:14" x14ac:dyDescent="0.3">
      <c r="A1376" s="3">
        <v>5501</v>
      </c>
      <c r="B1376" s="3" t="s">
        <v>14</v>
      </c>
      <c r="C1376" s="4">
        <v>45335</v>
      </c>
      <c r="D1376" s="3" t="s">
        <v>27</v>
      </c>
      <c r="E1376" s="3" t="s">
        <v>37</v>
      </c>
      <c r="F1376" s="5">
        <v>4</v>
      </c>
      <c r="G1376" s="6">
        <v>22.6</v>
      </c>
      <c r="H1376" s="6">
        <v>90.4</v>
      </c>
      <c r="I1376" s="6">
        <v>4.79</v>
      </c>
      <c r="J1376" s="6">
        <v>85.61</v>
      </c>
      <c r="K1376" s="5">
        <v>253</v>
      </c>
      <c r="L1376" s="13" t="str">
        <f t="shared" si="42"/>
        <v>Discount Applied</v>
      </c>
      <c r="M1376" s="13" t="str">
        <f t="shared" si="43"/>
        <v>Platinum</v>
      </c>
      <c r="N1376" s="13"/>
    </row>
    <row r="1377" spans="1:14" x14ac:dyDescent="0.3">
      <c r="A1377" s="3">
        <v>5697</v>
      </c>
      <c r="B1377" s="3" t="s">
        <v>42</v>
      </c>
      <c r="C1377" s="4">
        <v>45457</v>
      </c>
      <c r="D1377" s="3" t="s">
        <v>35</v>
      </c>
      <c r="E1377" s="3" t="s">
        <v>29</v>
      </c>
      <c r="F1377" s="5">
        <v>2</v>
      </c>
      <c r="G1377" s="6">
        <v>20.91</v>
      </c>
      <c r="H1377" s="6">
        <v>41.82</v>
      </c>
      <c r="I1377" s="6">
        <v>4.18</v>
      </c>
      <c r="J1377" s="6">
        <v>37.64</v>
      </c>
      <c r="K1377" s="5">
        <v>454</v>
      </c>
      <c r="L1377" s="13" t="str">
        <f t="shared" si="42"/>
        <v>Discount Applied</v>
      </c>
      <c r="M1377" s="13" t="str">
        <f t="shared" si="43"/>
        <v>Silver</v>
      </c>
      <c r="N1377" s="13"/>
    </row>
    <row r="1378" spans="1:14" x14ac:dyDescent="0.3">
      <c r="A1378" s="3">
        <v>9228</v>
      </c>
      <c r="B1378" s="3" t="s">
        <v>11</v>
      </c>
      <c r="C1378" s="4">
        <v>45327</v>
      </c>
      <c r="D1378" s="3" t="s">
        <v>28</v>
      </c>
      <c r="E1378" s="3" t="s">
        <v>37</v>
      </c>
      <c r="F1378" s="5">
        <v>2</v>
      </c>
      <c r="G1378" s="6">
        <v>24.02</v>
      </c>
      <c r="H1378" s="6">
        <v>48.04</v>
      </c>
      <c r="I1378" s="6">
        <v>4.8</v>
      </c>
      <c r="J1378" s="6">
        <v>43.24</v>
      </c>
      <c r="K1378" s="5">
        <v>488</v>
      </c>
      <c r="L1378" s="13" t="str">
        <f t="shared" si="42"/>
        <v>Discount Applied</v>
      </c>
      <c r="M1378" s="13" t="str">
        <f t="shared" si="43"/>
        <v>Silver</v>
      </c>
      <c r="N1378" s="13"/>
    </row>
    <row r="1379" spans="1:14" x14ac:dyDescent="0.3">
      <c r="A1379" s="3">
        <v>8054</v>
      </c>
      <c r="B1379" s="3" t="s">
        <v>26</v>
      </c>
      <c r="C1379" s="4">
        <v>45313</v>
      </c>
      <c r="D1379" s="3" t="s">
        <v>20</v>
      </c>
      <c r="E1379" s="3" t="s">
        <v>13</v>
      </c>
      <c r="F1379" s="5">
        <v>3</v>
      </c>
      <c r="G1379" s="6">
        <v>19.05</v>
      </c>
      <c r="H1379" s="6">
        <v>57.15</v>
      </c>
      <c r="I1379" s="6">
        <v>5.71</v>
      </c>
      <c r="J1379" s="6">
        <v>51.44</v>
      </c>
      <c r="K1379" s="5">
        <v>310</v>
      </c>
      <c r="L1379" s="13" t="str">
        <f t="shared" si="42"/>
        <v>Discount Applied</v>
      </c>
      <c r="M1379" s="13" t="str">
        <f t="shared" si="43"/>
        <v>Gold</v>
      </c>
      <c r="N1379" s="13"/>
    </row>
    <row r="1380" spans="1:14" x14ac:dyDescent="0.3">
      <c r="A1380" s="3">
        <v>3937</v>
      </c>
      <c r="B1380" s="3" t="s">
        <v>42</v>
      </c>
      <c r="C1380" s="4">
        <v>45253</v>
      </c>
      <c r="D1380" s="3" t="s">
        <v>28</v>
      </c>
      <c r="E1380" s="3" t="s">
        <v>23</v>
      </c>
      <c r="F1380" s="5">
        <v>3</v>
      </c>
      <c r="G1380" s="6">
        <v>27.03</v>
      </c>
      <c r="H1380" s="6">
        <v>81.09</v>
      </c>
      <c r="I1380" s="6">
        <v>8.11</v>
      </c>
      <c r="J1380" s="6">
        <v>72.98</v>
      </c>
      <c r="K1380" s="5">
        <v>419</v>
      </c>
      <c r="L1380" s="13" t="str">
        <f t="shared" si="42"/>
        <v>Discount Applied</v>
      </c>
      <c r="M1380" s="13" t="str">
        <f t="shared" si="43"/>
        <v>Platinum</v>
      </c>
      <c r="N1380" s="13"/>
    </row>
    <row r="1381" spans="1:14" x14ac:dyDescent="0.3">
      <c r="A1381" s="3">
        <v>2578</v>
      </c>
      <c r="B1381" s="3" t="s">
        <v>19</v>
      </c>
      <c r="C1381" s="4">
        <v>45369</v>
      </c>
      <c r="D1381" s="3" t="s">
        <v>12</v>
      </c>
      <c r="E1381" s="3" t="s">
        <v>46</v>
      </c>
      <c r="F1381" s="5">
        <v>3</v>
      </c>
      <c r="G1381" s="6">
        <v>18.010000000000002</v>
      </c>
      <c r="H1381" s="6">
        <v>54.03</v>
      </c>
      <c r="I1381" s="6">
        <v>5.4</v>
      </c>
      <c r="J1381" s="6">
        <v>48.63</v>
      </c>
      <c r="K1381" s="5">
        <v>150</v>
      </c>
      <c r="L1381" s="13" t="str">
        <f t="shared" si="42"/>
        <v>Discount Applied</v>
      </c>
      <c r="M1381" s="13" t="str">
        <f t="shared" si="43"/>
        <v>Silver</v>
      </c>
      <c r="N1381" s="13"/>
    </row>
    <row r="1382" spans="1:14" x14ac:dyDescent="0.3">
      <c r="A1382" s="3">
        <v>3439</v>
      </c>
      <c r="B1382" s="3" t="s">
        <v>31</v>
      </c>
      <c r="C1382" s="4">
        <v>45778</v>
      </c>
      <c r="D1382" s="3" t="s">
        <v>15</v>
      </c>
      <c r="E1382" s="3" t="s">
        <v>29</v>
      </c>
      <c r="F1382" s="5">
        <v>3</v>
      </c>
      <c r="G1382" s="6">
        <v>13.44</v>
      </c>
      <c r="H1382" s="6">
        <v>40.32</v>
      </c>
      <c r="I1382" s="6">
        <v>8.06</v>
      </c>
      <c r="J1382" s="6">
        <v>32.26</v>
      </c>
      <c r="K1382" s="5">
        <v>95</v>
      </c>
      <c r="L1382" s="13" t="str">
        <f t="shared" si="42"/>
        <v>Discount Applied</v>
      </c>
      <c r="M1382" s="13" t="str">
        <f t="shared" si="43"/>
        <v>Silver</v>
      </c>
      <c r="N1382" s="13"/>
    </row>
    <row r="1383" spans="1:14" x14ac:dyDescent="0.3">
      <c r="A1383" s="3">
        <v>4144</v>
      </c>
      <c r="B1383" s="3" t="s">
        <v>11</v>
      </c>
      <c r="C1383" s="4">
        <v>45593</v>
      </c>
      <c r="D1383" s="3" t="s">
        <v>17</v>
      </c>
      <c r="E1383" s="3" t="s">
        <v>23</v>
      </c>
      <c r="F1383" s="5">
        <v>3</v>
      </c>
      <c r="G1383" s="6">
        <v>5.2</v>
      </c>
      <c r="H1383" s="6">
        <v>15.6</v>
      </c>
      <c r="I1383" s="6">
        <v>2.27</v>
      </c>
      <c r="J1383" s="6">
        <v>13.33</v>
      </c>
      <c r="K1383" s="5">
        <v>160</v>
      </c>
      <c r="L1383" s="13" t="str">
        <f t="shared" si="42"/>
        <v>Discount Applied</v>
      </c>
      <c r="M1383" s="13" t="str">
        <f t="shared" si="43"/>
        <v>Bronze</v>
      </c>
      <c r="N1383" s="13"/>
    </row>
    <row r="1384" spans="1:14" x14ac:dyDescent="0.3">
      <c r="A1384" s="3">
        <v>9625</v>
      </c>
      <c r="B1384" s="3" t="s">
        <v>31</v>
      </c>
      <c r="C1384" s="4">
        <v>45329</v>
      </c>
      <c r="D1384" s="3" t="s">
        <v>22</v>
      </c>
      <c r="E1384" s="3" t="s">
        <v>44</v>
      </c>
      <c r="F1384" s="5">
        <v>4</v>
      </c>
      <c r="G1384" s="6">
        <v>17.45</v>
      </c>
      <c r="H1384" s="6">
        <v>69.8</v>
      </c>
      <c r="I1384" s="6">
        <v>1.26</v>
      </c>
      <c r="J1384" s="6">
        <v>68.540000000000006</v>
      </c>
      <c r="K1384" s="5">
        <v>164</v>
      </c>
      <c r="L1384" s="13" t="str">
        <f t="shared" si="42"/>
        <v>Discount Applied</v>
      </c>
      <c r="M1384" s="13" t="str">
        <f t="shared" si="43"/>
        <v>Gold</v>
      </c>
      <c r="N1384" s="13"/>
    </row>
    <row r="1385" spans="1:14" x14ac:dyDescent="0.3">
      <c r="A1385" s="3">
        <v>6807</v>
      </c>
      <c r="B1385" s="3" t="s">
        <v>30</v>
      </c>
      <c r="C1385" s="4">
        <v>45825</v>
      </c>
      <c r="D1385" s="3" t="s">
        <v>28</v>
      </c>
      <c r="E1385" s="3" t="s">
        <v>44</v>
      </c>
      <c r="F1385" s="5">
        <v>5</v>
      </c>
      <c r="G1385" s="6">
        <v>7.3</v>
      </c>
      <c r="H1385" s="6">
        <v>36.5</v>
      </c>
      <c r="I1385" s="6">
        <v>0</v>
      </c>
      <c r="J1385" s="6">
        <v>36.5</v>
      </c>
      <c r="K1385" s="5">
        <v>287</v>
      </c>
      <c r="L1385" s="13" t="str">
        <f t="shared" si="42"/>
        <v>No Discount</v>
      </c>
      <c r="M1385" s="13" t="str">
        <f t="shared" si="43"/>
        <v>Silver</v>
      </c>
      <c r="N1385" s="13"/>
    </row>
    <row r="1386" spans="1:14" x14ac:dyDescent="0.3">
      <c r="A1386" s="3">
        <v>7502</v>
      </c>
      <c r="B1386" s="3" t="s">
        <v>11</v>
      </c>
      <c r="C1386" s="4">
        <v>45657</v>
      </c>
      <c r="D1386" s="3" t="s">
        <v>28</v>
      </c>
      <c r="E1386" s="3" t="s">
        <v>16</v>
      </c>
      <c r="F1386" s="5">
        <v>4</v>
      </c>
      <c r="G1386" s="6">
        <v>10.210000000000001</v>
      </c>
      <c r="H1386" s="6">
        <v>40.840000000000003</v>
      </c>
      <c r="I1386" s="6">
        <v>8.17</v>
      </c>
      <c r="J1386" s="6">
        <v>32.67</v>
      </c>
      <c r="K1386" s="5">
        <v>163</v>
      </c>
      <c r="L1386" s="13" t="str">
        <f t="shared" si="42"/>
        <v>Discount Applied</v>
      </c>
      <c r="M1386" s="13" t="str">
        <f t="shared" si="43"/>
        <v>Silver</v>
      </c>
      <c r="N1386" s="13"/>
    </row>
    <row r="1387" spans="1:14" x14ac:dyDescent="0.3">
      <c r="A1387" s="3">
        <v>7112</v>
      </c>
      <c r="B1387" s="3" t="s">
        <v>31</v>
      </c>
      <c r="C1387" s="4">
        <v>45316</v>
      </c>
      <c r="D1387" s="3" t="s">
        <v>45</v>
      </c>
      <c r="E1387" s="3" t="s">
        <v>47</v>
      </c>
      <c r="F1387" s="5">
        <v>1</v>
      </c>
      <c r="G1387" s="6">
        <v>29.71</v>
      </c>
      <c r="H1387" s="6">
        <v>29.71</v>
      </c>
      <c r="I1387" s="6">
        <v>2.81</v>
      </c>
      <c r="J1387" s="6">
        <v>26.9</v>
      </c>
      <c r="K1387" s="5">
        <v>215</v>
      </c>
      <c r="L1387" s="13" t="str">
        <f t="shared" si="42"/>
        <v>Discount Applied</v>
      </c>
      <c r="M1387" s="13" t="str">
        <f t="shared" si="43"/>
        <v>Silver</v>
      </c>
      <c r="N1387" s="13"/>
    </row>
    <row r="1388" spans="1:14" x14ac:dyDescent="0.3">
      <c r="A1388" s="3">
        <v>8520</v>
      </c>
      <c r="B1388" s="3" t="s">
        <v>36</v>
      </c>
      <c r="C1388" s="4">
        <v>45378</v>
      </c>
      <c r="D1388" s="3" t="s">
        <v>28</v>
      </c>
      <c r="E1388" s="3" t="s">
        <v>32</v>
      </c>
      <c r="F1388" s="5">
        <v>2</v>
      </c>
      <c r="G1388" s="6">
        <v>17.71</v>
      </c>
      <c r="H1388" s="6">
        <v>35.42</v>
      </c>
      <c r="I1388" s="6">
        <v>0</v>
      </c>
      <c r="J1388" s="6">
        <v>35.42</v>
      </c>
      <c r="K1388" s="5">
        <v>145</v>
      </c>
      <c r="L1388" s="13" t="str">
        <f t="shared" si="42"/>
        <v>No Discount</v>
      </c>
      <c r="M1388" s="13" t="str">
        <f t="shared" si="43"/>
        <v>Silver</v>
      </c>
      <c r="N1388" s="13"/>
    </row>
    <row r="1389" spans="1:14" x14ac:dyDescent="0.3">
      <c r="A1389" s="3">
        <v>4984</v>
      </c>
      <c r="B1389" s="3" t="s">
        <v>31</v>
      </c>
      <c r="C1389" s="4">
        <v>45192</v>
      </c>
      <c r="D1389" s="3" t="s">
        <v>45</v>
      </c>
      <c r="E1389" s="3" t="s">
        <v>37</v>
      </c>
      <c r="F1389" s="5">
        <v>2</v>
      </c>
      <c r="G1389" s="6">
        <v>25.4</v>
      </c>
      <c r="H1389" s="6">
        <v>50.8</v>
      </c>
      <c r="I1389" s="6">
        <v>4.67</v>
      </c>
      <c r="J1389" s="6">
        <v>46.13</v>
      </c>
      <c r="K1389" s="5">
        <v>206</v>
      </c>
      <c r="L1389" s="13" t="str">
        <f t="shared" si="42"/>
        <v>Discount Applied</v>
      </c>
      <c r="M1389" s="13" t="str">
        <f t="shared" si="43"/>
        <v>Silver</v>
      </c>
      <c r="N1389" s="13"/>
    </row>
    <row r="1390" spans="1:14" x14ac:dyDescent="0.3">
      <c r="A1390" s="3">
        <v>4700</v>
      </c>
      <c r="B1390" s="3" t="s">
        <v>31</v>
      </c>
      <c r="C1390" s="4">
        <v>45631</v>
      </c>
      <c r="D1390" s="3" t="s">
        <v>22</v>
      </c>
      <c r="E1390" s="3" t="s">
        <v>39</v>
      </c>
      <c r="F1390" s="5">
        <v>1</v>
      </c>
      <c r="G1390" s="6">
        <v>14.62</v>
      </c>
      <c r="H1390" s="6">
        <v>14.62</v>
      </c>
      <c r="I1390" s="6">
        <v>0</v>
      </c>
      <c r="J1390" s="6">
        <v>14.62</v>
      </c>
      <c r="K1390" s="5">
        <v>424</v>
      </c>
      <c r="L1390" s="13" t="str">
        <f t="shared" si="42"/>
        <v>No Discount</v>
      </c>
      <c r="M1390" s="13" t="str">
        <f t="shared" si="43"/>
        <v>Bronze</v>
      </c>
      <c r="N1390" s="13"/>
    </row>
    <row r="1391" spans="1:14" x14ac:dyDescent="0.3">
      <c r="A1391" s="3">
        <v>2320</v>
      </c>
      <c r="B1391" s="3" t="s">
        <v>30</v>
      </c>
      <c r="C1391" s="4">
        <v>45576</v>
      </c>
      <c r="D1391" s="3" t="s">
        <v>35</v>
      </c>
      <c r="E1391" s="3" t="s">
        <v>21</v>
      </c>
      <c r="F1391" s="5">
        <v>3</v>
      </c>
      <c r="G1391" s="6">
        <v>12.6</v>
      </c>
      <c r="H1391" s="6">
        <v>37.799999999999997</v>
      </c>
      <c r="I1391" s="6">
        <v>3.78</v>
      </c>
      <c r="J1391" s="6">
        <v>34.020000000000003</v>
      </c>
      <c r="K1391" s="5">
        <v>284</v>
      </c>
      <c r="L1391" s="13" t="str">
        <f t="shared" si="42"/>
        <v>Discount Applied</v>
      </c>
      <c r="M1391" s="13" t="str">
        <f t="shared" si="43"/>
        <v>Silver</v>
      </c>
      <c r="N1391" s="13"/>
    </row>
    <row r="1392" spans="1:14" x14ac:dyDescent="0.3">
      <c r="A1392" s="3">
        <v>1519</v>
      </c>
      <c r="B1392" s="3" t="s">
        <v>31</v>
      </c>
      <c r="C1392" s="4">
        <v>45181</v>
      </c>
      <c r="D1392" s="3" t="s">
        <v>20</v>
      </c>
      <c r="E1392" s="3" t="s">
        <v>37</v>
      </c>
      <c r="F1392" s="5">
        <v>4</v>
      </c>
      <c r="G1392" s="6">
        <v>15.3</v>
      </c>
      <c r="H1392" s="6">
        <v>61.2</v>
      </c>
      <c r="I1392" s="6">
        <v>9.18</v>
      </c>
      <c r="J1392" s="6">
        <v>52.02</v>
      </c>
      <c r="K1392" s="5">
        <v>328</v>
      </c>
      <c r="L1392" s="13" t="str">
        <f t="shared" si="42"/>
        <v>Discount Applied</v>
      </c>
      <c r="M1392" s="13" t="str">
        <f t="shared" si="43"/>
        <v>Gold</v>
      </c>
      <c r="N1392" s="13"/>
    </row>
    <row r="1393" spans="1:14" x14ac:dyDescent="0.3">
      <c r="A1393" s="3">
        <v>7640</v>
      </c>
      <c r="B1393" s="3" t="s">
        <v>11</v>
      </c>
      <c r="C1393" s="4">
        <v>45644</v>
      </c>
      <c r="D1393" s="3" t="s">
        <v>12</v>
      </c>
      <c r="E1393" s="3" t="s">
        <v>25</v>
      </c>
      <c r="F1393" s="5">
        <v>1</v>
      </c>
      <c r="G1393" s="6">
        <v>24.93</v>
      </c>
      <c r="H1393" s="6">
        <v>24.93</v>
      </c>
      <c r="I1393" s="6">
        <v>3.74</v>
      </c>
      <c r="J1393" s="6">
        <v>21.19</v>
      </c>
      <c r="K1393" s="5">
        <v>71</v>
      </c>
      <c r="L1393" s="13" t="str">
        <f t="shared" si="42"/>
        <v>Discount Applied</v>
      </c>
      <c r="M1393" s="13" t="str">
        <f t="shared" si="43"/>
        <v>Silver</v>
      </c>
      <c r="N1393" s="13"/>
    </row>
    <row r="1394" spans="1:14" x14ac:dyDescent="0.3">
      <c r="A1394" s="3">
        <v>7179</v>
      </c>
      <c r="B1394" s="3" t="s">
        <v>24</v>
      </c>
      <c r="C1394" s="4">
        <v>45755</v>
      </c>
      <c r="D1394" s="3" t="s">
        <v>17</v>
      </c>
      <c r="E1394" s="3" t="s">
        <v>29</v>
      </c>
      <c r="F1394" s="5">
        <v>1</v>
      </c>
      <c r="G1394" s="6">
        <v>6.53</v>
      </c>
      <c r="H1394" s="6">
        <v>6.53</v>
      </c>
      <c r="I1394" s="6">
        <v>4.96</v>
      </c>
      <c r="J1394" s="6">
        <v>1.57</v>
      </c>
      <c r="K1394" s="5">
        <v>461</v>
      </c>
      <c r="L1394" s="13" t="str">
        <f t="shared" si="42"/>
        <v>Discount Applied</v>
      </c>
      <c r="M1394" s="13" t="str">
        <f t="shared" si="43"/>
        <v>Bronze</v>
      </c>
      <c r="N1394" s="13"/>
    </row>
    <row r="1395" spans="1:14" x14ac:dyDescent="0.3">
      <c r="A1395" s="3">
        <v>8798</v>
      </c>
      <c r="B1395" s="3" t="s">
        <v>31</v>
      </c>
      <c r="C1395" s="4">
        <v>45392</v>
      </c>
      <c r="D1395" s="3" t="s">
        <v>35</v>
      </c>
      <c r="E1395" s="3" t="s">
        <v>40</v>
      </c>
      <c r="F1395" s="5">
        <v>1</v>
      </c>
      <c r="G1395" s="6">
        <v>2.38</v>
      </c>
      <c r="H1395" s="6">
        <v>2.38</v>
      </c>
      <c r="I1395" s="6">
        <v>0.36</v>
      </c>
      <c r="J1395" s="6">
        <v>2.02</v>
      </c>
      <c r="K1395" s="5">
        <v>155</v>
      </c>
      <c r="L1395" s="13" t="str">
        <f t="shared" si="42"/>
        <v>Discount Applied</v>
      </c>
      <c r="M1395" s="13" t="str">
        <f t="shared" si="43"/>
        <v>Bronze</v>
      </c>
      <c r="N1395" s="13"/>
    </row>
    <row r="1396" spans="1:14" x14ac:dyDescent="0.3">
      <c r="A1396" s="3">
        <v>1154</v>
      </c>
      <c r="B1396" s="3" t="s">
        <v>36</v>
      </c>
      <c r="C1396" s="4">
        <v>45462</v>
      </c>
      <c r="D1396" s="3" t="s">
        <v>28</v>
      </c>
      <c r="E1396" s="3" t="s">
        <v>32</v>
      </c>
      <c r="F1396" s="5">
        <v>3</v>
      </c>
      <c r="G1396" s="6">
        <v>21.25</v>
      </c>
      <c r="H1396" s="6">
        <v>63.75</v>
      </c>
      <c r="I1396" s="6">
        <v>2.84</v>
      </c>
      <c r="J1396" s="6">
        <v>60.91</v>
      </c>
      <c r="K1396" s="5">
        <v>473</v>
      </c>
      <c r="L1396" s="13" t="str">
        <f t="shared" si="42"/>
        <v>Discount Applied</v>
      </c>
      <c r="M1396" s="13" t="str">
        <f t="shared" si="43"/>
        <v>Gold</v>
      </c>
      <c r="N1396" s="13"/>
    </row>
    <row r="1397" spans="1:14" x14ac:dyDescent="0.3">
      <c r="A1397" s="3">
        <v>3807</v>
      </c>
      <c r="B1397" s="3" t="s">
        <v>19</v>
      </c>
      <c r="C1397" s="4">
        <v>45377</v>
      </c>
      <c r="D1397" s="3" t="s">
        <v>22</v>
      </c>
      <c r="E1397" s="3" t="s">
        <v>41</v>
      </c>
      <c r="F1397" s="5">
        <v>5</v>
      </c>
      <c r="G1397" s="6">
        <v>26.74</v>
      </c>
      <c r="H1397" s="6">
        <v>133.69999999999999</v>
      </c>
      <c r="I1397" s="6">
        <v>0</v>
      </c>
      <c r="J1397" s="6">
        <v>133.69999999999999</v>
      </c>
      <c r="K1397" s="5">
        <v>494</v>
      </c>
      <c r="L1397" s="13" t="str">
        <f t="shared" si="42"/>
        <v>No Discount</v>
      </c>
      <c r="M1397" s="13" t="str">
        <f t="shared" si="43"/>
        <v>Platinum</v>
      </c>
      <c r="N1397" s="13"/>
    </row>
    <row r="1398" spans="1:14" x14ac:dyDescent="0.3">
      <c r="A1398" s="3">
        <v>8109</v>
      </c>
      <c r="B1398" s="3" t="s">
        <v>26</v>
      </c>
      <c r="C1398" s="4">
        <v>45287</v>
      </c>
      <c r="D1398" s="3" t="s">
        <v>27</v>
      </c>
      <c r="E1398" s="3" t="s">
        <v>48</v>
      </c>
      <c r="F1398" s="5">
        <v>5</v>
      </c>
      <c r="G1398" s="6">
        <v>16.29</v>
      </c>
      <c r="H1398" s="6">
        <v>81.45</v>
      </c>
      <c r="I1398" s="6">
        <v>0</v>
      </c>
      <c r="J1398" s="6">
        <v>81.45</v>
      </c>
      <c r="K1398" s="5">
        <v>295</v>
      </c>
      <c r="L1398" s="13" t="str">
        <f t="shared" si="42"/>
        <v>No Discount</v>
      </c>
      <c r="M1398" s="13" t="str">
        <f t="shared" si="43"/>
        <v>Platinum</v>
      </c>
      <c r="N1398" s="13"/>
    </row>
    <row r="1399" spans="1:14" x14ac:dyDescent="0.3">
      <c r="A1399" s="3">
        <v>9653</v>
      </c>
      <c r="B1399" s="3" t="s">
        <v>26</v>
      </c>
      <c r="C1399" s="4">
        <v>45512</v>
      </c>
      <c r="D1399" s="3" t="s">
        <v>35</v>
      </c>
      <c r="E1399" s="3" t="s">
        <v>21</v>
      </c>
      <c r="F1399" s="5">
        <v>4</v>
      </c>
      <c r="G1399" s="6">
        <v>7.54</v>
      </c>
      <c r="H1399" s="6">
        <v>30.16</v>
      </c>
      <c r="I1399" s="6">
        <v>0</v>
      </c>
      <c r="J1399" s="6">
        <v>30.16</v>
      </c>
      <c r="K1399" s="5">
        <v>135</v>
      </c>
      <c r="L1399" s="13" t="str">
        <f t="shared" si="42"/>
        <v>No Discount</v>
      </c>
      <c r="M1399" s="13" t="str">
        <f t="shared" si="43"/>
        <v>Silver</v>
      </c>
      <c r="N1399" s="13"/>
    </row>
    <row r="1400" spans="1:14" x14ac:dyDescent="0.3">
      <c r="A1400" s="3">
        <v>1697</v>
      </c>
      <c r="B1400" s="3" t="s">
        <v>11</v>
      </c>
      <c r="C1400" s="4">
        <v>45804</v>
      </c>
      <c r="D1400" s="3" t="s">
        <v>22</v>
      </c>
      <c r="E1400" s="3" t="s">
        <v>18</v>
      </c>
      <c r="F1400" s="5">
        <v>2</v>
      </c>
      <c r="G1400" s="6">
        <v>20.11</v>
      </c>
      <c r="H1400" s="6">
        <v>40.22</v>
      </c>
      <c r="I1400" s="6">
        <v>0</v>
      </c>
      <c r="J1400" s="6">
        <v>40.22</v>
      </c>
      <c r="K1400" s="5">
        <v>376</v>
      </c>
      <c r="L1400" s="13" t="str">
        <f t="shared" si="42"/>
        <v>No Discount</v>
      </c>
      <c r="M1400" s="13" t="str">
        <f t="shared" si="43"/>
        <v>Silver</v>
      </c>
      <c r="N1400" s="13"/>
    </row>
    <row r="1401" spans="1:14" x14ac:dyDescent="0.3">
      <c r="A1401" s="3">
        <v>4463</v>
      </c>
      <c r="B1401" s="3" t="s">
        <v>11</v>
      </c>
      <c r="C1401" s="4">
        <v>45378</v>
      </c>
      <c r="D1401" s="3" t="s">
        <v>15</v>
      </c>
      <c r="E1401" s="3" t="s">
        <v>47</v>
      </c>
      <c r="F1401" s="5">
        <v>1</v>
      </c>
      <c r="G1401" s="6">
        <v>7.15</v>
      </c>
      <c r="H1401" s="6">
        <v>7.15</v>
      </c>
      <c r="I1401" s="6">
        <v>0.72</v>
      </c>
      <c r="J1401" s="6">
        <v>6.43</v>
      </c>
      <c r="K1401" s="5">
        <v>343</v>
      </c>
      <c r="L1401" s="13" t="str">
        <f t="shared" si="42"/>
        <v>Discount Applied</v>
      </c>
      <c r="M1401" s="13" t="str">
        <f t="shared" si="43"/>
        <v>Bronze</v>
      </c>
      <c r="N1401" s="13"/>
    </row>
    <row r="1402" spans="1:14" x14ac:dyDescent="0.3">
      <c r="A1402" s="3">
        <v>8790</v>
      </c>
      <c r="B1402" s="3" t="s">
        <v>24</v>
      </c>
      <c r="C1402" s="4">
        <v>45770</v>
      </c>
      <c r="D1402" s="3" t="s">
        <v>17</v>
      </c>
      <c r="E1402" s="3" t="s">
        <v>47</v>
      </c>
      <c r="F1402" s="5">
        <v>1</v>
      </c>
      <c r="G1402" s="6">
        <v>10.86</v>
      </c>
      <c r="H1402" s="6">
        <v>10.86</v>
      </c>
      <c r="I1402" s="6">
        <v>1.63</v>
      </c>
      <c r="J1402" s="6">
        <v>9.23</v>
      </c>
      <c r="K1402" s="5">
        <v>416</v>
      </c>
      <c r="L1402" s="13" t="str">
        <f t="shared" si="42"/>
        <v>Discount Applied</v>
      </c>
      <c r="M1402" s="13" t="str">
        <f t="shared" si="43"/>
        <v>Bronze</v>
      </c>
      <c r="N1402" s="13"/>
    </row>
    <row r="1403" spans="1:14" x14ac:dyDescent="0.3">
      <c r="A1403" s="3">
        <v>1762</v>
      </c>
      <c r="B1403" s="3" t="s">
        <v>26</v>
      </c>
      <c r="C1403" s="4">
        <v>45855</v>
      </c>
      <c r="D1403" s="3" t="s">
        <v>27</v>
      </c>
      <c r="E1403" s="3" t="s">
        <v>41</v>
      </c>
      <c r="F1403" s="5">
        <v>5</v>
      </c>
      <c r="G1403" s="6">
        <v>4.05</v>
      </c>
      <c r="H1403" s="6">
        <v>20.25</v>
      </c>
      <c r="I1403" s="6">
        <v>3.04</v>
      </c>
      <c r="J1403" s="6">
        <v>17.21</v>
      </c>
      <c r="K1403" s="5">
        <v>66</v>
      </c>
      <c r="L1403" s="13" t="str">
        <f t="shared" si="42"/>
        <v>Discount Applied</v>
      </c>
      <c r="M1403" s="13" t="str">
        <f t="shared" si="43"/>
        <v>Bronze</v>
      </c>
      <c r="N1403" s="13"/>
    </row>
    <row r="1404" spans="1:14" x14ac:dyDescent="0.3">
      <c r="A1404" s="3">
        <v>2218</v>
      </c>
      <c r="B1404" s="3" t="s">
        <v>24</v>
      </c>
      <c r="C1404" s="4">
        <v>45581</v>
      </c>
      <c r="D1404" s="3" t="s">
        <v>45</v>
      </c>
      <c r="E1404" s="3" t="s">
        <v>46</v>
      </c>
      <c r="F1404" s="5">
        <v>2</v>
      </c>
      <c r="G1404" s="6">
        <v>23.61</v>
      </c>
      <c r="H1404" s="6">
        <v>47.22</v>
      </c>
      <c r="I1404" s="6">
        <v>7.08</v>
      </c>
      <c r="J1404" s="6">
        <v>40.14</v>
      </c>
      <c r="K1404" s="5">
        <v>96</v>
      </c>
      <c r="L1404" s="13" t="str">
        <f t="shared" si="42"/>
        <v>Discount Applied</v>
      </c>
      <c r="M1404" s="13" t="str">
        <f t="shared" si="43"/>
        <v>Silver</v>
      </c>
      <c r="N1404" s="13"/>
    </row>
    <row r="1405" spans="1:14" x14ac:dyDescent="0.3">
      <c r="A1405" s="3">
        <v>5593</v>
      </c>
      <c r="B1405" s="3" t="s">
        <v>24</v>
      </c>
      <c r="C1405" s="4">
        <v>45468</v>
      </c>
      <c r="D1405" s="3" t="s">
        <v>34</v>
      </c>
      <c r="E1405" s="3" t="s">
        <v>37</v>
      </c>
      <c r="F1405" s="5">
        <v>5</v>
      </c>
      <c r="G1405" s="6">
        <v>19.79</v>
      </c>
      <c r="H1405" s="6">
        <v>98.95</v>
      </c>
      <c r="I1405" s="6">
        <v>3.98</v>
      </c>
      <c r="J1405" s="6">
        <v>94.97</v>
      </c>
      <c r="K1405" s="5">
        <v>75</v>
      </c>
      <c r="L1405" s="13" t="str">
        <f t="shared" si="42"/>
        <v>Discount Applied</v>
      </c>
      <c r="M1405" s="13" t="str">
        <f t="shared" si="43"/>
        <v>Platinum</v>
      </c>
      <c r="N1405" s="13"/>
    </row>
    <row r="1406" spans="1:14" x14ac:dyDescent="0.3">
      <c r="A1406" s="3">
        <v>1539</v>
      </c>
      <c r="B1406" s="3"/>
      <c r="C1406" s="4">
        <v>45249</v>
      </c>
      <c r="D1406" s="3" t="s">
        <v>12</v>
      </c>
      <c r="E1406" s="3" t="s">
        <v>33</v>
      </c>
      <c r="F1406" s="5">
        <v>2</v>
      </c>
      <c r="G1406" s="6">
        <v>8.73</v>
      </c>
      <c r="H1406" s="6">
        <v>17.46</v>
      </c>
      <c r="I1406" s="6">
        <v>2.62</v>
      </c>
      <c r="J1406" s="6">
        <v>14.84</v>
      </c>
      <c r="K1406" s="5">
        <v>243</v>
      </c>
      <c r="L1406" s="13" t="str">
        <f t="shared" si="42"/>
        <v>Discount Applied</v>
      </c>
      <c r="M1406" s="13" t="str">
        <f t="shared" si="43"/>
        <v>Bronze</v>
      </c>
      <c r="N1406" s="13"/>
    </row>
    <row r="1407" spans="1:14" x14ac:dyDescent="0.3">
      <c r="A1407" s="3">
        <v>6152</v>
      </c>
      <c r="B1407" s="3" t="s">
        <v>30</v>
      </c>
      <c r="C1407" s="4">
        <v>45333</v>
      </c>
      <c r="D1407" s="3" t="s">
        <v>15</v>
      </c>
      <c r="E1407" s="3" t="s">
        <v>18</v>
      </c>
      <c r="F1407" s="5">
        <v>1</v>
      </c>
      <c r="G1407" s="6">
        <v>11.27</v>
      </c>
      <c r="H1407" s="6">
        <v>11.27</v>
      </c>
      <c r="I1407" s="6">
        <v>1.1299999999999999</v>
      </c>
      <c r="J1407" s="6">
        <v>10.14</v>
      </c>
      <c r="K1407" s="5">
        <v>108</v>
      </c>
      <c r="L1407" s="13" t="str">
        <f t="shared" si="42"/>
        <v>Discount Applied</v>
      </c>
      <c r="M1407" s="13" t="str">
        <f t="shared" si="43"/>
        <v>Bronze</v>
      </c>
      <c r="N1407" s="13"/>
    </row>
    <row r="1408" spans="1:14" x14ac:dyDescent="0.3">
      <c r="A1408" s="3">
        <v>3362</v>
      </c>
      <c r="B1408" s="3" t="s">
        <v>14</v>
      </c>
      <c r="C1408" s="4">
        <v>45302</v>
      </c>
      <c r="D1408" s="3" t="s">
        <v>20</v>
      </c>
      <c r="E1408" s="3" t="s">
        <v>46</v>
      </c>
      <c r="F1408" s="5">
        <v>3</v>
      </c>
      <c r="G1408" s="6">
        <v>2.5299999999999998</v>
      </c>
      <c r="H1408" s="6">
        <v>7.59</v>
      </c>
      <c r="I1408" s="6">
        <v>1.2</v>
      </c>
      <c r="J1408" s="6">
        <v>6.39</v>
      </c>
      <c r="K1408" s="5">
        <v>139</v>
      </c>
      <c r="L1408" s="13" t="str">
        <f t="shared" si="42"/>
        <v>Discount Applied</v>
      </c>
      <c r="M1408" s="13" t="str">
        <f t="shared" si="43"/>
        <v>Bronze</v>
      </c>
      <c r="N1408" s="13"/>
    </row>
    <row r="1409" spans="1:14" x14ac:dyDescent="0.3">
      <c r="A1409" s="3">
        <v>7525</v>
      </c>
      <c r="B1409" s="3"/>
      <c r="C1409" s="4">
        <v>45647</v>
      </c>
      <c r="D1409" s="3" t="s">
        <v>20</v>
      </c>
      <c r="E1409" s="3" t="s">
        <v>44</v>
      </c>
      <c r="F1409" s="5">
        <v>3</v>
      </c>
      <c r="G1409" s="6">
        <v>6.48</v>
      </c>
      <c r="H1409" s="6">
        <v>19.440000000000001</v>
      </c>
      <c r="I1409" s="6">
        <v>3.43</v>
      </c>
      <c r="J1409" s="6">
        <v>16.010000000000002</v>
      </c>
      <c r="K1409" s="5">
        <v>90</v>
      </c>
      <c r="L1409" s="13" t="str">
        <f t="shared" si="42"/>
        <v>Discount Applied</v>
      </c>
      <c r="M1409" s="13" t="str">
        <f t="shared" si="43"/>
        <v>Bronze</v>
      </c>
      <c r="N1409" s="13"/>
    </row>
    <row r="1410" spans="1:14" x14ac:dyDescent="0.3">
      <c r="A1410" s="3">
        <v>2260</v>
      </c>
      <c r="B1410" s="3" t="s">
        <v>14</v>
      </c>
      <c r="C1410" s="4">
        <v>45861</v>
      </c>
      <c r="D1410" s="3" t="s">
        <v>20</v>
      </c>
      <c r="E1410" s="3" t="s">
        <v>48</v>
      </c>
      <c r="F1410" s="5">
        <v>1</v>
      </c>
      <c r="G1410" s="6">
        <v>19.73</v>
      </c>
      <c r="H1410" s="6">
        <v>19.73</v>
      </c>
      <c r="I1410" s="6">
        <v>3.95</v>
      </c>
      <c r="J1410" s="6">
        <v>15.78</v>
      </c>
      <c r="K1410" s="5">
        <v>490</v>
      </c>
      <c r="L1410" s="13" t="str">
        <f t="shared" si="42"/>
        <v>Discount Applied</v>
      </c>
      <c r="M1410" s="13" t="str">
        <f t="shared" si="43"/>
        <v>Bronze</v>
      </c>
      <c r="N1410" s="13"/>
    </row>
    <row r="1411" spans="1:14" x14ac:dyDescent="0.3">
      <c r="A1411" s="3">
        <v>3661</v>
      </c>
      <c r="B1411" s="3"/>
      <c r="C1411" s="4">
        <v>45802</v>
      </c>
      <c r="D1411" s="3" t="s">
        <v>12</v>
      </c>
      <c r="E1411" s="3" t="s">
        <v>40</v>
      </c>
      <c r="F1411" s="5">
        <v>5</v>
      </c>
      <c r="G1411" s="6">
        <v>8.7100000000000009</v>
      </c>
      <c r="H1411" s="6">
        <v>43.55</v>
      </c>
      <c r="I1411" s="6">
        <v>6.53</v>
      </c>
      <c r="J1411" s="6">
        <v>37.020000000000003</v>
      </c>
      <c r="K1411" s="5">
        <v>33</v>
      </c>
      <c r="L1411" s="13" t="str">
        <f t="shared" ref="L1411:L1474" si="44">IF(I1411&gt;0,"Discount Applied","No Discount")</f>
        <v>Discount Applied</v>
      </c>
      <c r="M1411" s="13" t="str">
        <f t="shared" ref="M1411:M1474" si="45">IF(J1411 &gt;= 70, "Platinum",
   IF(J1411 &gt;= 50, "Gold",
      IF(J1411 &gt;= 20, "Silver", "Bronze")))</f>
        <v>Silver</v>
      </c>
      <c r="N1411" s="13"/>
    </row>
    <row r="1412" spans="1:14" x14ac:dyDescent="0.3">
      <c r="A1412" s="3">
        <v>4939</v>
      </c>
      <c r="B1412" s="3" t="s">
        <v>42</v>
      </c>
      <c r="C1412" s="4">
        <v>45216</v>
      </c>
      <c r="D1412" s="3" t="s">
        <v>28</v>
      </c>
      <c r="E1412" s="3" t="s">
        <v>32</v>
      </c>
      <c r="F1412" s="5">
        <v>4</v>
      </c>
      <c r="G1412" s="6">
        <v>12.38</v>
      </c>
      <c r="H1412" s="6">
        <v>49.52</v>
      </c>
      <c r="I1412" s="6">
        <v>4.95</v>
      </c>
      <c r="J1412" s="6">
        <v>44.57</v>
      </c>
      <c r="K1412" s="5">
        <v>112</v>
      </c>
      <c r="L1412" s="13" t="str">
        <f t="shared" si="44"/>
        <v>Discount Applied</v>
      </c>
      <c r="M1412" s="13" t="str">
        <f t="shared" si="45"/>
        <v>Silver</v>
      </c>
      <c r="N1412" s="13"/>
    </row>
    <row r="1413" spans="1:14" x14ac:dyDescent="0.3">
      <c r="A1413" s="3">
        <v>7375</v>
      </c>
      <c r="B1413" s="3" t="s">
        <v>42</v>
      </c>
      <c r="C1413" s="4">
        <v>45707</v>
      </c>
      <c r="D1413" s="3" t="s">
        <v>34</v>
      </c>
      <c r="E1413" s="3" t="s">
        <v>44</v>
      </c>
      <c r="F1413" s="5">
        <v>3</v>
      </c>
      <c r="G1413" s="6">
        <v>19.46</v>
      </c>
      <c r="H1413" s="6">
        <v>58.38</v>
      </c>
      <c r="I1413" s="6">
        <v>0</v>
      </c>
      <c r="J1413" s="6">
        <v>58.38</v>
      </c>
      <c r="K1413" s="5">
        <v>361</v>
      </c>
      <c r="L1413" s="13" t="str">
        <f t="shared" si="44"/>
        <v>No Discount</v>
      </c>
      <c r="M1413" s="13" t="str">
        <f t="shared" si="45"/>
        <v>Gold</v>
      </c>
      <c r="N1413" s="13"/>
    </row>
    <row r="1414" spans="1:14" x14ac:dyDescent="0.3">
      <c r="A1414" s="3">
        <v>7288</v>
      </c>
      <c r="B1414" s="3" t="s">
        <v>31</v>
      </c>
      <c r="C1414" s="4">
        <v>45185</v>
      </c>
      <c r="D1414" s="3" t="s">
        <v>15</v>
      </c>
      <c r="E1414" s="3" t="s">
        <v>29</v>
      </c>
      <c r="F1414" s="5">
        <v>5</v>
      </c>
      <c r="G1414" s="6">
        <v>27.32</v>
      </c>
      <c r="H1414" s="6">
        <v>136.6</v>
      </c>
      <c r="I1414" s="6">
        <v>0</v>
      </c>
      <c r="J1414" s="6">
        <v>136.6</v>
      </c>
      <c r="K1414" s="5">
        <v>318</v>
      </c>
      <c r="L1414" s="13" t="str">
        <f t="shared" si="44"/>
        <v>No Discount</v>
      </c>
      <c r="M1414" s="13" t="str">
        <f t="shared" si="45"/>
        <v>Platinum</v>
      </c>
      <c r="N1414" s="13"/>
    </row>
    <row r="1415" spans="1:14" x14ac:dyDescent="0.3">
      <c r="A1415" s="3">
        <v>3292</v>
      </c>
      <c r="B1415" s="3" t="s">
        <v>30</v>
      </c>
      <c r="C1415" s="4">
        <v>45437</v>
      </c>
      <c r="D1415" s="3" t="s">
        <v>17</v>
      </c>
      <c r="E1415" s="3" t="s">
        <v>29</v>
      </c>
      <c r="F1415" s="5">
        <v>3</v>
      </c>
      <c r="G1415" s="6">
        <v>20.75</v>
      </c>
      <c r="H1415" s="6">
        <v>62.25</v>
      </c>
      <c r="I1415" s="6">
        <v>9.34</v>
      </c>
      <c r="J1415" s="6">
        <v>52.91</v>
      </c>
      <c r="K1415" s="5">
        <v>85</v>
      </c>
      <c r="L1415" s="13" t="str">
        <f t="shared" si="44"/>
        <v>Discount Applied</v>
      </c>
      <c r="M1415" s="13" t="str">
        <f t="shared" si="45"/>
        <v>Gold</v>
      </c>
      <c r="N1415" s="13"/>
    </row>
    <row r="1416" spans="1:14" x14ac:dyDescent="0.3">
      <c r="A1416" s="3">
        <v>2284</v>
      </c>
      <c r="B1416" s="3" t="s">
        <v>26</v>
      </c>
      <c r="C1416" s="4">
        <v>45823</v>
      </c>
      <c r="D1416" s="3" t="s">
        <v>34</v>
      </c>
      <c r="E1416" s="3" t="s">
        <v>39</v>
      </c>
      <c r="F1416" s="5">
        <v>4</v>
      </c>
      <c r="G1416" s="6">
        <v>13.4</v>
      </c>
      <c r="H1416" s="6">
        <v>53.6</v>
      </c>
      <c r="I1416" s="6">
        <v>8.0399999999999991</v>
      </c>
      <c r="J1416" s="6">
        <v>45.56</v>
      </c>
      <c r="K1416" s="5">
        <v>10</v>
      </c>
      <c r="L1416" s="13" t="str">
        <f t="shared" si="44"/>
        <v>Discount Applied</v>
      </c>
      <c r="M1416" s="13" t="str">
        <f t="shared" si="45"/>
        <v>Silver</v>
      </c>
      <c r="N1416" s="13"/>
    </row>
    <row r="1417" spans="1:14" x14ac:dyDescent="0.3">
      <c r="A1417" s="3">
        <v>6666</v>
      </c>
      <c r="B1417" s="3" t="s">
        <v>11</v>
      </c>
      <c r="C1417" s="4">
        <v>45291</v>
      </c>
      <c r="D1417" s="3" t="s">
        <v>34</v>
      </c>
      <c r="E1417" s="3" t="s">
        <v>39</v>
      </c>
      <c r="F1417" s="5">
        <v>5</v>
      </c>
      <c r="G1417" s="6">
        <v>11.2</v>
      </c>
      <c r="H1417" s="6">
        <v>56</v>
      </c>
      <c r="I1417" s="6">
        <v>5.6</v>
      </c>
      <c r="J1417" s="6">
        <v>50.4</v>
      </c>
      <c r="K1417" s="5">
        <v>242</v>
      </c>
      <c r="L1417" s="13" t="str">
        <f t="shared" si="44"/>
        <v>Discount Applied</v>
      </c>
      <c r="M1417" s="13" t="str">
        <f t="shared" si="45"/>
        <v>Gold</v>
      </c>
      <c r="N1417" s="13"/>
    </row>
    <row r="1418" spans="1:14" x14ac:dyDescent="0.3">
      <c r="A1418" s="3">
        <v>2600</v>
      </c>
      <c r="B1418" s="3" t="s">
        <v>42</v>
      </c>
      <c r="C1418" s="4">
        <v>45517</v>
      </c>
      <c r="D1418" s="3" t="s">
        <v>45</v>
      </c>
      <c r="E1418" s="3" t="s">
        <v>48</v>
      </c>
      <c r="F1418" s="5">
        <v>1</v>
      </c>
      <c r="G1418" s="6">
        <v>24.74</v>
      </c>
      <c r="H1418" s="6">
        <v>24.74</v>
      </c>
      <c r="I1418" s="6">
        <v>4.95</v>
      </c>
      <c r="J1418" s="6">
        <v>19.79</v>
      </c>
      <c r="K1418" s="5">
        <v>290</v>
      </c>
      <c r="L1418" s="13" t="str">
        <f t="shared" si="44"/>
        <v>Discount Applied</v>
      </c>
      <c r="M1418" s="13" t="str">
        <f t="shared" si="45"/>
        <v>Bronze</v>
      </c>
      <c r="N1418" s="13"/>
    </row>
    <row r="1419" spans="1:14" x14ac:dyDescent="0.3">
      <c r="A1419" s="3">
        <v>4803</v>
      </c>
      <c r="B1419" s="3" t="s">
        <v>14</v>
      </c>
      <c r="C1419" s="4">
        <v>45820</v>
      </c>
      <c r="D1419" s="3" t="s">
        <v>38</v>
      </c>
      <c r="E1419" s="3" t="s">
        <v>29</v>
      </c>
      <c r="F1419" s="5">
        <v>2</v>
      </c>
      <c r="G1419" s="6">
        <v>23.47</v>
      </c>
      <c r="H1419" s="6">
        <v>46.94</v>
      </c>
      <c r="I1419" s="6">
        <v>0</v>
      </c>
      <c r="J1419" s="6">
        <v>46.94</v>
      </c>
      <c r="K1419" s="5">
        <v>51</v>
      </c>
      <c r="L1419" s="13" t="str">
        <f t="shared" si="44"/>
        <v>No Discount</v>
      </c>
      <c r="M1419" s="13" t="str">
        <f t="shared" si="45"/>
        <v>Silver</v>
      </c>
      <c r="N1419" s="13"/>
    </row>
    <row r="1420" spans="1:14" x14ac:dyDescent="0.3">
      <c r="A1420" s="3">
        <v>2245</v>
      </c>
      <c r="B1420" s="3" t="s">
        <v>36</v>
      </c>
      <c r="C1420" s="4">
        <v>45380</v>
      </c>
      <c r="D1420" s="3" t="s">
        <v>45</v>
      </c>
      <c r="E1420" s="3" t="s">
        <v>47</v>
      </c>
      <c r="F1420" s="5">
        <v>3</v>
      </c>
      <c r="G1420" s="6">
        <v>29.69</v>
      </c>
      <c r="H1420" s="6">
        <v>89.07</v>
      </c>
      <c r="I1420" s="6">
        <v>13.36</v>
      </c>
      <c r="J1420" s="6">
        <v>75.709999999999994</v>
      </c>
      <c r="K1420" s="5">
        <v>131</v>
      </c>
      <c r="L1420" s="13" t="str">
        <f t="shared" si="44"/>
        <v>Discount Applied</v>
      </c>
      <c r="M1420" s="13" t="str">
        <f t="shared" si="45"/>
        <v>Platinum</v>
      </c>
      <c r="N1420" s="13"/>
    </row>
    <row r="1421" spans="1:14" x14ac:dyDescent="0.3">
      <c r="A1421" s="3">
        <v>7499</v>
      </c>
      <c r="B1421" s="3" t="s">
        <v>36</v>
      </c>
      <c r="C1421" s="4">
        <v>45309</v>
      </c>
      <c r="D1421" s="3" t="s">
        <v>45</v>
      </c>
      <c r="E1421" s="3" t="s">
        <v>39</v>
      </c>
      <c r="F1421" s="5">
        <v>3</v>
      </c>
      <c r="G1421" s="6">
        <v>9.7200000000000006</v>
      </c>
      <c r="H1421" s="6">
        <v>29.16</v>
      </c>
      <c r="I1421" s="6">
        <v>2.08</v>
      </c>
      <c r="J1421" s="6">
        <v>27.08</v>
      </c>
      <c r="K1421" s="5">
        <v>170</v>
      </c>
      <c r="L1421" s="13" t="str">
        <f t="shared" si="44"/>
        <v>Discount Applied</v>
      </c>
      <c r="M1421" s="13" t="str">
        <f t="shared" si="45"/>
        <v>Silver</v>
      </c>
      <c r="N1421" s="13"/>
    </row>
    <row r="1422" spans="1:14" x14ac:dyDescent="0.3">
      <c r="A1422" s="3">
        <v>6347</v>
      </c>
      <c r="B1422" s="3" t="s">
        <v>14</v>
      </c>
      <c r="C1422" s="4">
        <v>45720</v>
      </c>
      <c r="D1422" s="3" t="s">
        <v>27</v>
      </c>
      <c r="E1422" s="3" t="s">
        <v>39</v>
      </c>
      <c r="F1422" s="5">
        <v>2</v>
      </c>
      <c r="G1422" s="6">
        <v>29.37</v>
      </c>
      <c r="H1422" s="6">
        <v>58.74</v>
      </c>
      <c r="I1422" s="6">
        <v>0</v>
      </c>
      <c r="J1422" s="6">
        <v>58.74</v>
      </c>
      <c r="K1422" s="5">
        <v>438</v>
      </c>
      <c r="L1422" s="13" t="str">
        <f t="shared" si="44"/>
        <v>No Discount</v>
      </c>
      <c r="M1422" s="13" t="str">
        <f t="shared" si="45"/>
        <v>Gold</v>
      </c>
      <c r="N1422" s="13"/>
    </row>
    <row r="1423" spans="1:14" x14ac:dyDescent="0.3">
      <c r="A1423" s="3">
        <v>5478</v>
      </c>
      <c r="B1423" s="3" t="s">
        <v>19</v>
      </c>
      <c r="C1423" s="4">
        <v>45725</v>
      </c>
      <c r="D1423" s="3" t="s">
        <v>22</v>
      </c>
      <c r="E1423" s="3" t="s">
        <v>47</v>
      </c>
      <c r="F1423" s="5">
        <v>1</v>
      </c>
      <c r="G1423" s="6">
        <v>8.08</v>
      </c>
      <c r="H1423" s="6">
        <v>8.08</v>
      </c>
      <c r="I1423" s="6">
        <v>1.21</v>
      </c>
      <c r="J1423" s="6">
        <v>6.87</v>
      </c>
      <c r="K1423" s="5">
        <v>379</v>
      </c>
      <c r="L1423" s="13" t="str">
        <f t="shared" si="44"/>
        <v>Discount Applied</v>
      </c>
      <c r="M1423" s="13" t="str">
        <f t="shared" si="45"/>
        <v>Bronze</v>
      </c>
      <c r="N1423" s="13"/>
    </row>
    <row r="1424" spans="1:14" x14ac:dyDescent="0.3">
      <c r="A1424" s="3">
        <v>4737</v>
      </c>
      <c r="B1424" s="3" t="s">
        <v>42</v>
      </c>
      <c r="C1424" s="4">
        <v>45855</v>
      </c>
      <c r="D1424" s="3" t="s">
        <v>15</v>
      </c>
      <c r="E1424" s="3" t="s">
        <v>44</v>
      </c>
      <c r="F1424" s="5">
        <v>4</v>
      </c>
      <c r="G1424" s="6">
        <v>19.510000000000002</v>
      </c>
      <c r="H1424" s="6">
        <v>78.040000000000006</v>
      </c>
      <c r="I1424" s="6">
        <v>0</v>
      </c>
      <c r="J1424" s="6">
        <v>78.040000000000006</v>
      </c>
      <c r="K1424" s="5">
        <v>494</v>
      </c>
      <c r="L1424" s="13" t="str">
        <f t="shared" si="44"/>
        <v>No Discount</v>
      </c>
      <c r="M1424" s="13" t="str">
        <f t="shared" si="45"/>
        <v>Platinum</v>
      </c>
      <c r="N1424" s="13"/>
    </row>
    <row r="1425" spans="1:14" x14ac:dyDescent="0.3">
      <c r="A1425" s="3">
        <v>7150</v>
      </c>
      <c r="B1425" s="3" t="s">
        <v>14</v>
      </c>
      <c r="C1425" s="4">
        <v>45685</v>
      </c>
      <c r="D1425" s="3" t="s">
        <v>45</v>
      </c>
      <c r="E1425" s="3" t="s">
        <v>46</v>
      </c>
      <c r="F1425" s="5">
        <v>2</v>
      </c>
      <c r="G1425" s="6">
        <v>8.68</v>
      </c>
      <c r="H1425" s="6">
        <v>17.36</v>
      </c>
      <c r="I1425" s="6">
        <v>2.6</v>
      </c>
      <c r="J1425" s="6">
        <v>14.76</v>
      </c>
      <c r="K1425" s="5">
        <v>347</v>
      </c>
      <c r="L1425" s="13" t="str">
        <f t="shared" si="44"/>
        <v>Discount Applied</v>
      </c>
      <c r="M1425" s="13" t="str">
        <f t="shared" si="45"/>
        <v>Bronze</v>
      </c>
      <c r="N1425" s="13"/>
    </row>
    <row r="1426" spans="1:14" x14ac:dyDescent="0.3">
      <c r="A1426" s="3">
        <v>4043</v>
      </c>
      <c r="B1426" s="3" t="s">
        <v>24</v>
      </c>
      <c r="C1426" s="4">
        <v>45453</v>
      </c>
      <c r="D1426" s="3" t="s">
        <v>28</v>
      </c>
      <c r="E1426" s="3" t="s">
        <v>16</v>
      </c>
      <c r="F1426" s="5">
        <v>3</v>
      </c>
      <c r="G1426" s="6">
        <v>9.9600000000000009</v>
      </c>
      <c r="H1426" s="6">
        <v>29.88</v>
      </c>
      <c r="I1426" s="6">
        <v>1.49</v>
      </c>
      <c r="J1426" s="6">
        <v>28.39</v>
      </c>
      <c r="K1426" s="5">
        <v>21</v>
      </c>
      <c r="L1426" s="13" t="str">
        <f t="shared" si="44"/>
        <v>Discount Applied</v>
      </c>
      <c r="M1426" s="13" t="str">
        <f t="shared" si="45"/>
        <v>Silver</v>
      </c>
      <c r="N1426" s="13"/>
    </row>
    <row r="1427" spans="1:14" x14ac:dyDescent="0.3">
      <c r="A1427" s="3">
        <v>7227</v>
      </c>
      <c r="B1427" s="3" t="s">
        <v>26</v>
      </c>
      <c r="C1427" s="4">
        <v>45573</v>
      </c>
      <c r="D1427" s="3" t="s">
        <v>28</v>
      </c>
      <c r="E1427" s="3" t="s">
        <v>23</v>
      </c>
      <c r="F1427" s="5">
        <v>3</v>
      </c>
      <c r="G1427" s="6">
        <v>4.1900000000000004</v>
      </c>
      <c r="H1427" s="6">
        <v>12.57</v>
      </c>
      <c r="I1427" s="6">
        <v>0</v>
      </c>
      <c r="J1427" s="6">
        <v>12.57</v>
      </c>
      <c r="K1427" s="5">
        <v>4</v>
      </c>
      <c r="L1427" s="13" t="str">
        <f t="shared" si="44"/>
        <v>No Discount</v>
      </c>
      <c r="M1427" s="13" t="str">
        <f t="shared" si="45"/>
        <v>Bronze</v>
      </c>
      <c r="N1427" s="13"/>
    </row>
    <row r="1428" spans="1:14" x14ac:dyDescent="0.3">
      <c r="A1428" s="3">
        <v>5839</v>
      </c>
      <c r="B1428" s="3" t="s">
        <v>19</v>
      </c>
      <c r="C1428" s="4">
        <v>45747</v>
      </c>
      <c r="D1428" s="3" t="s">
        <v>45</v>
      </c>
      <c r="E1428" s="3" t="s">
        <v>41</v>
      </c>
      <c r="F1428" s="5">
        <v>5</v>
      </c>
      <c r="G1428" s="6">
        <v>29.02</v>
      </c>
      <c r="H1428" s="6">
        <v>145.1</v>
      </c>
      <c r="I1428" s="6">
        <v>21.76</v>
      </c>
      <c r="J1428" s="6">
        <v>123.34</v>
      </c>
      <c r="K1428" s="5">
        <v>319</v>
      </c>
      <c r="L1428" s="13" t="str">
        <f t="shared" si="44"/>
        <v>Discount Applied</v>
      </c>
      <c r="M1428" s="13" t="str">
        <f t="shared" si="45"/>
        <v>Platinum</v>
      </c>
      <c r="N1428" s="13"/>
    </row>
    <row r="1429" spans="1:14" x14ac:dyDescent="0.3">
      <c r="A1429" s="3">
        <v>5037</v>
      </c>
      <c r="B1429" s="3" t="s">
        <v>26</v>
      </c>
      <c r="C1429" s="4">
        <v>45440</v>
      </c>
      <c r="D1429" s="3" t="s">
        <v>35</v>
      </c>
      <c r="E1429" s="3" t="s">
        <v>43</v>
      </c>
      <c r="F1429" s="5">
        <v>3</v>
      </c>
      <c r="G1429" s="6">
        <v>1.44</v>
      </c>
      <c r="H1429" s="6">
        <v>4.32</v>
      </c>
      <c r="I1429" s="6">
        <v>0.65</v>
      </c>
      <c r="J1429" s="6">
        <v>3.67</v>
      </c>
      <c r="K1429" s="5">
        <v>20</v>
      </c>
      <c r="L1429" s="13" t="str">
        <f t="shared" si="44"/>
        <v>Discount Applied</v>
      </c>
      <c r="M1429" s="13" t="str">
        <f t="shared" si="45"/>
        <v>Bronze</v>
      </c>
      <c r="N1429" s="13"/>
    </row>
    <row r="1430" spans="1:14" x14ac:dyDescent="0.3">
      <c r="A1430" s="3">
        <v>2204</v>
      </c>
      <c r="B1430" s="3" t="s">
        <v>11</v>
      </c>
      <c r="C1430" s="4">
        <v>45559</v>
      </c>
      <c r="D1430" s="3" t="s">
        <v>12</v>
      </c>
      <c r="E1430" s="3" t="s">
        <v>47</v>
      </c>
      <c r="F1430" s="5">
        <v>3</v>
      </c>
      <c r="G1430" s="6">
        <v>1.1399999999999999</v>
      </c>
      <c r="H1430" s="6">
        <v>3.42</v>
      </c>
      <c r="I1430" s="6">
        <v>2.0099999999999998</v>
      </c>
      <c r="J1430" s="6">
        <v>1.41</v>
      </c>
      <c r="K1430" s="5">
        <v>180</v>
      </c>
      <c r="L1430" s="13" t="str">
        <f t="shared" si="44"/>
        <v>Discount Applied</v>
      </c>
      <c r="M1430" s="13" t="str">
        <f t="shared" si="45"/>
        <v>Bronze</v>
      </c>
      <c r="N1430" s="13"/>
    </row>
    <row r="1431" spans="1:14" x14ac:dyDescent="0.3">
      <c r="A1431" s="3">
        <v>5390</v>
      </c>
      <c r="B1431" s="3" t="s">
        <v>36</v>
      </c>
      <c r="C1431" s="4">
        <v>45384</v>
      </c>
      <c r="D1431" s="3" t="s">
        <v>35</v>
      </c>
      <c r="E1431" s="3" t="s">
        <v>46</v>
      </c>
      <c r="F1431" s="5">
        <v>5</v>
      </c>
      <c r="G1431" s="6">
        <v>5.49</v>
      </c>
      <c r="H1431" s="6">
        <v>27.45</v>
      </c>
      <c r="I1431" s="6">
        <v>5.49</v>
      </c>
      <c r="J1431" s="6">
        <v>21.96</v>
      </c>
      <c r="K1431" s="5">
        <v>44</v>
      </c>
      <c r="L1431" s="13" t="str">
        <f t="shared" si="44"/>
        <v>Discount Applied</v>
      </c>
      <c r="M1431" s="13" t="str">
        <f t="shared" si="45"/>
        <v>Silver</v>
      </c>
      <c r="N1431" s="13"/>
    </row>
    <row r="1432" spans="1:14" x14ac:dyDescent="0.3">
      <c r="A1432" s="3">
        <v>7225</v>
      </c>
      <c r="B1432" s="3" t="s">
        <v>42</v>
      </c>
      <c r="C1432" s="4">
        <v>45424</v>
      </c>
      <c r="D1432" s="3" t="s">
        <v>20</v>
      </c>
      <c r="E1432" s="3" t="s">
        <v>43</v>
      </c>
      <c r="F1432" s="5">
        <v>3</v>
      </c>
      <c r="G1432" s="6">
        <v>7.34</v>
      </c>
      <c r="H1432" s="6">
        <v>22.02</v>
      </c>
      <c r="I1432" s="6">
        <v>4.4000000000000004</v>
      </c>
      <c r="J1432" s="6">
        <v>17.62</v>
      </c>
      <c r="K1432" s="5">
        <v>242</v>
      </c>
      <c r="L1432" s="13" t="str">
        <f t="shared" si="44"/>
        <v>Discount Applied</v>
      </c>
      <c r="M1432" s="13" t="str">
        <f t="shared" si="45"/>
        <v>Bronze</v>
      </c>
      <c r="N1432" s="13"/>
    </row>
    <row r="1433" spans="1:14" x14ac:dyDescent="0.3">
      <c r="A1433" s="3">
        <v>3527</v>
      </c>
      <c r="B1433" s="3" t="s">
        <v>24</v>
      </c>
      <c r="C1433" s="4">
        <v>45830</v>
      </c>
      <c r="D1433" s="3" t="s">
        <v>20</v>
      </c>
      <c r="E1433" s="3" t="s">
        <v>32</v>
      </c>
      <c r="F1433" s="5">
        <v>1</v>
      </c>
      <c r="G1433" s="6">
        <v>26.89</v>
      </c>
      <c r="H1433" s="6">
        <v>26.89</v>
      </c>
      <c r="I1433" s="6">
        <v>2.2400000000000002</v>
      </c>
      <c r="J1433" s="6">
        <v>24.65</v>
      </c>
      <c r="K1433" s="5">
        <v>471</v>
      </c>
      <c r="L1433" s="13" t="str">
        <f t="shared" si="44"/>
        <v>Discount Applied</v>
      </c>
      <c r="M1433" s="13" t="str">
        <f t="shared" si="45"/>
        <v>Silver</v>
      </c>
      <c r="N1433" s="13"/>
    </row>
    <row r="1434" spans="1:14" x14ac:dyDescent="0.3">
      <c r="A1434" s="3">
        <v>7383</v>
      </c>
      <c r="B1434" s="3" t="s">
        <v>24</v>
      </c>
      <c r="C1434" s="4">
        <v>45506</v>
      </c>
      <c r="D1434" s="3" t="s">
        <v>27</v>
      </c>
      <c r="E1434" s="3" t="s">
        <v>21</v>
      </c>
      <c r="F1434" s="5">
        <v>5</v>
      </c>
      <c r="G1434" s="6">
        <v>5.03</v>
      </c>
      <c r="H1434" s="6">
        <v>25.15</v>
      </c>
      <c r="I1434" s="6">
        <v>3.77</v>
      </c>
      <c r="J1434" s="6">
        <v>21.38</v>
      </c>
      <c r="K1434" s="5">
        <v>393</v>
      </c>
      <c r="L1434" s="13" t="str">
        <f t="shared" si="44"/>
        <v>Discount Applied</v>
      </c>
      <c r="M1434" s="13" t="str">
        <f t="shared" si="45"/>
        <v>Silver</v>
      </c>
      <c r="N1434" s="13"/>
    </row>
    <row r="1435" spans="1:14" x14ac:dyDescent="0.3">
      <c r="A1435" s="3">
        <v>6909</v>
      </c>
      <c r="B1435" s="3" t="s">
        <v>19</v>
      </c>
      <c r="C1435" s="4">
        <v>45768</v>
      </c>
      <c r="D1435" s="3" t="s">
        <v>20</v>
      </c>
      <c r="E1435" s="3" t="s">
        <v>18</v>
      </c>
      <c r="F1435" s="5">
        <v>2</v>
      </c>
      <c r="G1435" s="6">
        <v>9.7200000000000006</v>
      </c>
      <c r="H1435" s="6">
        <v>19.440000000000001</v>
      </c>
      <c r="I1435" s="6">
        <v>4.71</v>
      </c>
      <c r="J1435" s="6">
        <v>14.73</v>
      </c>
      <c r="K1435" s="5">
        <v>43</v>
      </c>
      <c r="L1435" s="13" t="str">
        <f t="shared" si="44"/>
        <v>Discount Applied</v>
      </c>
      <c r="M1435" s="13" t="str">
        <f t="shared" si="45"/>
        <v>Bronze</v>
      </c>
      <c r="N1435" s="13"/>
    </row>
    <row r="1436" spans="1:14" x14ac:dyDescent="0.3">
      <c r="A1436" s="3">
        <v>2499</v>
      </c>
      <c r="B1436" s="3" t="s">
        <v>26</v>
      </c>
      <c r="C1436" s="4">
        <v>45736</v>
      </c>
      <c r="D1436" s="3" t="s">
        <v>38</v>
      </c>
      <c r="E1436" s="3" t="s">
        <v>29</v>
      </c>
      <c r="F1436" s="5">
        <v>4</v>
      </c>
      <c r="G1436" s="6">
        <v>23.68</v>
      </c>
      <c r="H1436" s="6">
        <v>94.72</v>
      </c>
      <c r="I1436" s="6">
        <v>1.55</v>
      </c>
      <c r="J1436" s="6">
        <v>93.17</v>
      </c>
      <c r="K1436" s="5">
        <v>426</v>
      </c>
      <c r="L1436" s="13" t="str">
        <f t="shared" si="44"/>
        <v>Discount Applied</v>
      </c>
      <c r="M1436" s="13" t="str">
        <f t="shared" si="45"/>
        <v>Platinum</v>
      </c>
      <c r="N1436" s="13"/>
    </row>
    <row r="1437" spans="1:14" x14ac:dyDescent="0.3">
      <c r="A1437" s="3">
        <v>6896</v>
      </c>
      <c r="B1437" s="3" t="s">
        <v>26</v>
      </c>
      <c r="C1437" s="4">
        <v>45855</v>
      </c>
      <c r="D1437" s="3" t="s">
        <v>22</v>
      </c>
      <c r="E1437" s="3" t="s">
        <v>46</v>
      </c>
      <c r="F1437" s="5">
        <v>3</v>
      </c>
      <c r="G1437" s="6">
        <v>14.57</v>
      </c>
      <c r="H1437" s="6">
        <v>43.71</v>
      </c>
      <c r="I1437" s="6">
        <v>4.37</v>
      </c>
      <c r="J1437" s="6">
        <v>39.340000000000003</v>
      </c>
      <c r="K1437" s="5">
        <v>218</v>
      </c>
      <c r="L1437" s="13" t="str">
        <f t="shared" si="44"/>
        <v>Discount Applied</v>
      </c>
      <c r="M1437" s="13" t="str">
        <f t="shared" si="45"/>
        <v>Silver</v>
      </c>
      <c r="N1437" s="13"/>
    </row>
    <row r="1438" spans="1:14" x14ac:dyDescent="0.3">
      <c r="A1438" s="3">
        <v>5419</v>
      </c>
      <c r="B1438" s="3" t="s">
        <v>24</v>
      </c>
      <c r="C1438" s="4">
        <v>45432</v>
      </c>
      <c r="D1438" s="3" t="s">
        <v>45</v>
      </c>
      <c r="E1438" s="3" t="s">
        <v>39</v>
      </c>
      <c r="F1438" s="5">
        <v>5</v>
      </c>
      <c r="G1438" s="6">
        <v>1.76</v>
      </c>
      <c r="H1438" s="6">
        <v>8.8000000000000007</v>
      </c>
      <c r="I1438" s="6">
        <v>4.0199999999999996</v>
      </c>
      <c r="J1438" s="6">
        <v>4.78</v>
      </c>
      <c r="K1438" s="5">
        <v>392</v>
      </c>
      <c r="L1438" s="13" t="str">
        <f t="shared" si="44"/>
        <v>Discount Applied</v>
      </c>
      <c r="M1438" s="13" t="str">
        <f t="shared" si="45"/>
        <v>Bronze</v>
      </c>
      <c r="N1438" s="13"/>
    </row>
    <row r="1439" spans="1:14" x14ac:dyDescent="0.3">
      <c r="A1439" s="3">
        <v>4070</v>
      </c>
      <c r="B1439" s="3" t="s">
        <v>30</v>
      </c>
      <c r="C1439" s="4">
        <v>45466</v>
      </c>
      <c r="D1439" s="3" t="s">
        <v>17</v>
      </c>
      <c r="E1439" s="3" t="s">
        <v>46</v>
      </c>
      <c r="F1439" s="5">
        <v>3</v>
      </c>
      <c r="G1439" s="6">
        <v>4.68</v>
      </c>
      <c r="H1439" s="6">
        <v>14.04</v>
      </c>
      <c r="I1439" s="6">
        <v>4.0199999999999996</v>
      </c>
      <c r="J1439" s="6">
        <v>10.02</v>
      </c>
      <c r="K1439" s="5">
        <v>278</v>
      </c>
      <c r="L1439" s="13" t="str">
        <f t="shared" si="44"/>
        <v>Discount Applied</v>
      </c>
      <c r="M1439" s="13" t="str">
        <f t="shared" si="45"/>
        <v>Bronze</v>
      </c>
      <c r="N1439" s="13"/>
    </row>
    <row r="1440" spans="1:14" x14ac:dyDescent="0.3">
      <c r="A1440" s="3">
        <v>8353</v>
      </c>
      <c r="B1440" s="3" t="s">
        <v>24</v>
      </c>
      <c r="C1440" s="4">
        <v>45581</v>
      </c>
      <c r="D1440" s="3" t="s">
        <v>34</v>
      </c>
      <c r="E1440" s="3" t="s">
        <v>32</v>
      </c>
      <c r="F1440" s="5">
        <v>1</v>
      </c>
      <c r="G1440" s="6">
        <v>14.41</v>
      </c>
      <c r="H1440" s="6">
        <v>14.41</v>
      </c>
      <c r="I1440" s="6">
        <v>1.34</v>
      </c>
      <c r="J1440" s="6">
        <v>13.07</v>
      </c>
      <c r="K1440" s="5">
        <v>390</v>
      </c>
      <c r="L1440" s="13" t="str">
        <f t="shared" si="44"/>
        <v>Discount Applied</v>
      </c>
      <c r="M1440" s="13" t="str">
        <f t="shared" si="45"/>
        <v>Bronze</v>
      </c>
      <c r="N1440" s="13"/>
    </row>
    <row r="1441" spans="1:14" x14ac:dyDescent="0.3">
      <c r="A1441" s="3">
        <v>9395</v>
      </c>
      <c r="B1441" s="3" t="s">
        <v>30</v>
      </c>
      <c r="C1441" s="4">
        <v>45720</v>
      </c>
      <c r="D1441" s="3" t="s">
        <v>27</v>
      </c>
      <c r="E1441" s="3" t="s">
        <v>48</v>
      </c>
      <c r="F1441" s="5">
        <v>3</v>
      </c>
      <c r="G1441" s="6">
        <v>18.23</v>
      </c>
      <c r="H1441" s="6">
        <v>54.69</v>
      </c>
      <c r="I1441" s="6">
        <v>2.93</v>
      </c>
      <c r="J1441" s="6">
        <v>51.76</v>
      </c>
      <c r="K1441" s="5">
        <v>420</v>
      </c>
      <c r="L1441" s="13" t="str">
        <f t="shared" si="44"/>
        <v>Discount Applied</v>
      </c>
      <c r="M1441" s="13" t="str">
        <f t="shared" si="45"/>
        <v>Gold</v>
      </c>
      <c r="N1441" s="13"/>
    </row>
    <row r="1442" spans="1:14" x14ac:dyDescent="0.3">
      <c r="A1442" s="3">
        <v>2692</v>
      </c>
      <c r="B1442" s="3" t="s">
        <v>36</v>
      </c>
      <c r="C1442" s="4">
        <v>45157</v>
      </c>
      <c r="D1442" s="3" t="s">
        <v>12</v>
      </c>
      <c r="E1442" s="3" t="s">
        <v>48</v>
      </c>
      <c r="F1442" s="5">
        <v>5</v>
      </c>
      <c r="G1442" s="6">
        <v>20.55</v>
      </c>
      <c r="H1442" s="6">
        <v>102.75</v>
      </c>
      <c r="I1442" s="6">
        <v>0</v>
      </c>
      <c r="J1442" s="6">
        <v>102.75</v>
      </c>
      <c r="K1442" s="5">
        <v>378</v>
      </c>
      <c r="L1442" s="13" t="str">
        <f t="shared" si="44"/>
        <v>No Discount</v>
      </c>
      <c r="M1442" s="13" t="str">
        <f t="shared" si="45"/>
        <v>Platinum</v>
      </c>
      <c r="N1442" s="13"/>
    </row>
    <row r="1443" spans="1:14" x14ac:dyDescent="0.3">
      <c r="A1443" s="3">
        <v>2468</v>
      </c>
      <c r="B1443" s="3" t="s">
        <v>42</v>
      </c>
      <c r="C1443" s="4">
        <v>45574</v>
      </c>
      <c r="D1443" s="3" t="s">
        <v>38</v>
      </c>
      <c r="E1443" s="3" t="s">
        <v>41</v>
      </c>
      <c r="F1443" s="5">
        <v>5</v>
      </c>
      <c r="G1443" s="6">
        <v>22.46</v>
      </c>
      <c r="H1443" s="6">
        <v>112.3</v>
      </c>
      <c r="I1443" s="6">
        <v>22.46</v>
      </c>
      <c r="J1443" s="6">
        <v>89.84</v>
      </c>
      <c r="K1443" s="5">
        <v>253</v>
      </c>
      <c r="L1443" s="13" t="str">
        <f t="shared" si="44"/>
        <v>Discount Applied</v>
      </c>
      <c r="M1443" s="13" t="str">
        <f t="shared" si="45"/>
        <v>Platinum</v>
      </c>
      <c r="N1443" s="13"/>
    </row>
    <row r="1444" spans="1:14" x14ac:dyDescent="0.3">
      <c r="A1444" s="3">
        <v>2524</v>
      </c>
      <c r="B1444" s="3" t="s">
        <v>19</v>
      </c>
      <c r="C1444" s="4">
        <v>45374</v>
      </c>
      <c r="D1444" s="3" t="s">
        <v>35</v>
      </c>
      <c r="E1444" s="3" t="s">
        <v>37</v>
      </c>
      <c r="F1444" s="5">
        <v>1</v>
      </c>
      <c r="G1444" s="6">
        <v>24.35</v>
      </c>
      <c r="H1444" s="6">
        <v>24.35</v>
      </c>
      <c r="I1444" s="6">
        <v>1.27</v>
      </c>
      <c r="J1444" s="6">
        <v>23.08</v>
      </c>
      <c r="K1444" s="5">
        <v>319</v>
      </c>
      <c r="L1444" s="13" t="str">
        <f t="shared" si="44"/>
        <v>Discount Applied</v>
      </c>
      <c r="M1444" s="13" t="str">
        <f t="shared" si="45"/>
        <v>Silver</v>
      </c>
      <c r="N1444" s="13"/>
    </row>
    <row r="1445" spans="1:14" x14ac:dyDescent="0.3">
      <c r="A1445" s="3">
        <v>6315</v>
      </c>
      <c r="B1445" s="3" t="s">
        <v>19</v>
      </c>
      <c r="C1445" s="4">
        <v>45297</v>
      </c>
      <c r="D1445" s="3" t="s">
        <v>28</v>
      </c>
      <c r="E1445" s="3" t="s">
        <v>48</v>
      </c>
      <c r="F1445" s="5">
        <v>5</v>
      </c>
      <c r="G1445" s="6">
        <v>3.8</v>
      </c>
      <c r="H1445" s="6">
        <v>19</v>
      </c>
      <c r="I1445" s="6">
        <v>1.9</v>
      </c>
      <c r="J1445" s="6">
        <v>17.100000000000001</v>
      </c>
      <c r="K1445" s="5">
        <v>104</v>
      </c>
      <c r="L1445" s="13" t="str">
        <f t="shared" si="44"/>
        <v>Discount Applied</v>
      </c>
      <c r="M1445" s="13" t="str">
        <f t="shared" si="45"/>
        <v>Bronze</v>
      </c>
      <c r="N1445" s="13"/>
    </row>
    <row r="1446" spans="1:14" x14ac:dyDescent="0.3">
      <c r="A1446" s="3">
        <v>7353</v>
      </c>
      <c r="B1446" s="3" t="s">
        <v>31</v>
      </c>
      <c r="C1446" s="4">
        <v>45323</v>
      </c>
      <c r="D1446" s="3" t="s">
        <v>38</v>
      </c>
      <c r="E1446" s="3" t="s">
        <v>33</v>
      </c>
      <c r="F1446" s="5">
        <v>4</v>
      </c>
      <c r="G1446" s="6">
        <v>2.6</v>
      </c>
      <c r="H1446" s="6">
        <v>10.4</v>
      </c>
      <c r="I1446" s="6">
        <v>1.04</v>
      </c>
      <c r="J1446" s="6">
        <v>9.36</v>
      </c>
      <c r="K1446" s="5">
        <v>62</v>
      </c>
      <c r="L1446" s="13" t="str">
        <f t="shared" si="44"/>
        <v>Discount Applied</v>
      </c>
      <c r="M1446" s="13" t="str">
        <f t="shared" si="45"/>
        <v>Bronze</v>
      </c>
      <c r="N1446" s="13"/>
    </row>
    <row r="1447" spans="1:14" x14ac:dyDescent="0.3">
      <c r="A1447" s="3">
        <v>2387</v>
      </c>
      <c r="B1447" s="3" t="s">
        <v>26</v>
      </c>
      <c r="C1447" s="4">
        <v>45587</v>
      </c>
      <c r="D1447" s="3" t="s">
        <v>34</v>
      </c>
      <c r="E1447" s="3" t="s">
        <v>25</v>
      </c>
      <c r="F1447" s="5">
        <v>5</v>
      </c>
      <c r="G1447" s="6">
        <v>8.5399999999999991</v>
      </c>
      <c r="H1447" s="6">
        <v>42.7</v>
      </c>
      <c r="I1447" s="6">
        <v>0</v>
      </c>
      <c r="J1447" s="6">
        <v>42.7</v>
      </c>
      <c r="K1447" s="5">
        <v>313</v>
      </c>
      <c r="L1447" s="13" t="str">
        <f t="shared" si="44"/>
        <v>No Discount</v>
      </c>
      <c r="M1447" s="13" t="str">
        <f t="shared" si="45"/>
        <v>Silver</v>
      </c>
      <c r="N1447" s="13"/>
    </row>
    <row r="1448" spans="1:14" x14ac:dyDescent="0.3">
      <c r="A1448" s="3">
        <v>4977</v>
      </c>
      <c r="B1448" s="3" t="s">
        <v>11</v>
      </c>
      <c r="C1448" s="4">
        <v>45532</v>
      </c>
      <c r="D1448" s="3" t="s">
        <v>20</v>
      </c>
      <c r="E1448" s="3" t="s">
        <v>41</v>
      </c>
      <c r="F1448" s="5">
        <v>1</v>
      </c>
      <c r="G1448" s="6">
        <v>6.35</v>
      </c>
      <c r="H1448" s="6">
        <v>6.35</v>
      </c>
      <c r="I1448" s="6">
        <v>1.27</v>
      </c>
      <c r="J1448" s="6">
        <v>5.08</v>
      </c>
      <c r="K1448" s="5">
        <v>419</v>
      </c>
      <c r="L1448" s="13" t="str">
        <f t="shared" si="44"/>
        <v>Discount Applied</v>
      </c>
      <c r="M1448" s="13" t="str">
        <f t="shared" si="45"/>
        <v>Bronze</v>
      </c>
      <c r="N1448" s="13"/>
    </row>
    <row r="1449" spans="1:14" x14ac:dyDescent="0.3">
      <c r="A1449" s="3">
        <v>9537</v>
      </c>
      <c r="B1449" s="3" t="s">
        <v>14</v>
      </c>
      <c r="C1449" s="4">
        <v>45344</v>
      </c>
      <c r="D1449" s="3" t="s">
        <v>38</v>
      </c>
      <c r="E1449" s="3" t="s">
        <v>44</v>
      </c>
      <c r="F1449" s="5">
        <v>4</v>
      </c>
      <c r="G1449" s="6">
        <v>14.92</v>
      </c>
      <c r="H1449" s="6">
        <v>59.68</v>
      </c>
      <c r="I1449" s="6">
        <v>2.97</v>
      </c>
      <c r="J1449" s="6">
        <v>56.71</v>
      </c>
      <c r="K1449" s="5">
        <v>148</v>
      </c>
      <c r="L1449" s="13" t="str">
        <f t="shared" si="44"/>
        <v>Discount Applied</v>
      </c>
      <c r="M1449" s="13" t="str">
        <f t="shared" si="45"/>
        <v>Gold</v>
      </c>
      <c r="N1449" s="13"/>
    </row>
    <row r="1450" spans="1:14" x14ac:dyDescent="0.3">
      <c r="A1450" s="3">
        <v>7237</v>
      </c>
      <c r="B1450" s="3" t="s">
        <v>30</v>
      </c>
      <c r="C1450" s="4">
        <v>45707</v>
      </c>
      <c r="D1450" s="3" t="s">
        <v>20</v>
      </c>
      <c r="E1450" s="3" t="s">
        <v>32</v>
      </c>
      <c r="F1450" s="5">
        <v>1</v>
      </c>
      <c r="G1450" s="6">
        <v>14.44</v>
      </c>
      <c r="H1450" s="6">
        <v>14.44</v>
      </c>
      <c r="I1450" s="6">
        <v>2.89</v>
      </c>
      <c r="J1450" s="6">
        <v>11.55</v>
      </c>
      <c r="K1450" s="5">
        <v>416</v>
      </c>
      <c r="L1450" s="13" t="str">
        <f t="shared" si="44"/>
        <v>Discount Applied</v>
      </c>
      <c r="M1450" s="13" t="str">
        <f t="shared" si="45"/>
        <v>Bronze</v>
      </c>
      <c r="N1450" s="13"/>
    </row>
    <row r="1451" spans="1:14" x14ac:dyDescent="0.3">
      <c r="A1451" s="3">
        <v>3274</v>
      </c>
      <c r="B1451" s="3" t="s">
        <v>31</v>
      </c>
      <c r="C1451" s="4">
        <v>45502</v>
      </c>
      <c r="D1451" s="3" t="s">
        <v>35</v>
      </c>
      <c r="E1451" s="3" t="s">
        <v>33</v>
      </c>
      <c r="F1451" s="5">
        <v>1</v>
      </c>
      <c r="G1451" s="6">
        <v>17.350000000000001</v>
      </c>
      <c r="H1451" s="6">
        <v>17.350000000000001</v>
      </c>
      <c r="I1451" s="6">
        <v>3.58</v>
      </c>
      <c r="J1451" s="6">
        <v>13.77</v>
      </c>
      <c r="K1451" s="5">
        <v>5</v>
      </c>
      <c r="L1451" s="13" t="str">
        <f t="shared" si="44"/>
        <v>Discount Applied</v>
      </c>
      <c r="M1451" s="13" t="str">
        <f t="shared" si="45"/>
        <v>Bronze</v>
      </c>
      <c r="N1451" s="13"/>
    </row>
    <row r="1452" spans="1:14" x14ac:dyDescent="0.3">
      <c r="A1452" s="3">
        <v>5933</v>
      </c>
      <c r="B1452" s="3" t="s">
        <v>26</v>
      </c>
      <c r="C1452" s="4">
        <v>45714</v>
      </c>
      <c r="D1452" s="3" t="s">
        <v>12</v>
      </c>
      <c r="E1452" s="3" t="s">
        <v>23</v>
      </c>
      <c r="F1452" s="5">
        <v>2</v>
      </c>
      <c r="G1452" s="6">
        <v>14.56</v>
      </c>
      <c r="H1452" s="6">
        <v>29.12</v>
      </c>
      <c r="I1452" s="6">
        <v>4.37</v>
      </c>
      <c r="J1452" s="6">
        <v>24.75</v>
      </c>
      <c r="K1452" s="5">
        <v>370</v>
      </c>
      <c r="L1452" s="13" t="str">
        <f t="shared" si="44"/>
        <v>Discount Applied</v>
      </c>
      <c r="M1452" s="13" t="str">
        <f t="shared" si="45"/>
        <v>Silver</v>
      </c>
      <c r="N1452" s="13"/>
    </row>
    <row r="1453" spans="1:14" x14ac:dyDescent="0.3">
      <c r="A1453" s="3">
        <v>9079</v>
      </c>
      <c r="B1453" s="3" t="s">
        <v>31</v>
      </c>
      <c r="C1453" s="4">
        <v>45276</v>
      </c>
      <c r="D1453" s="3" t="s">
        <v>34</v>
      </c>
      <c r="E1453" s="3" t="s">
        <v>23</v>
      </c>
      <c r="F1453" s="5">
        <v>5</v>
      </c>
      <c r="G1453" s="6">
        <v>25.81</v>
      </c>
      <c r="H1453" s="6">
        <v>129.05000000000001</v>
      </c>
      <c r="I1453" s="6">
        <v>19.36</v>
      </c>
      <c r="J1453" s="6">
        <v>109.69</v>
      </c>
      <c r="K1453" s="5">
        <v>257</v>
      </c>
      <c r="L1453" s="13" t="str">
        <f t="shared" si="44"/>
        <v>Discount Applied</v>
      </c>
      <c r="M1453" s="13" t="str">
        <f t="shared" si="45"/>
        <v>Platinum</v>
      </c>
      <c r="N1453" s="13"/>
    </row>
    <row r="1454" spans="1:14" x14ac:dyDescent="0.3">
      <c r="A1454" s="3">
        <v>2036</v>
      </c>
      <c r="B1454" s="3" t="s">
        <v>14</v>
      </c>
      <c r="C1454" s="4">
        <v>45704</v>
      </c>
      <c r="D1454" s="3" t="s">
        <v>20</v>
      </c>
      <c r="E1454" s="3" t="s">
        <v>46</v>
      </c>
      <c r="F1454" s="5">
        <v>1</v>
      </c>
      <c r="G1454" s="6">
        <v>6.05</v>
      </c>
      <c r="H1454" s="6">
        <v>6.05</v>
      </c>
      <c r="I1454" s="6">
        <v>0</v>
      </c>
      <c r="J1454" s="6">
        <v>6.05</v>
      </c>
      <c r="K1454" s="5">
        <v>77</v>
      </c>
      <c r="L1454" s="13" t="str">
        <f t="shared" si="44"/>
        <v>No Discount</v>
      </c>
      <c r="M1454" s="13" t="str">
        <f t="shared" si="45"/>
        <v>Bronze</v>
      </c>
      <c r="N1454" s="13"/>
    </row>
    <row r="1455" spans="1:14" x14ac:dyDescent="0.3">
      <c r="A1455" s="3">
        <v>8121</v>
      </c>
      <c r="B1455" s="3" t="s">
        <v>36</v>
      </c>
      <c r="C1455" s="4">
        <v>45524</v>
      </c>
      <c r="D1455" s="3" t="s">
        <v>45</v>
      </c>
      <c r="E1455" s="3" t="s">
        <v>41</v>
      </c>
      <c r="F1455" s="5">
        <v>3</v>
      </c>
      <c r="G1455" s="6">
        <v>23.75</v>
      </c>
      <c r="H1455" s="6">
        <v>71.25</v>
      </c>
      <c r="I1455" s="6">
        <v>7.12</v>
      </c>
      <c r="J1455" s="6">
        <v>64.13</v>
      </c>
      <c r="K1455" s="5">
        <v>337</v>
      </c>
      <c r="L1455" s="13" t="str">
        <f t="shared" si="44"/>
        <v>Discount Applied</v>
      </c>
      <c r="M1455" s="13" t="str">
        <f t="shared" si="45"/>
        <v>Gold</v>
      </c>
      <c r="N1455" s="13"/>
    </row>
    <row r="1456" spans="1:14" x14ac:dyDescent="0.3">
      <c r="A1456" s="3">
        <v>7899</v>
      </c>
      <c r="B1456" s="3" t="s">
        <v>11</v>
      </c>
      <c r="C1456" s="4">
        <v>45857</v>
      </c>
      <c r="D1456" s="3" t="s">
        <v>27</v>
      </c>
      <c r="E1456" s="3" t="s">
        <v>47</v>
      </c>
      <c r="F1456" s="5">
        <v>4</v>
      </c>
      <c r="G1456" s="6">
        <v>28.9</v>
      </c>
      <c r="H1456" s="6">
        <v>115.6</v>
      </c>
      <c r="I1456" s="6">
        <v>3.83</v>
      </c>
      <c r="J1456" s="6">
        <v>111.77</v>
      </c>
      <c r="K1456" s="5">
        <v>310</v>
      </c>
      <c r="L1456" s="13" t="str">
        <f t="shared" si="44"/>
        <v>Discount Applied</v>
      </c>
      <c r="M1456" s="13" t="str">
        <f t="shared" si="45"/>
        <v>Platinum</v>
      </c>
      <c r="N1456" s="13"/>
    </row>
    <row r="1457" spans="1:14" x14ac:dyDescent="0.3">
      <c r="A1457" s="3">
        <v>5123</v>
      </c>
      <c r="B1457" s="3" t="s">
        <v>14</v>
      </c>
      <c r="C1457" s="4">
        <v>45643</v>
      </c>
      <c r="D1457" s="3" t="s">
        <v>27</v>
      </c>
      <c r="E1457" s="3" t="s">
        <v>46</v>
      </c>
      <c r="F1457" s="5">
        <v>3</v>
      </c>
      <c r="G1457" s="6">
        <v>4.74</v>
      </c>
      <c r="H1457" s="6">
        <v>14.22</v>
      </c>
      <c r="I1457" s="6">
        <v>3.47</v>
      </c>
      <c r="J1457" s="6">
        <v>10.75</v>
      </c>
      <c r="K1457" s="5">
        <v>165</v>
      </c>
      <c r="L1457" s="13" t="str">
        <f t="shared" si="44"/>
        <v>Discount Applied</v>
      </c>
      <c r="M1457" s="13" t="str">
        <f t="shared" si="45"/>
        <v>Bronze</v>
      </c>
      <c r="N1457" s="13"/>
    </row>
    <row r="1458" spans="1:14" x14ac:dyDescent="0.3">
      <c r="A1458" s="3">
        <v>9123</v>
      </c>
      <c r="B1458" s="3" t="s">
        <v>24</v>
      </c>
      <c r="C1458" s="4">
        <v>45551</v>
      </c>
      <c r="D1458" s="3" t="s">
        <v>15</v>
      </c>
      <c r="E1458" s="3" t="s">
        <v>40</v>
      </c>
      <c r="F1458" s="5">
        <v>1</v>
      </c>
      <c r="G1458" s="6">
        <v>25.7</v>
      </c>
      <c r="H1458" s="6">
        <v>25.7</v>
      </c>
      <c r="I1458" s="6">
        <v>3.66</v>
      </c>
      <c r="J1458" s="6">
        <v>22.04</v>
      </c>
      <c r="K1458" s="5">
        <v>81</v>
      </c>
      <c r="L1458" s="13" t="str">
        <f t="shared" si="44"/>
        <v>Discount Applied</v>
      </c>
      <c r="M1458" s="13" t="str">
        <f t="shared" si="45"/>
        <v>Silver</v>
      </c>
      <c r="N1458" s="13"/>
    </row>
    <row r="1459" spans="1:14" x14ac:dyDescent="0.3">
      <c r="A1459" s="3">
        <v>4203</v>
      </c>
      <c r="B1459" s="3" t="s">
        <v>26</v>
      </c>
      <c r="C1459" s="4">
        <v>45796</v>
      </c>
      <c r="D1459" s="3" t="s">
        <v>27</v>
      </c>
      <c r="E1459" s="3" t="s">
        <v>47</v>
      </c>
      <c r="F1459" s="5">
        <v>3</v>
      </c>
      <c r="G1459" s="6">
        <v>23.03</v>
      </c>
      <c r="H1459" s="6">
        <v>69.09</v>
      </c>
      <c r="I1459" s="6">
        <v>4.5999999999999996</v>
      </c>
      <c r="J1459" s="6">
        <v>64.489999999999995</v>
      </c>
      <c r="K1459" s="5">
        <v>395</v>
      </c>
      <c r="L1459" s="13" t="str">
        <f t="shared" si="44"/>
        <v>Discount Applied</v>
      </c>
      <c r="M1459" s="13" t="str">
        <f t="shared" si="45"/>
        <v>Gold</v>
      </c>
      <c r="N1459" s="13"/>
    </row>
    <row r="1460" spans="1:14" x14ac:dyDescent="0.3">
      <c r="A1460" s="3">
        <v>2752</v>
      </c>
      <c r="B1460" s="3" t="s">
        <v>19</v>
      </c>
      <c r="C1460" s="4">
        <v>45780</v>
      </c>
      <c r="D1460" s="3" t="s">
        <v>20</v>
      </c>
      <c r="E1460" s="3" t="s">
        <v>16</v>
      </c>
      <c r="F1460" s="5">
        <v>1</v>
      </c>
      <c r="G1460" s="6">
        <v>2.79</v>
      </c>
      <c r="H1460" s="6">
        <v>2.79</v>
      </c>
      <c r="I1460" s="6">
        <v>4.3899999999999997</v>
      </c>
      <c r="J1460" s="6">
        <v>-1.6</v>
      </c>
      <c r="K1460" s="5">
        <v>128</v>
      </c>
      <c r="L1460" s="13" t="str">
        <f t="shared" si="44"/>
        <v>Discount Applied</v>
      </c>
      <c r="M1460" s="13" t="str">
        <f t="shared" si="45"/>
        <v>Bronze</v>
      </c>
      <c r="N1460" s="13"/>
    </row>
    <row r="1461" spans="1:14" x14ac:dyDescent="0.3">
      <c r="A1461" s="3">
        <v>5991</v>
      </c>
      <c r="B1461" s="3"/>
      <c r="C1461" s="4">
        <v>45738</v>
      </c>
      <c r="D1461" s="3" t="s">
        <v>45</v>
      </c>
      <c r="E1461" s="3" t="s">
        <v>23</v>
      </c>
      <c r="F1461" s="5">
        <v>5</v>
      </c>
      <c r="G1461" s="6">
        <v>19.3</v>
      </c>
      <c r="H1461" s="6">
        <v>96.5</v>
      </c>
      <c r="I1461" s="6">
        <v>14.47</v>
      </c>
      <c r="J1461" s="6">
        <v>82.03</v>
      </c>
      <c r="K1461" s="5">
        <v>15</v>
      </c>
      <c r="L1461" s="13" t="str">
        <f t="shared" si="44"/>
        <v>Discount Applied</v>
      </c>
      <c r="M1461" s="13" t="str">
        <f t="shared" si="45"/>
        <v>Platinum</v>
      </c>
      <c r="N1461" s="13"/>
    </row>
    <row r="1462" spans="1:14" x14ac:dyDescent="0.3">
      <c r="A1462" s="3">
        <v>7483</v>
      </c>
      <c r="B1462" s="3" t="s">
        <v>11</v>
      </c>
      <c r="C1462" s="4">
        <v>45465</v>
      </c>
      <c r="D1462" s="3" t="s">
        <v>45</v>
      </c>
      <c r="E1462" s="3" t="s">
        <v>32</v>
      </c>
      <c r="F1462" s="5">
        <v>2</v>
      </c>
      <c r="G1462" s="6">
        <v>29.67</v>
      </c>
      <c r="H1462" s="6">
        <v>59.34</v>
      </c>
      <c r="I1462" s="6">
        <v>11.87</v>
      </c>
      <c r="J1462" s="6">
        <v>47.47</v>
      </c>
      <c r="K1462" s="5">
        <v>293</v>
      </c>
      <c r="L1462" s="13" t="str">
        <f t="shared" si="44"/>
        <v>Discount Applied</v>
      </c>
      <c r="M1462" s="13" t="str">
        <f t="shared" si="45"/>
        <v>Silver</v>
      </c>
      <c r="N1462" s="13"/>
    </row>
    <row r="1463" spans="1:14" x14ac:dyDescent="0.3">
      <c r="A1463" s="3">
        <v>7224</v>
      </c>
      <c r="B1463" s="3" t="s">
        <v>30</v>
      </c>
      <c r="C1463" s="4">
        <v>45799</v>
      </c>
      <c r="D1463" s="3" t="s">
        <v>45</v>
      </c>
      <c r="E1463" s="3" t="s">
        <v>33</v>
      </c>
      <c r="F1463" s="5">
        <v>3</v>
      </c>
      <c r="G1463" s="6">
        <v>7.53</v>
      </c>
      <c r="H1463" s="6">
        <v>22.59</v>
      </c>
      <c r="I1463" s="6">
        <v>2.2599999999999998</v>
      </c>
      <c r="J1463" s="6">
        <v>20.329999999999998</v>
      </c>
      <c r="K1463" s="5">
        <v>379</v>
      </c>
      <c r="L1463" s="13" t="str">
        <f t="shared" si="44"/>
        <v>Discount Applied</v>
      </c>
      <c r="M1463" s="13" t="str">
        <f t="shared" si="45"/>
        <v>Silver</v>
      </c>
      <c r="N1463" s="13"/>
    </row>
    <row r="1464" spans="1:14" x14ac:dyDescent="0.3">
      <c r="A1464" s="3">
        <v>6399</v>
      </c>
      <c r="B1464" s="3" t="s">
        <v>14</v>
      </c>
      <c r="C1464" s="4">
        <v>45197</v>
      </c>
      <c r="D1464" s="3" t="s">
        <v>17</v>
      </c>
      <c r="E1464" s="3" t="s">
        <v>43</v>
      </c>
      <c r="F1464" s="5">
        <v>5</v>
      </c>
      <c r="G1464" s="6">
        <v>1.69</v>
      </c>
      <c r="H1464" s="6">
        <v>8.4499999999999993</v>
      </c>
      <c r="I1464" s="6">
        <v>1.69</v>
      </c>
      <c r="J1464" s="6">
        <v>6.76</v>
      </c>
      <c r="K1464" s="5">
        <v>491</v>
      </c>
      <c r="L1464" s="13" t="str">
        <f t="shared" si="44"/>
        <v>Discount Applied</v>
      </c>
      <c r="M1464" s="13" t="str">
        <f t="shared" si="45"/>
        <v>Bronze</v>
      </c>
      <c r="N1464" s="13"/>
    </row>
    <row r="1465" spans="1:14" x14ac:dyDescent="0.3">
      <c r="A1465" s="3">
        <v>6484</v>
      </c>
      <c r="B1465" s="3" t="s">
        <v>31</v>
      </c>
      <c r="C1465" s="4">
        <v>45152</v>
      </c>
      <c r="D1465" s="3" t="s">
        <v>34</v>
      </c>
      <c r="E1465" s="3" t="s">
        <v>39</v>
      </c>
      <c r="F1465" s="5">
        <v>3</v>
      </c>
      <c r="G1465" s="6">
        <v>23.45</v>
      </c>
      <c r="H1465" s="6">
        <v>70.349999999999994</v>
      </c>
      <c r="I1465" s="6">
        <v>10.55</v>
      </c>
      <c r="J1465" s="6">
        <v>59.8</v>
      </c>
      <c r="K1465" s="5">
        <v>290</v>
      </c>
      <c r="L1465" s="13" t="str">
        <f t="shared" si="44"/>
        <v>Discount Applied</v>
      </c>
      <c r="M1465" s="13" t="str">
        <f t="shared" si="45"/>
        <v>Gold</v>
      </c>
      <c r="N1465" s="13"/>
    </row>
    <row r="1466" spans="1:14" x14ac:dyDescent="0.3">
      <c r="A1466" s="3">
        <v>3230</v>
      </c>
      <c r="B1466" s="3" t="s">
        <v>19</v>
      </c>
      <c r="C1466" s="4">
        <v>45537</v>
      </c>
      <c r="D1466" s="3" t="s">
        <v>27</v>
      </c>
      <c r="E1466" s="3" t="s">
        <v>46</v>
      </c>
      <c r="F1466" s="5">
        <v>4</v>
      </c>
      <c r="G1466" s="6">
        <v>6.5</v>
      </c>
      <c r="H1466" s="6">
        <v>26</v>
      </c>
      <c r="I1466" s="6">
        <v>2.41</v>
      </c>
      <c r="J1466" s="6">
        <v>23.59</v>
      </c>
      <c r="K1466" s="5">
        <v>106</v>
      </c>
      <c r="L1466" s="13" t="str">
        <f t="shared" si="44"/>
        <v>Discount Applied</v>
      </c>
      <c r="M1466" s="13" t="str">
        <f t="shared" si="45"/>
        <v>Silver</v>
      </c>
      <c r="N1466" s="13"/>
    </row>
    <row r="1467" spans="1:14" x14ac:dyDescent="0.3">
      <c r="A1467" s="3">
        <v>4290</v>
      </c>
      <c r="B1467" s="3" t="s">
        <v>14</v>
      </c>
      <c r="C1467" s="4">
        <v>45434</v>
      </c>
      <c r="D1467" s="3" t="s">
        <v>34</v>
      </c>
      <c r="E1467" s="3" t="s">
        <v>43</v>
      </c>
      <c r="F1467" s="5">
        <v>4</v>
      </c>
      <c r="G1467" s="6">
        <v>13.39</v>
      </c>
      <c r="H1467" s="6">
        <v>53.56</v>
      </c>
      <c r="I1467" s="6">
        <v>1.31</v>
      </c>
      <c r="J1467" s="6">
        <v>52.25</v>
      </c>
      <c r="K1467" s="5">
        <v>192</v>
      </c>
      <c r="L1467" s="13" t="str">
        <f t="shared" si="44"/>
        <v>Discount Applied</v>
      </c>
      <c r="M1467" s="13" t="str">
        <f t="shared" si="45"/>
        <v>Gold</v>
      </c>
      <c r="N1467" s="13"/>
    </row>
    <row r="1468" spans="1:14" x14ac:dyDescent="0.3">
      <c r="A1468" s="3">
        <v>5775</v>
      </c>
      <c r="B1468" s="3" t="s">
        <v>14</v>
      </c>
      <c r="C1468" s="4">
        <v>45624</v>
      </c>
      <c r="D1468" s="3" t="s">
        <v>35</v>
      </c>
      <c r="E1468" s="3" t="s">
        <v>48</v>
      </c>
      <c r="F1468" s="5">
        <v>1</v>
      </c>
      <c r="G1468" s="6">
        <v>15.45</v>
      </c>
      <c r="H1468" s="6">
        <v>15.45</v>
      </c>
      <c r="I1468" s="6">
        <v>1.9</v>
      </c>
      <c r="J1468" s="6">
        <v>13.55</v>
      </c>
      <c r="K1468" s="5">
        <v>26</v>
      </c>
      <c r="L1468" s="13" t="str">
        <f t="shared" si="44"/>
        <v>Discount Applied</v>
      </c>
      <c r="M1468" s="13" t="str">
        <f t="shared" si="45"/>
        <v>Bronze</v>
      </c>
      <c r="N1468" s="13"/>
    </row>
    <row r="1469" spans="1:14" x14ac:dyDescent="0.3">
      <c r="A1469" s="3">
        <v>9044</v>
      </c>
      <c r="B1469" s="3" t="s">
        <v>30</v>
      </c>
      <c r="C1469" s="4">
        <v>45657</v>
      </c>
      <c r="D1469" s="3" t="s">
        <v>35</v>
      </c>
      <c r="E1469" s="3" t="s">
        <v>32</v>
      </c>
      <c r="F1469" s="5">
        <v>3</v>
      </c>
      <c r="G1469" s="6">
        <v>2.96</v>
      </c>
      <c r="H1469" s="6">
        <v>8.8800000000000008</v>
      </c>
      <c r="I1469" s="6">
        <v>1.33</v>
      </c>
      <c r="J1469" s="6">
        <v>7.55</v>
      </c>
      <c r="K1469" s="5">
        <v>446</v>
      </c>
      <c r="L1469" s="13" t="str">
        <f t="shared" si="44"/>
        <v>Discount Applied</v>
      </c>
      <c r="M1469" s="13" t="str">
        <f t="shared" si="45"/>
        <v>Bronze</v>
      </c>
      <c r="N1469" s="13"/>
    </row>
    <row r="1470" spans="1:14" x14ac:dyDescent="0.3">
      <c r="A1470" s="3">
        <v>4971</v>
      </c>
      <c r="B1470" s="3" t="s">
        <v>11</v>
      </c>
      <c r="C1470" s="4">
        <v>45157</v>
      </c>
      <c r="D1470" s="3" t="s">
        <v>38</v>
      </c>
      <c r="E1470" s="3" t="s">
        <v>25</v>
      </c>
      <c r="F1470" s="5">
        <v>5</v>
      </c>
      <c r="G1470" s="6">
        <v>28.01</v>
      </c>
      <c r="H1470" s="6">
        <v>140.05000000000001</v>
      </c>
      <c r="I1470" s="6">
        <v>14.01</v>
      </c>
      <c r="J1470" s="6">
        <v>126.04</v>
      </c>
      <c r="K1470" s="5">
        <v>256</v>
      </c>
      <c r="L1470" s="13" t="str">
        <f t="shared" si="44"/>
        <v>Discount Applied</v>
      </c>
      <c r="M1470" s="13" t="str">
        <f t="shared" si="45"/>
        <v>Platinum</v>
      </c>
      <c r="N1470" s="13"/>
    </row>
    <row r="1471" spans="1:14" x14ac:dyDescent="0.3">
      <c r="A1471" s="3">
        <v>7161</v>
      </c>
      <c r="B1471" s="3" t="s">
        <v>31</v>
      </c>
      <c r="C1471" s="4">
        <v>45558</v>
      </c>
      <c r="D1471" s="3" t="s">
        <v>38</v>
      </c>
      <c r="E1471" s="3" t="s">
        <v>48</v>
      </c>
      <c r="F1471" s="5">
        <v>5</v>
      </c>
      <c r="G1471" s="6">
        <v>14.65</v>
      </c>
      <c r="H1471" s="6">
        <v>73.25</v>
      </c>
      <c r="I1471" s="6">
        <v>0</v>
      </c>
      <c r="J1471" s="6">
        <v>73.25</v>
      </c>
      <c r="K1471" s="5">
        <v>469</v>
      </c>
      <c r="L1471" s="13" t="str">
        <f t="shared" si="44"/>
        <v>No Discount</v>
      </c>
      <c r="M1471" s="13" t="str">
        <f t="shared" si="45"/>
        <v>Platinum</v>
      </c>
      <c r="N1471" s="13"/>
    </row>
    <row r="1472" spans="1:14" x14ac:dyDescent="0.3">
      <c r="A1472" s="3">
        <v>7437</v>
      </c>
      <c r="B1472" s="3" t="s">
        <v>31</v>
      </c>
      <c r="C1472" s="4">
        <v>45154</v>
      </c>
      <c r="D1472" s="3" t="s">
        <v>12</v>
      </c>
      <c r="E1472" s="3" t="s">
        <v>21</v>
      </c>
      <c r="F1472" s="5">
        <v>4</v>
      </c>
      <c r="G1472" s="6">
        <v>8.56</v>
      </c>
      <c r="H1472" s="6">
        <v>34.24</v>
      </c>
      <c r="I1472" s="6">
        <v>6.85</v>
      </c>
      <c r="J1472" s="6">
        <v>27.39</v>
      </c>
      <c r="K1472" s="5">
        <v>171</v>
      </c>
      <c r="L1472" s="13" t="str">
        <f t="shared" si="44"/>
        <v>Discount Applied</v>
      </c>
      <c r="M1472" s="13" t="str">
        <f t="shared" si="45"/>
        <v>Silver</v>
      </c>
      <c r="N1472" s="13"/>
    </row>
    <row r="1473" spans="1:14" x14ac:dyDescent="0.3">
      <c r="A1473" s="3">
        <v>2865</v>
      </c>
      <c r="B1473" s="3" t="s">
        <v>42</v>
      </c>
      <c r="C1473" s="4">
        <v>45556</v>
      </c>
      <c r="D1473" s="3" t="s">
        <v>38</v>
      </c>
      <c r="E1473" s="3" t="s">
        <v>21</v>
      </c>
      <c r="F1473" s="5">
        <v>1</v>
      </c>
      <c r="G1473" s="6">
        <v>7.82</v>
      </c>
      <c r="H1473" s="6">
        <v>7.82</v>
      </c>
      <c r="I1473" s="6">
        <v>1.17</v>
      </c>
      <c r="J1473" s="6">
        <v>6.65</v>
      </c>
      <c r="K1473" s="5">
        <v>37</v>
      </c>
      <c r="L1473" s="13" t="str">
        <f t="shared" si="44"/>
        <v>Discount Applied</v>
      </c>
      <c r="M1473" s="13" t="str">
        <f t="shared" si="45"/>
        <v>Bronze</v>
      </c>
      <c r="N1473" s="13"/>
    </row>
    <row r="1474" spans="1:14" x14ac:dyDescent="0.3">
      <c r="A1474" s="3">
        <v>4273</v>
      </c>
      <c r="B1474" s="3" t="s">
        <v>11</v>
      </c>
      <c r="C1474" s="4">
        <v>45561</v>
      </c>
      <c r="D1474" s="3" t="s">
        <v>20</v>
      </c>
      <c r="E1474" s="3" t="s">
        <v>43</v>
      </c>
      <c r="F1474" s="5">
        <v>5</v>
      </c>
      <c r="G1474" s="6">
        <v>14.87</v>
      </c>
      <c r="H1474" s="6">
        <v>74.349999999999994</v>
      </c>
      <c r="I1474" s="6">
        <v>0</v>
      </c>
      <c r="J1474" s="6">
        <v>74.349999999999994</v>
      </c>
      <c r="K1474" s="5">
        <v>66</v>
      </c>
      <c r="L1474" s="13" t="str">
        <f t="shared" si="44"/>
        <v>No Discount</v>
      </c>
      <c r="M1474" s="13" t="str">
        <f t="shared" si="45"/>
        <v>Platinum</v>
      </c>
      <c r="N1474" s="13"/>
    </row>
    <row r="1475" spans="1:14" x14ac:dyDescent="0.3">
      <c r="A1475" s="3">
        <v>9939</v>
      </c>
      <c r="B1475" s="3" t="s">
        <v>31</v>
      </c>
      <c r="C1475" s="4">
        <v>45158</v>
      </c>
      <c r="D1475" s="3" t="s">
        <v>15</v>
      </c>
      <c r="E1475" s="3" t="s">
        <v>40</v>
      </c>
      <c r="F1475" s="5">
        <v>4</v>
      </c>
      <c r="G1475" s="6">
        <v>15.71</v>
      </c>
      <c r="H1475" s="6">
        <v>62.84</v>
      </c>
      <c r="I1475" s="6">
        <v>6.28</v>
      </c>
      <c r="J1475" s="6">
        <v>56.56</v>
      </c>
      <c r="K1475" s="5">
        <v>332</v>
      </c>
      <c r="L1475" s="13" t="str">
        <f t="shared" ref="L1475:L1538" si="46">IF(I1475&gt;0,"Discount Applied","No Discount")</f>
        <v>Discount Applied</v>
      </c>
      <c r="M1475" s="13" t="str">
        <f t="shared" ref="M1475:M1538" si="47">IF(J1475 &gt;= 70, "Platinum",
   IF(J1475 &gt;= 50, "Gold",
      IF(J1475 &gt;= 20, "Silver", "Bronze")))</f>
        <v>Gold</v>
      </c>
      <c r="N1475" s="13"/>
    </row>
    <row r="1476" spans="1:14" x14ac:dyDescent="0.3">
      <c r="A1476" s="3">
        <v>1440</v>
      </c>
      <c r="B1476" s="3" t="s">
        <v>26</v>
      </c>
      <c r="C1476" s="4">
        <v>45776</v>
      </c>
      <c r="D1476" s="3" t="s">
        <v>35</v>
      </c>
      <c r="E1476" s="3" t="s">
        <v>25</v>
      </c>
      <c r="F1476" s="5">
        <v>1</v>
      </c>
      <c r="G1476" s="6">
        <v>28</v>
      </c>
      <c r="H1476" s="6">
        <v>28</v>
      </c>
      <c r="I1476" s="6">
        <v>3.43</v>
      </c>
      <c r="J1476" s="6">
        <v>24.57</v>
      </c>
      <c r="K1476" s="5">
        <v>13</v>
      </c>
      <c r="L1476" s="13" t="str">
        <f t="shared" si="46"/>
        <v>Discount Applied</v>
      </c>
      <c r="M1476" s="13" t="str">
        <f t="shared" si="47"/>
        <v>Silver</v>
      </c>
      <c r="N1476" s="13"/>
    </row>
    <row r="1477" spans="1:14" x14ac:dyDescent="0.3">
      <c r="A1477" s="3">
        <v>8563</v>
      </c>
      <c r="B1477" s="3" t="s">
        <v>24</v>
      </c>
      <c r="C1477" s="4">
        <v>45771</v>
      </c>
      <c r="D1477" s="3" t="s">
        <v>27</v>
      </c>
      <c r="E1477" s="3" t="s">
        <v>39</v>
      </c>
      <c r="F1477" s="5">
        <v>5</v>
      </c>
      <c r="G1477" s="6">
        <v>14.97</v>
      </c>
      <c r="H1477" s="6">
        <v>74.849999999999994</v>
      </c>
      <c r="I1477" s="6">
        <v>0</v>
      </c>
      <c r="J1477" s="6">
        <v>74.849999999999994</v>
      </c>
      <c r="K1477" s="5">
        <v>198</v>
      </c>
      <c r="L1477" s="13" t="str">
        <f t="shared" si="46"/>
        <v>No Discount</v>
      </c>
      <c r="M1477" s="13" t="str">
        <f t="shared" si="47"/>
        <v>Platinum</v>
      </c>
      <c r="N1477" s="13"/>
    </row>
    <row r="1478" spans="1:14" x14ac:dyDescent="0.3">
      <c r="A1478" s="3">
        <v>4434</v>
      </c>
      <c r="B1478" s="3" t="s">
        <v>19</v>
      </c>
      <c r="C1478" s="4">
        <v>45228</v>
      </c>
      <c r="D1478" s="3" t="s">
        <v>20</v>
      </c>
      <c r="E1478" s="3" t="s">
        <v>16</v>
      </c>
      <c r="F1478" s="5">
        <v>5</v>
      </c>
      <c r="G1478" s="6">
        <v>4.99</v>
      </c>
      <c r="H1478" s="6">
        <v>24.95</v>
      </c>
      <c r="I1478" s="6">
        <v>4.93</v>
      </c>
      <c r="J1478" s="6">
        <v>20.02</v>
      </c>
      <c r="K1478" s="5">
        <v>224</v>
      </c>
      <c r="L1478" s="13" t="str">
        <f t="shared" si="46"/>
        <v>Discount Applied</v>
      </c>
      <c r="M1478" s="13" t="str">
        <f t="shared" si="47"/>
        <v>Silver</v>
      </c>
      <c r="N1478" s="13"/>
    </row>
    <row r="1479" spans="1:14" x14ac:dyDescent="0.3">
      <c r="A1479" s="3">
        <v>5773</v>
      </c>
      <c r="B1479" s="3" t="s">
        <v>36</v>
      </c>
      <c r="C1479" s="4">
        <v>45552</v>
      </c>
      <c r="D1479" s="3" t="s">
        <v>22</v>
      </c>
      <c r="E1479" s="3" t="s">
        <v>44</v>
      </c>
      <c r="F1479" s="5">
        <v>3</v>
      </c>
      <c r="G1479" s="6">
        <v>13.65</v>
      </c>
      <c r="H1479" s="6">
        <v>40.950000000000003</v>
      </c>
      <c r="I1479" s="6">
        <v>8.19</v>
      </c>
      <c r="J1479" s="6">
        <v>32.76</v>
      </c>
      <c r="K1479" s="5">
        <v>29</v>
      </c>
      <c r="L1479" s="13" t="str">
        <f t="shared" si="46"/>
        <v>Discount Applied</v>
      </c>
      <c r="M1479" s="13" t="str">
        <f t="shared" si="47"/>
        <v>Silver</v>
      </c>
      <c r="N1479" s="13"/>
    </row>
    <row r="1480" spans="1:14" x14ac:dyDescent="0.3">
      <c r="A1480" s="3">
        <v>7703</v>
      </c>
      <c r="B1480" s="3" t="s">
        <v>11</v>
      </c>
      <c r="C1480" s="4">
        <v>45332</v>
      </c>
      <c r="D1480" s="3" t="s">
        <v>28</v>
      </c>
      <c r="E1480" s="3" t="s">
        <v>39</v>
      </c>
      <c r="F1480" s="5">
        <v>2</v>
      </c>
      <c r="G1480" s="6">
        <v>12.97</v>
      </c>
      <c r="H1480" s="6">
        <v>25.94</v>
      </c>
      <c r="I1480" s="6">
        <v>4.49</v>
      </c>
      <c r="J1480" s="6">
        <v>21.45</v>
      </c>
      <c r="K1480" s="5">
        <v>385</v>
      </c>
      <c r="L1480" s="13" t="str">
        <f t="shared" si="46"/>
        <v>Discount Applied</v>
      </c>
      <c r="M1480" s="13" t="str">
        <f t="shared" si="47"/>
        <v>Silver</v>
      </c>
      <c r="N1480" s="13"/>
    </row>
    <row r="1481" spans="1:14" x14ac:dyDescent="0.3">
      <c r="A1481" s="3">
        <v>9180</v>
      </c>
      <c r="B1481" s="3" t="s">
        <v>42</v>
      </c>
      <c r="C1481" s="4">
        <v>45626</v>
      </c>
      <c r="D1481" s="3" t="s">
        <v>12</v>
      </c>
      <c r="E1481" s="3" t="s">
        <v>43</v>
      </c>
      <c r="F1481" s="5">
        <v>1</v>
      </c>
      <c r="G1481" s="6">
        <v>4.66</v>
      </c>
      <c r="H1481" s="6">
        <v>4.66</v>
      </c>
      <c r="I1481" s="6">
        <v>2.2599999999999998</v>
      </c>
      <c r="J1481" s="6">
        <v>2.4</v>
      </c>
      <c r="K1481" s="5">
        <v>92</v>
      </c>
      <c r="L1481" s="13" t="str">
        <f t="shared" si="46"/>
        <v>Discount Applied</v>
      </c>
      <c r="M1481" s="13" t="str">
        <f t="shared" si="47"/>
        <v>Bronze</v>
      </c>
      <c r="N1481" s="13"/>
    </row>
    <row r="1482" spans="1:14" x14ac:dyDescent="0.3">
      <c r="A1482" s="3">
        <v>5139</v>
      </c>
      <c r="B1482" s="3" t="s">
        <v>42</v>
      </c>
      <c r="C1482" s="4">
        <v>45341</v>
      </c>
      <c r="D1482" s="3" t="s">
        <v>35</v>
      </c>
      <c r="E1482" s="3" t="s">
        <v>41</v>
      </c>
      <c r="F1482" s="5">
        <v>5</v>
      </c>
      <c r="G1482" s="6">
        <v>12.53</v>
      </c>
      <c r="H1482" s="6">
        <v>62.65</v>
      </c>
      <c r="I1482" s="6">
        <v>0</v>
      </c>
      <c r="J1482" s="6">
        <v>62.65</v>
      </c>
      <c r="K1482" s="5">
        <v>336</v>
      </c>
      <c r="L1482" s="13" t="str">
        <f t="shared" si="46"/>
        <v>No Discount</v>
      </c>
      <c r="M1482" s="13" t="str">
        <f t="shared" si="47"/>
        <v>Gold</v>
      </c>
      <c r="N1482" s="13"/>
    </row>
    <row r="1483" spans="1:14" x14ac:dyDescent="0.3">
      <c r="A1483" s="3">
        <v>3525</v>
      </c>
      <c r="B1483" s="3" t="s">
        <v>11</v>
      </c>
      <c r="C1483" s="4">
        <v>45352</v>
      </c>
      <c r="D1483" s="3" t="s">
        <v>15</v>
      </c>
      <c r="E1483" s="3" t="s">
        <v>13</v>
      </c>
      <c r="F1483" s="5">
        <v>5</v>
      </c>
      <c r="G1483" s="6">
        <v>6.96</v>
      </c>
      <c r="H1483" s="6">
        <v>34.799999999999997</v>
      </c>
      <c r="I1483" s="6">
        <v>6.96</v>
      </c>
      <c r="J1483" s="6">
        <v>27.84</v>
      </c>
      <c r="K1483" s="5">
        <v>361</v>
      </c>
      <c r="L1483" s="13" t="str">
        <f t="shared" si="46"/>
        <v>Discount Applied</v>
      </c>
      <c r="M1483" s="13" t="str">
        <f t="shared" si="47"/>
        <v>Silver</v>
      </c>
      <c r="N1483" s="13"/>
    </row>
    <row r="1484" spans="1:14" x14ac:dyDescent="0.3">
      <c r="A1484" s="3">
        <v>7176</v>
      </c>
      <c r="B1484" s="3" t="s">
        <v>26</v>
      </c>
      <c r="C1484" s="4">
        <v>45206</v>
      </c>
      <c r="D1484" s="3" t="s">
        <v>35</v>
      </c>
      <c r="E1484" s="3" t="s">
        <v>23</v>
      </c>
      <c r="F1484" s="5">
        <v>5</v>
      </c>
      <c r="G1484" s="6">
        <v>9.48</v>
      </c>
      <c r="H1484" s="6">
        <v>47.4</v>
      </c>
      <c r="I1484" s="6">
        <v>4.57</v>
      </c>
      <c r="J1484" s="6">
        <v>42.83</v>
      </c>
      <c r="K1484" s="5">
        <v>334</v>
      </c>
      <c r="L1484" s="13" t="str">
        <f t="shared" si="46"/>
        <v>Discount Applied</v>
      </c>
      <c r="M1484" s="13" t="str">
        <f t="shared" si="47"/>
        <v>Silver</v>
      </c>
      <c r="N1484" s="13"/>
    </row>
    <row r="1485" spans="1:14" x14ac:dyDescent="0.3">
      <c r="A1485" s="3">
        <v>8357</v>
      </c>
      <c r="B1485" s="3" t="s">
        <v>36</v>
      </c>
      <c r="C1485" s="4">
        <v>45460</v>
      </c>
      <c r="D1485" s="3" t="s">
        <v>38</v>
      </c>
      <c r="E1485" s="3" t="s">
        <v>46</v>
      </c>
      <c r="F1485" s="5">
        <v>1</v>
      </c>
      <c r="G1485" s="6">
        <v>2.56</v>
      </c>
      <c r="H1485" s="6">
        <v>2.56</v>
      </c>
      <c r="I1485" s="6">
        <v>0</v>
      </c>
      <c r="J1485" s="6">
        <v>2.56</v>
      </c>
      <c r="K1485" s="5">
        <v>461</v>
      </c>
      <c r="L1485" s="13" t="str">
        <f t="shared" si="46"/>
        <v>No Discount</v>
      </c>
      <c r="M1485" s="13" t="str">
        <f t="shared" si="47"/>
        <v>Bronze</v>
      </c>
      <c r="N1485" s="13"/>
    </row>
    <row r="1486" spans="1:14" x14ac:dyDescent="0.3">
      <c r="A1486" s="3">
        <v>8851</v>
      </c>
      <c r="B1486" s="3" t="s">
        <v>26</v>
      </c>
      <c r="C1486" s="4">
        <v>45583</v>
      </c>
      <c r="D1486" s="3" t="s">
        <v>35</v>
      </c>
      <c r="E1486" s="3" t="s">
        <v>43</v>
      </c>
      <c r="F1486" s="5">
        <v>2</v>
      </c>
      <c r="G1486" s="6">
        <v>27.44</v>
      </c>
      <c r="H1486" s="6">
        <v>54.88</v>
      </c>
      <c r="I1486" s="6">
        <v>8.23</v>
      </c>
      <c r="J1486" s="6">
        <v>46.65</v>
      </c>
      <c r="K1486" s="5">
        <v>430</v>
      </c>
      <c r="L1486" s="13" t="str">
        <f t="shared" si="46"/>
        <v>Discount Applied</v>
      </c>
      <c r="M1486" s="13" t="str">
        <f t="shared" si="47"/>
        <v>Silver</v>
      </c>
      <c r="N1486" s="13"/>
    </row>
    <row r="1487" spans="1:14" x14ac:dyDescent="0.3">
      <c r="A1487" s="3">
        <v>9300</v>
      </c>
      <c r="B1487" s="3" t="s">
        <v>14</v>
      </c>
      <c r="C1487" s="4">
        <v>45686</v>
      </c>
      <c r="D1487" s="3" t="s">
        <v>17</v>
      </c>
      <c r="E1487" s="3" t="s">
        <v>48</v>
      </c>
      <c r="F1487" s="5">
        <v>3</v>
      </c>
      <c r="G1487" s="6">
        <v>22.01</v>
      </c>
      <c r="H1487" s="6">
        <v>66.03</v>
      </c>
      <c r="I1487" s="6">
        <v>4.91</v>
      </c>
      <c r="J1487" s="6">
        <v>61.12</v>
      </c>
      <c r="K1487" s="5">
        <v>403</v>
      </c>
      <c r="L1487" s="13" t="str">
        <f t="shared" si="46"/>
        <v>Discount Applied</v>
      </c>
      <c r="M1487" s="13" t="str">
        <f t="shared" si="47"/>
        <v>Gold</v>
      </c>
      <c r="N1487" s="13"/>
    </row>
    <row r="1488" spans="1:14" x14ac:dyDescent="0.3">
      <c r="A1488" s="3">
        <v>7853</v>
      </c>
      <c r="B1488" s="3" t="s">
        <v>26</v>
      </c>
      <c r="C1488" s="4">
        <v>45377</v>
      </c>
      <c r="D1488" s="3" t="s">
        <v>27</v>
      </c>
      <c r="E1488" s="3" t="s">
        <v>33</v>
      </c>
      <c r="F1488" s="5">
        <v>1</v>
      </c>
      <c r="G1488" s="6">
        <v>1.61</v>
      </c>
      <c r="H1488" s="6">
        <v>1.61</v>
      </c>
      <c r="I1488" s="6">
        <v>0.24</v>
      </c>
      <c r="J1488" s="6">
        <v>1.37</v>
      </c>
      <c r="K1488" s="5">
        <v>428</v>
      </c>
      <c r="L1488" s="13" t="str">
        <f t="shared" si="46"/>
        <v>Discount Applied</v>
      </c>
      <c r="M1488" s="13" t="str">
        <f t="shared" si="47"/>
        <v>Bronze</v>
      </c>
      <c r="N1488" s="13"/>
    </row>
    <row r="1489" spans="1:14" x14ac:dyDescent="0.3">
      <c r="A1489" s="3">
        <v>1602</v>
      </c>
      <c r="B1489" s="3" t="s">
        <v>30</v>
      </c>
      <c r="C1489" s="4">
        <v>45652</v>
      </c>
      <c r="D1489" s="3" t="s">
        <v>28</v>
      </c>
      <c r="E1489" s="3" t="s">
        <v>32</v>
      </c>
      <c r="F1489" s="5">
        <v>3</v>
      </c>
      <c r="G1489" s="6">
        <v>24.98</v>
      </c>
      <c r="H1489" s="6">
        <v>74.94</v>
      </c>
      <c r="I1489" s="6">
        <v>11.24</v>
      </c>
      <c r="J1489" s="6">
        <v>63.7</v>
      </c>
      <c r="K1489" s="5">
        <v>43</v>
      </c>
      <c r="L1489" s="13" t="str">
        <f t="shared" si="46"/>
        <v>Discount Applied</v>
      </c>
      <c r="M1489" s="13" t="str">
        <f t="shared" si="47"/>
        <v>Gold</v>
      </c>
      <c r="N1489" s="13"/>
    </row>
    <row r="1490" spans="1:14" x14ac:dyDescent="0.3">
      <c r="A1490" s="3">
        <v>9796</v>
      </c>
      <c r="B1490" s="3" t="s">
        <v>24</v>
      </c>
      <c r="C1490" s="4">
        <v>45217</v>
      </c>
      <c r="D1490" s="3" t="s">
        <v>45</v>
      </c>
      <c r="E1490" s="3" t="s">
        <v>39</v>
      </c>
      <c r="F1490" s="5">
        <v>4</v>
      </c>
      <c r="G1490" s="6">
        <v>12.15</v>
      </c>
      <c r="H1490" s="6">
        <v>48.6</v>
      </c>
      <c r="I1490" s="6">
        <v>9.7200000000000006</v>
      </c>
      <c r="J1490" s="6">
        <v>38.880000000000003</v>
      </c>
      <c r="K1490" s="5">
        <v>22</v>
      </c>
      <c r="L1490" s="13" t="str">
        <f t="shared" si="46"/>
        <v>Discount Applied</v>
      </c>
      <c r="M1490" s="13" t="str">
        <f t="shared" si="47"/>
        <v>Silver</v>
      </c>
      <c r="N1490" s="13"/>
    </row>
    <row r="1491" spans="1:14" x14ac:dyDescent="0.3">
      <c r="A1491" s="3">
        <v>2392</v>
      </c>
      <c r="B1491" s="3" t="s">
        <v>24</v>
      </c>
      <c r="C1491" s="4">
        <v>45439</v>
      </c>
      <c r="D1491" s="3" t="s">
        <v>34</v>
      </c>
      <c r="E1491" s="3" t="s">
        <v>16</v>
      </c>
      <c r="F1491" s="5">
        <v>5</v>
      </c>
      <c r="G1491" s="6">
        <v>2.5099999999999998</v>
      </c>
      <c r="H1491" s="6">
        <v>12.55</v>
      </c>
      <c r="I1491" s="6">
        <v>4.05</v>
      </c>
      <c r="J1491" s="6">
        <v>8.5</v>
      </c>
      <c r="K1491" s="5">
        <v>156</v>
      </c>
      <c r="L1491" s="13" t="str">
        <f t="shared" si="46"/>
        <v>Discount Applied</v>
      </c>
      <c r="M1491" s="13" t="str">
        <f t="shared" si="47"/>
        <v>Bronze</v>
      </c>
      <c r="N1491" s="13"/>
    </row>
    <row r="1492" spans="1:14" x14ac:dyDescent="0.3">
      <c r="A1492" s="3">
        <v>5067</v>
      </c>
      <c r="B1492" s="3" t="s">
        <v>31</v>
      </c>
      <c r="C1492" s="4">
        <v>45574</v>
      </c>
      <c r="D1492" s="3" t="s">
        <v>28</v>
      </c>
      <c r="E1492" s="3" t="s">
        <v>21</v>
      </c>
      <c r="F1492" s="5">
        <v>3</v>
      </c>
      <c r="G1492" s="6">
        <v>24.49</v>
      </c>
      <c r="H1492" s="6">
        <v>73.47</v>
      </c>
      <c r="I1492" s="6">
        <v>2.36</v>
      </c>
      <c r="J1492" s="6">
        <v>71.11</v>
      </c>
      <c r="K1492" s="5">
        <v>302</v>
      </c>
      <c r="L1492" s="13" t="str">
        <f t="shared" si="46"/>
        <v>Discount Applied</v>
      </c>
      <c r="M1492" s="13" t="str">
        <f t="shared" si="47"/>
        <v>Platinum</v>
      </c>
      <c r="N1492" s="13"/>
    </row>
    <row r="1493" spans="1:14" x14ac:dyDescent="0.3">
      <c r="A1493" s="3">
        <v>6816</v>
      </c>
      <c r="B1493" s="3" t="s">
        <v>24</v>
      </c>
      <c r="C1493" s="4">
        <v>45188</v>
      </c>
      <c r="D1493" s="3" t="s">
        <v>20</v>
      </c>
      <c r="E1493" s="3" t="s">
        <v>40</v>
      </c>
      <c r="F1493" s="5">
        <v>1</v>
      </c>
      <c r="G1493" s="6">
        <v>17.04</v>
      </c>
      <c r="H1493" s="6">
        <v>17.04</v>
      </c>
      <c r="I1493" s="6">
        <v>2.85</v>
      </c>
      <c r="J1493" s="6">
        <v>14.19</v>
      </c>
      <c r="K1493" s="5">
        <v>487</v>
      </c>
      <c r="L1493" s="13" t="str">
        <f t="shared" si="46"/>
        <v>Discount Applied</v>
      </c>
      <c r="M1493" s="13" t="str">
        <f t="shared" si="47"/>
        <v>Bronze</v>
      </c>
      <c r="N1493" s="13"/>
    </row>
    <row r="1494" spans="1:14" x14ac:dyDescent="0.3">
      <c r="A1494" s="3">
        <v>1725</v>
      </c>
      <c r="B1494" s="3" t="s">
        <v>14</v>
      </c>
      <c r="C1494" s="4">
        <v>45690</v>
      </c>
      <c r="D1494" s="3" t="s">
        <v>35</v>
      </c>
      <c r="E1494" s="3" t="s">
        <v>29</v>
      </c>
      <c r="F1494" s="5">
        <v>4</v>
      </c>
      <c r="G1494" s="6">
        <v>14.54</v>
      </c>
      <c r="H1494" s="6">
        <v>58.16</v>
      </c>
      <c r="I1494" s="6">
        <v>11.63</v>
      </c>
      <c r="J1494" s="6">
        <v>46.53</v>
      </c>
      <c r="K1494" s="5">
        <v>473</v>
      </c>
      <c r="L1494" s="13" t="str">
        <f t="shared" si="46"/>
        <v>Discount Applied</v>
      </c>
      <c r="M1494" s="13" t="str">
        <f t="shared" si="47"/>
        <v>Silver</v>
      </c>
      <c r="N1494" s="13"/>
    </row>
    <row r="1495" spans="1:14" x14ac:dyDescent="0.3">
      <c r="A1495" s="3">
        <v>6432</v>
      </c>
      <c r="B1495" s="3" t="s">
        <v>31</v>
      </c>
      <c r="C1495" s="4">
        <v>45209</v>
      </c>
      <c r="D1495" s="3" t="s">
        <v>35</v>
      </c>
      <c r="E1495" s="3" t="s">
        <v>13</v>
      </c>
      <c r="F1495" s="5">
        <v>1</v>
      </c>
      <c r="G1495" s="6">
        <v>29.96</v>
      </c>
      <c r="H1495" s="6">
        <v>29.96</v>
      </c>
      <c r="I1495" s="6">
        <v>4.49</v>
      </c>
      <c r="J1495" s="6">
        <v>25.47</v>
      </c>
      <c r="K1495" s="5">
        <v>394</v>
      </c>
      <c r="L1495" s="13" t="str">
        <f t="shared" si="46"/>
        <v>Discount Applied</v>
      </c>
      <c r="M1495" s="13" t="str">
        <f t="shared" si="47"/>
        <v>Silver</v>
      </c>
      <c r="N1495" s="13"/>
    </row>
    <row r="1496" spans="1:14" x14ac:dyDescent="0.3">
      <c r="A1496" s="3">
        <v>8052</v>
      </c>
      <c r="B1496" s="3" t="s">
        <v>24</v>
      </c>
      <c r="C1496" s="4">
        <v>45801</v>
      </c>
      <c r="D1496" s="3" t="s">
        <v>12</v>
      </c>
      <c r="E1496" s="3" t="s">
        <v>13</v>
      </c>
      <c r="F1496" s="5">
        <v>3</v>
      </c>
      <c r="G1496" s="6">
        <v>8.7799999999999994</v>
      </c>
      <c r="H1496" s="6">
        <v>26.34</v>
      </c>
      <c r="I1496" s="6">
        <v>2.23</v>
      </c>
      <c r="J1496" s="6">
        <v>24.11</v>
      </c>
      <c r="K1496" s="5">
        <v>128</v>
      </c>
      <c r="L1496" s="13" t="str">
        <f t="shared" si="46"/>
        <v>Discount Applied</v>
      </c>
      <c r="M1496" s="13" t="str">
        <f t="shared" si="47"/>
        <v>Silver</v>
      </c>
      <c r="N1496" s="13"/>
    </row>
    <row r="1497" spans="1:14" x14ac:dyDescent="0.3">
      <c r="A1497" s="3">
        <v>1172</v>
      </c>
      <c r="B1497" s="3" t="s">
        <v>36</v>
      </c>
      <c r="C1497" s="4">
        <v>45645</v>
      </c>
      <c r="D1497" s="3" t="s">
        <v>35</v>
      </c>
      <c r="E1497" s="3" t="s">
        <v>29</v>
      </c>
      <c r="F1497" s="5">
        <v>4</v>
      </c>
      <c r="G1497" s="6">
        <v>14.41</v>
      </c>
      <c r="H1497" s="6">
        <v>57.64</v>
      </c>
      <c r="I1497" s="6">
        <v>5.76</v>
      </c>
      <c r="J1497" s="6">
        <v>51.88</v>
      </c>
      <c r="K1497" s="5">
        <v>225</v>
      </c>
      <c r="L1497" s="13" t="str">
        <f t="shared" si="46"/>
        <v>Discount Applied</v>
      </c>
      <c r="M1497" s="13" t="str">
        <f t="shared" si="47"/>
        <v>Gold</v>
      </c>
      <c r="N1497" s="13"/>
    </row>
    <row r="1498" spans="1:14" x14ac:dyDescent="0.3">
      <c r="A1498" s="3">
        <v>5239</v>
      </c>
      <c r="B1498" s="3" t="s">
        <v>31</v>
      </c>
      <c r="C1498" s="4">
        <v>45584</v>
      </c>
      <c r="D1498" s="3" t="s">
        <v>22</v>
      </c>
      <c r="E1498" s="3" t="s">
        <v>47</v>
      </c>
      <c r="F1498" s="5">
        <v>5</v>
      </c>
      <c r="G1498" s="6">
        <v>7.31</v>
      </c>
      <c r="H1498" s="6">
        <v>36.549999999999997</v>
      </c>
      <c r="I1498" s="6">
        <v>5.48</v>
      </c>
      <c r="J1498" s="6">
        <v>31.07</v>
      </c>
      <c r="K1498" s="5">
        <v>29</v>
      </c>
      <c r="L1498" s="13" t="str">
        <f t="shared" si="46"/>
        <v>Discount Applied</v>
      </c>
      <c r="M1498" s="13" t="str">
        <f t="shared" si="47"/>
        <v>Silver</v>
      </c>
      <c r="N1498" s="13"/>
    </row>
    <row r="1499" spans="1:14" x14ac:dyDescent="0.3">
      <c r="A1499" s="3">
        <v>9366</v>
      </c>
      <c r="B1499" s="3" t="s">
        <v>14</v>
      </c>
      <c r="C1499" s="4">
        <v>45840</v>
      </c>
      <c r="D1499" s="3" t="s">
        <v>22</v>
      </c>
      <c r="E1499" s="3" t="s">
        <v>43</v>
      </c>
      <c r="F1499" s="5">
        <v>4</v>
      </c>
      <c r="G1499" s="6">
        <v>6.2</v>
      </c>
      <c r="H1499" s="6">
        <v>24.8</v>
      </c>
      <c r="I1499" s="6">
        <v>3.72</v>
      </c>
      <c r="J1499" s="6">
        <v>21.08</v>
      </c>
      <c r="K1499" s="5">
        <v>392</v>
      </c>
      <c r="L1499" s="13" t="str">
        <f t="shared" si="46"/>
        <v>Discount Applied</v>
      </c>
      <c r="M1499" s="13" t="str">
        <f t="shared" si="47"/>
        <v>Silver</v>
      </c>
      <c r="N1499" s="13"/>
    </row>
    <row r="1500" spans="1:14" x14ac:dyDescent="0.3">
      <c r="A1500" s="3">
        <v>9499</v>
      </c>
      <c r="B1500" s="3" t="s">
        <v>26</v>
      </c>
      <c r="C1500" s="4">
        <v>45858</v>
      </c>
      <c r="D1500" s="3" t="s">
        <v>34</v>
      </c>
      <c r="E1500" s="3" t="s">
        <v>25</v>
      </c>
      <c r="F1500" s="5">
        <v>2</v>
      </c>
      <c r="G1500" s="6">
        <v>5.25</v>
      </c>
      <c r="H1500" s="6">
        <v>10.5</v>
      </c>
      <c r="I1500" s="6">
        <v>2.1</v>
      </c>
      <c r="J1500" s="6">
        <v>8.4</v>
      </c>
      <c r="K1500" s="5">
        <v>316</v>
      </c>
      <c r="L1500" s="13" t="str">
        <f t="shared" si="46"/>
        <v>Discount Applied</v>
      </c>
      <c r="M1500" s="13" t="str">
        <f t="shared" si="47"/>
        <v>Bronze</v>
      </c>
      <c r="N1500" s="13"/>
    </row>
    <row r="1501" spans="1:14" x14ac:dyDescent="0.3">
      <c r="A1501" s="3">
        <v>4621</v>
      </c>
      <c r="B1501" s="3" t="s">
        <v>11</v>
      </c>
      <c r="C1501" s="4">
        <v>45323</v>
      </c>
      <c r="D1501" s="3" t="s">
        <v>27</v>
      </c>
      <c r="E1501" s="3" t="s">
        <v>40</v>
      </c>
      <c r="F1501" s="5">
        <v>2</v>
      </c>
      <c r="G1501" s="6">
        <v>20.84</v>
      </c>
      <c r="H1501" s="6">
        <v>41.68</v>
      </c>
      <c r="I1501" s="6">
        <v>2.27</v>
      </c>
      <c r="J1501" s="6">
        <v>39.409999999999997</v>
      </c>
      <c r="K1501" s="5">
        <v>440</v>
      </c>
      <c r="L1501" s="13" t="str">
        <f t="shared" si="46"/>
        <v>Discount Applied</v>
      </c>
      <c r="M1501" s="13" t="str">
        <f t="shared" si="47"/>
        <v>Silver</v>
      </c>
      <c r="N1501" s="13"/>
    </row>
    <row r="1502" spans="1:14" x14ac:dyDescent="0.3">
      <c r="A1502" s="3">
        <v>7129</v>
      </c>
      <c r="B1502" s="3" t="s">
        <v>14</v>
      </c>
      <c r="C1502" s="4">
        <v>45845</v>
      </c>
      <c r="D1502" s="3" t="s">
        <v>17</v>
      </c>
      <c r="E1502" s="3" t="s">
        <v>40</v>
      </c>
      <c r="F1502" s="5">
        <v>3</v>
      </c>
      <c r="G1502" s="6">
        <v>29.27</v>
      </c>
      <c r="H1502" s="6">
        <v>87.81</v>
      </c>
      <c r="I1502" s="6">
        <v>3.87</v>
      </c>
      <c r="J1502" s="6">
        <v>83.94</v>
      </c>
      <c r="K1502" s="5">
        <v>8</v>
      </c>
      <c r="L1502" s="13" t="str">
        <f t="shared" si="46"/>
        <v>Discount Applied</v>
      </c>
      <c r="M1502" s="13" t="str">
        <f t="shared" si="47"/>
        <v>Platinum</v>
      </c>
      <c r="N1502" s="13"/>
    </row>
    <row r="1503" spans="1:14" x14ac:dyDescent="0.3">
      <c r="A1503" s="3">
        <v>6651</v>
      </c>
      <c r="B1503" s="3" t="s">
        <v>42</v>
      </c>
      <c r="C1503" s="4">
        <v>45355</v>
      </c>
      <c r="D1503" s="3" t="s">
        <v>22</v>
      </c>
      <c r="E1503" s="3" t="s">
        <v>48</v>
      </c>
      <c r="F1503" s="5">
        <v>1</v>
      </c>
      <c r="G1503" s="6">
        <v>15.69</v>
      </c>
      <c r="H1503" s="6">
        <v>15.69</v>
      </c>
      <c r="I1503" s="6">
        <v>3.14</v>
      </c>
      <c r="J1503" s="6">
        <v>12.55</v>
      </c>
      <c r="K1503" s="5">
        <v>57</v>
      </c>
      <c r="L1503" s="13" t="str">
        <f t="shared" si="46"/>
        <v>Discount Applied</v>
      </c>
      <c r="M1503" s="13" t="str">
        <f t="shared" si="47"/>
        <v>Bronze</v>
      </c>
      <c r="N1503" s="13"/>
    </row>
    <row r="1504" spans="1:14" x14ac:dyDescent="0.3">
      <c r="A1504" s="3">
        <v>8909</v>
      </c>
      <c r="B1504" s="3" t="s">
        <v>42</v>
      </c>
      <c r="C1504" s="4">
        <v>45862</v>
      </c>
      <c r="D1504" s="3" t="s">
        <v>22</v>
      </c>
      <c r="E1504" s="3" t="s">
        <v>23</v>
      </c>
      <c r="F1504" s="5">
        <v>4</v>
      </c>
      <c r="G1504" s="6">
        <v>3.06</v>
      </c>
      <c r="H1504" s="6">
        <v>12.24</v>
      </c>
      <c r="I1504" s="6">
        <v>2.4500000000000002</v>
      </c>
      <c r="J1504" s="6">
        <v>9.7899999999999991</v>
      </c>
      <c r="K1504" s="5">
        <v>218</v>
      </c>
      <c r="L1504" s="13" t="str">
        <f t="shared" si="46"/>
        <v>Discount Applied</v>
      </c>
      <c r="M1504" s="13" t="str">
        <f t="shared" si="47"/>
        <v>Bronze</v>
      </c>
      <c r="N1504" s="13"/>
    </row>
    <row r="1505" spans="1:14" x14ac:dyDescent="0.3">
      <c r="A1505" s="3">
        <v>5840</v>
      </c>
      <c r="B1505" s="3" t="s">
        <v>31</v>
      </c>
      <c r="C1505" s="4">
        <v>45676</v>
      </c>
      <c r="D1505" s="3" t="s">
        <v>22</v>
      </c>
      <c r="E1505" s="3" t="s">
        <v>23</v>
      </c>
      <c r="F1505" s="5">
        <v>3</v>
      </c>
      <c r="G1505" s="6">
        <v>29.27</v>
      </c>
      <c r="H1505" s="6">
        <v>87.81</v>
      </c>
      <c r="I1505" s="6">
        <v>8.7799999999999994</v>
      </c>
      <c r="J1505" s="6">
        <v>79.03</v>
      </c>
      <c r="K1505" s="5">
        <v>459</v>
      </c>
      <c r="L1505" s="13" t="str">
        <f t="shared" si="46"/>
        <v>Discount Applied</v>
      </c>
      <c r="M1505" s="13" t="str">
        <f t="shared" si="47"/>
        <v>Platinum</v>
      </c>
      <c r="N1505" s="13"/>
    </row>
    <row r="1506" spans="1:14" x14ac:dyDescent="0.3">
      <c r="A1506" s="3">
        <v>2406</v>
      </c>
      <c r="B1506" s="3" t="s">
        <v>30</v>
      </c>
      <c r="C1506" s="4">
        <v>45843</v>
      </c>
      <c r="D1506" s="3" t="s">
        <v>28</v>
      </c>
      <c r="E1506" s="3" t="s">
        <v>39</v>
      </c>
      <c r="F1506" s="5">
        <v>2</v>
      </c>
      <c r="G1506" s="6">
        <v>11.67</v>
      </c>
      <c r="H1506" s="6">
        <v>23.34</v>
      </c>
      <c r="I1506" s="6">
        <v>1.1000000000000001</v>
      </c>
      <c r="J1506" s="6">
        <v>22.24</v>
      </c>
      <c r="K1506" s="5">
        <v>148</v>
      </c>
      <c r="L1506" s="13" t="str">
        <f t="shared" si="46"/>
        <v>Discount Applied</v>
      </c>
      <c r="M1506" s="13" t="str">
        <f t="shared" si="47"/>
        <v>Silver</v>
      </c>
      <c r="N1506" s="13"/>
    </row>
    <row r="1507" spans="1:14" x14ac:dyDescent="0.3">
      <c r="A1507" s="3">
        <v>3321</v>
      </c>
      <c r="B1507" s="3" t="s">
        <v>42</v>
      </c>
      <c r="C1507" s="4">
        <v>45582</v>
      </c>
      <c r="D1507" s="3" t="s">
        <v>22</v>
      </c>
      <c r="E1507" s="3" t="s">
        <v>46</v>
      </c>
      <c r="F1507" s="5">
        <v>5</v>
      </c>
      <c r="G1507" s="6">
        <v>23.71</v>
      </c>
      <c r="H1507" s="6">
        <v>118.55</v>
      </c>
      <c r="I1507" s="6">
        <v>23.71</v>
      </c>
      <c r="J1507" s="6">
        <v>94.84</v>
      </c>
      <c r="K1507" s="5">
        <v>364</v>
      </c>
      <c r="L1507" s="13" t="str">
        <f t="shared" si="46"/>
        <v>Discount Applied</v>
      </c>
      <c r="M1507" s="13" t="str">
        <f t="shared" si="47"/>
        <v>Platinum</v>
      </c>
      <c r="N1507" s="13"/>
    </row>
    <row r="1508" spans="1:14" x14ac:dyDescent="0.3">
      <c r="A1508" s="3">
        <v>6110</v>
      </c>
      <c r="B1508" s="3" t="s">
        <v>24</v>
      </c>
      <c r="C1508" s="4">
        <v>45284</v>
      </c>
      <c r="D1508" s="3" t="s">
        <v>28</v>
      </c>
      <c r="E1508" s="3" t="s">
        <v>40</v>
      </c>
      <c r="F1508" s="5">
        <v>2</v>
      </c>
      <c r="G1508" s="6">
        <v>12.04</v>
      </c>
      <c r="H1508" s="6">
        <v>24.08</v>
      </c>
      <c r="I1508" s="6">
        <v>4.83</v>
      </c>
      <c r="J1508" s="6">
        <v>19.25</v>
      </c>
      <c r="K1508" s="5">
        <v>332</v>
      </c>
      <c r="L1508" s="13" t="str">
        <f t="shared" si="46"/>
        <v>Discount Applied</v>
      </c>
      <c r="M1508" s="13" t="str">
        <f t="shared" si="47"/>
        <v>Bronze</v>
      </c>
      <c r="N1508" s="13"/>
    </row>
    <row r="1509" spans="1:14" x14ac:dyDescent="0.3">
      <c r="A1509" s="3">
        <v>4389</v>
      </c>
      <c r="B1509" s="3" t="s">
        <v>42</v>
      </c>
      <c r="C1509" s="4">
        <v>45157</v>
      </c>
      <c r="D1509" s="3" t="s">
        <v>28</v>
      </c>
      <c r="E1509" s="3" t="s">
        <v>46</v>
      </c>
      <c r="F1509" s="5">
        <v>5</v>
      </c>
      <c r="G1509" s="6">
        <v>19.27</v>
      </c>
      <c r="H1509" s="6">
        <v>96.35</v>
      </c>
      <c r="I1509" s="6">
        <v>3.93</v>
      </c>
      <c r="J1509" s="6">
        <v>92.42</v>
      </c>
      <c r="K1509" s="5">
        <v>375</v>
      </c>
      <c r="L1509" s="13" t="str">
        <f t="shared" si="46"/>
        <v>Discount Applied</v>
      </c>
      <c r="M1509" s="13" t="str">
        <f t="shared" si="47"/>
        <v>Platinum</v>
      </c>
      <c r="N1509" s="13"/>
    </row>
    <row r="1510" spans="1:14" x14ac:dyDescent="0.3">
      <c r="A1510" s="3">
        <v>8912</v>
      </c>
      <c r="B1510" s="3" t="s">
        <v>14</v>
      </c>
      <c r="C1510" s="4">
        <v>45600</v>
      </c>
      <c r="D1510" s="3" t="s">
        <v>12</v>
      </c>
      <c r="E1510" s="3" t="s">
        <v>47</v>
      </c>
      <c r="F1510" s="5">
        <v>5</v>
      </c>
      <c r="G1510" s="6">
        <v>16.079999999999998</v>
      </c>
      <c r="H1510" s="6">
        <v>80.400000000000006</v>
      </c>
      <c r="I1510" s="6">
        <v>16.079999999999998</v>
      </c>
      <c r="J1510" s="6">
        <v>64.319999999999993</v>
      </c>
      <c r="K1510" s="5">
        <v>162</v>
      </c>
      <c r="L1510" s="13" t="str">
        <f t="shared" si="46"/>
        <v>Discount Applied</v>
      </c>
      <c r="M1510" s="13" t="str">
        <f t="shared" si="47"/>
        <v>Gold</v>
      </c>
      <c r="N1510" s="13"/>
    </row>
    <row r="1511" spans="1:14" x14ac:dyDescent="0.3">
      <c r="A1511" s="3">
        <v>8801</v>
      </c>
      <c r="B1511" s="3" t="s">
        <v>30</v>
      </c>
      <c r="C1511" s="4">
        <v>45729</v>
      </c>
      <c r="D1511" s="3" t="s">
        <v>17</v>
      </c>
      <c r="E1511" s="3" t="s">
        <v>21</v>
      </c>
      <c r="F1511" s="5">
        <v>2</v>
      </c>
      <c r="G1511" s="6">
        <v>24.16</v>
      </c>
      <c r="H1511" s="6">
        <v>48.32</v>
      </c>
      <c r="I1511" s="6">
        <v>9.66</v>
      </c>
      <c r="J1511" s="6">
        <v>38.659999999999997</v>
      </c>
      <c r="K1511" s="5">
        <v>500</v>
      </c>
      <c r="L1511" s="13" t="str">
        <f t="shared" si="46"/>
        <v>Discount Applied</v>
      </c>
      <c r="M1511" s="13" t="str">
        <f t="shared" si="47"/>
        <v>Silver</v>
      </c>
      <c r="N1511" s="13"/>
    </row>
    <row r="1512" spans="1:14" x14ac:dyDescent="0.3">
      <c r="A1512" s="3">
        <v>8178</v>
      </c>
      <c r="B1512" s="3" t="s">
        <v>26</v>
      </c>
      <c r="C1512" s="4">
        <v>45866</v>
      </c>
      <c r="D1512" s="3" t="s">
        <v>22</v>
      </c>
      <c r="E1512" s="3" t="s">
        <v>48</v>
      </c>
      <c r="F1512" s="5">
        <v>2</v>
      </c>
      <c r="G1512" s="6">
        <v>13.9</v>
      </c>
      <c r="H1512" s="6">
        <v>27.8</v>
      </c>
      <c r="I1512" s="6">
        <v>4.17</v>
      </c>
      <c r="J1512" s="6">
        <v>23.63</v>
      </c>
      <c r="K1512" s="5">
        <v>490</v>
      </c>
      <c r="L1512" s="13" t="str">
        <f t="shared" si="46"/>
        <v>Discount Applied</v>
      </c>
      <c r="M1512" s="13" t="str">
        <f t="shared" si="47"/>
        <v>Silver</v>
      </c>
      <c r="N1512" s="13"/>
    </row>
    <row r="1513" spans="1:14" x14ac:dyDescent="0.3">
      <c r="A1513" s="3">
        <v>8412</v>
      </c>
      <c r="B1513" s="3" t="s">
        <v>11</v>
      </c>
      <c r="C1513" s="4">
        <v>45377</v>
      </c>
      <c r="D1513" s="3" t="s">
        <v>22</v>
      </c>
      <c r="E1513" s="3" t="s">
        <v>18</v>
      </c>
      <c r="F1513" s="5">
        <v>5</v>
      </c>
      <c r="G1513" s="6">
        <v>3.21</v>
      </c>
      <c r="H1513" s="6">
        <v>16.05</v>
      </c>
      <c r="I1513" s="6">
        <v>1.92</v>
      </c>
      <c r="J1513" s="6">
        <v>14.13</v>
      </c>
      <c r="K1513" s="5">
        <v>185</v>
      </c>
      <c r="L1513" s="13" t="str">
        <f t="shared" si="46"/>
        <v>Discount Applied</v>
      </c>
      <c r="M1513" s="13" t="str">
        <f t="shared" si="47"/>
        <v>Bronze</v>
      </c>
      <c r="N1513" s="13"/>
    </row>
    <row r="1514" spans="1:14" x14ac:dyDescent="0.3">
      <c r="A1514" s="3">
        <v>2100</v>
      </c>
      <c r="B1514" s="3" t="s">
        <v>24</v>
      </c>
      <c r="C1514" s="4">
        <v>45583</v>
      </c>
      <c r="D1514" s="3" t="s">
        <v>17</v>
      </c>
      <c r="E1514" s="3" t="s">
        <v>41</v>
      </c>
      <c r="F1514" s="5">
        <v>5</v>
      </c>
      <c r="G1514" s="6">
        <v>8.09</v>
      </c>
      <c r="H1514" s="6">
        <v>40.450000000000003</v>
      </c>
      <c r="I1514" s="6">
        <v>0</v>
      </c>
      <c r="J1514" s="6">
        <v>40.450000000000003</v>
      </c>
      <c r="K1514" s="5">
        <v>465</v>
      </c>
      <c r="L1514" s="13" t="str">
        <f t="shared" si="46"/>
        <v>No Discount</v>
      </c>
      <c r="M1514" s="13" t="str">
        <f t="shared" si="47"/>
        <v>Silver</v>
      </c>
      <c r="N1514" s="13"/>
    </row>
    <row r="1515" spans="1:14" x14ac:dyDescent="0.3">
      <c r="A1515" s="3">
        <v>1732</v>
      </c>
      <c r="B1515" s="3" t="s">
        <v>19</v>
      </c>
      <c r="C1515" s="4">
        <v>45585</v>
      </c>
      <c r="D1515" s="3" t="s">
        <v>28</v>
      </c>
      <c r="E1515" s="3" t="s">
        <v>13</v>
      </c>
      <c r="F1515" s="5">
        <v>3</v>
      </c>
      <c r="G1515" s="6">
        <v>10.9</v>
      </c>
      <c r="H1515" s="6">
        <v>32.700000000000003</v>
      </c>
      <c r="I1515" s="6">
        <v>3.27</v>
      </c>
      <c r="J1515" s="6">
        <v>29.43</v>
      </c>
      <c r="K1515" s="5">
        <v>60</v>
      </c>
      <c r="L1515" s="13" t="str">
        <f t="shared" si="46"/>
        <v>Discount Applied</v>
      </c>
      <c r="M1515" s="13" t="str">
        <f t="shared" si="47"/>
        <v>Silver</v>
      </c>
      <c r="N1515" s="13"/>
    </row>
    <row r="1516" spans="1:14" x14ac:dyDescent="0.3">
      <c r="A1516" s="3">
        <v>2885</v>
      </c>
      <c r="B1516" s="3" t="s">
        <v>24</v>
      </c>
      <c r="C1516" s="4">
        <v>45670</v>
      </c>
      <c r="D1516" s="3" t="s">
        <v>38</v>
      </c>
      <c r="E1516" s="3" t="s">
        <v>41</v>
      </c>
      <c r="F1516" s="5">
        <v>5</v>
      </c>
      <c r="G1516" s="6">
        <v>15.32</v>
      </c>
      <c r="H1516" s="6">
        <v>76.599999999999994</v>
      </c>
      <c r="I1516" s="6">
        <v>15.32</v>
      </c>
      <c r="J1516" s="6">
        <v>61.28</v>
      </c>
      <c r="K1516" s="5">
        <v>451</v>
      </c>
      <c r="L1516" s="13" t="str">
        <f t="shared" si="46"/>
        <v>Discount Applied</v>
      </c>
      <c r="M1516" s="13" t="str">
        <f t="shared" si="47"/>
        <v>Gold</v>
      </c>
      <c r="N1516" s="13"/>
    </row>
    <row r="1517" spans="1:14" x14ac:dyDescent="0.3">
      <c r="A1517" s="3">
        <v>6620</v>
      </c>
      <c r="B1517" s="3" t="s">
        <v>26</v>
      </c>
      <c r="C1517" s="4">
        <v>45402</v>
      </c>
      <c r="D1517" s="3" t="s">
        <v>12</v>
      </c>
      <c r="E1517" s="3" t="s">
        <v>29</v>
      </c>
      <c r="F1517" s="5">
        <v>1</v>
      </c>
      <c r="G1517" s="6">
        <v>13.13</v>
      </c>
      <c r="H1517" s="6">
        <v>13.13</v>
      </c>
      <c r="I1517" s="6">
        <v>0</v>
      </c>
      <c r="J1517" s="6">
        <v>13.13</v>
      </c>
      <c r="K1517" s="5">
        <v>391</v>
      </c>
      <c r="L1517" s="13" t="str">
        <f t="shared" si="46"/>
        <v>No Discount</v>
      </c>
      <c r="M1517" s="13" t="str">
        <f t="shared" si="47"/>
        <v>Bronze</v>
      </c>
      <c r="N1517" s="13"/>
    </row>
    <row r="1518" spans="1:14" x14ac:dyDescent="0.3">
      <c r="A1518" s="3">
        <v>2791</v>
      </c>
      <c r="B1518" s="3" t="s">
        <v>11</v>
      </c>
      <c r="C1518" s="4">
        <v>45731</v>
      </c>
      <c r="D1518" s="3" t="s">
        <v>34</v>
      </c>
      <c r="E1518" s="3" t="s">
        <v>40</v>
      </c>
      <c r="F1518" s="5">
        <v>4</v>
      </c>
      <c r="G1518" s="6">
        <v>1.68</v>
      </c>
      <c r="H1518" s="6">
        <v>6.72</v>
      </c>
      <c r="I1518" s="6">
        <v>1.34</v>
      </c>
      <c r="J1518" s="6">
        <v>5.38</v>
      </c>
      <c r="K1518" s="5">
        <v>85</v>
      </c>
      <c r="L1518" s="13" t="str">
        <f t="shared" si="46"/>
        <v>Discount Applied</v>
      </c>
      <c r="M1518" s="13" t="str">
        <f t="shared" si="47"/>
        <v>Bronze</v>
      </c>
      <c r="N1518" s="13"/>
    </row>
    <row r="1519" spans="1:14" x14ac:dyDescent="0.3">
      <c r="A1519" s="3">
        <v>3692</v>
      </c>
      <c r="B1519" s="3" t="s">
        <v>14</v>
      </c>
      <c r="C1519" s="4">
        <v>45758</v>
      </c>
      <c r="D1519" s="3" t="s">
        <v>38</v>
      </c>
      <c r="E1519" s="3" t="s">
        <v>32</v>
      </c>
      <c r="F1519" s="5">
        <v>4</v>
      </c>
      <c r="G1519" s="6">
        <v>11.27</v>
      </c>
      <c r="H1519" s="6">
        <v>45.08</v>
      </c>
      <c r="I1519" s="6">
        <v>0</v>
      </c>
      <c r="J1519" s="6">
        <v>45.08</v>
      </c>
      <c r="K1519" s="5">
        <v>205</v>
      </c>
      <c r="L1519" s="13" t="str">
        <f t="shared" si="46"/>
        <v>No Discount</v>
      </c>
      <c r="M1519" s="13" t="str">
        <f t="shared" si="47"/>
        <v>Silver</v>
      </c>
      <c r="N1519" s="13"/>
    </row>
    <row r="1520" spans="1:14" x14ac:dyDescent="0.3">
      <c r="A1520" s="3">
        <v>4996</v>
      </c>
      <c r="B1520" s="3" t="s">
        <v>30</v>
      </c>
      <c r="C1520" s="4">
        <v>45533</v>
      </c>
      <c r="D1520" s="3" t="s">
        <v>15</v>
      </c>
      <c r="E1520" s="3" t="s">
        <v>21</v>
      </c>
      <c r="F1520" s="5">
        <v>3</v>
      </c>
      <c r="G1520" s="6">
        <v>18.14</v>
      </c>
      <c r="H1520" s="6">
        <v>54.42</v>
      </c>
      <c r="I1520" s="6">
        <v>0</v>
      </c>
      <c r="J1520" s="6">
        <v>54.42</v>
      </c>
      <c r="K1520" s="5">
        <v>315</v>
      </c>
      <c r="L1520" s="13" t="str">
        <f t="shared" si="46"/>
        <v>No Discount</v>
      </c>
      <c r="M1520" s="13" t="str">
        <f t="shared" si="47"/>
        <v>Gold</v>
      </c>
      <c r="N1520" s="13"/>
    </row>
    <row r="1521" spans="1:14" x14ac:dyDescent="0.3">
      <c r="A1521" s="3">
        <v>3623</v>
      </c>
      <c r="B1521" s="3" t="s">
        <v>31</v>
      </c>
      <c r="C1521" s="4">
        <v>45186</v>
      </c>
      <c r="D1521" s="3" t="s">
        <v>15</v>
      </c>
      <c r="E1521" s="3" t="s">
        <v>23</v>
      </c>
      <c r="F1521" s="5">
        <v>4</v>
      </c>
      <c r="G1521" s="6">
        <v>27.4</v>
      </c>
      <c r="H1521" s="6">
        <v>109.6</v>
      </c>
      <c r="I1521" s="6">
        <v>0</v>
      </c>
      <c r="J1521" s="6">
        <v>109.6</v>
      </c>
      <c r="K1521" s="5">
        <v>322</v>
      </c>
      <c r="L1521" s="13" t="str">
        <f t="shared" si="46"/>
        <v>No Discount</v>
      </c>
      <c r="M1521" s="13" t="str">
        <f t="shared" si="47"/>
        <v>Platinum</v>
      </c>
      <c r="N1521" s="13"/>
    </row>
    <row r="1522" spans="1:14" x14ac:dyDescent="0.3">
      <c r="A1522" s="3">
        <v>7985</v>
      </c>
      <c r="B1522" s="3" t="s">
        <v>24</v>
      </c>
      <c r="C1522" s="4">
        <v>45484</v>
      </c>
      <c r="D1522" s="3" t="s">
        <v>35</v>
      </c>
      <c r="E1522" s="3" t="s">
        <v>47</v>
      </c>
      <c r="F1522" s="5">
        <v>2</v>
      </c>
      <c r="G1522" s="6">
        <v>22.26</v>
      </c>
      <c r="H1522" s="6">
        <v>44.52</v>
      </c>
      <c r="I1522" s="6">
        <v>8.9</v>
      </c>
      <c r="J1522" s="6">
        <v>35.619999999999997</v>
      </c>
      <c r="K1522" s="5">
        <v>370</v>
      </c>
      <c r="L1522" s="13" t="str">
        <f t="shared" si="46"/>
        <v>Discount Applied</v>
      </c>
      <c r="M1522" s="13" t="str">
        <f t="shared" si="47"/>
        <v>Silver</v>
      </c>
      <c r="N1522" s="13"/>
    </row>
    <row r="1523" spans="1:14" x14ac:dyDescent="0.3">
      <c r="A1523" s="3">
        <v>4798</v>
      </c>
      <c r="B1523" s="3" t="s">
        <v>31</v>
      </c>
      <c r="C1523" s="4">
        <v>45796</v>
      </c>
      <c r="D1523" s="3" t="s">
        <v>28</v>
      </c>
      <c r="E1523" s="3" t="s">
        <v>23</v>
      </c>
      <c r="F1523" s="5">
        <v>4</v>
      </c>
      <c r="G1523" s="6">
        <v>11.99</v>
      </c>
      <c r="H1523" s="6">
        <v>47.96</v>
      </c>
      <c r="I1523" s="6">
        <v>3.89</v>
      </c>
      <c r="J1523" s="6">
        <v>44.07</v>
      </c>
      <c r="K1523" s="5">
        <v>224</v>
      </c>
      <c r="L1523" s="13" t="str">
        <f t="shared" si="46"/>
        <v>Discount Applied</v>
      </c>
      <c r="M1523" s="13" t="str">
        <f t="shared" si="47"/>
        <v>Silver</v>
      </c>
      <c r="N1523" s="13"/>
    </row>
    <row r="1524" spans="1:14" x14ac:dyDescent="0.3">
      <c r="A1524" s="3">
        <v>7636</v>
      </c>
      <c r="B1524" s="3" t="s">
        <v>30</v>
      </c>
      <c r="C1524" s="4">
        <v>45409</v>
      </c>
      <c r="D1524" s="3" t="s">
        <v>15</v>
      </c>
      <c r="E1524" s="3" t="s">
        <v>25</v>
      </c>
      <c r="F1524" s="5">
        <v>3</v>
      </c>
      <c r="G1524" s="6">
        <v>15.3</v>
      </c>
      <c r="H1524" s="6">
        <v>45.9</v>
      </c>
      <c r="I1524" s="6">
        <v>6.88</v>
      </c>
      <c r="J1524" s="6">
        <v>39.020000000000003</v>
      </c>
      <c r="K1524" s="5">
        <v>24</v>
      </c>
      <c r="L1524" s="13" t="str">
        <f t="shared" si="46"/>
        <v>Discount Applied</v>
      </c>
      <c r="M1524" s="13" t="str">
        <f t="shared" si="47"/>
        <v>Silver</v>
      </c>
      <c r="N1524" s="13"/>
    </row>
    <row r="1525" spans="1:14" x14ac:dyDescent="0.3">
      <c r="A1525" s="3">
        <v>4022</v>
      </c>
      <c r="B1525" s="3" t="s">
        <v>36</v>
      </c>
      <c r="C1525" s="4">
        <v>45745</v>
      </c>
      <c r="D1525" s="3" t="s">
        <v>20</v>
      </c>
      <c r="E1525" s="3" t="s">
        <v>21</v>
      </c>
      <c r="F1525" s="5">
        <v>2</v>
      </c>
      <c r="G1525" s="6">
        <v>28.64</v>
      </c>
      <c r="H1525" s="6">
        <v>57.28</v>
      </c>
      <c r="I1525" s="6">
        <v>5.73</v>
      </c>
      <c r="J1525" s="6">
        <v>51.55</v>
      </c>
      <c r="K1525" s="5">
        <v>21</v>
      </c>
      <c r="L1525" s="13" t="str">
        <f t="shared" si="46"/>
        <v>Discount Applied</v>
      </c>
      <c r="M1525" s="13" t="str">
        <f t="shared" si="47"/>
        <v>Gold</v>
      </c>
      <c r="N1525" s="13"/>
    </row>
    <row r="1526" spans="1:14" x14ac:dyDescent="0.3">
      <c r="A1526" s="3">
        <v>8080</v>
      </c>
      <c r="B1526" s="3" t="s">
        <v>14</v>
      </c>
      <c r="C1526" s="4">
        <v>45168</v>
      </c>
      <c r="D1526" s="3" t="s">
        <v>35</v>
      </c>
      <c r="E1526" s="3" t="s">
        <v>21</v>
      </c>
      <c r="F1526" s="5">
        <v>1</v>
      </c>
      <c r="G1526" s="6">
        <v>11.06</v>
      </c>
      <c r="H1526" s="6">
        <v>11.06</v>
      </c>
      <c r="I1526" s="6">
        <v>1.66</v>
      </c>
      <c r="J1526" s="6">
        <v>9.4</v>
      </c>
      <c r="K1526" s="5">
        <v>84</v>
      </c>
      <c r="L1526" s="13" t="str">
        <f t="shared" si="46"/>
        <v>Discount Applied</v>
      </c>
      <c r="M1526" s="13" t="str">
        <f t="shared" si="47"/>
        <v>Bronze</v>
      </c>
      <c r="N1526" s="13"/>
    </row>
    <row r="1527" spans="1:14" x14ac:dyDescent="0.3">
      <c r="A1527" s="3">
        <v>1478</v>
      </c>
      <c r="B1527" s="3" t="s">
        <v>30</v>
      </c>
      <c r="C1527" s="4">
        <v>45753</v>
      </c>
      <c r="D1527" s="3" t="s">
        <v>45</v>
      </c>
      <c r="E1527" s="3" t="s">
        <v>33</v>
      </c>
      <c r="F1527" s="5">
        <v>2</v>
      </c>
      <c r="G1527" s="6">
        <v>26.67</v>
      </c>
      <c r="H1527" s="6">
        <v>53.34</v>
      </c>
      <c r="I1527" s="6">
        <v>4.01</v>
      </c>
      <c r="J1527" s="6">
        <v>49.33</v>
      </c>
      <c r="K1527" s="5">
        <v>147</v>
      </c>
      <c r="L1527" s="13" t="str">
        <f t="shared" si="46"/>
        <v>Discount Applied</v>
      </c>
      <c r="M1527" s="13" t="str">
        <f t="shared" si="47"/>
        <v>Silver</v>
      </c>
      <c r="N1527" s="13"/>
    </row>
    <row r="1528" spans="1:14" x14ac:dyDescent="0.3">
      <c r="A1528" s="3">
        <v>4232</v>
      </c>
      <c r="B1528" s="3" t="s">
        <v>42</v>
      </c>
      <c r="C1528" s="4">
        <v>45526</v>
      </c>
      <c r="D1528" s="3" t="s">
        <v>27</v>
      </c>
      <c r="E1528" s="3" t="s">
        <v>13</v>
      </c>
      <c r="F1528" s="5">
        <v>2</v>
      </c>
      <c r="G1528" s="6">
        <v>3.77</v>
      </c>
      <c r="H1528" s="6">
        <v>7.54</v>
      </c>
      <c r="I1528" s="6">
        <v>3.39</v>
      </c>
      <c r="J1528" s="6">
        <v>4.1500000000000004</v>
      </c>
      <c r="K1528" s="5">
        <v>282</v>
      </c>
      <c r="L1528" s="13" t="str">
        <f t="shared" si="46"/>
        <v>Discount Applied</v>
      </c>
      <c r="M1528" s="13" t="str">
        <f t="shared" si="47"/>
        <v>Bronze</v>
      </c>
      <c r="N1528" s="13"/>
    </row>
    <row r="1529" spans="1:14" x14ac:dyDescent="0.3">
      <c r="A1529" s="3">
        <v>8037</v>
      </c>
      <c r="B1529" s="3" t="s">
        <v>31</v>
      </c>
      <c r="C1529" s="4">
        <v>45421</v>
      </c>
      <c r="D1529" s="3" t="s">
        <v>38</v>
      </c>
      <c r="E1529" s="3" t="s">
        <v>18</v>
      </c>
      <c r="F1529" s="5">
        <v>2</v>
      </c>
      <c r="G1529" s="6">
        <v>1.18</v>
      </c>
      <c r="H1529" s="6">
        <v>2.36</v>
      </c>
      <c r="I1529" s="6">
        <v>0.35</v>
      </c>
      <c r="J1529" s="6">
        <v>2.0099999999999998</v>
      </c>
      <c r="K1529" s="5">
        <v>426</v>
      </c>
      <c r="L1529" s="13" t="str">
        <f t="shared" si="46"/>
        <v>Discount Applied</v>
      </c>
      <c r="M1529" s="13" t="str">
        <f t="shared" si="47"/>
        <v>Bronze</v>
      </c>
      <c r="N1529" s="13"/>
    </row>
    <row r="1530" spans="1:14" x14ac:dyDescent="0.3">
      <c r="A1530" s="3">
        <v>1072</v>
      </c>
      <c r="B1530" s="3" t="s">
        <v>42</v>
      </c>
      <c r="C1530" s="4">
        <v>45480</v>
      </c>
      <c r="D1530" s="3" t="s">
        <v>35</v>
      </c>
      <c r="E1530" s="3" t="s">
        <v>16</v>
      </c>
      <c r="F1530" s="5">
        <v>4</v>
      </c>
      <c r="G1530" s="6">
        <v>16.100000000000001</v>
      </c>
      <c r="H1530" s="6">
        <v>64.400000000000006</v>
      </c>
      <c r="I1530" s="6">
        <v>9.66</v>
      </c>
      <c r="J1530" s="6">
        <v>54.74</v>
      </c>
      <c r="K1530" s="5">
        <v>425</v>
      </c>
      <c r="L1530" s="13" t="str">
        <f t="shared" si="46"/>
        <v>Discount Applied</v>
      </c>
      <c r="M1530" s="13" t="str">
        <f t="shared" si="47"/>
        <v>Gold</v>
      </c>
      <c r="N1530" s="13"/>
    </row>
    <row r="1531" spans="1:14" x14ac:dyDescent="0.3">
      <c r="A1531" s="3">
        <v>4519</v>
      </c>
      <c r="B1531" s="3" t="s">
        <v>11</v>
      </c>
      <c r="C1531" s="4">
        <v>45672</v>
      </c>
      <c r="D1531" s="3" t="s">
        <v>15</v>
      </c>
      <c r="E1531" s="3" t="s">
        <v>33</v>
      </c>
      <c r="F1531" s="5">
        <v>4</v>
      </c>
      <c r="G1531" s="6">
        <v>15.29</v>
      </c>
      <c r="H1531" s="6">
        <v>61.16</v>
      </c>
      <c r="I1531" s="6">
        <v>9.17</v>
      </c>
      <c r="J1531" s="6">
        <v>51.99</v>
      </c>
      <c r="K1531" s="5">
        <v>44</v>
      </c>
      <c r="L1531" s="13" t="str">
        <f t="shared" si="46"/>
        <v>Discount Applied</v>
      </c>
      <c r="M1531" s="13" t="str">
        <f t="shared" si="47"/>
        <v>Gold</v>
      </c>
      <c r="N1531" s="13"/>
    </row>
    <row r="1532" spans="1:14" x14ac:dyDescent="0.3">
      <c r="A1532" s="3">
        <v>5560</v>
      </c>
      <c r="B1532" s="3" t="s">
        <v>11</v>
      </c>
      <c r="C1532" s="4">
        <v>45211</v>
      </c>
      <c r="D1532" s="3" t="s">
        <v>22</v>
      </c>
      <c r="E1532" s="3" t="s">
        <v>43</v>
      </c>
      <c r="F1532" s="5">
        <v>2</v>
      </c>
      <c r="G1532" s="6">
        <v>22.08</v>
      </c>
      <c r="H1532" s="6">
        <v>44.16</v>
      </c>
      <c r="I1532" s="6">
        <v>2.34</v>
      </c>
      <c r="J1532" s="6">
        <v>41.82</v>
      </c>
      <c r="K1532" s="5">
        <v>167</v>
      </c>
      <c r="L1532" s="13" t="str">
        <f t="shared" si="46"/>
        <v>Discount Applied</v>
      </c>
      <c r="M1532" s="13" t="str">
        <f t="shared" si="47"/>
        <v>Silver</v>
      </c>
      <c r="N1532" s="13"/>
    </row>
    <row r="1533" spans="1:14" x14ac:dyDescent="0.3">
      <c r="A1533" s="3">
        <v>2025</v>
      </c>
      <c r="B1533" s="3" t="s">
        <v>26</v>
      </c>
      <c r="C1533" s="4">
        <v>45764</v>
      </c>
      <c r="D1533" s="3" t="s">
        <v>27</v>
      </c>
      <c r="E1533" s="3" t="s">
        <v>46</v>
      </c>
      <c r="F1533" s="5">
        <v>1</v>
      </c>
      <c r="G1533" s="6">
        <v>21.49</v>
      </c>
      <c r="H1533" s="6">
        <v>21.49</v>
      </c>
      <c r="I1533" s="6">
        <v>2.15</v>
      </c>
      <c r="J1533" s="6">
        <v>19.34</v>
      </c>
      <c r="K1533" s="5">
        <v>161</v>
      </c>
      <c r="L1533" s="13" t="str">
        <f t="shared" si="46"/>
        <v>Discount Applied</v>
      </c>
      <c r="M1533" s="13" t="str">
        <f t="shared" si="47"/>
        <v>Bronze</v>
      </c>
      <c r="N1533" s="13"/>
    </row>
    <row r="1534" spans="1:14" x14ac:dyDescent="0.3">
      <c r="A1534" s="3">
        <v>2667</v>
      </c>
      <c r="B1534" s="3" t="s">
        <v>11</v>
      </c>
      <c r="C1534" s="4">
        <v>45698</v>
      </c>
      <c r="D1534" s="3" t="s">
        <v>38</v>
      </c>
      <c r="E1534" s="3" t="s">
        <v>21</v>
      </c>
      <c r="F1534" s="5">
        <v>2</v>
      </c>
      <c r="G1534" s="6">
        <v>25.39</v>
      </c>
      <c r="H1534" s="6">
        <v>50.78</v>
      </c>
      <c r="I1534" s="6">
        <v>0</v>
      </c>
      <c r="J1534" s="6">
        <v>50.78</v>
      </c>
      <c r="K1534" s="5">
        <v>338</v>
      </c>
      <c r="L1534" s="13" t="str">
        <f t="shared" si="46"/>
        <v>No Discount</v>
      </c>
      <c r="M1534" s="13" t="str">
        <f t="shared" si="47"/>
        <v>Gold</v>
      </c>
      <c r="N1534" s="13"/>
    </row>
    <row r="1535" spans="1:14" x14ac:dyDescent="0.3">
      <c r="A1535" s="3">
        <v>6993</v>
      </c>
      <c r="B1535" s="3" t="s">
        <v>31</v>
      </c>
      <c r="C1535" s="4">
        <v>45208</v>
      </c>
      <c r="D1535" s="3" t="s">
        <v>17</v>
      </c>
      <c r="E1535" s="3" t="s">
        <v>41</v>
      </c>
      <c r="F1535" s="5">
        <v>5</v>
      </c>
      <c r="G1535" s="6">
        <v>11.9</v>
      </c>
      <c r="H1535" s="6">
        <v>59.5</v>
      </c>
      <c r="I1535" s="6">
        <v>0</v>
      </c>
      <c r="J1535" s="6">
        <v>59.5</v>
      </c>
      <c r="K1535" s="5">
        <v>482</v>
      </c>
      <c r="L1535" s="13" t="str">
        <f t="shared" si="46"/>
        <v>No Discount</v>
      </c>
      <c r="M1535" s="13" t="str">
        <f t="shared" si="47"/>
        <v>Gold</v>
      </c>
      <c r="N1535" s="13"/>
    </row>
    <row r="1536" spans="1:14" x14ac:dyDescent="0.3">
      <c r="A1536" s="3">
        <v>2867</v>
      </c>
      <c r="B1536" s="3" t="s">
        <v>42</v>
      </c>
      <c r="C1536" s="4">
        <v>45264</v>
      </c>
      <c r="D1536" s="3" t="s">
        <v>35</v>
      </c>
      <c r="E1536" s="3" t="s">
        <v>47</v>
      </c>
      <c r="F1536" s="5">
        <v>2</v>
      </c>
      <c r="G1536" s="6">
        <v>15.04</v>
      </c>
      <c r="H1536" s="6">
        <v>30.08</v>
      </c>
      <c r="I1536" s="6">
        <v>4.51</v>
      </c>
      <c r="J1536" s="6">
        <v>25.57</v>
      </c>
      <c r="K1536" s="5">
        <v>95</v>
      </c>
      <c r="L1536" s="13" t="str">
        <f t="shared" si="46"/>
        <v>Discount Applied</v>
      </c>
      <c r="M1536" s="13" t="str">
        <f t="shared" si="47"/>
        <v>Silver</v>
      </c>
      <c r="N1536" s="13"/>
    </row>
    <row r="1537" spans="1:14" x14ac:dyDescent="0.3">
      <c r="A1537" s="3">
        <v>9019</v>
      </c>
      <c r="B1537" s="3" t="s">
        <v>19</v>
      </c>
      <c r="C1537" s="4">
        <v>45697</v>
      </c>
      <c r="D1537" s="3" t="s">
        <v>17</v>
      </c>
      <c r="E1537" s="3" t="s">
        <v>43</v>
      </c>
      <c r="F1537" s="5">
        <v>5</v>
      </c>
      <c r="G1537" s="6">
        <v>25.85</v>
      </c>
      <c r="H1537" s="6">
        <v>129.25</v>
      </c>
      <c r="I1537" s="6">
        <v>2.74</v>
      </c>
      <c r="J1537" s="6">
        <v>126.51</v>
      </c>
      <c r="K1537" s="5">
        <v>383</v>
      </c>
      <c r="L1537" s="13" t="str">
        <f t="shared" si="46"/>
        <v>Discount Applied</v>
      </c>
      <c r="M1537" s="13" t="str">
        <f t="shared" si="47"/>
        <v>Platinum</v>
      </c>
      <c r="N1537" s="13"/>
    </row>
    <row r="1538" spans="1:14" x14ac:dyDescent="0.3">
      <c r="A1538" s="3">
        <v>6134</v>
      </c>
      <c r="B1538" s="3" t="s">
        <v>26</v>
      </c>
      <c r="C1538" s="4">
        <v>45719</v>
      </c>
      <c r="D1538" s="3" t="s">
        <v>38</v>
      </c>
      <c r="E1538" s="3" t="s">
        <v>44</v>
      </c>
      <c r="F1538" s="5">
        <v>2</v>
      </c>
      <c r="G1538" s="6">
        <v>2.12</v>
      </c>
      <c r="H1538" s="6">
        <v>4.24</v>
      </c>
      <c r="I1538" s="6">
        <v>2.52</v>
      </c>
      <c r="J1538" s="6">
        <v>1.72</v>
      </c>
      <c r="K1538" s="5">
        <v>352</v>
      </c>
      <c r="L1538" s="13" t="str">
        <f t="shared" si="46"/>
        <v>Discount Applied</v>
      </c>
      <c r="M1538" s="13" t="str">
        <f t="shared" si="47"/>
        <v>Bronze</v>
      </c>
      <c r="N1538" s="13"/>
    </row>
    <row r="1539" spans="1:14" x14ac:dyDescent="0.3">
      <c r="A1539" s="3">
        <v>7431</v>
      </c>
      <c r="B1539" s="3" t="s">
        <v>42</v>
      </c>
      <c r="C1539" s="4">
        <v>45390</v>
      </c>
      <c r="D1539" s="3" t="s">
        <v>27</v>
      </c>
      <c r="E1539" s="3" t="s">
        <v>23</v>
      </c>
      <c r="F1539" s="5">
        <v>4</v>
      </c>
      <c r="G1539" s="6">
        <v>16.37</v>
      </c>
      <c r="H1539" s="6">
        <v>65.48</v>
      </c>
      <c r="I1539" s="6">
        <v>9.82</v>
      </c>
      <c r="J1539" s="6">
        <v>55.66</v>
      </c>
      <c r="K1539" s="5">
        <v>488</v>
      </c>
      <c r="L1539" s="13" t="str">
        <f t="shared" ref="L1539:L1602" si="48">IF(I1539&gt;0,"Discount Applied","No Discount")</f>
        <v>Discount Applied</v>
      </c>
      <c r="M1539" s="13" t="str">
        <f t="shared" ref="M1539:M1602" si="49">IF(J1539 &gt;= 70, "Platinum",
   IF(J1539 &gt;= 50, "Gold",
      IF(J1539 &gt;= 20, "Silver", "Bronze")))</f>
        <v>Gold</v>
      </c>
      <c r="N1539" s="13"/>
    </row>
    <row r="1540" spans="1:14" x14ac:dyDescent="0.3">
      <c r="A1540" s="3">
        <v>2871</v>
      </c>
      <c r="B1540" s="3" t="s">
        <v>42</v>
      </c>
      <c r="C1540" s="4">
        <v>45227</v>
      </c>
      <c r="D1540" s="3" t="s">
        <v>35</v>
      </c>
      <c r="E1540" s="3" t="s">
        <v>47</v>
      </c>
      <c r="F1540" s="5">
        <v>4</v>
      </c>
      <c r="G1540" s="6">
        <v>24.1</v>
      </c>
      <c r="H1540" s="6">
        <v>96.4</v>
      </c>
      <c r="I1540" s="6">
        <v>2.92</v>
      </c>
      <c r="J1540" s="6">
        <v>93.48</v>
      </c>
      <c r="K1540" s="5">
        <v>200</v>
      </c>
      <c r="L1540" s="13" t="str">
        <f t="shared" si="48"/>
        <v>Discount Applied</v>
      </c>
      <c r="M1540" s="13" t="str">
        <f t="shared" si="49"/>
        <v>Platinum</v>
      </c>
      <c r="N1540" s="13"/>
    </row>
    <row r="1541" spans="1:14" x14ac:dyDescent="0.3">
      <c r="A1541" s="3">
        <v>6766</v>
      </c>
      <c r="B1541" s="3" t="s">
        <v>11</v>
      </c>
      <c r="C1541" s="4">
        <v>45149</v>
      </c>
      <c r="D1541" s="3" t="s">
        <v>17</v>
      </c>
      <c r="E1541" s="3" t="s">
        <v>48</v>
      </c>
      <c r="F1541" s="5">
        <v>3</v>
      </c>
      <c r="G1541" s="6">
        <v>13.16</v>
      </c>
      <c r="H1541" s="6">
        <v>39.479999999999997</v>
      </c>
      <c r="I1541" s="6">
        <v>7.9</v>
      </c>
      <c r="J1541" s="6">
        <v>31.58</v>
      </c>
      <c r="K1541" s="5">
        <v>228</v>
      </c>
      <c r="L1541" s="13" t="str">
        <f t="shared" si="48"/>
        <v>Discount Applied</v>
      </c>
      <c r="M1541" s="13" t="str">
        <f t="shared" si="49"/>
        <v>Silver</v>
      </c>
      <c r="N1541" s="13"/>
    </row>
    <row r="1542" spans="1:14" x14ac:dyDescent="0.3">
      <c r="A1542" s="3">
        <v>8501</v>
      </c>
      <c r="B1542" s="3" t="s">
        <v>24</v>
      </c>
      <c r="C1542" s="4">
        <v>45490</v>
      </c>
      <c r="D1542" s="3" t="s">
        <v>15</v>
      </c>
      <c r="E1542" s="3" t="s">
        <v>29</v>
      </c>
      <c r="F1542" s="5">
        <v>4</v>
      </c>
      <c r="G1542" s="6">
        <v>28.72</v>
      </c>
      <c r="H1542" s="6">
        <v>114.88</v>
      </c>
      <c r="I1542" s="6">
        <v>17.23</v>
      </c>
      <c r="J1542" s="6">
        <v>97.65</v>
      </c>
      <c r="K1542" s="5">
        <v>338</v>
      </c>
      <c r="L1542" s="13" t="str">
        <f t="shared" si="48"/>
        <v>Discount Applied</v>
      </c>
      <c r="M1542" s="13" t="str">
        <f t="shared" si="49"/>
        <v>Platinum</v>
      </c>
      <c r="N1542" s="13"/>
    </row>
    <row r="1543" spans="1:14" x14ac:dyDescent="0.3">
      <c r="A1543" s="3">
        <v>3826</v>
      </c>
      <c r="B1543" s="3" t="s">
        <v>24</v>
      </c>
      <c r="C1543" s="4">
        <v>45736</v>
      </c>
      <c r="D1543" s="3" t="s">
        <v>34</v>
      </c>
      <c r="E1543" s="3" t="s">
        <v>47</v>
      </c>
      <c r="F1543" s="5">
        <v>4</v>
      </c>
      <c r="G1543" s="6">
        <v>18.420000000000002</v>
      </c>
      <c r="H1543" s="6">
        <v>73.680000000000007</v>
      </c>
      <c r="I1543" s="6">
        <v>2.16</v>
      </c>
      <c r="J1543" s="6">
        <v>71.52</v>
      </c>
      <c r="K1543" s="5">
        <v>351</v>
      </c>
      <c r="L1543" s="13" t="str">
        <f t="shared" si="48"/>
        <v>Discount Applied</v>
      </c>
      <c r="M1543" s="13" t="str">
        <f t="shared" si="49"/>
        <v>Platinum</v>
      </c>
      <c r="N1543" s="13"/>
    </row>
    <row r="1544" spans="1:14" x14ac:dyDescent="0.3">
      <c r="A1544" s="3">
        <v>5873</v>
      </c>
      <c r="B1544" s="3" t="s">
        <v>14</v>
      </c>
      <c r="C1544" s="4">
        <v>45224</v>
      </c>
      <c r="D1544" s="3" t="s">
        <v>17</v>
      </c>
      <c r="E1544" s="3" t="s">
        <v>16</v>
      </c>
      <c r="F1544" s="5">
        <v>1</v>
      </c>
      <c r="G1544" s="6">
        <v>17.3</v>
      </c>
      <c r="H1544" s="6">
        <v>17.3</v>
      </c>
      <c r="I1544" s="6">
        <v>0</v>
      </c>
      <c r="J1544" s="6">
        <v>17.3</v>
      </c>
      <c r="K1544" s="5">
        <v>165</v>
      </c>
      <c r="L1544" s="13" t="str">
        <f t="shared" si="48"/>
        <v>No Discount</v>
      </c>
      <c r="M1544" s="13" t="str">
        <f t="shared" si="49"/>
        <v>Bronze</v>
      </c>
      <c r="N1544" s="13"/>
    </row>
    <row r="1545" spans="1:14" x14ac:dyDescent="0.3">
      <c r="A1545" s="3">
        <v>2931</v>
      </c>
      <c r="B1545" s="3" t="s">
        <v>36</v>
      </c>
      <c r="C1545" s="4">
        <v>45212</v>
      </c>
      <c r="D1545" s="3" t="s">
        <v>20</v>
      </c>
      <c r="E1545" s="3" t="s">
        <v>32</v>
      </c>
      <c r="F1545" s="5">
        <v>4</v>
      </c>
      <c r="G1545" s="6">
        <v>13.32</v>
      </c>
      <c r="H1545" s="6">
        <v>53.28</v>
      </c>
      <c r="I1545" s="6">
        <v>7.99</v>
      </c>
      <c r="J1545" s="6">
        <v>45.29</v>
      </c>
      <c r="K1545" s="5">
        <v>133</v>
      </c>
      <c r="L1545" s="13" t="str">
        <f t="shared" si="48"/>
        <v>Discount Applied</v>
      </c>
      <c r="M1545" s="13" t="str">
        <f t="shared" si="49"/>
        <v>Silver</v>
      </c>
      <c r="N1545" s="13"/>
    </row>
    <row r="1546" spans="1:14" x14ac:dyDescent="0.3">
      <c r="A1546" s="3">
        <v>6003</v>
      </c>
      <c r="B1546" s="3" t="s">
        <v>26</v>
      </c>
      <c r="C1546" s="4">
        <v>45479</v>
      </c>
      <c r="D1546" s="3" t="s">
        <v>17</v>
      </c>
      <c r="E1546" s="3" t="s">
        <v>21</v>
      </c>
      <c r="F1546" s="5">
        <v>1</v>
      </c>
      <c r="G1546" s="6">
        <v>9.94</v>
      </c>
      <c r="H1546" s="6">
        <v>9.94</v>
      </c>
      <c r="I1546" s="6">
        <v>4.5</v>
      </c>
      <c r="J1546" s="6">
        <v>5.44</v>
      </c>
      <c r="K1546" s="5">
        <v>209</v>
      </c>
      <c r="L1546" s="13" t="str">
        <f t="shared" si="48"/>
        <v>Discount Applied</v>
      </c>
      <c r="M1546" s="13" t="str">
        <f t="shared" si="49"/>
        <v>Bronze</v>
      </c>
      <c r="N1546" s="13"/>
    </row>
    <row r="1547" spans="1:14" x14ac:dyDescent="0.3">
      <c r="A1547" s="3">
        <v>3999</v>
      </c>
      <c r="B1547" s="3" t="s">
        <v>14</v>
      </c>
      <c r="C1547" s="4">
        <v>45577</v>
      </c>
      <c r="D1547" s="3" t="s">
        <v>17</v>
      </c>
      <c r="E1547" s="3" t="s">
        <v>48</v>
      </c>
      <c r="F1547" s="5">
        <v>5</v>
      </c>
      <c r="G1547" s="6">
        <v>18.7</v>
      </c>
      <c r="H1547" s="6">
        <v>93.5</v>
      </c>
      <c r="I1547" s="6">
        <v>0</v>
      </c>
      <c r="J1547" s="6">
        <v>93.5</v>
      </c>
      <c r="K1547" s="5">
        <v>66</v>
      </c>
      <c r="L1547" s="13" t="str">
        <f t="shared" si="48"/>
        <v>No Discount</v>
      </c>
      <c r="M1547" s="13" t="str">
        <f t="shared" si="49"/>
        <v>Platinum</v>
      </c>
      <c r="N1547" s="13"/>
    </row>
    <row r="1548" spans="1:14" x14ac:dyDescent="0.3">
      <c r="A1548" s="3">
        <v>3316</v>
      </c>
      <c r="B1548" s="3" t="s">
        <v>31</v>
      </c>
      <c r="C1548" s="4">
        <v>45461</v>
      </c>
      <c r="D1548" s="3" t="s">
        <v>20</v>
      </c>
      <c r="E1548" s="3" t="s">
        <v>43</v>
      </c>
      <c r="F1548" s="5">
        <v>3</v>
      </c>
      <c r="G1548" s="6">
        <v>27.44</v>
      </c>
      <c r="H1548" s="6">
        <v>82.32</v>
      </c>
      <c r="I1548" s="6">
        <v>0</v>
      </c>
      <c r="J1548" s="6">
        <v>82.32</v>
      </c>
      <c r="K1548" s="5">
        <v>392</v>
      </c>
      <c r="L1548" s="13" t="str">
        <f t="shared" si="48"/>
        <v>No Discount</v>
      </c>
      <c r="M1548" s="13" t="str">
        <f t="shared" si="49"/>
        <v>Platinum</v>
      </c>
      <c r="N1548" s="13"/>
    </row>
    <row r="1549" spans="1:14" x14ac:dyDescent="0.3">
      <c r="A1549" s="3">
        <v>7364</v>
      </c>
      <c r="B1549" s="3" t="s">
        <v>31</v>
      </c>
      <c r="C1549" s="4">
        <v>45165</v>
      </c>
      <c r="D1549" s="3" t="s">
        <v>38</v>
      </c>
      <c r="E1549" s="3" t="s">
        <v>44</v>
      </c>
      <c r="F1549" s="5">
        <v>3</v>
      </c>
      <c r="G1549" s="6">
        <v>16.52</v>
      </c>
      <c r="H1549" s="6">
        <v>49.56</v>
      </c>
      <c r="I1549" s="6">
        <v>0</v>
      </c>
      <c r="J1549" s="6">
        <v>49.56</v>
      </c>
      <c r="K1549" s="5">
        <v>80</v>
      </c>
      <c r="L1549" s="13" t="str">
        <f t="shared" si="48"/>
        <v>No Discount</v>
      </c>
      <c r="M1549" s="13" t="str">
        <f t="shared" si="49"/>
        <v>Silver</v>
      </c>
      <c r="N1549" s="13"/>
    </row>
    <row r="1550" spans="1:14" x14ac:dyDescent="0.3">
      <c r="A1550" s="3">
        <v>3258</v>
      </c>
      <c r="B1550" s="3" t="s">
        <v>42</v>
      </c>
      <c r="C1550" s="4">
        <v>45419</v>
      </c>
      <c r="D1550" s="3" t="s">
        <v>35</v>
      </c>
      <c r="E1550" s="3" t="s">
        <v>29</v>
      </c>
      <c r="F1550" s="5">
        <v>3</v>
      </c>
      <c r="G1550" s="6">
        <v>10.6</v>
      </c>
      <c r="H1550" s="6">
        <v>31.8</v>
      </c>
      <c r="I1550" s="6">
        <v>1.1399999999999999</v>
      </c>
      <c r="J1550" s="6">
        <v>30.66</v>
      </c>
      <c r="K1550" s="5">
        <v>110</v>
      </c>
      <c r="L1550" s="13" t="str">
        <f t="shared" si="48"/>
        <v>Discount Applied</v>
      </c>
      <c r="M1550" s="13" t="str">
        <f t="shared" si="49"/>
        <v>Silver</v>
      </c>
      <c r="N1550" s="13"/>
    </row>
    <row r="1551" spans="1:14" x14ac:dyDescent="0.3">
      <c r="A1551" s="3">
        <v>7286</v>
      </c>
      <c r="B1551" s="3" t="s">
        <v>31</v>
      </c>
      <c r="C1551" s="4">
        <v>45608</v>
      </c>
      <c r="D1551" s="3" t="s">
        <v>38</v>
      </c>
      <c r="E1551" s="3" t="s">
        <v>48</v>
      </c>
      <c r="F1551" s="5">
        <v>5</v>
      </c>
      <c r="G1551" s="6">
        <v>12.53</v>
      </c>
      <c r="H1551" s="6">
        <v>62.65</v>
      </c>
      <c r="I1551" s="6">
        <v>12.53</v>
      </c>
      <c r="J1551" s="6">
        <v>50.12</v>
      </c>
      <c r="K1551" s="5">
        <v>248</v>
      </c>
      <c r="L1551" s="13" t="str">
        <f t="shared" si="48"/>
        <v>Discount Applied</v>
      </c>
      <c r="M1551" s="13" t="str">
        <f t="shared" si="49"/>
        <v>Gold</v>
      </c>
      <c r="N1551" s="13"/>
    </row>
    <row r="1552" spans="1:14" x14ac:dyDescent="0.3">
      <c r="A1552" s="3">
        <v>9804</v>
      </c>
      <c r="B1552" s="3" t="s">
        <v>30</v>
      </c>
      <c r="C1552" s="4">
        <v>45815</v>
      </c>
      <c r="D1552" s="3" t="s">
        <v>35</v>
      </c>
      <c r="E1552" s="3" t="s">
        <v>39</v>
      </c>
      <c r="F1552" s="5">
        <v>2</v>
      </c>
      <c r="G1552" s="6">
        <v>19.309999999999999</v>
      </c>
      <c r="H1552" s="6">
        <v>38.619999999999997</v>
      </c>
      <c r="I1552" s="6">
        <v>2.09</v>
      </c>
      <c r="J1552" s="6">
        <v>36.53</v>
      </c>
      <c r="K1552" s="5">
        <v>352</v>
      </c>
      <c r="L1552" s="13" t="str">
        <f t="shared" si="48"/>
        <v>Discount Applied</v>
      </c>
      <c r="M1552" s="13" t="str">
        <f t="shared" si="49"/>
        <v>Silver</v>
      </c>
      <c r="N1552" s="13"/>
    </row>
    <row r="1553" spans="1:14" x14ac:dyDescent="0.3">
      <c r="A1553" s="3">
        <v>3838</v>
      </c>
      <c r="B1553" s="3" t="s">
        <v>11</v>
      </c>
      <c r="C1553" s="4">
        <v>45154</v>
      </c>
      <c r="D1553" s="3" t="s">
        <v>20</v>
      </c>
      <c r="E1553" s="3" t="s">
        <v>32</v>
      </c>
      <c r="F1553" s="5">
        <v>2</v>
      </c>
      <c r="G1553" s="6">
        <v>24.72</v>
      </c>
      <c r="H1553" s="6">
        <v>49.44</v>
      </c>
      <c r="I1553" s="6">
        <v>1.31</v>
      </c>
      <c r="J1553" s="6">
        <v>48.13</v>
      </c>
      <c r="K1553" s="5">
        <v>448</v>
      </c>
      <c r="L1553" s="13" t="str">
        <f t="shared" si="48"/>
        <v>Discount Applied</v>
      </c>
      <c r="M1553" s="13" t="str">
        <f t="shared" si="49"/>
        <v>Silver</v>
      </c>
      <c r="N1553" s="13"/>
    </row>
    <row r="1554" spans="1:14" x14ac:dyDescent="0.3">
      <c r="A1554" s="3">
        <v>3733</v>
      </c>
      <c r="B1554" s="3" t="s">
        <v>14</v>
      </c>
      <c r="C1554" s="4">
        <v>45466</v>
      </c>
      <c r="D1554" s="3" t="s">
        <v>20</v>
      </c>
      <c r="E1554" s="3" t="s">
        <v>39</v>
      </c>
      <c r="F1554" s="5">
        <v>1</v>
      </c>
      <c r="G1554" s="6">
        <v>22.53</v>
      </c>
      <c r="H1554" s="6">
        <v>22.53</v>
      </c>
      <c r="I1554" s="6">
        <v>3.94</v>
      </c>
      <c r="J1554" s="6">
        <v>18.59</v>
      </c>
      <c r="K1554" s="5">
        <v>277</v>
      </c>
      <c r="L1554" s="13" t="str">
        <f t="shared" si="48"/>
        <v>Discount Applied</v>
      </c>
      <c r="M1554" s="13" t="str">
        <f t="shared" si="49"/>
        <v>Bronze</v>
      </c>
      <c r="N1554" s="13"/>
    </row>
    <row r="1555" spans="1:14" x14ac:dyDescent="0.3">
      <c r="A1555" s="3">
        <v>5732</v>
      </c>
      <c r="B1555" s="3" t="s">
        <v>24</v>
      </c>
      <c r="C1555" s="4">
        <v>45750</v>
      </c>
      <c r="D1555" s="3" t="s">
        <v>17</v>
      </c>
      <c r="E1555" s="3" t="s">
        <v>37</v>
      </c>
      <c r="F1555" s="5">
        <v>3</v>
      </c>
      <c r="G1555" s="6">
        <v>13.32</v>
      </c>
      <c r="H1555" s="6">
        <v>39.96</v>
      </c>
      <c r="I1555" s="6">
        <v>5.99</v>
      </c>
      <c r="J1555" s="6">
        <v>33.97</v>
      </c>
      <c r="K1555" s="5">
        <v>380</v>
      </c>
      <c r="L1555" s="13" t="str">
        <f t="shared" si="48"/>
        <v>Discount Applied</v>
      </c>
      <c r="M1555" s="13" t="str">
        <f t="shared" si="49"/>
        <v>Silver</v>
      </c>
      <c r="N1555" s="13"/>
    </row>
    <row r="1556" spans="1:14" x14ac:dyDescent="0.3">
      <c r="A1556" s="3">
        <v>4065</v>
      </c>
      <c r="B1556" s="3" t="s">
        <v>30</v>
      </c>
      <c r="C1556" s="4">
        <v>45708</v>
      </c>
      <c r="D1556" s="3" t="s">
        <v>45</v>
      </c>
      <c r="E1556" s="3" t="s">
        <v>44</v>
      </c>
      <c r="F1556" s="5">
        <v>1</v>
      </c>
      <c r="G1556" s="6">
        <v>8.65</v>
      </c>
      <c r="H1556" s="6">
        <v>8.65</v>
      </c>
      <c r="I1556" s="6">
        <v>0.87</v>
      </c>
      <c r="J1556" s="6">
        <v>7.78</v>
      </c>
      <c r="K1556" s="5">
        <v>335</v>
      </c>
      <c r="L1556" s="13" t="str">
        <f t="shared" si="48"/>
        <v>Discount Applied</v>
      </c>
      <c r="M1556" s="13" t="str">
        <f t="shared" si="49"/>
        <v>Bronze</v>
      </c>
      <c r="N1556" s="13"/>
    </row>
    <row r="1557" spans="1:14" x14ac:dyDescent="0.3">
      <c r="A1557" s="3">
        <v>8389</v>
      </c>
      <c r="B1557" s="3" t="s">
        <v>30</v>
      </c>
      <c r="C1557" s="4">
        <v>45589</v>
      </c>
      <c r="D1557" s="3" t="s">
        <v>20</v>
      </c>
      <c r="E1557" s="3" t="s">
        <v>43</v>
      </c>
      <c r="F1557" s="5">
        <v>2</v>
      </c>
      <c r="G1557" s="6">
        <v>29.03</v>
      </c>
      <c r="H1557" s="6">
        <v>58.06</v>
      </c>
      <c r="I1557" s="6">
        <v>5.81</v>
      </c>
      <c r="J1557" s="6">
        <v>52.25</v>
      </c>
      <c r="K1557" s="5">
        <v>287</v>
      </c>
      <c r="L1557" s="13" t="str">
        <f t="shared" si="48"/>
        <v>Discount Applied</v>
      </c>
      <c r="M1557" s="13" t="str">
        <f t="shared" si="49"/>
        <v>Gold</v>
      </c>
      <c r="N1557" s="13"/>
    </row>
    <row r="1558" spans="1:14" x14ac:dyDescent="0.3">
      <c r="A1558" s="3">
        <v>6882</v>
      </c>
      <c r="B1558" s="3" t="s">
        <v>30</v>
      </c>
      <c r="C1558" s="4">
        <v>45276</v>
      </c>
      <c r="D1558" s="3" t="s">
        <v>38</v>
      </c>
      <c r="E1558" s="3" t="s">
        <v>46</v>
      </c>
      <c r="F1558" s="5">
        <v>2</v>
      </c>
      <c r="G1558" s="6">
        <v>12.08</v>
      </c>
      <c r="H1558" s="6">
        <v>24.16</v>
      </c>
      <c r="I1558" s="6">
        <v>3.62</v>
      </c>
      <c r="J1558" s="6">
        <v>20.54</v>
      </c>
      <c r="K1558" s="5">
        <v>254</v>
      </c>
      <c r="L1558" s="13" t="str">
        <f t="shared" si="48"/>
        <v>Discount Applied</v>
      </c>
      <c r="M1558" s="13" t="str">
        <f t="shared" si="49"/>
        <v>Silver</v>
      </c>
      <c r="N1558" s="13"/>
    </row>
    <row r="1559" spans="1:14" x14ac:dyDescent="0.3">
      <c r="A1559" s="3">
        <v>8939</v>
      </c>
      <c r="B1559" s="3" t="s">
        <v>14</v>
      </c>
      <c r="C1559" s="4">
        <v>45276</v>
      </c>
      <c r="D1559" s="3" t="s">
        <v>15</v>
      </c>
      <c r="E1559" s="3" t="s">
        <v>33</v>
      </c>
      <c r="F1559" s="5">
        <v>2</v>
      </c>
      <c r="G1559" s="6">
        <v>17.75</v>
      </c>
      <c r="H1559" s="6">
        <v>35.5</v>
      </c>
      <c r="I1559" s="6">
        <v>7.1</v>
      </c>
      <c r="J1559" s="6">
        <v>28.4</v>
      </c>
      <c r="K1559" s="5">
        <v>12</v>
      </c>
      <c r="L1559" s="13" t="str">
        <f t="shared" si="48"/>
        <v>Discount Applied</v>
      </c>
      <c r="M1559" s="13" t="str">
        <f t="shared" si="49"/>
        <v>Silver</v>
      </c>
      <c r="N1559" s="13"/>
    </row>
    <row r="1560" spans="1:14" x14ac:dyDescent="0.3">
      <c r="A1560" s="3">
        <v>4196</v>
      </c>
      <c r="B1560" s="3" t="s">
        <v>26</v>
      </c>
      <c r="C1560" s="4">
        <v>45353</v>
      </c>
      <c r="D1560" s="3" t="s">
        <v>22</v>
      </c>
      <c r="E1560" s="3" t="s">
        <v>47</v>
      </c>
      <c r="F1560" s="5">
        <v>5</v>
      </c>
      <c r="G1560" s="6">
        <v>4.1500000000000004</v>
      </c>
      <c r="H1560" s="6">
        <v>20.75</v>
      </c>
      <c r="I1560" s="6">
        <v>4.1500000000000004</v>
      </c>
      <c r="J1560" s="6">
        <v>16.600000000000001</v>
      </c>
      <c r="K1560" s="5">
        <v>159</v>
      </c>
      <c r="L1560" s="13" t="str">
        <f t="shared" si="48"/>
        <v>Discount Applied</v>
      </c>
      <c r="M1560" s="13" t="str">
        <f t="shared" si="49"/>
        <v>Bronze</v>
      </c>
      <c r="N1560" s="13"/>
    </row>
    <row r="1561" spans="1:14" x14ac:dyDescent="0.3">
      <c r="A1561" s="3">
        <v>7290</v>
      </c>
      <c r="B1561" s="3" t="s">
        <v>11</v>
      </c>
      <c r="C1561" s="4">
        <v>45353</v>
      </c>
      <c r="D1561" s="3" t="s">
        <v>15</v>
      </c>
      <c r="E1561" s="3" t="s">
        <v>18</v>
      </c>
      <c r="F1561" s="5">
        <v>2</v>
      </c>
      <c r="G1561" s="6">
        <v>7.01</v>
      </c>
      <c r="H1561" s="6">
        <v>14.02</v>
      </c>
      <c r="I1561" s="6">
        <v>2</v>
      </c>
      <c r="J1561" s="6">
        <v>12.02</v>
      </c>
      <c r="K1561" s="5">
        <v>482</v>
      </c>
      <c r="L1561" s="13" t="str">
        <f t="shared" si="48"/>
        <v>Discount Applied</v>
      </c>
      <c r="M1561" s="13" t="str">
        <f t="shared" si="49"/>
        <v>Bronze</v>
      </c>
      <c r="N1561" s="13"/>
    </row>
    <row r="1562" spans="1:14" x14ac:dyDescent="0.3">
      <c r="A1562" s="3">
        <v>9109</v>
      </c>
      <c r="B1562" s="3" t="s">
        <v>19</v>
      </c>
      <c r="C1562" s="4">
        <v>45258</v>
      </c>
      <c r="D1562" s="3" t="s">
        <v>20</v>
      </c>
      <c r="E1562" s="3" t="s">
        <v>47</v>
      </c>
      <c r="F1562" s="5">
        <v>5</v>
      </c>
      <c r="G1562" s="6">
        <v>21.96</v>
      </c>
      <c r="H1562" s="6">
        <v>109.8</v>
      </c>
      <c r="I1562" s="6">
        <v>4.07</v>
      </c>
      <c r="J1562" s="6">
        <v>105.73</v>
      </c>
      <c r="K1562" s="5">
        <v>290</v>
      </c>
      <c r="L1562" s="13" t="str">
        <f t="shared" si="48"/>
        <v>Discount Applied</v>
      </c>
      <c r="M1562" s="13" t="str">
        <f t="shared" si="49"/>
        <v>Platinum</v>
      </c>
      <c r="N1562" s="13"/>
    </row>
    <row r="1563" spans="1:14" x14ac:dyDescent="0.3">
      <c r="A1563" s="3">
        <v>3740</v>
      </c>
      <c r="B1563" s="3" t="s">
        <v>30</v>
      </c>
      <c r="C1563" s="4">
        <v>45274</v>
      </c>
      <c r="D1563" s="3" t="s">
        <v>20</v>
      </c>
      <c r="E1563" s="3" t="s">
        <v>37</v>
      </c>
      <c r="F1563" s="5">
        <v>3</v>
      </c>
      <c r="G1563" s="6">
        <v>25.19</v>
      </c>
      <c r="H1563" s="6">
        <v>75.569999999999993</v>
      </c>
      <c r="I1563" s="6">
        <v>0</v>
      </c>
      <c r="J1563" s="6">
        <v>75.569999999999993</v>
      </c>
      <c r="K1563" s="5">
        <v>18</v>
      </c>
      <c r="L1563" s="13" t="str">
        <f t="shared" si="48"/>
        <v>No Discount</v>
      </c>
      <c r="M1563" s="13" t="str">
        <f t="shared" si="49"/>
        <v>Platinum</v>
      </c>
      <c r="N1563" s="13"/>
    </row>
    <row r="1564" spans="1:14" x14ac:dyDescent="0.3">
      <c r="A1564" s="3">
        <v>1505</v>
      </c>
      <c r="B1564" s="3" t="s">
        <v>24</v>
      </c>
      <c r="C1564" s="4">
        <v>45359</v>
      </c>
      <c r="D1564" s="3" t="s">
        <v>12</v>
      </c>
      <c r="E1564" s="3" t="s">
        <v>13</v>
      </c>
      <c r="F1564" s="5">
        <v>2</v>
      </c>
      <c r="G1564" s="6">
        <v>22.89</v>
      </c>
      <c r="H1564" s="6">
        <v>45.78</v>
      </c>
      <c r="I1564" s="6">
        <v>3</v>
      </c>
      <c r="J1564" s="6">
        <v>42.78</v>
      </c>
      <c r="K1564" s="5">
        <v>406</v>
      </c>
      <c r="L1564" s="13" t="str">
        <f t="shared" si="48"/>
        <v>Discount Applied</v>
      </c>
      <c r="M1564" s="13" t="str">
        <f t="shared" si="49"/>
        <v>Silver</v>
      </c>
      <c r="N1564" s="13"/>
    </row>
    <row r="1565" spans="1:14" x14ac:dyDescent="0.3">
      <c r="A1565" s="3">
        <v>1535</v>
      </c>
      <c r="B1565" s="3" t="s">
        <v>42</v>
      </c>
      <c r="C1565" s="4">
        <v>45377</v>
      </c>
      <c r="D1565" s="3" t="s">
        <v>22</v>
      </c>
      <c r="E1565" s="3" t="s">
        <v>33</v>
      </c>
      <c r="F1565" s="5">
        <v>4</v>
      </c>
      <c r="G1565" s="6">
        <v>15.91</v>
      </c>
      <c r="H1565" s="6">
        <v>63.64</v>
      </c>
      <c r="I1565" s="6">
        <v>2.7</v>
      </c>
      <c r="J1565" s="6">
        <v>60.94</v>
      </c>
      <c r="K1565" s="5">
        <v>439</v>
      </c>
      <c r="L1565" s="13" t="str">
        <f t="shared" si="48"/>
        <v>Discount Applied</v>
      </c>
      <c r="M1565" s="13" t="str">
        <f t="shared" si="49"/>
        <v>Gold</v>
      </c>
      <c r="N1565" s="13"/>
    </row>
    <row r="1566" spans="1:14" x14ac:dyDescent="0.3">
      <c r="A1566" s="3">
        <v>5729</v>
      </c>
      <c r="B1566" s="3" t="s">
        <v>11</v>
      </c>
      <c r="C1566" s="4">
        <v>45752</v>
      </c>
      <c r="D1566" s="3" t="s">
        <v>20</v>
      </c>
      <c r="E1566" s="3" t="s">
        <v>41</v>
      </c>
      <c r="F1566" s="5">
        <v>1</v>
      </c>
      <c r="G1566" s="6">
        <v>5.69</v>
      </c>
      <c r="H1566" s="6">
        <v>5.69</v>
      </c>
      <c r="I1566" s="6">
        <v>1.1399999999999999</v>
      </c>
      <c r="J1566" s="6">
        <v>4.55</v>
      </c>
      <c r="K1566" s="5">
        <v>383</v>
      </c>
      <c r="L1566" s="13" t="str">
        <f t="shared" si="48"/>
        <v>Discount Applied</v>
      </c>
      <c r="M1566" s="13" t="str">
        <f t="shared" si="49"/>
        <v>Bronze</v>
      </c>
      <c r="N1566" s="13"/>
    </row>
    <row r="1567" spans="1:14" x14ac:dyDescent="0.3">
      <c r="A1567" s="3">
        <v>8492</v>
      </c>
      <c r="B1567" s="3" t="s">
        <v>42</v>
      </c>
      <c r="C1567" s="4">
        <v>45425</v>
      </c>
      <c r="D1567" s="3" t="s">
        <v>45</v>
      </c>
      <c r="E1567" s="3" t="s">
        <v>48</v>
      </c>
      <c r="F1567" s="5">
        <v>1</v>
      </c>
      <c r="G1567" s="6">
        <v>26.67</v>
      </c>
      <c r="H1567" s="6">
        <v>26.67</v>
      </c>
      <c r="I1567" s="6">
        <v>0</v>
      </c>
      <c r="J1567" s="6">
        <v>26.67</v>
      </c>
      <c r="K1567" s="5">
        <v>253</v>
      </c>
      <c r="L1567" s="13" t="str">
        <f t="shared" si="48"/>
        <v>No Discount</v>
      </c>
      <c r="M1567" s="13" t="str">
        <f t="shared" si="49"/>
        <v>Silver</v>
      </c>
      <c r="N1567" s="13"/>
    </row>
    <row r="1568" spans="1:14" x14ac:dyDescent="0.3">
      <c r="A1568" s="3">
        <v>9115</v>
      </c>
      <c r="B1568" s="3" t="s">
        <v>14</v>
      </c>
      <c r="C1568" s="4">
        <v>45336</v>
      </c>
      <c r="D1568" s="3" t="s">
        <v>45</v>
      </c>
      <c r="E1568" s="3" t="s">
        <v>41</v>
      </c>
      <c r="F1568" s="5">
        <v>5</v>
      </c>
      <c r="G1568" s="6">
        <v>13.12</v>
      </c>
      <c r="H1568" s="6">
        <v>65.599999999999994</v>
      </c>
      <c r="I1568" s="6">
        <v>2.74</v>
      </c>
      <c r="J1568" s="6">
        <v>62.86</v>
      </c>
      <c r="K1568" s="5">
        <v>4</v>
      </c>
      <c r="L1568" s="13" t="str">
        <f t="shared" si="48"/>
        <v>Discount Applied</v>
      </c>
      <c r="M1568" s="13" t="str">
        <f t="shared" si="49"/>
        <v>Gold</v>
      </c>
      <c r="N1568" s="13"/>
    </row>
    <row r="1569" spans="1:14" x14ac:dyDescent="0.3">
      <c r="A1569" s="3">
        <v>9369</v>
      </c>
      <c r="B1569" s="3" t="s">
        <v>30</v>
      </c>
      <c r="C1569" s="4">
        <v>45606</v>
      </c>
      <c r="D1569" s="3" t="s">
        <v>27</v>
      </c>
      <c r="E1569" s="3" t="s">
        <v>13</v>
      </c>
      <c r="F1569" s="5">
        <v>5</v>
      </c>
      <c r="G1569" s="6">
        <v>10.34</v>
      </c>
      <c r="H1569" s="6">
        <v>51.7</v>
      </c>
      <c r="I1569" s="6">
        <v>3.6</v>
      </c>
      <c r="J1569" s="6">
        <v>48.1</v>
      </c>
      <c r="K1569" s="5">
        <v>455</v>
      </c>
      <c r="L1569" s="13" t="str">
        <f t="shared" si="48"/>
        <v>Discount Applied</v>
      </c>
      <c r="M1569" s="13" t="str">
        <f t="shared" si="49"/>
        <v>Silver</v>
      </c>
      <c r="N1569" s="13"/>
    </row>
    <row r="1570" spans="1:14" x14ac:dyDescent="0.3">
      <c r="A1570" s="3">
        <v>9898</v>
      </c>
      <c r="B1570" s="3" t="s">
        <v>19</v>
      </c>
      <c r="C1570" s="4">
        <v>45500</v>
      </c>
      <c r="D1570" s="3" t="s">
        <v>35</v>
      </c>
      <c r="E1570" s="3" t="s">
        <v>46</v>
      </c>
      <c r="F1570" s="5">
        <v>2</v>
      </c>
      <c r="G1570" s="6">
        <v>24.27</v>
      </c>
      <c r="H1570" s="6">
        <v>48.54</v>
      </c>
      <c r="I1570" s="6">
        <v>3.42</v>
      </c>
      <c r="J1570" s="6">
        <v>45.12</v>
      </c>
      <c r="K1570" s="5">
        <v>487</v>
      </c>
      <c r="L1570" s="13" t="str">
        <f t="shared" si="48"/>
        <v>Discount Applied</v>
      </c>
      <c r="M1570" s="13" t="str">
        <f t="shared" si="49"/>
        <v>Silver</v>
      </c>
      <c r="N1570" s="13"/>
    </row>
    <row r="1571" spans="1:14" x14ac:dyDescent="0.3">
      <c r="A1571" s="3">
        <v>7010</v>
      </c>
      <c r="B1571" s="3" t="s">
        <v>26</v>
      </c>
      <c r="C1571" s="4">
        <v>45250</v>
      </c>
      <c r="D1571" s="3" t="s">
        <v>45</v>
      </c>
      <c r="E1571" s="3" t="s">
        <v>44</v>
      </c>
      <c r="F1571" s="5">
        <v>3</v>
      </c>
      <c r="G1571" s="6">
        <v>27.88</v>
      </c>
      <c r="H1571" s="6">
        <v>83.64</v>
      </c>
      <c r="I1571" s="6">
        <v>16.73</v>
      </c>
      <c r="J1571" s="6">
        <v>66.91</v>
      </c>
      <c r="K1571" s="5">
        <v>368</v>
      </c>
      <c r="L1571" s="13" t="str">
        <f t="shared" si="48"/>
        <v>Discount Applied</v>
      </c>
      <c r="M1571" s="13" t="str">
        <f t="shared" si="49"/>
        <v>Gold</v>
      </c>
      <c r="N1571" s="13"/>
    </row>
    <row r="1572" spans="1:14" x14ac:dyDescent="0.3">
      <c r="A1572" s="3">
        <v>1681</v>
      </c>
      <c r="B1572" s="3" t="s">
        <v>14</v>
      </c>
      <c r="C1572" s="4">
        <v>45150</v>
      </c>
      <c r="D1572" s="3" t="s">
        <v>45</v>
      </c>
      <c r="E1572" s="3" t="s">
        <v>39</v>
      </c>
      <c r="F1572" s="5">
        <v>3</v>
      </c>
      <c r="G1572" s="6">
        <v>13.06</v>
      </c>
      <c r="H1572" s="6">
        <v>39.18</v>
      </c>
      <c r="I1572" s="6">
        <v>4.97</v>
      </c>
      <c r="J1572" s="6">
        <v>34.21</v>
      </c>
      <c r="K1572" s="5">
        <v>76</v>
      </c>
      <c r="L1572" s="13" t="str">
        <f t="shared" si="48"/>
        <v>Discount Applied</v>
      </c>
      <c r="M1572" s="13" t="str">
        <f t="shared" si="49"/>
        <v>Silver</v>
      </c>
      <c r="N1572" s="13"/>
    </row>
    <row r="1573" spans="1:14" x14ac:dyDescent="0.3">
      <c r="A1573" s="3">
        <v>8231</v>
      </c>
      <c r="B1573" s="3" t="s">
        <v>31</v>
      </c>
      <c r="C1573" s="4">
        <v>45403</v>
      </c>
      <c r="D1573" s="3" t="s">
        <v>35</v>
      </c>
      <c r="E1573" s="3" t="s">
        <v>44</v>
      </c>
      <c r="F1573" s="5">
        <v>2</v>
      </c>
      <c r="G1573" s="6">
        <v>21.12</v>
      </c>
      <c r="H1573" s="6">
        <v>42.24</v>
      </c>
      <c r="I1573" s="6">
        <v>6.34</v>
      </c>
      <c r="J1573" s="6">
        <v>35.9</v>
      </c>
      <c r="K1573" s="5">
        <v>275</v>
      </c>
      <c r="L1573" s="13" t="str">
        <f t="shared" si="48"/>
        <v>Discount Applied</v>
      </c>
      <c r="M1573" s="13" t="str">
        <f t="shared" si="49"/>
        <v>Silver</v>
      </c>
      <c r="N1573" s="13"/>
    </row>
    <row r="1574" spans="1:14" x14ac:dyDescent="0.3">
      <c r="A1574" s="3">
        <v>4580</v>
      </c>
      <c r="B1574" s="3" t="s">
        <v>11</v>
      </c>
      <c r="C1574" s="4">
        <v>45769</v>
      </c>
      <c r="D1574" s="3" t="s">
        <v>12</v>
      </c>
      <c r="E1574" s="3" t="s">
        <v>33</v>
      </c>
      <c r="F1574" s="5">
        <v>5</v>
      </c>
      <c r="G1574" s="6">
        <v>5.53</v>
      </c>
      <c r="H1574" s="6">
        <v>27.65</v>
      </c>
      <c r="I1574" s="6">
        <v>4.1500000000000004</v>
      </c>
      <c r="J1574" s="6">
        <v>23.5</v>
      </c>
      <c r="K1574" s="5">
        <v>179</v>
      </c>
      <c r="L1574" s="13" t="str">
        <f t="shared" si="48"/>
        <v>Discount Applied</v>
      </c>
      <c r="M1574" s="13" t="str">
        <f t="shared" si="49"/>
        <v>Silver</v>
      </c>
      <c r="N1574" s="13"/>
    </row>
    <row r="1575" spans="1:14" x14ac:dyDescent="0.3">
      <c r="A1575" s="3">
        <v>2677</v>
      </c>
      <c r="B1575" s="3"/>
      <c r="C1575" s="4">
        <v>45486</v>
      </c>
      <c r="D1575" s="3" t="s">
        <v>17</v>
      </c>
      <c r="E1575" s="3" t="s">
        <v>13</v>
      </c>
      <c r="F1575" s="5">
        <v>3</v>
      </c>
      <c r="G1575" s="6">
        <v>24.79</v>
      </c>
      <c r="H1575" s="6">
        <v>74.37</v>
      </c>
      <c r="I1575" s="6">
        <v>3.92</v>
      </c>
      <c r="J1575" s="6">
        <v>70.45</v>
      </c>
      <c r="K1575" s="5">
        <v>444</v>
      </c>
      <c r="L1575" s="13" t="str">
        <f t="shared" si="48"/>
        <v>Discount Applied</v>
      </c>
      <c r="M1575" s="13" t="str">
        <f t="shared" si="49"/>
        <v>Platinum</v>
      </c>
      <c r="N1575" s="13"/>
    </row>
    <row r="1576" spans="1:14" x14ac:dyDescent="0.3">
      <c r="A1576" s="3">
        <v>5055</v>
      </c>
      <c r="B1576" s="3" t="s">
        <v>36</v>
      </c>
      <c r="C1576" s="4">
        <v>45479</v>
      </c>
      <c r="D1576" s="3" t="s">
        <v>28</v>
      </c>
      <c r="E1576" s="3" t="s">
        <v>32</v>
      </c>
      <c r="F1576" s="5">
        <v>3</v>
      </c>
      <c r="G1576" s="6">
        <v>17.260000000000002</v>
      </c>
      <c r="H1576" s="6">
        <v>51.78</v>
      </c>
      <c r="I1576" s="6">
        <v>3.37</v>
      </c>
      <c r="J1576" s="6">
        <v>48.41</v>
      </c>
      <c r="K1576" s="5">
        <v>328</v>
      </c>
      <c r="L1576" s="13" t="str">
        <f t="shared" si="48"/>
        <v>Discount Applied</v>
      </c>
      <c r="M1576" s="13" t="str">
        <f t="shared" si="49"/>
        <v>Silver</v>
      </c>
      <c r="N1576" s="13"/>
    </row>
    <row r="1577" spans="1:14" x14ac:dyDescent="0.3">
      <c r="A1577" s="3">
        <v>1528</v>
      </c>
      <c r="B1577" s="3" t="s">
        <v>11</v>
      </c>
      <c r="C1577" s="4">
        <v>45378</v>
      </c>
      <c r="D1577" s="3" t="s">
        <v>17</v>
      </c>
      <c r="E1577" s="3" t="s">
        <v>13</v>
      </c>
      <c r="F1577" s="5">
        <v>2</v>
      </c>
      <c r="G1577" s="6">
        <v>8.6199999999999992</v>
      </c>
      <c r="H1577" s="6">
        <v>17.239999999999998</v>
      </c>
      <c r="I1577" s="6">
        <v>3.35</v>
      </c>
      <c r="J1577" s="6">
        <v>13.89</v>
      </c>
      <c r="K1577" s="5">
        <v>52</v>
      </c>
      <c r="L1577" s="13" t="str">
        <f t="shared" si="48"/>
        <v>Discount Applied</v>
      </c>
      <c r="M1577" s="13" t="str">
        <f t="shared" si="49"/>
        <v>Bronze</v>
      </c>
      <c r="N1577" s="13"/>
    </row>
    <row r="1578" spans="1:14" x14ac:dyDescent="0.3">
      <c r="A1578" s="3">
        <v>5305</v>
      </c>
      <c r="B1578" s="3"/>
      <c r="C1578" s="4">
        <v>45613</v>
      </c>
      <c r="D1578" s="3" t="s">
        <v>22</v>
      </c>
      <c r="E1578" s="3" t="s">
        <v>13</v>
      </c>
      <c r="F1578" s="5">
        <v>5</v>
      </c>
      <c r="G1578" s="6">
        <v>20.38</v>
      </c>
      <c r="H1578" s="6">
        <v>101.9</v>
      </c>
      <c r="I1578" s="6">
        <v>20.38</v>
      </c>
      <c r="J1578" s="6">
        <v>81.52</v>
      </c>
      <c r="K1578" s="5">
        <v>242</v>
      </c>
      <c r="L1578" s="13" t="str">
        <f t="shared" si="48"/>
        <v>Discount Applied</v>
      </c>
      <c r="M1578" s="13" t="str">
        <f t="shared" si="49"/>
        <v>Platinum</v>
      </c>
      <c r="N1578" s="13"/>
    </row>
    <row r="1579" spans="1:14" x14ac:dyDescent="0.3">
      <c r="A1579" s="3">
        <v>2425</v>
      </c>
      <c r="B1579" s="3" t="s">
        <v>31</v>
      </c>
      <c r="C1579" s="4">
        <v>45517</v>
      </c>
      <c r="D1579" s="3" t="s">
        <v>17</v>
      </c>
      <c r="E1579" s="3" t="s">
        <v>44</v>
      </c>
      <c r="F1579" s="5">
        <v>1</v>
      </c>
      <c r="G1579" s="6">
        <v>27.95</v>
      </c>
      <c r="H1579" s="6">
        <v>27.95</v>
      </c>
      <c r="I1579" s="6">
        <v>5.59</v>
      </c>
      <c r="J1579" s="6">
        <v>22.36</v>
      </c>
      <c r="K1579" s="5">
        <v>314</v>
      </c>
      <c r="L1579" s="13" t="str">
        <f t="shared" si="48"/>
        <v>Discount Applied</v>
      </c>
      <c r="M1579" s="13" t="str">
        <f t="shared" si="49"/>
        <v>Silver</v>
      </c>
      <c r="N1579" s="13"/>
    </row>
    <row r="1580" spans="1:14" x14ac:dyDescent="0.3">
      <c r="A1580" s="3">
        <v>4882</v>
      </c>
      <c r="B1580" s="3" t="s">
        <v>19</v>
      </c>
      <c r="C1580" s="4">
        <v>45282</v>
      </c>
      <c r="D1580" s="3" t="s">
        <v>45</v>
      </c>
      <c r="E1580" s="3" t="s">
        <v>39</v>
      </c>
      <c r="F1580" s="5">
        <v>3</v>
      </c>
      <c r="G1580" s="6">
        <v>3.25</v>
      </c>
      <c r="H1580" s="6">
        <v>9.75</v>
      </c>
      <c r="I1580" s="6">
        <v>1.95</v>
      </c>
      <c r="J1580" s="6">
        <v>7.8</v>
      </c>
      <c r="K1580" s="5">
        <v>496</v>
      </c>
      <c r="L1580" s="13" t="str">
        <f t="shared" si="48"/>
        <v>Discount Applied</v>
      </c>
      <c r="M1580" s="13" t="str">
        <f t="shared" si="49"/>
        <v>Bronze</v>
      </c>
      <c r="N1580" s="13"/>
    </row>
    <row r="1581" spans="1:14" x14ac:dyDescent="0.3">
      <c r="A1581" s="3">
        <v>6744</v>
      </c>
      <c r="B1581" s="3" t="s">
        <v>14</v>
      </c>
      <c r="C1581" s="4">
        <v>45392</v>
      </c>
      <c r="D1581" s="3" t="s">
        <v>45</v>
      </c>
      <c r="E1581" s="3" t="s">
        <v>16</v>
      </c>
      <c r="F1581" s="5">
        <v>4</v>
      </c>
      <c r="G1581" s="6">
        <v>10.48</v>
      </c>
      <c r="H1581" s="6">
        <v>41.92</v>
      </c>
      <c r="I1581" s="6">
        <v>8.3800000000000008</v>
      </c>
      <c r="J1581" s="6">
        <v>33.54</v>
      </c>
      <c r="K1581" s="5">
        <v>256</v>
      </c>
      <c r="L1581" s="13" t="str">
        <f t="shared" si="48"/>
        <v>Discount Applied</v>
      </c>
      <c r="M1581" s="13" t="str">
        <f t="shared" si="49"/>
        <v>Silver</v>
      </c>
      <c r="N1581" s="13"/>
    </row>
    <row r="1582" spans="1:14" x14ac:dyDescent="0.3">
      <c r="A1582" s="3">
        <v>8015</v>
      </c>
      <c r="B1582" s="3" t="s">
        <v>14</v>
      </c>
      <c r="C1582" s="4">
        <v>45715</v>
      </c>
      <c r="D1582" s="3" t="s">
        <v>20</v>
      </c>
      <c r="E1582" s="3" t="s">
        <v>32</v>
      </c>
      <c r="F1582" s="5">
        <v>4</v>
      </c>
      <c r="G1582" s="6">
        <v>21.47</v>
      </c>
      <c r="H1582" s="6">
        <v>85.88</v>
      </c>
      <c r="I1582" s="6">
        <v>2.27</v>
      </c>
      <c r="J1582" s="6">
        <v>83.61</v>
      </c>
      <c r="K1582" s="5">
        <v>181</v>
      </c>
      <c r="L1582" s="13" t="str">
        <f t="shared" si="48"/>
        <v>Discount Applied</v>
      </c>
      <c r="M1582" s="13" t="str">
        <f t="shared" si="49"/>
        <v>Platinum</v>
      </c>
      <c r="N1582" s="13"/>
    </row>
    <row r="1583" spans="1:14" x14ac:dyDescent="0.3">
      <c r="A1583" s="3">
        <v>3281</v>
      </c>
      <c r="B1583" s="3" t="s">
        <v>11</v>
      </c>
      <c r="C1583" s="4">
        <v>45592</v>
      </c>
      <c r="D1583" s="3" t="s">
        <v>28</v>
      </c>
      <c r="E1583" s="3" t="s">
        <v>44</v>
      </c>
      <c r="F1583" s="5">
        <v>2</v>
      </c>
      <c r="G1583" s="6">
        <v>28.41</v>
      </c>
      <c r="H1583" s="6">
        <v>56.82</v>
      </c>
      <c r="I1583" s="6">
        <v>0</v>
      </c>
      <c r="J1583" s="6">
        <v>56.82</v>
      </c>
      <c r="K1583" s="5">
        <v>426</v>
      </c>
      <c r="L1583" s="13" t="str">
        <f t="shared" si="48"/>
        <v>No Discount</v>
      </c>
      <c r="M1583" s="13" t="str">
        <f t="shared" si="49"/>
        <v>Gold</v>
      </c>
      <c r="N1583" s="13"/>
    </row>
    <row r="1584" spans="1:14" x14ac:dyDescent="0.3">
      <c r="A1584" s="3">
        <v>4385</v>
      </c>
      <c r="B1584" s="3" t="s">
        <v>19</v>
      </c>
      <c r="C1584" s="4">
        <v>45398</v>
      </c>
      <c r="D1584" s="3" t="s">
        <v>20</v>
      </c>
      <c r="E1584" s="3" t="s">
        <v>18</v>
      </c>
      <c r="F1584" s="5">
        <v>4</v>
      </c>
      <c r="G1584" s="6">
        <v>15.2</v>
      </c>
      <c r="H1584" s="6">
        <v>60.8</v>
      </c>
      <c r="I1584" s="6">
        <v>0</v>
      </c>
      <c r="J1584" s="6">
        <v>60.8</v>
      </c>
      <c r="K1584" s="5">
        <v>403</v>
      </c>
      <c r="L1584" s="13" t="str">
        <f t="shared" si="48"/>
        <v>No Discount</v>
      </c>
      <c r="M1584" s="13" t="str">
        <f t="shared" si="49"/>
        <v>Gold</v>
      </c>
      <c r="N1584" s="13"/>
    </row>
    <row r="1585" spans="1:14" x14ac:dyDescent="0.3">
      <c r="A1585" s="3">
        <v>4390</v>
      </c>
      <c r="B1585" s="3" t="s">
        <v>11</v>
      </c>
      <c r="C1585" s="4">
        <v>45362</v>
      </c>
      <c r="D1585" s="3" t="s">
        <v>38</v>
      </c>
      <c r="E1585" s="3" t="s">
        <v>16</v>
      </c>
      <c r="F1585" s="5">
        <v>3</v>
      </c>
      <c r="G1585" s="6">
        <v>6.15</v>
      </c>
      <c r="H1585" s="6">
        <v>18.45</v>
      </c>
      <c r="I1585" s="6">
        <v>1.84</v>
      </c>
      <c r="J1585" s="6">
        <v>16.61</v>
      </c>
      <c r="K1585" s="5">
        <v>443</v>
      </c>
      <c r="L1585" s="13" t="str">
        <f t="shared" si="48"/>
        <v>Discount Applied</v>
      </c>
      <c r="M1585" s="13" t="str">
        <f t="shared" si="49"/>
        <v>Bronze</v>
      </c>
      <c r="N1585" s="13"/>
    </row>
    <row r="1586" spans="1:14" x14ac:dyDescent="0.3">
      <c r="A1586" s="3">
        <v>1972</v>
      </c>
      <c r="B1586" s="3" t="s">
        <v>36</v>
      </c>
      <c r="C1586" s="4">
        <v>45428</v>
      </c>
      <c r="D1586" s="3" t="s">
        <v>20</v>
      </c>
      <c r="E1586" s="3" t="s">
        <v>44</v>
      </c>
      <c r="F1586" s="5">
        <v>5</v>
      </c>
      <c r="G1586" s="6">
        <v>17.22</v>
      </c>
      <c r="H1586" s="6">
        <v>86.1</v>
      </c>
      <c r="I1586" s="6">
        <v>8.61</v>
      </c>
      <c r="J1586" s="6">
        <v>77.489999999999995</v>
      </c>
      <c r="K1586" s="5">
        <v>471</v>
      </c>
      <c r="L1586" s="13" t="str">
        <f t="shared" si="48"/>
        <v>Discount Applied</v>
      </c>
      <c r="M1586" s="13" t="str">
        <f t="shared" si="49"/>
        <v>Platinum</v>
      </c>
      <c r="N1586" s="13"/>
    </row>
    <row r="1587" spans="1:14" x14ac:dyDescent="0.3">
      <c r="A1587" s="3">
        <v>6747</v>
      </c>
      <c r="B1587" s="3" t="s">
        <v>36</v>
      </c>
      <c r="C1587" s="4">
        <v>45868</v>
      </c>
      <c r="D1587" s="3" t="s">
        <v>34</v>
      </c>
      <c r="E1587" s="3" t="s">
        <v>39</v>
      </c>
      <c r="F1587" s="5">
        <v>2</v>
      </c>
      <c r="G1587" s="6">
        <v>13.81</v>
      </c>
      <c r="H1587" s="6">
        <v>27.62</v>
      </c>
      <c r="I1587" s="6">
        <v>3.34</v>
      </c>
      <c r="J1587" s="6">
        <v>24.28</v>
      </c>
      <c r="K1587" s="5">
        <v>269</v>
      </c>
      <c r="L1587" s="13" t="str">
        <f t="shared" si="48"/>
        <v>Discount Applied</v>
      </c>
      <c r="M1587" s="13" t="str">
        <f t="shared" si="49"/>
        <v>Silver</v>
      </c>
      <c r="N1587" s="13"/>
    </row>
    <row r="1588" spans="1:14" x14ac:dyDescent="0.3">
      <c r="A1588" s="3">
        <v>5605</v>
      </c>
      <c r="B1588" s="3" t="s">
        <v>36</v>
      </c>
      <c r="C1588" s="4">
        <v>45604</v>
      </c>
      <c r="D1588" s="3" t="s">
        <v>15</v>
      </c>
      <c r="E1588" s="3" t="s">
        <v>23</v>
      </c>
      <c r="F1588" s="5">
        <v>3</v>
      </c>
      <c r="G1588" s="6">
        <v>15.57</v>
      </c>
      <c r="H1588" s="6">
        <v>46.71</v>
      </c>
      <c r="I1588" s="6">
        <v>3.59</v>
      </c>
      <c r="J1588" s="6">
        <v>43.12</v>
      </c>
      <c r="K1588" s="5">
        <v>6</v>
      </c>
      <c r="L1588" s="13" t="str">
        <f t="shared" si="48"/>
        <v>Discount Applied</v>
      </c>
      <c r="M1588" s="13" t="str">
        <f t="shared" si="49"/>
        <v>Silver</v>
      </c>
      <c r="N1588" s="13"/>
    </row>
    <row r="1589" spans="1:14" x14ac:dyDescent="0.3">
      <c r="A1589" s="3">
        <v>9827</v>
      </c>
      <c r="B1589" s="3" t="s">
        <v>26</v>
      </c>
      <c r="C1589" s="4">
        <v>45284</v>
      </c>
      <c r="D1589" s="3" t="s">
        <v>20</v>
      </c>
      <c r="E1589" s="3" t="s">
        <v>40</v>
      </c>
      <c r="F1589" s="5">
        <v>3</v>
      </c>
      <c r="G1589" s="6">
        <v>8.94</v>
      </c>
      <c r="H1589" s="6">
        <v>26.82</v>
      </c>
      <c r="I1589" s="6">
        <v>0</v>
      </c>
      <c r="J1589" s="6">
        <v>26.82</v>
      </c>
      <c r="K1589" s="5">
        <v>29</v>
      </c>
      <c r="L1589" s="13" t="str">
        <f t="shared" si="48"/>
        <v>No Discount</v>
      </c>
      <c r="M1589" s="13" t="str">
        <f t="shared" si="49"/>
        <v>Silver</v>
      </c>
      <c r="N1589" s="13"/>
    </row>
    <row r="1590" spans="1:14" x14ac:dyDescent="0.3">
      <c r="A1590" s="3">
        <v>6302</v>
      </c>
      <c r="B1590" s="3" t="s">
        <v>26</v>
      </c>
      <c r="C1590" s="4">
        <v>45709</v>
      </c>
      <c r="D1590" s="3" t="s">
        <v>28</v>
      </c>
      <c r="E1590" s="3" t="s">
        <v>33</v>
      </c>
      <c r="F1590" s="5">
        <v>4</v>
      </c>
      <c r="G1590" s="6">
        <v>6.03</v>
      </c>
      <c r="H1590" s="6">
        <v>24.12</v>
      </c>
      <c r="I1590" s="6">
        <v>2.48</v>
      </c>
      <c r="J1590" s="6">
        <v>21.64</v>
      </c>
      <c r="K1590" s="5">
        <v>383</v>
      </c>
      <c r="L1590" s="13" t="str">
        <f t="shared" si="48"/>
        <v>Discount Applied</v>
      </c>
      <c r="M1590" s="13" t="str">
        <f t="shared" si="49"/>
        <v>Silver</v>
      </c>
      <c r="N1590" s="13"/>
    </row>
    <row r="1591" spans="1:14" x14ac:dyDescent="0.3">
      <c r="A1591" s="3">
        <v>5794</v>
      </c>
      <c r="B1591" s="3" t="s">
        <v>19</v>
      </c>
      <c r="C1591" s="4">
        <v>45695</v>
      </c>
      <c r="D1591" s="3" t="s">
        <v>34</v>
      </c>
      <c r="E1591" s="3" t="s">
        <v>41</v>
      </c>
      <c r="F1591" s="5">
        <v>1</v>
      </c>
      <c r="G1591" s="6">
        <v>13.16</v>
      </c>
      <c r="H1591" s="6">
        <v>13.16</v>
      </c>
      <c r="I1591" s="6">
        <v>2.77</v>
      </c>
      <c r="J1591" s="6">
        <v>10.39</v>
      </c>
      <c r="K1591" s="5">
        <v>433</v>
      </c>
      <c r="L1591" s="13" t="str">
        <f t="shared" si="48"/>
        <v>Discount Applied</v>
      </c>
      <c r="M1591" s="13" t="str">
        <f t="shared" si="49"/>
        <v>Bronze</v>
      </c>
      <c r="N1591" s="13"/>
    </row>
    <row r="1592" spans="1:14" x14ac:dyDescent="0.3">
      <c r="A1592" s="3">
        <v>5380</v>
      </c>
      <c r="B1592" s="3" t="s">
        <v>31</v>
      </c>
      <c r="C1592" s="4">
        <v>45485</v>
      </c>
      <c r="D1592" s="3" t="s">
        <v>22</v>
      </c>
      <c r="E1592" s="3" t="s">
        <v>48</v>
      </c>
      <c r="F1592" s="5">
        <v>5</v>
      </c>
      <c r="G1592" s="6">
        <v>9.0399999999999991</v>
      </c>
      <c r="H1592" s="6">
        <v>45.2</v>
      </c>
      <c r="I1592" s="6">
        <v>0</v>
      </c>
      <c r="J1592" s="6">
        <v>45.2</v>
      </c>
      <c r="K1592" s="5">
        <v>436</v>
      </c>
      <c r="L1592" s="13" t="str">
        <f t="shared" si="48"/>
        <v>No Discount</v>
      </c>
      <c r="M1592" s="13" t="str">
        <f t="shared" si="49"/>
        <v>Silver</v>
      </c>
      <c r="N1592" s="13"/>
    </row>
    <row r="1593" spans="1:14" x14ac:dyDescent="0.3">
      <c r="A1593" s="3">
        <v>9428</v>
      </c>
      <c r="B1593" s="3" t="s">
        <v>31</v>
      </c>
      <c r="C1593" s="4">
        <v>45790</v>
      </c>
      <c r="D1593" s="3" t="s">
        <v>22</v>
      </c>
      <c r="E1593" s="3" t="s">
        <v>21</v>
      </c>
      <c r="F1593" s="5">
        <v>2</v>
      </c>
      <c r="G1593" s="6">
        <v>27.26</v>
      </c>
      <c r="H1593" s="6">
        <v>54.52</v>
      </c>
      <c r="I1593" s="6">
        <v>1.06</v>
      </c>
      <c r="J1593" s="6">
        <v>53.46</v>
      </c>
      <c r="K1593" s="5">
        <v>300</v>
      </c>
      <c r="L1593" s="13" t="str">
        <f t="shared" si="48"/>
        <v>Discount Applied</v>
      </c>
      <c r="M1593" s="13" t="str">
        <f t="shared" si="49"/>
        <v>Gold</v>
      </c>
      <c r="N1593" s="13"/>
    </row>
    <row r="1594" spans="1:14" x14ac:dyDescent="0.3">
      <c r="A1594" s="3">
        <v>2560</v>
      </c>
      <c r="B1594" s="3" t="s">
        <v>24</v>
      </c>
      <c r="C1594" s="4">
        <v>45781</v>
      </c>
      <c r="D1594" s="3" t="s">
        <v>20</v>
      </c>
      <c r="E1594" s="3" t="s">
        <v>40</v>
      </c>
      <c r="F1594" s="5">
        <v>1</v>
      </c>
      <c r="G1594" s="6">
        <v>6.59</v>
      </c>
      <c r="H1594" s="6">
        <v>6.59</v>
      </c>
      <c r="I1594" s="6">
        <v>0</v>
      </c>
      <c r="J1594" s="6">
        <v>6.59</v>
      </c>
      <c r="K1594" s="5">
        <v>389</v>
      </c>
      <c r="L1594" s="13" t="str">
        <f t="shared" si="48"/>
        <v>No Discount</v>
      </c>
      <c r="M1594" s="13" t="str">
        <f t="shared" si="49"/>
        <v>Bronze</v>
      </c>
      <c r="N1594" s="13"/>
    </row>
    <row r="1595" spans="1:14" x14ac:dyDescent="0.3">
      <c r="A1595" s="3">
        <v>7743</v>
      </c>
      <c r="B1595" s="3" t="s">
        <v>30</v>
      </c>
      <c r="C1595" s="4">
        <v>45667</v>
      </c>
      <c r="D1595" s="3" t="s">
        <v>15</v>
      </c>
      <c r="E1595" s="3" t="s">
        <v>29</v>
      </c>
      <c r="F1595" s="5">
        <v>4</v>
      </c>
      <c r="G1595" s="6">
        <v>2.2799999999999998</v>
      </c>
      <c r="H1595" s="6">
        <v>9.1199999999999992</v>
      </c>
      <c r="I1595" s="6">
        <v>0</v>
      </c>
      <c r="J1595" s="6">
        <v>9.1199999999999992</v>
      </c>
      <c r="K1595" s="5">
        <v>311</v>
      </c>
      <c r="L1595" s="13" t="str">
        <f t="shared" si="48"/>
        <v>No Discount</v>
      </c>
      <c r="M1595" s="13" t="str">
        <f t="shared" si="49"/>
        <v>Bronze</v>
      </c>
      <c r="N1595" s="13"/>
    </row>
    <row r="1596" spans="1:14" x14ac:dyDescent="0.3">
      <c r="A1596" s="3">
        <v>1971</v>
      </c>
      <c r="B1596" s="3" t="s">
        <v>14</v>
      </c>
      <c r="C1596" s="4">
        <v>45253</v>
      </c>
      <c r="D1596" s="3" t="s">
        <v>20</v>
      </c>
      <c r="E1596" s="3" t="s">
        <v>29</v>
      </c>
      <c r="F1596" s="5">
        <v>1</v>
      </c>
      <c r="G1596" s="6">
        <v>10.01</v>
      </c>
      <c r="H1596" s="6">
        <v>10.01</v>
      </c>
      <c r="I1596" s="6">
        <v>2.37</v>
      </c>
      <c r="J1596" s="6">
        <v>7.64</v>
      </c>
      <c r="K1596" s="5">
        <v>287</v>
      </c>
      <c r="L1596" s="13" t="str">
        <f t="shared" si="48"/>
        <v>Discount Applied</v>
      </c>
      <c r="M1596" s="13" t="str">
        <f t="shared" si="49"/>
        <v>Bronze</v>
      </c>
      <c r="N1596" s="13"/>
    </row>
    <row r="1597" spans="1:14" x14ac:dyDescent="0.3">
      <c r="A1597" s="3">
        <v>3078</v>
      </c>
      <c r="B1597" s="3" t="s">
        <v>11</v>
      </c>
      <c r="C1597" s="4">
        <v>45332</v>
      </c>
      <c r="D1597" s="3" t="s">
        <v>28</v>
      </c>
      <c r="E1597" s="3" t="s">
        <v>33</v>
      </c>
      <c r="F1597" s="5">
        <v>1</v>
      </c>
      <c r="G1597" s="6">
        <v>4.3600000000000003</v>
      </c>
      <c r="H1597" s="6">
        <v>4.3600000000000003</v>
      </c>
      <c r="I1597" s="6">
        <v>0</v>
      </c>
      <c r="J1597" s="6">
        <v>4.3600000000000003</v>
      </c>
      <c r="K1597" s="5">
        <v>46</v>
      </c>
      <c r="L1597" s="13" t="str">
        <f t="shared" si="48"/>
        <v>No Discount</v>
      </c>
      <c r="M1597" s="13" t="str">
        <f t="shared" si="49"/>
        <v>Bronze</v>
      </c>
      <c r="N1597" s="13"/>
    </row>
    <row r="1598" spans="1:14" x14ac:dyDescent="0.3">
      <c r="A1598" s="3">
        <v>3174</v>
      </c>
      <c r="B1598" s="3" t="s">
        <v>11</v>
      </c>
      <c r="C1598" s="4">
        <v>45656</v>
      </c>
      <c r="D1598" s="3" t="s">
        <v>34</v>
      </c>
      <c r="E1598" s="3" t="s">
        <v>21</v>
      </c>
      <c r="F1598" s="5">
        <v>5</v>
      </c>
      <c r="G1598" s="6">
        <v>19.16</v>
      </c>
      <c r="H1598" s="6">
        <v>95.8</v>
      </c>
      <c r="I1598" s="6">
        <v>1.87</v>
      </c>
      <c r="J1598" s="6">
        <v>93.93</v>
      </c>
      <c r="K1598" s="5">
        <v>10</v>
      </c>
      <c r="L1598" s="13" t="str">
        <f t="shared" si="48"/>
        <v>Discount Applied</v>
      </c>
      <c r="M1598" s="13" t="str">
        <f t="shared" si="49"/>
        <v>Platinum</v>
      </c>
      <c r="N1598" s="13"/>
    </row>
    <row r="1599" spans="1:14" x14ac:dyDescent="0.3">
      <c r="A1599" s="3">
        <v>3396</v>
      </c>
      <c r="B1599" s="3" t="s">
        <v>36</v>
      </c>
      <c r="C1599" s="4">
        <v>45700</v>
      </c>
      <c r="D1599" s="3" t="s">
        <v>45</v>
      </c>
      <c r="E1599" s="3" t="s">
        <v>43</v>
      </c>
      <c r="F1599" s="5">
        <v>2</v>
      </c>
      <c r="G1599" s="6">
        <v>9.92</v>
      </c>
      <c r="H1599" s="6">
        <v>19.84</v>
      </c>
      <c r="I1599" s="6">
        <v>0</v>
      </c>
      <c r="J1599" s="6">
        <v>19.84</v>
      </c>
      <c r="K1599" s="5">
        <v>348</v>
      </c>
      <c r="L1599" s="13" t="str">
        <f t="shared" si="48"/>
        <v>No Discount</v>
      </c>
      <c r="M1599" s="13" t="str">
        <f t="shared" si="49"/>
        <v>Bronze</v>
      </c>
      <c r="N1599" s="13"/>
    </row>
    <row r="1600" spans="1:14" x14ac:dyDescent="0.3">
      <c r="A1600" s="3">
        <v>6277</v>
      </c>
      <c r="B1600" s="3" t="s">
        <v>19</v>
      </c>
      <c r="C1600" s="4">
        <v>45757</v>
      </c>
      <c r="D1600" s="3" t="s">
        <v>35</v>
      </c>
      <c r="E1600" s="3" t="s">
        <v>40</v>
      </c>
      <c r="F1600" s="5">
        <v>4</v>
      </c>
      <c r="G1600" s="6">
        <v>21.46</v>
      </c>
      <c r="H1600" s="6">
        <v>85.84</v>
      </c>
      <c r="I1600" s="6">
        <v>17.170000000000002</v>
      </c>
      <c r="J1600" s="6">
        <v>68.67</v>
      </c>
      <c r="K1600" s="5">
        <v>91</v>
      </c>
      <c r="L1600" s="13" t="str">
        <f t="shared" si="48"/>
        <v>Discount Applied</v>
      </c>
      <c r="M1600" s="13" t="str">
        <f t="shared" si="49"/>
        <v>Gold</v>
      </c>
      <c r="N1600" s="13"/>
    </row>
    <row r="1601" spans="1:14" x14ac:dyDescent="0.3">
      <c r="A1601" s="3">
        <v>7434</v>
      </c>
      <c r="B1601" s="3" t="s">
        <v>36</v>
      </c>
      <c r="C1601" s="4">
        <v>45202</v>
      </c>
      <c r="D1601" s="3" t="s">
        <v>20</v>
      </c>
      <c r="E1601" s="3" t="s">
        <v>25</v>
      </c>
      <c r="F1601" s="5">
        <v>2</v>
      </c>
      <c r="G1601" s="6">
        <v>8.9</v>
      </c>
      <c r="H1601" s="6">
        <v>17.8</v>
      </c>
      <c r="I1601" s="6">
        <v>2.67</v>
      </c>
      <c r="J1601" s="6">
        <v>15.13</v>
      </c>
      <c r="K1601" s="5">
        <v>102</v>
      </c>
      <c r="L1601" s="13" t="str">
        <f t="shared" si="48"/>
        <v>Discount Applied</v>
      </c>
      <c r="M1601" s="13" t="str">
        <f t="shared" si="49"/>
        <v>Bronze</v>
      </c>
      <c r="N1601" s="13"/>
    </row>
    <row r="1602" spans="1:14" x14ac:dyDescent="0.3">
      <c r="A1602" s="3">
        <v>3329</v>
      </c>
      <c r="B1602" s="3" t="s">
        <v>30</v>
      </c>
      <c r="C1602" s="4">
        <v>45609</v>
      </c>
      <c r="D1602" s="3" t="s">
        <v>45</v>
      </c>
      <c r="E1602" s="3" t="s">
        <v>13</v>
      </c>
      <c r="F1602" s="5">
        <v>1</v>
      </c>
      <c r="G1602" s="6">
        <v>15.2</v>
      </c>
      <c r="H1602" s="6">
        <v>15.2</v>
      </c>
      <c r="I1602" s="6">
        <v>2.2799999999999998</v>
      </c>
      <c r="J1602" s="6">
        <v>12.92</v>
      </c>
      <c r="K1602" s="5">
        <v>296</v>
      </c>
      <c r="L1602" s="13" t="str">
        <f t="shared" si="48"/>
        <v>Discount Applied</v>
      </c>
      <c r="M1602" s="13" t="str">
        <f t="shared" si="49"/>
        <v>Bronze</v>
      </c>
      <c r="N1602" s="13"/>
    </row>
    <row r="1603" spans="1:14" x14ac:dyDescent="0.3">
      <c r="A1603" s="3">
        <v>5402</v>
      </c>
      <c r="B1603" s="3" t="s">
        <v>14</v>
      </c>
      <c r="C1603" s="4">
        <v>45597</v>
      </c>
      <c r="D1603" s="3" t="s">
        <v>45</v>
      </c>
      <c r="E1603" s="3" t="s">
        <v>29</v>
      </c>
      <c r="F1603" s="5">
        <v>1</v>
      </c>
      <c r="G1603" s="6">
        <v>28.53</v>
      </c>
      <c r="H1603" s="6">
        <v>28.53</v>
      </c>
      <c r="I1603" s="6">
        <v>5.71</v>
      </c>
      <c r="J1603" s="6">
        <v>22.82</v>
      </c>
      <c r="K1603" s="5">
        <v>299</v>
      </c>
      <c r="L1603" s="13" t="str">
        <f t="shared" ref="L1603:L1666" si="50">IF(I1603&gt;0,"Discount Applied","No Discount")</f>
        <v>Discount Applied</v>
      </c>
      <c r="M1603" s="13" t="str">
        <f t="shared" ref="M1603:M1666" si="51">IF(J1603 &gt;= 70, "Platinum",
   IF(J1603 &gt;= 50, "Gold",
      IF(J1603 &gt;= 20, "Silver", "Bronze")))</f>
        <v>Silver</v>
      </c>
      <c r="N1603" s="13"/>
    </row>
    <row r="1604" spans="1:14" x14ac:dyDescent="0.3">
      <c r="A1604" s="3">
        <v>7786</v>
      </c>
      <c r="B1604" s="3" t="s">
        <v>14</v>
      </c>
      <c r="C1604" s="4">
        <v>45560</v>
      </c>
      <c r="D1604" s="3" t="s">
        <v>28</v>
      </c>
      <c r="E1604" s="3" t="s">
        <v>44</v>
      </c>
      <c r="F1604" s="5">
        <v>4</v>
      </c>
      <c r="G1604" s="6">
        <v>11.05</v>
      </c>
      <c r="H1604" s="6">
        <v>44.2</v>
      </c>
      <c r="I1604" s="6">
        <v>8.84</v>
      </c>
      <c r="J1604" s="6">
        <v>35.36</v>
      </c>
      <c r="K1604" s="5">
        <v>415</v>
      </c>
      <c r="L1604" s="13" t="str">
        <f t="shared" si="50"/>
        <v>Discount Applied</v>
      </c>
      <c r="M1604" s="13" t="str">
        <f t="shared" si="51"/>
        <v>Silver</v>
      </c>
      <c r="N1604" s="13"/>
    </row>
    <row r="1605" spans="1:14" x14ac:dyDescent="0.3">
      <c r="A1605" s="3">
        <v>8405</v>
      </c>
      <c r="B1605" s="3" t="s">
        <v>36</v>
      </c>
      <c r="C1605" s="4">
        <v>45862</v>
      </c>
      <c r="D1605" s="3" t="s">
        <v>38</v>
      </c>
      <c r="E1605" s="3" t="s">
        <v>18</v>
      </c>
      <c r="F1605" s="5">
        <v>3</v>
      </c>
      <c r="G1605" s="6">
        <v>3.62</v>
      </c>
      <c r="H1605" s="6">
        <v>10.86</v>
      </c>
      <c r="I1605" s="6">
        <v>1.63</v>
      </c>
      <c r="J1605" s="6">
        <v>9.23</v>
      </c>
      <c r="K1605" s="5">
        <v>395</v>
      </c>
      <c r="L1605" s="13" t="str">
        <f t="shared" si="50"/>
        <v>Discount Applied</v>
      </c>
      <c r="M1605" s="13" t="str">
        <f t="shared" si="51"/>
        <v>Bronze</v>
      </c>
      <c r="N1605" s="13"/>
    </row>
    <row r="1606" spans="1:14" x14ac:dyDescent="0.3">
      <c r="A1606" s="3">
        <v>2525</v>
      </c>
      <c r="B1606" s="3" t="s">
        <v>42</v>
      </c>
      <c r="C1606" s="4">
        <v>45567</v>
      </c>
      <c r="D1606" s="3" t="s">
        <v>45</v>
      </c>
      <c r="E1606" s="3" t="s">
        <v>13</v>
      </c>
      <c r="F1606" s="5">
        <v>1</v>
      </c>
      <c r="G1606" s="6">
        <v>27.73</v>
      </c>
      <c r="H1606" s="6">
        <v>27.73</v>
      </c>
      <c r="I1606" s="6">
        <v>2.77</v>
      </c>
      <c r="J1606" s="6">
        <v>24.96</v>
      </c>
      <c r="K1606" s="5">
        <v>264</v>
      </c>
      <c r="L1606" s="13" t="str">
        <f t="shared" si="50"/>
        <v>Discount Applied</v>
      </c>
      <c r="M1606" s="13" t="str">
        <f t="shared" si="51"/>
        <v>Silver</v>
      </c>
      <c r="N1606" s="13"/>
    </row>
    <row r="1607" spans="1:14" x14ac:dyDescent="0.3">
      <c r="A1607" s="3">
        <v>9447</v>
      </c>
      <c r="B1607" s="3" t="s">
        <v>19</v>
      </c>
      <c r="C1607" s="4">
        <v>45759</v>
      </c>
      <c r="D1607" s="3" t="s">
        <v>45</v>
      </c>
      <c r="E1607" s="3" t="s">
        <v>21</v>
      </c>
      <c r="F1607" s="5">
        <v>3</v>
      </c>
      <c r="G1607" s="6">
        <v>17.34</v>
      </c>
      <c r="H1607" s="6">
        <v>52.02</v>
      </c>
      <c r="I1607" s="6">
        <v>7.8</v>
      </c>
      <c r="J1607" s="6">
        <v>44.22</v>
      </c>
      <c r="K1607" s="5">
        <v>337</v>
      </c>
      <c r="L1607" s="13" t="str">
        <f t="shared" si="50"/>
        <v>Discount Applied</v>
      </c>
      <c r="M1607" s="13" t="str">
        <f t="shared" si="51"/>
        <v>Silver</v>
      </c>
      <c r="N1607" s="13"/>
    </row>
    <row r="1608" spans="1:14" x14ac:dyDescent="0.3">
      <c r="A1608" s="3">
        <v>5558</v>
      </c>
      <c r="B1608" s="3" t="s">
        <v>11</v>
      </c>
      <c r="C1608" s="4">
        <v>45689</v>
      </c>
      <c r="D1608" s="3" t="s">
        <v>27</v>
      </c>
      <c r="E1608" s="3" t="s">
        <v>23</v>
      </c>
      <c r="F1608" s="5">
        <v>1</v>
      </c>
      <c r="G1608" s="6">
        <v>5.59</v>
      </c>
      <c r="H1608" s="6">
        <v>5.59</v>
      </c>
      <c r="I1608" s="6">
        <v>0.84</v>
      </c>
      <c r="J1608" s="6">
        <v>4.75</v>
      </c>
      <c r="K1608" s="5">
        <v>243</v>
      </c>
      <c r="L1608" s="13" t="str">
        <f t="shared" si="50"/>
        <v>Discount Applied</v>
      </c>
      <c r="M1608" s="13" t="str">
        <f t="shared" si="51"/>
        <v>Bronze</v>
      </c>
      <c r="N1608" s="13"/>
    </row>
    <row r="1609" spans="1:14" x14ac:dyDescent="0.3">
      <c r="A1609" s="3">
        <v>8996</v>
      </c>
      <c r="B1609" s="3" t="s">
        <v>11</v>
      </c>
      <c r="C1609" s="4">
        <v>45606</v>
      </c>
      <c r="D1609" s="3" t="s">
        <v>34</v>
      </c>
      <c r="E1609" s="3" t="s">
        <v>23</v>
      </c>
      <c r="F1609" s="5">
        <v>3</v>
      </c>
      <c r="G1609" s="6">
        <v>5.71</v>
      </c>
      <c r="H1609" s="6">
        <v>17.13</v>
      </c>
      <c r="I1609" s="6">
        <v>2.76</v>
      </c>
      <c r="J1609" s="6">
        <v>14.37</v>
      </c>
      <c r="K1609" s="5">
        <v>279</v>
      </c>
      <c r="L1609" s="13" t="str">
        <f t="shared" si="50"/>
        <v>Discount Applied</v>
      </c>
      <c r="M1609" s="13" t="str">
        <f t="shared" si="51"/>
        <v>Bronze</v>
      </c>
      <c r="N1609" s="13"/>
    </row>
    <row r="1610" spans="1:14" x14ac:dyDescent="0.3">
      <c r="A1610" s="3">
        <v>1040</v>
      </c>
      <c r="B1610" s="3" t="s">
        <v>26</v>
      </c>
      <c r="C1610" s="4">
        <v>45229</v>
      </c>
      <c r="D1610" s="3" t="s">
        <v>28</v>
      </c>
      <c r="E1610" s="3" t="s">
        <v>16</v>
      </c>
      <c r="F1610" s="5">
        <v>4</v>
      </c>
      <c r="G1610" s="6">
        <v>14.72</v>
      </c>
      <c r="H1610" s="6">
        <v>58.88</v>
      </c>
      <c r="I1610" s="6">
        <v>0</v>
      </c>
      <c r="J1610" s="6">
        <v>58.88</v>
      </c>
      <c r="K1610" s="5">
        <v>124</v>
      </c>
      <c r="L1610" s="13" t="str">
        <f t="shared" si="50"/>
        <v>No Discount</v>
      </c>
      <c r="M1610" s="13" t="str">
        <f t="shared" si="51"/>
        <v>Gold</v>
      </c>
      <c r="N1610" s="13"/>
    </row>
    <row r="1611" spans="1:14" x14ac:dyDescent="0.3">
      <c r="A1611" s="3">
        <v>2526</v>
      </c>
      <c r="B1611" s="3" t="s">
        <v>36</v>
      </c>
      <c r="C1611" s="4">
        <v>45655</v>
      </c>
      <c r="D1611" s="3" t="s">
        <v>28</v>
      </c>
      <c r="E1611" s="3" t="s">
        <v>21</v>
      </c>
      <c r="F1611" s="5">
        <v>4</v>
      </c>
      <c r="G1611" s="6">
        <v>20.67</v>
      </c>
      <c r="H1611" s="6">
        <v>82.68</v>
      </c>
      <c r="I1611" s="6">
        <v>16.54</v>
      </c>
      <c r="J1611" s="6">
        <v>66.14</v>
      </c>
      <c r="K1611" s="5">
        <v>153</v>
      </c>
      <c r="L1611" s="13" t="str">
        <f t="shared" si="50"/>
        <v>Discount Applied</v>
      </c>
      <c r="M1611" s="13" t="str">
        <f t="shared" si="51"/>
        <v>Gold</v>
      </c>
      <c r="N1611" s="13"/>
    </row>
    <row r="1612" spans="1:14" x14ac:dyDescent="0.3">
      <c r="A1612" s="3">
        <v>8511</v>
      </c>
      <c r="B1612" s="3" t="s">
        <v>14</v>
      </c>
      <c r="C1612" s="4">
        <v>45274</v>
      </c>
      <c r="D1612" s="3" t="s">
        <v>15</v>
      </c>
      <c r="E1612" s="3" t="s">
        <v>16</v>
      </c>
      <c r="F1612" s="5">
        <v>4</v>
      </c>
      <c r="G1612" s="6">
        <v>23.44</v>
      </c>
      <c r="H1612" s="6">
        <v>93.76</v>
      </c>
      <c r="I1612" s="6">
        <v>1.1100000000000001</v>
      </c>
      <c r="J1612" s="6">
        <v>92.65</v>
      </c>
      <c r="K1612" s="5">
        <v>488</v>
      </c>
      <c r="L1612" s="13" t="str">
        <f t="shared" si="50"/>
        <v>Discount Applied</v>
      </c>
      <c r="M1612" s="13" t="str">
        <f t="shared" si="51"/>
        <v>Platinum</v>
      </c>
      <c r="N1612" s="13"/>
    </row>
    <row r="1613" spans="1:14" x14ac:dyDescent="0.3">
      <c r="A1613" s="3">
        <v>6869</v>
      </c>
      <c r="B1613" s="3"/>
      <c r="C1613" s="4">
        <v>45582</v>
      </c>
      <c r="D1613" s="3" t="s">
        <v>34</v>
      </c>
      <c r="E1613" s="3" t="s">
        <v>37</v>
      </c>
      <c r="F1613" s="5">
        <v>5</v>
      </c>
      <c r="G1613" s="6">
        <v>28.98</v>
      </c>
      <c r="H1613" s="6">
        <v>144.9</v>
      </c>
      <c r="I1613" s="6">
        <v>4.01</v>
      </c>
      <c r="J1613" s="6">
        <v>140.88999999999999</v>
      </c>
      <c r="K1613" s="5">
        <v>482</v>
      </c>
      <c r="L1613" s="13" t="str">
        <f t="shared" si="50"/>
        <v>Discount Applied</v>
      </c>
      <c r="M1613" s="13" t="str">
        <f t="shared" si="51"/>
        <v>Platinum</v>
      </c>
      <c r="N1613" s="13"/>
    </row>
    <row r="1614" spans="1:14" x14ac:dyDescent="0.3">
      <c r="A1614" s="3">
        <v>2037</v>
      </c>
      <c r="B1614" s="3" t="s">
        <v>19</v>
      </c>
      <c r="C1614" s="4">
        <v>45729</v>
      </c>
      <c r="D1614" s="3" t="s">
        <v>27</v>
      </c>
      <c r="E1614" s="3" t="s">
        <v>21</v>
      </c>
      <c r="F1614" s="5">
        <v>1</v>
      </c>
      <c r="G1614" s="6">
        <v>29.13</v>
      </c>
      <c r="H1614" s="6">
        <v>29.13</v>
      </c>
      <c r="I1614" s="6">
        <v>4.37</v>
      </c>
      <c r="J1614" s="6">
        <v>24.76</v>
      </c>
      <c r="K1614" s="5">
        <v>158</v>
      </c>
      <c r="L1614" s="13" t="str">
        <f t="shared" si="50"/>
        <v>Discount Applied</v>
      </c>
      <c r="M1614" s="13" t="str">
        <f t="shared" si="51"/>
        <v>Silver</v>
      </c>
      <c r="N1614" s="13"/>
    </row>
    <row r="1615" spans="1:14" x14ac:dyDescent="0.3">
      <c r="A1615" s="3">
        <v>9756</v>
      </c>
      <c r="B1615" s="3" t="s">
        <v>26</v>
      </c>
      <c r="C1615" s="4">
        <v>45763</v>
      </c>
      <c r="D1615" s="3" t="s">
        <v>20</v>
      </c>
      <c r="E1615" s="3" t="s">
        <v>29</v>
      </c>
      <c r="F1615" s="5">
        <v>4</v>
      </c>
      <c r="G1615" s="6">
        <v>1.01</v>
      </c>
      <c r="H1615" s="6">
        <v>4.04</v>
      </c>
      <c r="I1615" s="6">
        <v>0.81</v>
      </c>
      <c r="J1615" s="6">
        <v>3.23</v>
      </c>
      <c r="K1615" s="5">
        <v>75</v>
      </c>
      <c r="L1615" s="13" t="str">
        <f t="shared" si="50"/>
        <v>Discount Applied</v>
      </c>
      <c r="M1615" s="13" t="str">
        <f t="shared" si="51"/>
        <v>Bronze</v>
      </c>
      <c r="N1615" s="13"/>
    </row>
    <row r="1616" spans="1:14" x14ac:dyDescent="0.3">
      <c r="A1616" s="3">
        <v>4568</v>
      </c>
      <c r="B1616" s="3" t="s">
        <v>30</v>
      </c>
      <c r="C1616" s="4">
        <v>45227</v>
      </c>
      <c r="D1616" s="3" t="s">
        <v>35</v>
      </c>
      <c r="E1616" s="3" t="s">
        <v>43</v>
      </c>
      <c r="F1616" s="5">
        <v>2</v>
      </c>
      <c r="G1616" s="6">
        <v>7.84</v>
      </c>
      <c r="H1616" s="6">
        <v>15.68</v>
      </c>
      <c r="I1616" s="6">
        <v>3.9</v>
      </c>
      <c r="J1616" s="6">
        <v>11.78</v>
      </c>
      <c r="K1616" s="5">
        <v>104</v>
      </c>
      <c r="L1616" s="13" t="str">
        <f t="shared" si="50"/>
        <v>Discount Applied</v>
      </c>
      <c r="M1616" s="13" t="str">
        <f t="shared" si="51"/>
        <v>Bronze</v>
      </c>
      <c r="N1616" s="13"/>
    </row>
    <row r="1617" spans="1:14" x14ac:dyDescent="0.3">
      <c r="A1617" s="3">
        <v>4470</v>
      </c>
      <c r="B1617" s="3" t="s">
        <v>19</v>
      </c>
      <c r="C1617" s="4">
        <v>45221</v>
      </c>
      <c r="D1617" s="3" t="s">
        <v>27</v>
      </c>
      <c r="E1617" s="3" t="s">
        <v>18</v>
      </c>
      <c r="F1617" s="5">
        <v>3</v>
      </c>
      <c r="G1617" s="6">
        <v>1.1299999999999999</v>
      </c>
      <c r="H1617" s="6">
        <v>3.39</v>
      </c>
      <c r="I1617" s="6">
        <v>2.88</v>
      </c>
      <c r="J1617" s="6">
        <v>0.51</v>
      </c>
      <c r="K1617" s="5">
        <v>81</v>
      </c>
      <c r="L1617" s="13" t="str">
        <f t="shared" si="50"/>
        <v>Discount Applied</v>
      </c>
      <c r="M1617" s="13" t="str">
        <f t="shared" si="51"/>
        <v>Bronze</v>
      </c>
      <c r="N1617" s="13"/>
    </row>
    <row r="1618" spans="1:14" x14ac:dyDescent="0.3">
      <c r="A1618" s="3">
        <v>5399</v>
      </c>
      <c r="B1618" s="3" t="s">
        <v>24</v>
      </c>
      <c r="C1618" s="4">
        <v>45317</v>
      </c>
      <c r="D1618" s="3" t="s">
        <v>17</v>
      </c>
      <c r="E1618" s="3" t="s">
        <v>47</v>
      </c>
      <c r="F1618" s="5">
        <v>4</v>
      </c>
      <c r="G1618" s="6">
        <v>25.1</v>
      </c>
      <c r="H1618" s="6">
        <v>100.4</v>
      </c>
      <c r="I1618" s="6">
        <v>2.5499999999999998</v>
      </c>
      <c r="J1618" s="6">
        <v>97.85</v>
      </c>
      <c r="K1618" s="5">
        <v>361</v>
      </c>
      <c r="L1618" s="13" t="str">
        <f t="shared" si="50"/>
        <v>Discount Applied</v>
      </c>
      <c r="M1618" s="13" t="str">
        <f t="shared" si="51"/>
        <v>Platinum</v>
      </c>
      <c r="N1618" s="13"/>
    </row>
    <row r="1619" spans="1:14" x14ac:dyDescent="0.3">
      <c r="A1619" s="3">
        <v>5646</v>
      </c>
      <c r="B1619" s="3" t="s">
        <v>36</v>
      </c>
      <c r="C1619" s="4">
        <v>45725</v>
      </c>
      <c r="D1619" s="3" t="s">
        <v>34</v>
      </c>
      <c r="E1619" s="3" t="s">
        <v>32</v>
      </c>
      <c r="F1619" s="5">
        <v>3</v>
      </c>
      <c r="G1619" s="6">
        <v>27.03</v>
      </c>
      <c r="H1619" s="6">
        <v>81.09</v>
      </c>
      <c r="I1619" s="6">
        <v>2.58</v>
      </c>
      <c r="J1619" s="6">
        <v>78.510000000000005</v>
      </c>
      <c r="K1619" s="5">
        <v>419</v>
      </c>
      <c r="L1619" s="13" t="str">
        <f t="shared" si="50"/>
        <v>Discount Applied</v>
      </c>
      <c r="M1619" s="13" t="str">
        <f t="shared" si="51"/>
        <v>Platinum</v>
      </c>
      <c r="N1619" s="13"/>
    </row>
    <row r="1620" spans="1:14" x14ac:dyDescent="0.3">
      <c r="A1620" s="3">
        <v>9967</v>
      </c>
      <c r="B1620" s="3" t="s">
        <v>11</v>
      </c>
      <c r="C1620" s="4">
        <v>45578</v>
      </c>
      <c r="D1620" s="3" t="s">
        <v>22</v>
      </c>
      <c r="E1620" s="3" t="s">
        <v>47</v>
      </c>
      <c r="F1620" s="5">
        <v>5</v>
      </c>
      <c r="G1620" s="6">
        <v>1.77</v>
      </c>
      <c r="H1620" s="6">
        <v>8.85</v>
      </c>
      <c r="I1620" s="6">
        <v>1.77</v>
      </c>
      <c r="J1620" s="6">
        <v>7.08</v>
      </c>
      <c r="K1620" s="5">
        <v>453</v>
      </c>
      <c r="L1620" s="13" t="str">
        <f t="shared" si="50"/>
        <v>Discount Applied</v>
      </c>
      <c r="M1620" s="13" t="str">
        <f t="shared" si="51"/>
        <v>Bronze</v>
      </c>
      <c r="N1620" s="13"/>
    </row>
    <row r="1621" spans="1:14" x14ac:dyDescent="0.3">
      <c r="A1621" s="3">
        <v>3139</v>
      </c>
      <c r="B1621" s="3" t="s">
        <v>36</v>
      </c>
      <c r="C1621" s="4">
        <v>45491</v>
      </c>
      <c r="D1621" s="3" t="s">
        <v>22</v>
      </c>
      <c r="E1621" s="3" t="s">
        <v>21</v>
      </c>
      <c r="F1621" s="5">
        <v>5</v>
      </c>
      <c r="G1621" s="6">
        <v>24.86</v>
      </c>
      <c r="H1621" s="6">
        <v>124.3</v>
      </c>
      <c r="I1621" s="6">
        <v>3.58</v>
      </c>
      <c r="J1621" s="6">
        <v>120.72</v>
      </c>
      <c r="K1621" s="5">
        <v>312</v>
      </c>
      <c r="L1621" s="13" t="str">
        <f t="shared" si="50"/>
        <v>Discount Applied</v>
      </c>
      <c r="M1621" s="13" t="str">
        <f t="shared" si="51"/>
        <v>Platinum</v>
      </c>
      <c r="N1621" s="13"/>
    </row>
    <row r="1622" spans="1:14" x14ac:dyDescent="0.3">
      <c r="A1622" s="3">
        <v>8951</v>
      </c>
      <c r="B1622" s="3" t="s">
        <v>19</v>
      </c>
      <c r="C1622" s="4">
        <v>45448</v>
      </c>
      <c r="D1622" s="3" t="s">
        <v>45</v>
      </c>
      <c r="E1622" s="3" t="s">
        <v>44</v>
      </c>
      <c r="F1622" s="5">
        <v>1</v>
      </c>
      <c r="G1622" s="6">
        <v>7.12</v>
      </c>
      <c r="H1622" s="6">
        <v>7.12</v>
      </c>
      <c r="I1622" s="6">
        <v>1.07</v>
      </c>
      <c r="J1622" s="6">
        <v>6.05</v>
      </c>
      <c r="K1622" s="5">
        <v>222</v>
      </c>
      <c r="L1622" s="13" t="str">
        <f t="shared" si="50"/>
        <v>Discount Applied</v>
      </c>
      <c r="M1622" s="13" t="str">
        <f t="shared" si="51"/>
        <v>Bronze</v>
      </c>
      <c r="N1622" s="13"/>
    </row>
    <row r="1623" spans="1:14" x14ac:dyDescent="0.3">
      <c r="A1623" s="3">
        <v>6631</v>
      </c>
      <c r="B1623" s="3" t="s">
        <v>24</v>
      </c>
      <c r="C1623" s="4">
        <v>45744</v>
      </c>
      <c r="D1623" s="3" t="s">
        <v>27</v>
      </c>
      <c r="E1623" s="3" t="s">
        <v>29</v>
      </c>
      <c r="F1623" s="5">
        <v>4</v>
      </c>
      <c r="G1623" s="6">
        <v>5.36</v>
      </c>
      <c r="H1623" s="6">
        <v>21.44</v>
      </c>
      <c r="I1623" s="6">
        <v>0</v>
      </c>
      <c r="J1623" s="6">
        <v>21.44</v>
      </c>
      <c r="K1623" s="5">
        <v>159</v>
      </c>
      <c r="L1623" s="13" t="str">
        <f t="shared" si="50"/>
        <v>No Discount</v>
      </c>
      <c r="M1623" s="13" t="str">
        <f t="shared" si="51"/>
        <v>Silver</v>
      </c>
      <c r="N1623" s="13"/>
    </row>
    <row r="1624" spans="1:14" x14ac:dyDescent="0.3">
      <c r="A1624" s="3">
        <v>1793</v>
      </c>
      <c r="B1624" s="3" t="s">
        <v>26</v>
      </c>
      <c r="C1624" s="4">
        <v>45262</v>
      </c>
      <c r="D1624" s="3" t="s">
        <v>12</v>
      </c>
      <c r="E1624" s="3" t="s">
        <v>13</v>
      </c>
      <c r="F1624" s="5">
        <v>4</v>
      </c>
      <c r="G1624" s="6">
        <v>6.2</v>
      </c>
      <c r="H1624" s="6">
        <v>24.8</v>
      </c>
      <c r="I1624" s="6">
        <v>2.48</v>
      </c>
      <c r="J1624" s="6">
        <v>22.32</v>
      </c>
      <c r="K1624" s="5">
        <v>203</v>
      </c>
      <c r="L1624" s="13" t="str">
        <f t="shared" si="50"/>
        <v>Discount Applied</v>
      </c>
      <c r="M1624" s="13" t="str">
        <f t="shared" si="51"/>
        <v>Silver</v>
      </c>
      <c r="N1624" s="13"/>
    </row>
    <row r="1625" spans="1:14" x14ac:dyDescent="0.3">
      <c r="A1625" s="3">
        <v>2631</v>
      </c>
      <c r="B1625" s="3" t="s">
        <v>11</v>
      </c>
      <c r="C1625" s="4">
        <v>45164</v>
      </c>
      <c r="D1625" s="3" t="s">
        <v>22</v>
      </c>
      <c r="E1625" s="3" t="s">
        <v>48</v>
      </c>
      <c r="F1625" s="5">
        <v>4</v>
      </c>
      <c r="G1625" s="6">
        <v>24.29</v>
      </c>
      <c r="H1625" s="6">
        <v>97.16</v>
      </c>
      <c r="I1625" s="6">
        <v>14.57</v>
      </c>
      <c r="J1625" s="6">
        <v>82.59</v>
      </c>
      <c r="K1625" s="5">
        <v>6</v>
      </c>
      <c r="L1625" s="13" t="str">
        <f t="shared" si="50"/>
        <v>Discount Applied</v>
      </c>
      <c r="M1625" s="13" t="str">
        <f t="shared" si="51"/>
        <v>Platinum</v>
      </c>
      <c r="N1625" s="13"/>
    </row>
    <row r="1626" spans="1:14" x14ac:dyDescent="0.3">
      <c r="A1626" s="3">
        <v>8529</v>
      </c>
      <c r="B1626" s="3" t="s">
        <v>19</v>
      </c>
      <c r="C1626" s="4">
        <v>45226</v>
      </c>
      <c r="D1626" s="3" t="s">
        <v>28</v>
      </c>
      <c r="E1626" s="3" t="s">
        <v>46</v>
      </c>
      <c r="F1626" s="5">
        <v>4</v>
      </c>
      <c r="G1626" s="6">
        <v>20.89</v>
      </c>
      <c r="H1626" s="6">
        <v>83.56</v>
      </c>
      <c r="I1626" s="6">
        <v>0</v>
      </c>
      <c r="J1626" s="6">
        <v>83.56</v>
      </c>
      <c r="K1626" s="5">
        <v>5</v>
      </c>
      <c r="L1626" s="13" t="str">
        <f t="shared" si="50"/>
        <v>No Discount</v>
      </c>
      <c r="M1626" s="13" t="str">
        <f t="shared" si="51"/>
        <v>Platinum</v>
      </c>
      <c r="N1626" s="13"/>
    </row>
    <row r="1627" spans="1:14" x14ac:dyDescent="0.3">
      <c r="A1627" s="3">
        <v>3035</v>
      </c>
      <c r="B1627" s="3" t="s">
        <v>24</v>
      </c>
      <c r="C1627" s="4">
        <v>45468</v>
      </c>
      <c r="D1627" s="3" t="s">
        <v>20</v>
      </c>
      <c r="E1627" s="3" t="s">
        <v>40</v>
      </c>
      <c r="F1627" s="5">
        <v>3</v>
      </c>
      <c r="G1627" s="6">
        <v>13.31</v>
      </c>
      <c r="H1627" s="6">
        <v>39.93</v>
      </c>
      <c r="I1627" s="6">
        <v>4.2300000000000004</v>
      </c>
      <c r="J1627" s="6">
        <v>35.700000000000003</v>
      </c>
      <c r="K1627" s="5">
        <v>379</v>
      </c>
      <c r="L1627" s="13" t="str">
        <f t="shared" si="50"/>
        <v>Discount Applied</v>
      </c>
      <c r="M1627" s="13" t="str">
        <f t="shared" si="51"/>
        <v>Silver</v>
      </c>
      <c r="N1627" s="13"/>
    </row>
    <row r="1628" spans="1:14" x14ac:dyDescent="0.3">
      <c r="A1628" s="3">
        <v>3588</v>
      </c>
      <c r="B1628" s="3" t="s">
        <v>26</v>
      </c>
      <c r="C1628" s="4">
        <v>45235</v>
      </c>
      <c r="D1628" s="3" t="s">
        <v>38</v>
      </c>
      <c r="E1628" s="3" t="s">
        <v>23</v>
      </c>
      <c r="F1628" s="5">
        <v>4</v>
      </c>
      <c r="G1628" s="6">
        <v>21.64</v>
      </c>
      <c r="H1628" s="6">
        <v>86.56</v>
      </c>
      <c r="I1628" s="6">
        <v>4.1399999999999997</v>
      </c>
      <c r="J1628" s="6">
        <v>82.42</v>
      </c>
      <c r="K1628" s="5">
        <v>432</v>
      </c>
      <c r="L1628" s="13" t="str">
        <f t="shared" si="50"/>
        <v>Discount Applied</v>
      </c>
      <c r="M1628" s="13" t="str">
        <f t="shared" si="51"/>
        <v>Platinum</v>
      </c>
      <c r="N1628" s="13"/>
    </row>
    <row r="1629" spans="1:14" x14ac:dyDescent="0.3">
      <c r="A1629" s="3">
        <v>8479</v>
      </c>
      <c r="B1629" s="3" t="s">
        <v>24</v>
      </c>
      <c r="C1629" s="4">
        <v>45415</v>
      </c>
      <c r="D1629" s="3" t="s">
        <v>38</v>
      </c>
      <c r="E1629" s="3" t="s">
        <v>32</v>
      </c>
      <c r="F1629" s="5">
        <v>1</v>
      </c>
      <c r="G1629" s="6">
        <v>5.35</v>
      </c>
      <c r="H1629" s="6">
        <v>5.35</v>
      </c>
      <c r="I1629" s="6">
        <v>1.07</v>
      </c>
      <c r="J1629" s="6">
        <v>4.28</v>
      </c>
      <c r="K1629" s="5">
        <v>172</v>
      </c>
      <c r="L1629" s="13" t="str">
        <f t="shared" si="50"/>
        <v>Discount Applied</v>
      </c>
      <c r="M1629" s="13" t="str">
        <f t="shared" si="51"/>
        <v>Bronze</v>
      </c>
      <c r="N1629" s="13"/>
    </row>
    <row r="1630" spans="1:14" x14ac:dyDescent="0.3">
      <c r="A1630" s="3">
        <v>8009</v>
      </c>
      <c r="B1630" s="3" t="s">
        <v>14</v>
      </c>
      <c r="C1630" s="4">
        <v>45411</v>
      </c>
      <c r="D1630" s="3" t="s">
        <v>28</v>
      </c>
      <c r="E1630" s="3" t="s">
        <v>33</v>
      </c>
      <c r="F1630" s="5">
        <v>4</v>
      </c>
      <c r="G1630" s="6">
        <v>2.4</v>
      </c>
      <c r="H1630" s="6">
        <v>9.6</v>
      </c>
      <c r="I1630" s="6">
        <v>4.47</v>
      </c>
      <c r="J1630" s="6">
        <v>5.13</v>
      </c>
      <c r="K1630" s="5">
        <v>144</v>
      </c>
      <c r="L1630" s="13" t="str">
        <f t="shared" si="50"/>
        <v>Discount Applied</v>
      </c>
      <c r="M1630" s="13" t="str">
        <f t="shared" si="51"/>
        <v>Bronze</v>
      </c>
      <c r="N1630" s="13"/>
    </row>
    <row r="1631" spans="1:14" x14ac:dyDescent="0.3">
      <c r="A1631" s="3">
        <v>5945</v>
      </c>
      <c r="B1631" s="3" t="s">
        <v>26</v>
      </c>
      <c r="C1631" s="4">
        <v>45754</v>
      </c>
      <c r="D1631" s="3" t="s">
        <v>22</v>
      </c>
      <c r="E1631" s="3" t="s">
        <v>40</v>
      </c>
      <c r="F1631" s="5">
        <v>5</v>
      </c>
      <c r="G1631" s="6">
        <v>20.9</v>
      </c>
      <c r="H1631" s="6">
        <v>104.5</v>
      </c>
      <c r="I1631" s="6">
        <v>15.67</v>
      </c>
      <c r="J1631" s="6">
        <v>88.83</v>
      </c>
      <c r="K1631" s="5">
        <v>129</v>
      </c>
      <c r="L1631" s="13" t="str">
        <f t="shared" si="50"/>
        <v>Discount Applied</v>
      </c>
      <c r="M1631" s="13" t="str">
        <f t="shared" si="51"/>
        <v>Platinum</v>
      </c>
      <c r="N1631" s="13"/>
    </row>
    <row r="1632" spans="1:14" x14ac:dyDescent="0.3">
      <c r="A1632" s="3">
        <v>5489</v>
      </c>
      <c r="B1632" s="3" t="s">
        <v>30</v>
      </c>
      <c r="C1632" s="4">
        <v>45549</v>
      </c>
      <c r="D1632" s="3" t="s">
        <v>12</v>
      </c>
      <c r="E1632" s="3" t="s">
        <v>18</v>
      </c>
      <c r="F1632" s="5">
        <v>3</v>
      </c>
      <c r="G1632" s="6">
        <v>6.17</v>
      </c>
      <c r="H1632" s="6">
        <v>18.510000000000002</v>
      </c>
      <c r="I1632" s="6">
        <v>2.79</v>
      </c>
      <c r="J1632" s="6">
        <v>15.72</v>
      </c>
      <c r="K1632" s="5">
        <v>182</v>
      </c>
      <c r="L1632" s="13" t="str">
        <f t="shared" si="50"/>
        <v>Discount Applied</v>
      </c>
      <c r="M1632" s="13" t="str">
        <f t="shared" si="51"/>
        <v>Bronze</v>
      </c>
      <c r="N1632" s="13"/>
    </row>
    <row r="1633" spans="1:14" x14ac:dyDescent="0.3">
      <c r="A1633" s="3">
        <v>6905</v>
      </c>
      <c r="B1633" s="3" t="s">
        <v>30</v>
      </c>
      <c r="C1633" s="4">
        <v>45415</v>
      </c>
      <c r="D1633" s="3" t="s">
        <v>27</v>
      </c>
      <c r="E1633" s="3" t="s">
        <v>40</v>
      </c>
      <c r="F1633" s="5">
        <v>5</v>
      </c>
      <c r="G1633" s="6">
        <v>4.2300000000000004</v>
      </c>
      <c r="H1633" s="6">
        <v>21.15</v>
      </c>
      <c r="I1633" s="6">
        <v>3.95</v>
      </c>
      <c r="J1633" s="6">
        <v>17.2</v>
      </c>
      <c r="K1633" s="5">
        <v>374</v>
      </c>
      <c r="L1633" s="13" t="str">
        <f t="shared" si="50"/>
        <v>Discount Applied</v>
      </c>
      <c r="M1633" s="13" t="str">
        <f t="shared" si="51"/>
        <v>Bronze</v>
      </c>
      <c r="N1633" s="13"/>
    </row>
    <row r="1634" spans="1:14" x14ac:dyDescent="0.3">
      <c r="A1634" s="3">
        <v>2350</v>
      </c>
      <c r="B1634" s="3" t="s">
        <v>42</v>
      </c>
      <c r="C1634" s="4">
        <v>45220</v>
      </c>
      <c r="D1634" s="3" t="s">
        <v>34</v>
      </c>
      <c r="E1634" s="3" t="s">
        <v>43</v>
      </c>
      <c r="F1634" s="5">
        <v>5</v>
      </c>
      <c r="G1634" s="6">
        <v>3.73</v>
      </c>
      <c r="H1634" s="6">
        <v>18.649999999999999</v>
      </c>
      <c r="I1634" s="6">
        <v>0</v>
      </c>
      <c r="J1634" s="6">
        <v>18.649999999999999</v>
      </c>
      <c r="K1634" s="5">
        <v>372</v>
      </c>
      <c r="L1634" s="13" t="str">
        <f t="shared" si="50"/>
        <v>No Discount</v>
      </c>
      <c r="M1634" s="13" t="str">
        <f t="shared" si="51"/>
        <v>Bronze</v>
      </c>
      <c r="N1634" s="13"/>
    </row>
    <row r="1635" spans="1:14" x14ac:dyDescent="0.3">
      <c r="A1635" s="3">
        <v>3711</v>
      </c>
      <c r="B1635" s="3" t="s">
        <v>26</v>
      </c>
      <c r="C1635" s="4">
        <v>45705</v>
      </c>
      <c r="D1635" s="3" t="s">
        <v>20</v>
      </c>
      <c r="E1635" s="3" t="s">
        <v>13</v>
      </c>
      <c r="F1635" s="5">
        <v>3</v>
      </c>
      <c r="G1635" s="6">
        <v>29.17</v>
      </c>
      <c r="H1635" s="6">
        <v>87.51</v>
      </c>
      <c r="I1635" s="6">
        <v>0</v>
      </c>
      <c r="J1635" s="6">
        <v>87.51</v>
      </c>
      <c r="K1635" s="5">
        <v>352</v>
      </c>
      <c r="L1635" s="13" t="str">
        <f t="shared" si="50"/>
        <v>No Discount</v>
      </c>
      <c r="M1635" s="13" t="str">
        <f t="shared" si="51"/>
        <v>Platinum</v>
      </c>
      <c r="N1635" s="13"/>
    </row>
    <row r="1636" spans="1:14" x14ac:dyDescent="0.3">
      <c r="A1636" s="3">
        <v>7493</v>
      </c>
      <c r="B1636" s="3"/>
      <c r="C1636" s="4">
        <v>45392</v>
      </c>
      <c r="D1636" s="3" t="s">
        <v>28</v>
      </c>
      <c r="E1636" s="3" t="s">
        <v>33</v>
      </c>
      <c r="F1636" s="5">
        <v>1</v>
      </c>
      <c r="G1636" s="6">
        <v>3.21</v>
      </c>
      <c r="H1636" s="6">
        <v>3.21</v>
      </c>
      <c r="I1636" s="6">
        <v>0.64</v>
      </c>
      <c r="J1636" s="6">
        <v>2.57</v>
      </c>
      <c r="K1636" s="5">
        <v>190</v>
      </c>
      <c r="L1636" s="13" t="str">
        <f t="shared" si="50"/>
        <v>Discount Applied</v>
      </c>
      <c r="M1636" s="13" t="str">
        <f t="shared" si="51"/>
        <v>Bronze</v>
      </c>
      <c r="N1636" s="13"/>
    </row>
    <row r="1637" spans="1:14" x14ac:dyDescent="0.3">
      <c r="A1637" s="3">
        <v>6005</v>
      </c>
      <c r="B1637" s="3" t="s">
        <v>11</v>
      </c>
      <c r="C1637" s="4">
        <v>45378</v>
      </c>
      <c r="D1637" s="3" t="s">
        <v>20</v>
      </c>
      <c r="E1637" s="3" t="s">
        <v>46</v>
      </c>
      <c r="F1637" s="5">
        <v>1</v>
      </c>
      <c r="G1637" s="6">
        <v>10.79</v>
      </c>
      <c r="H1637" s="6">
        <v>10.79</v>
      </c>
      <c r="I1637" s="6">
        <v>1.08</v>
      </c>
      <c r="J1637" s="6">
        <v>9.7100000000000009</v>
      </c>
      <c r="K1637" s="5">
        <v>326</v>
      </c>
      <c r="L1637" s="13" t="str">
        <f t="shared" si="50"/>
        <v>Discount Applied</v>
      </c>
      <c r="M1637" s="13" t="str">
        <f t="shared" si="51"/>
        <v>Bronze</v>
      </c>
      <c r="N1637" s="13"/>
    </row>
    <row r="1638" spans="1:14" x14ac:dyDescent="0.3">
      <c r="A1638" s="3">
        <v>2559</v>
      </c>
      <c r="B1638" s="3" t="s">
        <v>24</v>
      </c>
      <c r="C1638" s="4">
        <v>45774</v>
      </c>
      <c r="D1638" s="3" t="s">
        <v>12</v>
      </c>
      <c r="E1638" s="3" t="s">
        <v>29</v>
      </c>
      <c r="F1638" s="5">
        <v>3</v>
      </c>
      <c r="G1638" s="6">
        <v>21.92</v>
      </c>
      <c r="H1638" s="6">
        <v>65.760000000000005</v>
      </c>
      <c r="I1638" s="6">
        <v>6.58</v>
      </c>
      <c r="J1638" s="6">
        <v>59.18</v>
      </c>
      <c r="K1638" s="5">
        <v>380</v>
      </c>
      <c r="L1638" s="13" t="str">
        <f t="shared" si="50"/>
        <v>Discount Applied</v>
      </c>
      <c r="M1638" s="13" t="str">
        <f t="shared" si="51"/>
        <v>Gold</v>
      </c>
      <c r="N1638" s="13"/>
    </row>
    <row r="1639" spans="1:14" x14ac:dyDescent="0.3">
      <c r="A1639" s="3">
        <v>4496</v>
      </c>
      <c r="B1639" s="3" t="s">
        <v>11</v>
      </c>
      <c r="C1639" s="4">
        <v>45162</v>
      </c>
      <c r="D1639" s="3" t="s">
        <v>17</v>
      </c>
      <c r="E1639" s="3" t="s">
        <v>13</v>
      </c>
      <c r="F1639" s="5">
        <v>3</v>
      </c>
      <c r="G1639" s="6">
        <v>18.84</v>
      </c>
      <c r="H1639" s="6">
        <v>56.52</v>
      </c>
      <c r="I1639" s="6">
        <v>0</v>
      </c>
      <c r="J1639" s="6">
        <v>56.52</v>
      </c>
      <c r="K1639" s="5">
        <v>276</v>
      </c>
      <c r="L1639" s="13" t="str">
        <f t="shared" si="50"/>
        <v>No Discount</v>
      </c>
      <c r="M1639" s="13" t="str">
        <f t="shared" si="51"/>
        <v>Gold</v>
      </c>
      <c r="N1639" s="13"/>
    </row>
    <row r="1640" spans="1:14" x14ac:dyDescent="0.3">
      <c r="A1640" s="3">
        <v>2276</v>
      </c>
      <c r="B1640" s="3" t="s">
        <v>31</v>
      </c>
      <c r="C1640" s="4">
        <v>45648</v>
      </c>
      <c r="D1640" s="3" t="s">
        <v>22</v>
      </c>
      <c r="E1640" s="3" t="s">
        <v>47</v>
      </c>
      <c r="F1640" s="5">
        <v>2</v>
      </c>
      <c r="G1640" s="6">
        <v>23.05</v>
      </c>
      <c r="H1640" s="6">
        <v>46.1</v>
      </c>
      <c r="I1640" s="6">
        <v>0</v>
      </c>
      <c r="J1640" s="6">
        <v>46.1</v>
      </c>
      <c r="K1640" s="5">
        <v>223</v>
      </c>
      <c r="L1640" s="13" t="str">
        <f t="shared" si="50"/>
        <v>No Discount</v>
      </c>
      <c r="M1640" s="13" t="str">
        <f t="shared" si="51"/>
        <v>Silver</v>
      </c>
      <c r="N1640" s="13"/>
    </row>
    <row r="1641" spans="1:14" x14ac:dyDescent="0.3">
      <c r="A1641" s="3">
        <v>8291</v>
      </c>
      <c r="B1641" s="3" t="s">
        <v>19</v>
      </c>
      <c r="C1641" s="4">
        <v>45670</v>
      </c>
      <c r="D1641" s="3" t="s">
        <v>35</v>
      </c>
      <c r="E1641" s="3" t="s">
        <v>46</v>
      </c>
      <c r="F1641" s="5">
        <v>1</v>
      </c>
      <c r="G1641" s="6">
        <v>18.52</v>
      </c>
      <c r="H1641" s="6">
        <v>18.52</v>
      </c>
      <c r="I1641" s="6">
        <v>0</v>
      </c>
      <c r="J1641" s="6">
        <v>18.52</v>
      </c>
      <c r="K1641" s="5">
        <v>465</v>
      </c>
      <c r="L1641" s="13" t="str">
        <f t="shared" si="50"/>
        <v>No Discount</v>
      </c>
      <c r="M1641" s="13" t="str">
        <f t="shared" si="51"/>
        <v>Bronze</v>
      </c>
      <c r="N1641" s="13"/>
    </row>
    <row r="1642" spans="1:14" x14ac:dyDescent="0.3">
      <c r="A1642" s="3">
        <v>6629</v>
      </c>
      <c r="B1642" s="3" t="s">
        <v>30</v>
      </c>
      <c r="C1642" s="4">
        <v>45867</v>
      </c>
      <c r="D1642" s="3" t="s">
        <v>35</v>
      </c>
      <c r="E1642" s="3" t="s">
        <v>39</v>
      </c>
      <c r="F1642" s="5">
        <v>4</v>
      </c>
      <c r="G1642" s="6">
        <v>7</v>
      </c>
      <c r="H1642" s="6">
        <v>28</v>
      </c>
      <c r="I1642" s="6">
        <v>0</v>
      </c>
      <c r="J1642" s="6">
        <v>28</v>
      </c>
      <c r="K1642" s="5">
        <v>400</v>
      </c>
      <c r="L1642" s="13" t="str">
        <f t="shared" si="50"/>
        <v>No Discount</v>
      </c>
      <c r="M1642" s="13" t="str">
        <f t="shared" si="51"/>
        <v>Silver</v>
      </c>
      <c r="N1642" s="13"/>
    </row>
    <row r="1643" spans="1:14" x14ac:dyDescent="0.3">
      <c r="A1643" s="3">
        <v>2975</v>
      </c>
      <c r="B1643" s="3" t="s">
        <v>19</v>
      </c>
      <c r="C1643" s="4">
        <v>45545</v>
      </c>
      <c r="D1643" s="3" t="s">
        <v>35</v>
      </c>
      <c r="E1643" s="3" t="s">
        <v>13</v>
      </c>
      <c r="F1643" s="5">
        <v>4</v>
      </c>
      <c r="G1643" s="6">
        <v>18.36</v>
      </c>
      <c r="H1643" s="6">
        <v>73.44</v>
      </c>
      <c r="I1643" s="6">
        <v>1.89</v>
      </c>
      <c r="J1643" s="6">
        <v>71.55</v>
      </c>
      <c r="K1643" s="5">
        <v>499</v>
      </c>
      <c r="L1643" s="13" t="str">
        <f t="shared" si="50"/>
        <v>Discount Applied</v>
      </c>
      <c r="M1643" s="13" t="str">
        <f t="shared" si="51"/>
        <v>Platinum</v>
      </c>
      <c r="N1643" s="13"/>
    </row>
    <row r="1644" spans="1:14" x14ac:dyDescent="0.3">
      <c r="A1644" s="3">
        <v>7919</v>
      </c>
      <c r="B1644" s="3"/>
      <c r="C1644" s="4">
        <v>45573</v>
      </c>
      <c r="D1644" s="3" t="s">
        <v>22</v>
      </c>
      <c r="E1644" s="3" t="s">
        <v>25</v>
      </c>
      <c r="F1644" s="5">
        <v>1</v>
      </c>
      <c r="G1644" s="6">
        <v>18.72</v>
      </c>
      <c r="H1644" s="6">
        <v>18.72</v>
      </c>
      <c r="I1644" s="6">
        <v>2.68</v>
      </c>
      <c r="J1644" s="6">
        <v>16.04</v>
      </c>
      <c r="K1644" s="5">
        <v>372</v>
      </c>
      <c r="L1644" s="13" t="str">
        <f t="shared" si="50"/>
        <v>Discount Applied</v>
      </c>
      <c r="M1644" s="13" t="str">
        <f t="shared" si="51"/>
        <v>Bronze</v>
      </c>
      <c r="N1644" s="13"/>
    </row>
    <row r="1645" spans="1:14" x14ac:dyDescent="0.3">
      <c r="A1645" s="3">
        <v>3165</v>
      </c>
      <c r="B1645" s="3" t="s">
        <v>36</v>
      </c>
      <c r="C1645" s="4">
        <v>45402</v>
      </c>
      <c r="D1645" s="3" t="s">
        <v>38</v>
      </c>
      <c r="E1645" s="3" t="s">
        <v>32</v>
      </c>
      <c r="F1645" s="5">
        <v>4</v>
      </c>
      <c r="G1645" s="6">
        <v>27.96</v>
      </c>
      <c r="H1645" s="6">
        <v>111.84</v>
      </c>
      <c r="I1645" s="6">
        <v>16.78</v>
      </c>
      <c r="J1645" s="6">
        <v>95.06</v>
      </c>
      <c r="K1645" s="5">
        <v>6</v>
      </c>
      <c r="L1645" s="13" t="str">
        <f t="shared" si="50"/>
        <v>Discount Applied</v>
      </c>
      <c r="M1645" s="13" t="str">
        <f t="shared" si="51"/>
        <v>Platinum</v>
      </c>
      <c r="N1645" s="13"/>
    </row>
    <row r="1646" spans="1:14" x14ac:dyDescent="0.3">
      <c r="A1646" s="3">
        <v>2160</v>
      </c>
      <c r="B1646" s="3" t="s">
        <v>36</v>
      </c>
      <c r="C1646" s="4">
        <v>45503</v>
      </c>
      <c r="D1646" s="3" t="s">
        <v>22</v>
      </c>
      <c r="E1646" s="3" t="s">
        <v>33</v>
      </c>
      <c r="F1646" s="5">
        <v>2</v>
      </c>
      <c r="G1646" s="6">
        <v>14.39</v>
      </c>
      <c r="H1646" s="6">
        <v>28.78</v>
      </c>
      <c r="I1646" s="6">
        <v>5.76</v>
      </c>
      <c r="J1646" s="6">
        <v>23.02</v>
      </c>
      <c r="K1646" s="5">
        <v>380</v>
      </c>
      <c r="L1646" s="13" t="str">
        <f t="shared" si="50"/>
        <v>Discount Applied</v>
      </c>
      <c r="M1646" s="13" t="str">
        <f t="shared" si="51"/>
        <v>Silver</v>
      </c>
      <c r="N1646" s="13"/>
    </row>
    <row r="1647" spans="1:14" x14ac:dyDescent="0.3">
      <c r="A1647" s="3">
        <v>7276</v>
      </c>
      <c r="B1647" s="3" t="s">
        <v>14</v>
      </c>
      <c r="C1647" s="4">
        <v>45764</v>
      </c>
      <c r="D1647" s="3" t="s">
        <v>34</v>
      </c>
      <c r="E1647" s="3" t="s">
        <v>32</v>
      </c>
      <c r="F1647" s="5">
        <v>3</v>
      </c>
      <c r="G1647" s="6">
        <v>12.68</v>
      </c>
      <c r="H1647" s="6">
        <v>38.04</v>
      </c>
      <c r="I1647" s="6">
        <v>0</v>
      </c>
      <c r="J1647" s="6">
        <v>38.04</v>
      </c>
      <c r="K1647" s="5">
        <v>338</v>
      </c>
      <c r="L1647" s="13" t="str">
        <f t="shared" si="50"/>
        <v>No Discount</v>
      </c>
      <c r="M1647" s="13" t="str">
        <f t="shared" si="51"/>
        <v>Silver</v>
      </c>
      <c r="N1647" s="13"/>
    </row>
    <row r="1648" spans="1:14" x14ac:dyDescent="0.3">
      <c r="A1648" s="3">
        <v>2678</v>
      </c>
      <c r="B1648" s="3" t="s">
        <v>26</v>
      </c>
      <c r="C1648" s="4">
        <v>45634</v>
      </c>
      <c r="D1648" s="3" t="s">
        <v>38</v>
      </c>
      <c r="E1648" s="3" t="s">
        <v>23</v>
      </c>
      <c r="F1648" s="5">
        <v>1</v>
      </c>
      <c r="G1648" s="6">
        <v>7.01</v>
      </c>
      <c r="H1648" s="6">
        <v>7.01</v>
      </c>
      <c r="I1648" s="6">
        <v>1.05</v>
      </c>
      <c r="J1648" s="6">
        <v>5.96</v>
      </c>
      <c r="K1648" s="5">
        <v>271</v>
      </c>
      <c r="L1648" s="13" t="str">
        <f t="shared" si="50"/>
        <v>Discount Applied</v>
      </c>
      <c r="M1648" s="13" t="str">
        <f t="shared" si="51"/>
        <v>Bronze</v>
      </c>
      <c r="N1648" s="13"/>
    </row>
    <row r="1649" spans="1:14" x14ac:dyDescent="0.3">
      <c r="A1649" s="3">
        <v>6133</v>
      </c>
      <c r="B1649" s="3" t="s">
        <v>30</v>
      </c>
      <c r="C1649" s="4">
        <v>45289</v>
      </c>
      <c r="D1649" s="3" t="s">
        <v>22</v>
      </c>
      <c r="E1649" s="3" t="s">
        <v>33</v>
      </c>
      <c r="F1649" s="5">
        <v>4</v>
      </c>
      <c r="G1649" s="6">
        <v>1.85</v>
      </c>
      <c r="H1649" s="6">
        <v>7.4</v>
      </c>
      <c r="I1649" s="6">
        <v>2.41</v>
      </c>
      <c r="J1649" s="6">
        <v>4.99</v>
      </c>
      <c r="K1649" s="5">
        <v>319</v>
      </c>
      <c r="L1649" s="13" t="str">
        <f t="shared" si="50"/>
        <v>Discount Applied</v>
      </c>
      <c r="M1649" s="13" t="str">
        <f t="shared" si="51"/>
        <v>Bronze</v>
      </c>
      <c r="N1649" s="13"/>
    </row>
    <row r="1650" spans="1:14" x14ac:dyDescent="0.3">
      <c r="A1650" s="3">
        <v>7270</v>
      </c>
      <c r="B1650" s="3" t="s">
        <v>24</v>
      </c>
      <c r="C1650" s="4">
        <v>45452</v>
      </c>
      <c r="D1650" s="3" t="s">
        <v>20</v>
      </c>
      <c r="E1650" s="3" t="s">
        <v>39</v>
      </c>
      <c r="F1650" s="5">
        <v>3</v>
      </c>
      <c r="G1650" s="6">
        <v>17.13</v>
      </c>
      <c r="H1650" s="6">
        <v>51.39</v>
      </c>
      <c r="I1650" s="6">
        <v>5.14</v>
      </c>
      <c r="J1650" s="6">
        <v>46.25</v>
      </c>
      <c r="K1650" s="5">
        <v>251</v>
      </c>
      <c r="L1650" s="13" t="str">
        <f t="shared" si="50"/>
        <v>Discount Applied</v>
      </c>
      <c r="M1650" s="13" t="str">
        <f t="shared" si="51"/>
        <v>Silver</v>
      </c>
      <c r="N1650" s="13"/>
    </row>
    <row r="1651" spans="1:14" x14ac:dyDescent="0.3">
      <c r="A1651" s="3">
        <v>3181</v>
      </c>
      <c r="B1651" s="3" t="s">
        <v>14</v>
      </c>
      <c r="C1651" s="4">
        <v>45717</v>
      </c>
      <c r="D1651" s="3" t="s">
        <v>34</v>
      </c>
      <c r="E1651" s="3" t="s">
        <v>32</v>
      </c>
      <c r="F1651" s="5">
        <v>5</v>
      </c>
      <c r="G1651" s="6">
        <v>28.51</v>
      </c>
      <c r="H1651" s="6">
        <v>142.55000000000001</v>
      </c>
      <c r="I1651" s="6">
        <v>14.26</v>
      </c>
      <c r="J1651" s="6">
        <v>128.29</v>
      </c>
      <c r="K1651" s="5">
        <v>63</v>
      </c>
      <c r="L1651" s="13" t="str">
        <f t="shared" si="50"/>
        <v>Discount Applied</v>
      </c>
      <c r="M1651" s="13" t="str">
        <f t="shared" si="51"/>
        <v>Platinum</v>
      </c>
      <c r="N1651" s="13"/>
    </row>
    <row r="1652" spans="1:14" x14ac:dyDescent="0.3">
      <c r="A1652" s="3">
        <v>3340</v>
      </c>
      <c r="B1652" s="3" t="s">
        <v>42</v>
      </c>
      <c r="C1652" s="4">
        <v>45494</v>
      </c>
      <c r="D1652" s="3" t="s">
        <v>17</v>
      </c>
      <c r="E1652" s="3" t="s">
        <v>48</v>
      </c>
      <c r="F1652" s="5">
        <v>5</v>
      </c>
      <c r="G1652" s="6">
        <v>9.3800000000000008</v>
      </c>
      <c r="H1652" s="6">
        <v>46.9</v>
      </c>
      <c r="I1652" s="6">
        <v>0</v>
      </c>
      <c r="J1652" s="6">
        <v>46.9</v>
      </c>
      <c r="K1652" s="5">
        <v>442</v>
      </c>
      <c r="L1652" s="13" t="str">
        <f t="shared" si="50"/>
        <v>No Discount</v>
      </c>
      <c r="M1652" s="13" t="str">
        <f t="shared" si="51"/>
        <v>Silver</v>
      </c>
      <c r="N1652" s="13"/>
    </row>
    <row r="1653" spans="1:14" x14ac:dyDescent="0.3">
      <c r="A1653" s="3">
        <v>1138</v>
      </c>
      <c r="B1653" s="3" t="s">
        <v>24</v>
      </c>
      <c r="C1653" s="4">
        <v>45447</v>
      </c>
      <c r="D1653" s="3" t="s">
        <v>38</v>
      </c>
      <c r="E1653" s="3" t="s">
        <v>16</v>
      </c>
      <c r="F1653" s="5">
        <v>3</v>
      </c>
      <c r="G1653" s="6">
        <v>22.78</v>
      </c>
      <c r="H1653" s="6">
        <v>68.34</v>
      </c>
      <c r="I1653" s="6">
        <v>10.25</v>
      </c>
      <c r="J1653" s="6">
        <v>58.09</v>
      </c>
      <c r="K1653" s="5">
        <v>214</v>
      </c>
      <c r="L1653" s="13" t="str">
        <f t="shared" si="50"/>
        <v>Discount Applied</v>
      </c>
      <c r="M1653" s="13" t="str">
        <f t="shared" si="51"/>
        <v>Gold</v>
      </c>
      <c r="N1653" s="13"/>
    </row>
    <row r="1654" spans="1:14" x14ac:dyDescent="0.3">
      <c r="A1654" s="3">
        <v>3688</v>
      </c>
      <c r="B1654" s="3" t="s">
        <v>36</v>
      </c>
      <c r="C1654" s="4">
        <v>45692</v>
      </c>
      <c r="D1654" s="3" t="s">
        <v>27</v>
      </c>
      <c r="E1654" s="3" t="s">
        <v>48</v>
      </c>
      <c r="F1654" s="5">
        <v>3</v>
      </c>
      <c r="G1654" s="6">
        <v>15.56</v>
      </c>
      <c r="H1654" s="6">
        <v>46.68</v>
      </c>
      <c r="I1654" s="6">
        <v>9.34</v>
      </c>
      <c r="J1654" s="6">
        <v>37.340000000000003</v>
      </c>
      <c r="K1654" s="5">
        <v>272</v>
      </c>
      <c r="L1654" s="13" t="str">
        <f t="shared" si="50"/>
        <v>Discount Applied</v>
      </c>
      <c r="M1654" s="13" t="str">
        <f t="shared" si="51"/>
        <v>Silver</v>
      </c>
      <c r="N1654" s="13"/>
    </row>
    <row r="1655" spans="1:14" x14ac:dyDescent="0.3">
      <c r="A1655" s="3">
        <v>6753</v>
      </c>
      <c r="B1655" s="3" t="s">
        <v>24</v>
      </c>
      <c r="C1655" s="4">
        <v>45304</v>
      </c>
      <c r="D1655" s="3" t="s">
        <v>45</v>
      </c>
      <c r="E1655" s="3" t="s">
        <v>33</v>
      </c>
      <c r="F1655" s="5">
        <v>3</v>
      </c>
      <c r="G1655" s="6">
        <v>24.95</v>
      </c>
      <c r="H1655" s="6">
        <v>74.849999999999994</v>
      </c>
      <c r="I1655" s="6">
        <v>14.97</v>
      </c>
      <c r="J1655" s="6">
        <v>59.88</v>
      </c>
      <c r="K1655" s="5">
        <v>230</v>
      </c>
      <c r="L1655" s="13" t="str">
        <f t="shared" si="50"/>
        <v>Discount Applied</v>
      </c>
      <c r="M1655" s="13" t="str">
        <f t="shared" si="51"/>
        <v>Gold</v>
      </c>
      <c r="N1655" s="13"/>
    </row>
    <row r="1656" spans="1:14" x14ac:dyDescent="0.3">
      <c r="A1656" s="3">
        <v>4490</v>
      </c>
      <c r="B1656" s="3" t="s">
        <v>24</v>
      </c>
      <c r="C1656" s="4">
        <v>45729</v>
      </c>
      <c r="D1656" s="3" t="s">
        <v>35</v>
      </c>
      <c r="E1656" s="3" t="s">
        <v>39</v>
      </c>
      <c r="F1656" s="5">
        <v>5</v>
      </c>
      <c r="G1656" s="6">
        <v>25.06</v>
      </c>
      <c r="H1656" s="6">
        <v>125.3</v>
      </c>
      <c r="I1656" s="6">
        <v>0</v>
      </c>
      <c r="J1656" s="6">
        <v>125.3</v>
      </c>
      <c r="K1656" s="5">
        <v>390</v>
      </c>
      <c r="L1656" s="13" t="str">
        <f t="shared" si="50"/>
        <v>No Discount</v>
      </c>
      <c r="M1656" s="13" t="str">
        <f t="shared" si="51"/>
        <v>Platinum</v>
      </c>
      <c r="N1656" s="13"/>
    </row>
    <row r="1657" spans="1:14" x14ac:dyDescent="0.3">
      <c r="A1657" s="3">
        <v>3480</v>
      </c>
      <c r="B1657" s="3" t="s">
        <v>19</v>
      </c>
      <c r="C1657" s="4">
        <v>45593</v>
      </c>
      <c r="D1657" s="3" t="s">
        <v>27</v>
      </c>
      <c r="E1657" s="3" t="s">
        <v>48</v>
      </c>
      <c r="F1657" s="5">
        <v>4</v>
      </c>
      <c r="G1657" s="6">
        <v>17.809999999999999</v>
      </c>
      <c r="H1657" s="6">
        <v>71.239999999999995</v>
      </c>
      <c r="I1657" s="6">
        <v>7.12</v>
      </c>
      <c r="J1657" s="6">
        <v>64.12</v>
      </c>
      <c r="K1657" s="5">
        <v>214</v>
      </c>
      <c r="L1657" s="13" t="str">
        <f t="shared" si="50"/>
        <v>Discount Applied</v>
      </c>
      <c r="M1657" s="13" t="str">
        <f t="shared" si="51"/>
        <v>Gold</v>
      </c>
      <c r="N1657" s="13"/>
    </row>
    <row r="1658" spans="1:14" x14ac:dyDescent="0.3">
      <c r="A1658" s="3">
        <v>8248</v>
      </c>
      <c r="B1658" s="3" t="s">
        <v>42</v>
      </c>
      <c r="C1658" s="4">
        <v>45765</v>
      </c>
      <c r="D1658" s="3" t="s">
        <v>27</v>
      </c>
      <c r="E1658" s="3" t="s">
        <v>39</v>
      </c>
      <c r="F1658" s="5">
        <v>5</v>
      </c>
      <c r="G1658" s="6">
        <v>7.49</v>
      </c>
      <c r="H1658" s="6">
        <v>37.450000000000003</v>
      </c>
      <c r="I1658" s="6">
        <v>3.28</v>
      </c>
      <c r="J1658" s="6">
        <v>34.17</v>
      </c>
      <c r="K1658" s="5">
        <v>312</v>
      </c>
      <c r="L1658" s="13" t="str">
        <f t="shared" si="50"/>
        <v>Discount Applied</v>
      </c>
      <c r="M1658" s="13" t="str">
        <f t="shared" si="51"/>
        <v>Silver</v>
      </c>
      <c r="N1658" s="13"/>
    </row>
    <row r="1659" spans="1:14" x14ac:dyDescent="0.3">
      <c r="A1659" s="3">
        <v>4559</v>
      </c>
      <c r="B1659" s="3" t="s">
        <v>24</v>
      </c>
      <c r="C1659" s="4">
        <v>45290</v>
      </c>
      <c r="D1659" s="3" t="s">
        <v>12</v>
      </c>
      <c r="E1659" s="3" t="s">
        <v>21</v>
      </c>
      <c r="F1659" s="5">
        <v>5</v>
      </c>
      <c r="G1659" s="6">
        <v>8.24</v>
      </c>
      <c r="H1659" s="6">
        <v>41.2</v>
      </c>
      <c r="I1659" s="6">
        <v>0</v>
      </c>
      <c r="J1659" s="6">
        <v>41.2</v>
      </c>
      <c r="K1659" s="5">
        <v>291</v>
      </c>
      <c r="L1659" s="13" t="str">
        <f t="shared" si="50"/>
        <v>No Discount</v>
      </c>
      <c r="M1659" s="13" t="str">
        <f t="shared" si="51"/>
        <v>Silver</v>
      </c>
      <c r="N1659" s="13"/>
    </row>
    <row r="1660" spans="1:14" x14ac:dyDescent="0.3">
      <c r="A1660" s="3">
        <v>3017</v>
      </c>
      <c r="B1660" s="3" t="s">
        <v>11</v>
      </c>
      <c r="C1660" s="4">
        <v>45398</v>
      </c>
      <c r="D1660" s="3" t="s">
        <v>22</v>
      </c>
      <c r="E1660" s="3" t="s">
        <v>39</v>
      </c>
      <c r="F1660" s="5">
        <v>5</v>
      </c>
      <c r="G1660" s="6">
        <v>26.61</v>
      </c>
      <c r="H1660" s="6">
        <v>133.05000000000001</v>
      </c>
      <c r="I1660" s="6">
        <v>3.05</v>
      </c>
      <c r="J1660" s="6">
        <v>130</v>
      </c>
      <c r="K1660" s="5">
        <v>334</v>
      </c>
      <c r="L1660" s="13" t="str">
        <f t="shared" si="50"/>
        <v>Discount Applied</v>
      </c>
      <c r="M1660" s="13" t="str">
        <f t="shared" si="51"/>
        <v>Platinum</v>
      </c>
      <c r="N1660" s="13"/>
    </row>
    <row r="1661" spans="1:14" x14ac:dyDescent="0.3">
      <c r="A1661" s="3">
        <v>8035</v>
      </c>
      <c r="B1661" s="3" t="s">
        <v>42</v>
      </c>
      <c r="C1661" s="4">
        <v>45500</v>
      </c>
      <c r="D1661" s="3" t="s">
        <v>34</v>
      </c>
      <c r="E1661" s="3" t="s">
        <v>33</v>
      </c>
      <c r="F1661" s="5">
        <v>3</v>
      </c>
      <c r="G1661" s="6">
        <v>21.96</v>
      </c>
      <c r="H1661" s="6">
        <v>65.88</v>
      </c>
      <c r="I1661" s="6">
        <v>6.59</v>
      </c>
      <c r="J1661" s="6">
        <v>59.29</v>
      </c>
      <c r="K1661" s="5">
        <v>122</v>
      </c>
      <c r="L1661" s="13" t="str">
        <f t="shared" si="50"/>
        <v>Discount Applied</v>
      </c>
      <c r="M1661" s="13" t="str">
        <f t="shared" si="51"/>
        <v>Gold</v>
      </c>
      <c r="N1661" s="13"/>
    </row>
    <row r="1662" spans="1:14" x14ac:dyDescent="0.3">
      <c r="A1662" s="3">
        <v>5537</v>
      </c>
      <c r="B1662" s="3" t="s">
        <v>42</v>
      </c>
      <c r="C1662" s="4">
        <v>45348</v>
      </c>
      <c r="D1662" s="3" t="s">
        <v>22</v>
      </c>
      <c r="E1662" s="3" t="s">
        <v>41</v>
      </c>
      <c r="F1662" s="5">
        <v>3</v>
      </c>
      <c r="G1662" s="6">
        <v>2.87</v>
      </c>
      <c r="H1662" s="6">
        <v>8.61</v>
      </c>
      <c r="I1662" s="6">
        <v>2.84</v>
      </c>
      <c r="J1662" s="6">
        <v>5.77</v>
      </c>
      <c r="K1662" s="5">
        <v>15</v>
      </c>
      <c r="L1662" s="13" t="str">
        <f t="shared" si="50"/>
        <v>Discount Applied</v>
      </c>
      <c r="M1662" s="13" t="str">
        <f t="shared" si="51"/>
        <v>Bronze</v>
      </c>
      <c r="N1662" s="13"/>
    </row>
    <row r="1663" spans="1:14" x14ac:dyDescent="0.3">
      <c r="A1663" s="3">
        <v>2380</v>
      </c>
      <c r="B1663" s="3" t="s">
        <v>42</v>
      </c>
      <c r="C1663" s="4">
        <v>45554</v>
      </c>
      <c r="D1663" s="3" t="s">
        <v>27</v>
      </c>
      <c r="E1663" s="3" t="s">
        <v>33</v>
      </c>
      <c r="F1663" s="5">
        <v>2</v>
      </c>
      <c r="G1663" s="6">
        <v>24.1</v>
      </c>
      <c r="H1663" s="6">
        <v>48.2</v>
      </c>
      <c r="I1663" s="6">
        <v>3.57</v>
      </c>
      <c r="J1663" s="6">
        <v>44.63</v>
      </c>
      <c r="K1663" s="5">
        <v>498</v>
      </c>
      <c r="L1663" s="13" t="str">
        <f t="shared" si="50"/>
        <v>Discount Applied</v>
      </c>
      <c r="M1663" s="13" t="str">
        <f t="shared" si="51"/>
        <v>Silver</v>
      </c>
      <c r="N1663" s="13"/>
    </row>
    <row r="1664" spans="1:14" x14ac:dyDescent="0.3">
      <c r="A1664" s="3">
        <v>1439</v>
      </c>
      <c r="B1664" s="3" t="s">
        <v>36</v>
      </c>
      <c r="C1664" s="4">
        <v>45608</v>
      </c>
      <c r="D1664" s="3" t="s">
        <v>34</v>
      </c>
      <c r="E1664" s="3" t="s">
        <v>25</v>
      </c>
      <c r="F1664" s="5">
        <v>4</v>
      </c>
      <c r="G1664" s="6">
        <v>21.93</v>
      </c>
      <c r="H1664" s="6">
        <v>87.72</v>
      </c>
      <c r="I1664" s="6">
        <v>0</v>
      </c>
      <c r="J1664" s="6">
        <v>87.72</v>
      </c>
      <c r="K1664" s="5">
        <v>35</v>
      </c>
      <c r="L1664" s="13" t="str">
        <f t="shared" si="50"/>
        <v>No Discount</v>
      </c>
      <c r="M1664" s="13" t="str">
        <f t="shared" si="51"/>
        <v>Platinum</v>
      </c>
      <c r="N1664" s="13"/>
    </row>
    <row r="1665" spans="1:14" x14ac:dyDescent="0.3">
      <c r="A1665" s="3">
        <v>5942</v>
      </c>
      <c r="B1665" s="3" t="s">
        <v>31</v>
      </c>
      <c r="C1665" s="4">
        <v>45619</v>
      </c>
      <c r="D1665" s="3" t="s">
        <v>27</v>
      </c>
      <c r="E1665" s="3" t="s">
        <v>16</v>
      </c>
      <c r="F1665" s="5">
        <v>5</v>
      </c>
      <c r="G1665" s="6">
        <v>29.86</v>
      </c>
      <c r="H1665" s="6">
        <v>149.30000000000001</v>
      </c>
      <c r="I1665" s="6">
        <v>4.13</v>
      </c>
      <c r="J1665" s="6">
        <v>145.16999999999999</v>
      </c>
      <c r="K1665" s="5">
        <v>441</v>
      </c>
      <c r="L1665" s="13" t="str">
        <f t="shared" si="50"/>
        <v>Discount Applied</v>
      </c>
      <c r="M1665" s="13" t="str">
        <f t="shared" si="51"/>
        <v>Platinum</v>
      </c>
      <c r="N1665" s="13"/>
    </row>
    <row r="1666" spans="1:14" x14ac:dyDescent="0.3">
      <c r="A1666" s="3">
        <v>7418</v>
      </c>
      <c r="B1666" s="3" t="s">
        <v>30</v>
      </c>
      <c r="C1666" s="4">
        <v>45600</v>
      </c>
      <c r="D1666" s="3" t="s">
        <v>38</v>
      </c>
      <c r="E1666" s="3" t="s">
        <v>48</v>
      </c>
      <c r="F1666" s="5">
        <v>5</v>
      </c>
      <c r="G1666" s="6">
        <v>19.760000000000002</v>
      </c>
      <c r="H1666" s="6">
        <v>98.8</v>
      </c>
      <c r="I1666" s="6">
        <v>9.8800000000000008</v>
      </c>
      <c r="J1666" s="6">
        <v>88.92</v>
      </c>
      <c r="K1666" s="5">
        <v>273</v>
      </c>
      <c r="L1666" s="13" t="str">
        <f t="shared" si="50"/>
        <v>Discount Applied</v>
      </c>
      <c r="M1666" s="13" t="str">
        <f t="shared" si="51"/>
        <v>Platinum</v>
      </c>
      <c r="N1666" s="13"/>
    </row>
    <row r="1667" spans="1:14" x14ac:dyDescent="0.3">
      <c r="A1667" s="3">
        <v>1894</v>
      </c>
      <c r="B1667" s="3" t="s">
        <v>26</v>
      </c>
      <c r="C1667" s="4">
        <v>45415</v>
      </c>
      <c r="D1667" s="3" t="s">
        <v>12</v>
      </c>
      <c r="E1667" s="3" t="s">
        <v>37</v>
      </c>
      <c r="F1667" s="5">
        <v>4</v>
      </c>
      <c r="G1667" s="6">
        <v>25.01</v>
      </c>
      <c r="H1667" s="6">
        <v>100.04</v>
      </c>
      <c r="I1667" s="6">
        <v>15.01</v>
      </c>
      <c r="J1667" s="6">
        <v>85.03</v>
      </c>
      <c r="K1667" s="5">
        <v>371</v>
      </c>
      <c r="L1667" s="13" t="str">
        <f t="shared" ref="L1667:L1730" si="52">IF(I1667&gt;0,"Discount Applied","No Discount")</f>
        <v>Discount Applied</v>
      </c>
      <c r="M1667" s="13" t="str">
        <f t="shared" ref="M1667:M1730" si="53">IF(J1667 &gt;= 70, "Platinum",
   IF(J1667 &gt;= 50, "Gold",
      IF(J1667 &gt;= 20, "Silver", "Bronze")))</f>
        <v>Platinum</v>
      </c>
      <c r="N1667" s="13"/>
    </row>
    <row r="1668" spans="1:14" x14ac:dyDescent="0.3">
      <c r="A1668" s="3">
        <v>7322</v>
      </c>
      <c r="B1668" s="3" t="s">
        <v>24</v>
      </c>
      <c r="C1668" s="4">
        <v>45801</v>
      </c>
      <c r="D1668" s="3" t="s">
        <v>38</v>
      </c>
      <c r="E1668" s="3" t="s">
        <v>33</v>
      </c>
      <c r="F1668" s="5">
        <v>4</v>
      </c>
      <c r="G1668" s="6">
        <v>23.83</v>
      </c>
      <c r="H1668" s="6">
        <v>95.32</v>
      </c>
      <c r="I1668" s="6">
        <v>14.3</v>
      </c>
      <c r="J1668" s="6">
        <v>81.02</v>
      </c>
      <c r="K1668" s="5">
        <v>53</v>
      </c>
      <c r="L1668" s="13" t="str">
        <f t="shared" si="52"/>
        <v>Discount Applied</v>
      </c>
      <c r="M1668" s="13" t="str">
        <f t="shared" si="53"/>
        <v>Platinum</v>
      </c>
      <c r="N1668" s="13"/>
    </row>
    <row r="1669" spans="1:14" x14ac:dyDescent="0.3">
      <c r="A1669" s="3">
        <v>4949</v>
      </c>
      <c r="B1669" s="3" t="s">
        <v>11</v>
      </c>
      <c r="C1669" s="4">
        <v>45624</v>
      </c>
      <c r="D1669" s="3" t="s">
        <v>34</v>
      </c>
      <c r="E1669" s="3" t="s">
        <v>23</v>
      </c>
      <c r="F1669" s="5">
        <v>4</v>
      </c>
      <c r="G1669" s="6">
        <v>20.03</v>
      </c>
      <c r="H1669" s="6">
        <v>80.12</v>
      </c>
      <c r="I1669" s="6">
        <v>8.01</v>
      </c>
      <c r="J1669" s="6">
        <v>72.11</v>
      </c>
      <c r="K1669" s="5">
        <v>72</v>
      </c>
      <c r="L1669" s="13" t="str">
        <f t="shared" si="52"/>
        <v>Discount Applied</v>
      </c>
      <c r="M1669" s="13" t="str">
        <f t="shared" si="53"/>
        <v>Platinum</v>
      </c>
      <c r="N1669" s="13"/>
    </row>
    <row r="1670" spans="1:14" x14ac:dyDescent="0.3">
      <c r="A1670" s="3">
        <v>1197</v>
      </c>
      <c r="B1670" s="3" t="s">
        <v>42</v>
      </c>
      <c r="C1670" s="4">
        <v>45777</v>
      </c>
      <c r="D1670" s="3" t="s">
        <v>35</v>
      </c>
      <c r="E1670" s="3" t="s">
        <v>48</v>
      </c>
      <c r="F1670" s="5">
        <v>3</v>
      </c>
      <c r="G1670" s="6">
        <v>19.61</v>
      </c>
      <c r="H1670" s="6">
        <v>58.83</v>
      </c>
      <c r="I1670" s="6">
        <v>0</v>
      </c>
      <c r="J1670" s="6">
        <v>58.83</v>
      </c>
      <c r="K1670" s="5">
        <v>37</v>
      </c>
      <c r="L1670" s="13" t="str">
        <f t="shared" si="52"/>
        <v>No Discount</v>
      </c>
      <c r="M1670" s="13" t="str">
        <f t="shared" si="53"/>
        <v>Gold</v>
      </c>
      <c r="N1670" s="13"/>
    </row>
    <row r="1671" spans="1:14" x14ac:dyDescent="0.3">
      <c r="A1671" s="3">
        <v>6185</v>
      </c>
      <c r="B1671" s="3" t="s">
        <v>26</v>
      </c>
      <c r="C1671" s="4">
        <v>45858</v>
      </c>
      <c r="D1671" s="3" t="s">
        <v>17</v>
      </c>
      <c r="E1671" s="3" t="s">
        <v>13</v>
      </c>
      <c r="F1671" s="5">
        <v>3</v>
      </c>
      <c r="G1671" s="6">
        <v>9.5500000000000007</v>
      </c>
      <c r="H1671" s="6">
        <v>28.65</v>
      </c>
      <c r="I1671" s="6">
        <v>2.87</v>
      </c>
      <c r="J1671" s="6">
        <v>25.78</v>
      </c>
      <c r="K1671" s="5">
        <v>227</v>
      </c>
      <c r="L1671" s="13" t="str">
        <f t="shared" si="52"/>
        <v>Discount Applied</v>
      </c>
      <c r="M1671" s="13" t="str">
        <f t="shared" si="53"/>
        <v>Silver</v>
      </c>
      <c r="N1671" s="13"/>
    </row>
    <row r="1672" spans="1:14" x14ac:dyDescent="0.3">
      <c r="A1672" s="3">
        <v>7337</v>
      </c>
      <c r="B1672" s="3" t="s">
        <v>30</v>
      </c>
      <c r="C1672" s="4">
        <v>45667</v>
      </c>
      <c r="D1672" s="3" t="s">
        <v>28</v>
      </c>
      <c r="E1672" s="3" t="s">
        <v>13</v>
      </c>
      <c r="F1672" s="5">
        <v>5</v>
      </c>
      <c r="G1672" s="6">
        <v>2.0299999999999998</v>
      </c>
      <c r="H1672" s="6">
        <v>10.15</v>
      </c>
      <c r="I1672" s="6">
        <v>2.15</v>
      </c>
      <c r="J1672" s="6">
        <v>8</v>
      </c>
      <c r="K1672" s="5">
        <v>71</v>
      </c>
      <c r="L1672" s="13" t="str">
        <f t="shared" si="52"/>
        <v>Discount Applied</v>
      </c>
      <c r="M1672" s="13" t="str">
        <f t="shared" si="53"/>
        <v>Bronze</v>
      </c>
      <c r="N1672" s="13"/>
    </row>
    <row r="1673" spans="1:14" x14ac:dyDescent="0.3">
      <c r="A1673" s="3">
        <v>7895</v>
      </c>
      <c r="B1673" s="3" t="s">
        <v>42</v>
      </c>
      <c r="C1673" s="4">
        <v>45388</v>
      </c>
      <c r="D1673" s="3" t="s">
        <v>22</v>
      </c>
      <c r="E1673" s="3" t="s">
        <v>23</v>
      </c>
      <c r="F1673" s="5">
        <v>3</v>
      </c>
      <c r="G1673" s="6">
        <v>9.8800000000000008</v>
      </c>
      <c r="H1673" s="6">
        <v>29.64</v>
      </c>
      <c r="I1673" s="6">
        <v>3.54</v>
      </c>
      <c r="J1673" s="6">
        <v>26.1</v>
      </c>
      <c r="K1673" s="5">
        <v>366</v>
      </c>
      <c r="L1673" s="13" t="str">
        <f t="shared" si="52"/>
        <v>Discount Applied</v>
      </c>
      <c r="M1673" s="13" t="str">
        <f t="shared" si="53"/>
        <v>Silver</v>
      </c>
      <c r="N1673" s="13"/>
    </row>
    <row r="1674" spans="1:14" x14ac:dyDescent="0.3">
      <c r="A1674" s="3">
        <v>9951</v>
      </c>
      <c r="B1674" s="3" t="s">
        <v>26</v>
      </c>
      <c r="C1674" s="4">
        <v>45330</v>
      </c>
      <c r="D1674" s="3" t="s">
        <v>45</v>
      </c>
      <c r="E1674" s="3" t="s">
        <v>37</v>
      </c>
      <c r="F1674" s="5">
        <v>2</v>
      </c>
      <c r="G1674" s="6">
        <v>22.56</v>
      </c>
      <c r="H1674" s="6">
        <v>45.12</v>
      </c>
      <c r="I1674" s="6">
        <v>9.02</v>
      </c>
      <c r="J1674" s="6">
        <v>36.1</v>
      </c>
      <c r="K1674" s="5">
        <v>355</v>
      </c>
      <c r="L1674" s="13" t="str">
        <f t="shared" si="52"/>
        <v>Discount Applied</v>
      </c>
      <c r="M1674" s="13" t="str">
        <f t="shared" si="53"/>
        <v>Silver</v>
      </c>
      <c r="N1674" s="13"/>
    </row>
    <row r="1675" spans="1:14" x14ac:dyDescent="0.3">
      <c r="A1675" s="3">
        <v>3830</v>
      </c>
      <c r="B1675" s="3" t="s">
        <v>30</v>
      </c>
      <c r="C1675" s="4">
        <v>45235</v>
      </c>
      <c r="D1675" s="3" t="s">
        <v>20</v>
      </c>
      <c r="E1675" s="3" t="s">
        <v>13</v>
      </c>
      <c r="F1675" s="5">
        <v>2</v>
      </c>
      <c r="G1675" s="6">
        <v>1.8</v>
      </c>
      <c r="H1675" s="6">
        <v>3.6</v>
      </c>
      <c r="I1675" s="6">
        <v>0.72</v>
      </c>
      <c r="J1675" s="6">
        <v>2.88</v>
      </c>
      <c r="K1675" s="5">
        <v>108</v>
      </c>
      <c r="L1675" s="13" t="str">
        <f t="shared" si="52"/>
        <v>Discount Applied</v>
      </c>
      <c r="M1675" s="13" t="str">
        <f t="shared" si="53"/>
        <v>Bronze</v>
      </c>
      <c r="N1675" s="13"/>
    </row>
    <row r="1676" spans="1:14" x14ac:dyDescent="0.3">
      <c r="A1676" s="3">
        <v>8717</v>
      </c>
      <c r="B1676" s="3" t="s">
        <v>31</v>
      </c>
      <c r="C1676" s="4">
        <v>45434</v>
      </c>
      <c r="D1676" s="3" t="s">
        <v>35</v>
      </c>
      <c r="E1676" s="3" t="s">
        <v>23</v>
      </c>
      <c r="F1676" s="5">
        <v>5</v>
      </c>
      <c r="G1676" s="6">
        <v>22.61</v>
      </c>
      <c r="H1676" s="6">
        <v>113.05</v>
      </c>
      <c r="I1676" s="6">
        <v>11.3</v>
      </c>
      <c r="J1676" s="6">
        <v>101.75</v>
      </c>
      <c r="K1676" s="5">
        <v>264</v>
      </c>
      <c r="L1676" s="13" t="str">
        <f t="shared" si="52"/>
        <v>Discount Applied</v>
      </c>
      <c r="M1676" s="13" t="str">
        <f t="shared" si="53"/>
        <v>Platinum</v>
      </c>
      <c r="N1676" s="13"/>
    </row>
    <row r="1677" spans="1:14" x14ac:dyDescent="0.3">
      <c r="A1677" s="3">
        <v>2195</v>
      </c>
      <c r="B1677" s="3" t="s">
        <v>19</v>
      </c>
      <c r="C1677" s="4">
        <v>45541</v>
      </c>
      <c r="D1677" s="3" t="s">
        <v>22</v>
      </c>
      <c r="E1677" s="3" t="s">
        <v>41</v>
      </c>
      <c r="F1677" s="5">
        <v>5</v>
      </c>
      <c r="G1677" s="6">
        <v>25.72</v>
      </c>
      <c r="H1677" s="6">
        <v>128.6</v>
      </c>
      <c r="I1677" s="6">
        <v>12.86</v>
      </c>
      <c r="J1677" s="6">
        <v>115.74</v>
      </c>
      <c r="K1677" s="5">
        <v>160</v>
      </c>
      <c r="L1677" s="13" t="str">
        <f t="shared" si="52"/>
        <v>Discount Applied</v>
      </c>
      <c r="M1677" s="13" t="str">
        <f t="shared" si="53"/>
        <v>Platinum</v>
      </c>
      <c r="N1677" s="13"/>
    </row>
    <row r="1678" spans="1:14" x14ac:dyDescent="0.3">
      <c r="A1678" s="3">
        <v>1652</v>
      </c>
      <c r="B1678" s="3" t="s">
        <v>26</v>
      </c>
      <c r="C1678" s="4">
        <v>45469</v>
      </c>
      <c r="D1678" s="3" t="s">
        <v>27</v>
      </c>
      <c r="E1678" s="3" t="s">
        <v>29</v>
      </c>
      <c r="F1678" s="5">
        <v>5</v>
      </c>
      <c r="G1678" s="6">
        <v>14.97</v>
      </c>
      <c r="H1678" s="6">
        <v>74.849999999999994</v>
      </c>
      <c r="I1678" s="6">
        <v>3.67</v>
      </c>
      <c r="J1678" s="6">
        <v>71.180000000000007</v>
      </c>
      <c r="K1678" s="5">
        <v>247</v>
      </c>
      <c r="L1678" s="13" t="str">
        <f t="shared" si="52"/>
        <v>Discount Applied</v>
      </c>
      <c r="M1678" s="13" t="str">
        <f t="shared" si="53"/>
        <v>Platinum</v>
      </c>
      <c r="N1678" s="13"/>
    </row>
    <row r="1679" spans="1:14" x14ac:dyDescent="0.3">
      <c r="A1679" s="3">
        <v>7520</v>
      </c>
      <c r="B1679" s="3" t="s">
        <v>11</v>
      </c>
      <c r="C1679" s="4">
        <v>45591</v>
      </c>
      <c r="D1679" s="3" t="s">
        <v>22</v>
      </c>
      <c r="E1679" s="3" t="s">
        <v>25</v>
      </c>
      <c r="F1679" s="5">
        <v>3</v>
      </c>
      <c r="G1679" s="6">
        <v>6.98</v>
      </c>
      <c r="H1679" s="6">
        <v>20.94</v>
      </c>
      <c r="I1679" s="6">
        <v>4.1100000000000003</v>
      </c>
      <c r="J1679" s="6">
        <v>16.829999999999998</v>
      </c>
      <c r="K1679" s="5">
        <v>76</v>
      </c>
      <c r="L1679" s="13" t="str">
        <f t="shared" si="52"/>
        <v>Discount Applied</v>
      </c>
      <c r="M1679" s="13" t="str">
        <f t="shared" si="53"/>
        <v>Bronze</v>
      </c>
      <c r="N1679" s="13"/>
    </row>
    <row r="1680" spans="1:14" x14ac:dyDescent="0.3">
      <c r="A1680" s="3">
        <v>5693</v>
      </c>
      <c r="B1680" s="3" t="s">
        <v>11</v>
      </c>
      <c r="C1680" s="4">
        <v>45473</v>
      </c>
      <c r="D1680" s="3" t="s">
        <v>27</v>
      </c>
      <c r="E1680" s="3" t="s">
        <v>44</v>
      </c>
      <c r="F1680" s="5">
        <v>3</v>
      </c>
      <c r="G1680" s="6">
        <v>15.45</v>
      </c>
      <c r="H1680" s="6">
        <v>46.35</v>
      </c>
      <c r="I1680" s="6">
        <v>0</v>
      </c>
      <c r="J1680" s="6">
        <v>46.35</v>
      </c>
      <c r="K1680" s="5">
        <v>291</v>
      </c>
      <c r="L1680" s="13" t="str">
        <f t="shared" si="52"/>
        <v>No Discount</v>
      </c>
      <c r="M1680" s="13" t="str">
        <f t="shared" si="53"/>
        <v>Silver</v>
      </c>
      <c r="N1680" s="13"/>
    </row>
    <row r="1681" spans="1:14" x14ac:dyDescent="0.3">
      <c r="A1681" s="3">
        <v>9209</v>
      </c>
      <c r="B1681" s="3" t="s">
        <v>14</v>
      </c>
      <c r="C1681" s="4">
        <v>45523</v>
      </c>
      <c r="D1681" s="3" t="s">
        <v>17</v>
      </c>
      <c r="E1681" s="3" t="s">
        <v>44</v>
      </c>
      <c r="F1681" s="5">
        <v>3</v>
      </c>
      <c r="G1681" s="6">
        <v>20.25</v>
      </c>
      <c r="H1681" s="6">
        <v>60.75</v>
      </c>
      <c r="I1681" s="6">
        <v>9.11</v>
      </c>
      <c r="J1681" s="6">
        <v>51.64</v>
      </c>
      <c r="K1681" s="5">
        <v>204</v>
      </c>
      <c r="L1681" s="13" t="str">
        <f t="shared" si="52"/>
        <v>Discount Applied</v>
      </c>
      <c r="M1681" s="13" t="str">
        <f t="shared" si="53"/>
        <v>Gold</v>
      </c>
      <c r="N1681" s="13"/>
    </row>
    <row r="1682" spans="1:14" x14ac:dyDescent="0.3">
      <c r="A1682" s="3">
        <v>7590</v>
      </c>
      <c r="B1682" s="3" t="s">
        <v>14</v>
      </c>
      <c r="C1682" s="4">
        <v>45683</v>
      </c>
      <c r="D1682" s="3" t="s">
        <v>15</v>
      </c>
      <c r="E1682" s="3" t="s">
        <v>13</v>
      </c>
      <c r="F1682" s="5">
        <v>5</v>
      </c>
      <c r="G1682" s="6">
        <v>28.88</v>
      </c>
      <c r="H1682" s="6">
        <v>144.4</v>
      </c>
      <c r="I1682" s="6">
        <v>2.79</v>
      </c>
      <c r="J1682" s="6">
        <v>141.61000000000001</v>
      </c>
      <c r="K1682" s="5">
        <v>433</v>
      </c>
      <c r="L1682" s="13" t="str">
        <f t="shared" si="52"/>
        <v>Discount Applied</v>
      </c>
      <c r="M1682" s="13" t="str">
        <f t="shared" si="53"/>
        <v>Platinum</v>
      </c>
      <c r="N1682" s="13"/>
    </row>
    <row r="1683" spans="1:14" x14ac:dyDescent="0.3">
      <c r="A1683" s="3">
        <v>9791</v>
      </c>
      <c r="B1683" s="3" t="s">
        <v>14</v>
      </c>
      <c r="C1683" s="4">
        <v>45576</v>
      </c>
      <c r="D1683" s="3" t="s">
        <v>17</v>
      </c>
      <c r="E1683" s="3" t="s">
        <v>25</v>
      </c>
      <c r="F1683" s="5">
        <v>3</v>
      </c>
      <c r="G1683" s="6">
        <v>24.11</v>
      </c>
      <c r="H1683" s="6">
        <v>72.33</v>
      </c>
      <c r="I1683" s="6">
        <v>14.47</v>
      </c>
      <c r="J1683" s="6">
        <v>57.86</v>
      </c>
      <c r="K1683" s="5">
        <v>93</v>
      </c>
      <c r="L1683" s="13" t="str">
        <f t="shared" si="52"/>
        <v>Discount Applied</v>
      </c>
      <c r="M1683" s="13" t="str">
        <f t="shared" si="53"/>
        <v>Gold</v>
      </c>
      <c r="N1683" s="13"/>
    </row>
    <row r="1684" spans="1:14" x14ac:dyDescent="0.3">
      <c r="A1684" s="3">
        <v>3501</v>
      </c>
      <c r="B1684" s="3" t="s">
        <v>26</v>
      </c>
      <c r="C1684" s="4">
        <v>45525</v>
      </c>
      <c r="D1684" s="3" t="s">
        <v>34</v>
      </c>
      <c r="E1684" s="3" t="s">
        <v>40</v>
      </c>
      <c r="F1684" s="5">
        <v>5</v>
      </c>
      <c r="G1684" s="6">
        <v>8.6999999999999993</v>
      </c>
      <c r="H1684" s="6">
        <v>43.5</v>
      </c>
      <c r="I1684" s="6">
        <v>0</v>
      </c>
      <c r="J1684" s="6">
        <v>43.5</v>
      </c>
      <c r="K1684" s="5">
        <v>142</v>
      </c>
      <c r="L1684" s="13" t="str">
        <f t="shared" si="52"/>
        <v>No Discount</v>
      </c>
      <c r="M1684" s="13" t="str">
        <f t="shared" si="53"/>
        <v>Silver</v>
      </c>
      <c r="N1684" s="13"/>
    </row>
    <row r="1685" spans="1:14" x14ac:dyDescent="0.3">
      <c r="A1685" s="3">
        <v>2369</v>
      </c>
      <c r="B1685" s="3" t="s">
        <v>42</v>
      </c>
      <c r="C1685" s="4">
        <v>45253</v>
      </c>
      <c r="D1685" s="3" t="s">
        <v>15</v>
      </c>
      <c r="E1685" s="3" t="s">
        <v>41</v>
      </c>
      <c r="F1685" s="5">
        <v>5</v>
      </c>
      <c r="G1685" s="6">
        <v>9.77</v>
      </c>
      <c r="H1685" s="6">
        <v>48.85</v>
      </c>
      <c r="I1685" s="6">
        <v>9.77</v>
      </c>
      <c r="J1685" s="6">
        <v>39.08</v>
      </c>
      <c r="K1685" s="5">
        <v>106</v>
      </c>
      <c r="L1685" s="13" t="str">
        <f t="shared" si="52"/>
        <v>Discount Applied</v>
      </c>
      <c r="M1685" s="13" t="str">
        <f t="shared" si="53"/>
        <v>Silver</v>
      </c>
      <c r="N1685" s="13"/>
    </row>
    <row r="1686" spans="1:14" x14ac:dyDescent="0.3">
      <c r="A1686" s="3">
        <v>4329</v>
      </c>
      <c r="B1686" s="3" t="s">
        <v>26</v>
      </c>
      <c r="C1686" s="4">
        <v>45389</v>
      </c>
      <c r="D1686" s="3" t="s">
        <v>45</v>
      </c>
      <c r="E1686" s="3" t="s">
        <v>48</v>
      </c>
      <c r="F1686" s="5">
        <v>5</v>
      </c>
      <c r="G1686" s="6">
        <v>26.56</v>
      </c>
      <c r="H1686" s="6">
        <v>132.80000000000001</v>
      </c>
      <c r="I1686" s="6">
        <v>0</v>
      </c>
      <c r="J1686" s="6">
        <v>132.80000000000001</v>
      </c>
      <c r="K1686" s="5">
        <v>26</v>
      </c>
      <c r="L1686" s="13" t="str">
        <f t="shared" si="52"/>
        <v>No Discount</v>
      </c>
      <c r="M1686" s="13" t="str">
        <f t="shared" si="53"/>
        <v>Platinum</v>
      </c>
      <c r="N1686" s="13"/>
    </row>
    <row r="1687" spans="1:14" x14ac:dyDescent="0.3">
      <c r="A1687" s="3">
        <v>3545</v>
      </c>
      <c r="B1687" s="3" t="s">
        <v>11</v>
      </c>
      <c r="C1687" s="4">
        <v>45626</v>
      </c>
      <c r="D1687" s="3" t="s">
        <v>17</v>
      </c>
      <c r="E1687" s="3" t="s">
        <v>47</v>
      </c>
      <c r="F1687" s="5">
        <v>1</v>
      </c>
      <c r="G1687" s="6">
        <v>13.81</v>
      </c>
      <c r="H1687" s="6">
        <v>13.81</v>
      </c>
      <c r="I1687" s="6">
        <v>3.17</v>
      </c>
      <c r="J1687" s="6">
        <v>10.64</v>
      </c>
      <c r="K1687" s="5">
        <v>243</v>
      </c>
      <c r="L1687" s="13" t="str">
        <f t="shared" si="52"/>
        <v>Discount Applied</v>
      </c>
      <c r="M1687" s="13" t="str">
        <f t="shared" si="53"/>
        <v>Bronze</v>
      </c>
      <c r="N1687" s="13"/>
    </row>
    <row r="1688" spans="1:14" x14ac:dyDescent="0.3">
      <c r="A1688" s="3">
        <v>6353</v>
      </c>
      <c r="B1688" s="3" t="s">
        <v>42</v>
      </c>
      <c r="C1688" s="4">
        <v>45817</v>
      </c>
      <c r="D1688" s="3" t="s">
        <v>28</v>
      </c>
      <c r="E1688" s="3" t="s">
        <v>47</v>
      </c>
      <c r="F1688" s="5">
        <v>3</v>
      </c>
      <c r="G1688" s="6">
        <v>17.5</v>
      </c>
      <c r="H1688" s="6">
        <v>52.5</v>
      </c>
      <c r="I1688" s="6">
        <v>3.88</v>
      </c>
      <c r="J1688" s="6">
        <v>48.62</v>
      </c>
      <c r="K1688" s="5">
        <v>297</v>
      </c>
      <c r="L1688" s="13" t="str">
        <f t="shared" si="52"/>
        <v>Discount Applied</v>
      </c>
      <c r="M1688" s="13" t="str">
        <f t="shared" si="53"/>
        <v>Silver</v>
      </c>
      <c r="N1688" s="13"/>
    </row>
    <row r="1689" spans="1:14" x14ac:dyDescent="0.3">
      <c r="A1689" s="3">
        <v>2083</v>
      </c>
      <c r="B1689" s="3" t="s">
        <v>26</v>
      </c>
      <c r="C1689" s="4">
        <v>45152</v>
      </c>
      <c r="D1689" s="3" t="s">
        <v>27</v>
      </c>
      <c r="E1689" s="3" t="s">
        <v>44</v>
      </c>
      <c r="F1689" s="5">
        <v>5</v>
      </c>
      <c r="G1689" s="6">
        <v>24.36</v>
      </c>
      <c r="H1689" s="6">
        <v>121.8</v>
      </c>
      <c r="I1689" s="6">
        <v>2.0099999999999998</v>
      </c>
      <c r="J1689" s="6">
        <v>119.79</v>
      </c>
      <c r="K1689" s="5">
        <v>314</v>
      </c>
      <c r="L1689" s="13" t="str">
        <f t="shared" si="52"/>
        <v>Discount Applied</v>
      </c>
      <c r="M1689" s="13" t="str">
        <f t="shared" si="53"/>
        <v>Platinum</v>
      </c>
      <c r="N1689" s="13"/>
    </row>
    <row r="1690" spans="1:14" x14ac:dyDescent="0.3">
      <c r="A1690" s="3">
        <v>4909</v>
      </c>
      <c r="B1690" s="3" t="s">
        <v>24</v>
      </c>
      <c r="C1690" s="4">
        <v>45251</v>
      </c>
      <c r="D1690" s="3" t="s">
        <v>28</v>
      </c>
      <c r="E1690" s="3" t="s">
        <v>13</v>
      </c>
      <c r="F1690" s="5">
        <v>4</v>
      </c>
      <c r="G1690" s="6">
        <v>19.29</v>
      </c>
      <c r="H1690" s="6">
        <v>77.16</v>
      </c>
      <c r="I1690" s="6">
        <v>2.14</v>
      </c>
      <c r="J1690" s="6">
        <v>75.02</v>
      </c>
      <c r="K1690" s="5">
        <v>168</v>
      </c>
      <c r="L1690" s="13" t="str">
        <f t="shared" si="52"/>
        <v>Discount Applied</v>
      </c>
      <c r="M1690" s="13" t="str">
        <f t="shared" si="53"/>
        <v>Platinum</v>
      </c>
      <c r="N1690" s="13"/>
    </row>
    <row r="1691" spans="1:14" x14ac:dyDescent="0.3">
      <c r="A1691" s="3">
        <v>5005</v>
      </c>
      <c r="B1691" s="3" t="s">
        <v>30</v>
      </c>
      <c r="C1691" s="4">
        <v>45778</v>
      </c>
      <c r="D1691" s="3" t="s">
        <v>35</v>
      </c>
      <c r="E1691" s="3" t="s">
        <v>18</v>
      </c>
      <c r="F1691" s="5">
        <v>2</v>
      </c>
      <c r="G1691" s="6">
        <v>10.88</v>
      </c>
      <c r="H1691" s="6">
        <v>21.76</v>
      </c>
      <c r="I1691" s="6">
        <v>0</v>
      </c>
      <c r="J1691" s="6">
        <v>21.76</v>
      </c>
      <c r="K1691" s="5">
        <v>347</v>
      </c>
      <c r="L1691" s="13" t="str">
        <f t="shared" si="52"/>
        <v>No Discount</v>
      </c>
      <c r="M1691" s="13" t="str">
        <f t="shared" si="53"/>
        <v>Silver</v>
      </c>
      <c r="N1691" s="13"/>
    </row>
    <row r="1692" spans="1:14" x14ac:dyDescent="0.3">
      <c r="A1692" s="3">
        <v>8118</v>
      </c>
      <c r="B1692" s="3" t="s">
        <v>26</v>
      </c>
      <c r="C1692" s="4">
        <v>45581</v>
      </c>
      <c r="D1692" s="3" t="s">
        <v>15</v>
      </c>
      <c r="E1692" s="3" t="s">
        <v>29</v>
      </c>
      <c r="F1692" s="5">
        <v>4</v>
      </c>
      <c r="G1692" s="6">
        <v>1.18</v>
      </c>
      <c r="H1692" s="6">
        <v>4.72</v>
      </c>
      <c r="I1692" s="6">
        <v>0.47</v>
      </c>
      <c r="J1692" s="6">
        <v>4.25</v>
      </c>
      <c r="K1692" s="5">
        <v>457</v>
      </c>
      <c r="L1692" s="13" t="str">
        <f t="shared" si="52"/>
        <v>Discount Applied</v>
      </c>
      <c r="M1692" s="13" t="str">
        <f t="shared" si="53"/>
        <v>Bronze</v>
      </c>
      <c r="N1692" s="13"/>
    </row>
    <row r="1693" spans="1:14" x14ac:dyDescent="0.3">
      <c r="A1693" s="3">
        <v>8428</v>
      </c>
      <c r="B1693" s="3" t="s">
        <v>19</v>
      </c>
      <c r="C1693" s="4">
        <v>45652</v>
      </c>
      <c r="D1693" s="3" t="s">
        <v>34</v>
      </c>
      <c r="E1693" s="3" t="s">
        <v>43</v>
      </c>
      <c r="F1693" s="5">
        <v>4</v>
      </c>
      <c r="G1693" s="6">
        <v>20.51</v>
      </c>
      <c r="H1693" s="6">
        <v>82.04</v>
      </c>
      <c r="I1693" s="6">
        <v>12.31</v>
      </c>
      <c r="J1693" s="6">
        <v>69.73</v>
      </c>
      <c r="K1693" s="5">
        <v>48</v>
      </c>
      <c r="L1693" s="13" t="str">
        <f t="shared" si="52"/>
        <v>Discount Applied</v>
      </c>
      <c r="M1693" s="13" t="str">
        <f t="shared" si="53"/>
        <v>Gold</v>
      </c>
      <c r="N1693" s="13"/>
    </row>
    <row r="1694" spans="1:14" x14ac:dyDescent="0.3">
      <c r="A1694" s="3">
        <v>1901</v>
      </c>
      <c r="B1694" s="3" t="s">
        <v>14</v>
      </c>
      <c r="C1694" s="4">
        <v>45462</v>
      </c>
      <c r="D1694" s="3" t="s">
        <v>34</v>
      </c>
      <c r="E1694" s="3" t="s">
        <v>44</v>
      </c>
      <c r="F1694" s="5">
        <v>1</v>
      </c>
      <c r="G1694" s="6">
        <v>23.11</v>
      </c>
      <c r="H1694" s="6">
        <v>23.11</v>
      </c>
      <c r="I1694" s="6">
        <v>2.2200000000000002</v>
      </c>
      <c r="J1694" s="6">
        <v>20.89</v>
      </c>
      <c r="K1694" s="5">
        <v>109</v>
      </c>
      <c r="L1694" s="13" t="str">
        <f t="shared" si="52"/>
        <v>Discount Applied</v>
      </c>
      <c r="M1694" s="13" t="str">
        <f t="shared" si="53"/>
        <v>Silver</v>
      </c>
      <c r="N1694" s="13"/>
    </row>
    <row r="1695" spans="1:14" x14ac:dyDescent="0.3">
      <c r="A1695" s="3">
        <v>3877</v>
      </c>
      <c r="B1695" s="3" t="s">
        <v>14</v>
      </c>
      <c r="C1695" s="4">
        <v>45467</v>
      </c>
      <c r="D1695" s="3" t="s">
        <v>45</v>
      </c>
      <c r="E1695" s="3" t="s">
        <v>48</v>
      </c>
      <c r="F1695" s="5">
        <v>3</v>
      </c>
      <c r="G1695" s="6">
        <v>27.89</v>
      </c>
      <c r="H1695" s="6">
        <v>83.67</v>
      </c>
      <c r="I1695" s="6">
        <v>12.55</v>
      </c>
      <c r="J1695" s="6">
        <v>71.12</v>
      </c>
      <c r="K1695" s="5">
        <v>107</v>
      </c>
      <c r="L1695" s="13" t="str">
        <f t="shared" si="52"/>
        <v>Discount Applied</v>
      </c>
      <c r="M1695" s="13" t="str">
        <f t="shared" si="53"/>
        <v>Platinum</v>
      </c>
      <c r="N1695" s="13"/>
    </row>
    <row r="1696" spans="1:14" x14ac:dyDescent="0.3">
      <c r="A1696" s="3">
        <v>1207</v>
      </c>
      <c r="B1696" s="3" t="s">
        <v>19</v>
      </c>
      <c r="C1696" s="4">
        <v>45524</v>
      </c>
      <c r="D1696" s="3" t="s">
        <v>17</v>
      </c>
      <c r="E1696" s="3" t="s">
        <v>32</v>
      </c>
      <c r="F1696" s="5">
        <v>2</v>
      </c>
      <c r="G1696" s="6">
        <v>25.71</v>
      </c>
      <c r="H1696" s="6">
        <v>51.42</v>
      </c>
      <c r="I1696" s="6">
        <v>7.71</v>
      </c>
      <c r="J1696" s="6">
        <v>43.71</v>
      </c>
      <c r="K1696" s="5">
        <v>312</v>
      </c>
      <c r="L1696" s="13" t="str">
        <f t="shared" si="52"/>
        <v>Discount Applied</v>
      </c>
      <c r="M1696" s="13" t="str">
        <f t="shared" si="53"/>
        <v>Silver</v>
      </c>
      <c r="N1696" s="13"/>
    </row>
    <row r="1697" spans="1:14" x14ac:dyDescent="0.3">
      <c r="A1697" s="3">
        <v>1185</v>
      </c>
      <c r="B1697" s="3" t="s">
        <v>14</v>
      </c>
      <c r="C1697" s="4">
        <v>45209</v>
      </c>
      <c r="D1697" s="3" t="s">
        <v>45</v>
      </c>
      <c r="E1697" s="3" t="s">
        <v>16</v>
      </c>
      <c r="F1697" s="5">
        <v>3</v>
      </c>
      <c r="G1697" s="6">
        <v>7.62</v>
      </c>
      <c r="H1697" s="6">
        <v>22.86</v>
      </c>
      <c r="I1697" s="6">
        <v>3.43</v>
      </c>
      <c r="J1697" s="6">
        <v>19.43</v>
      </c>
      <c r="K1697" s="5">
        <v>134</v>
      </c>
      <c r="L1697" s="13" t="str">
        <f t="shared" si="52"/>
        <v>Discount Applied</v>
      </c>
      <c r="M1697" s="13" t="str">
        <f t="shared" si="53"/>
        <v>Bronze</v>
      </c>
      <c r="N1697" s="13"/>
    </row>
    <row r="1698" spans="1:14" x14ac:dyDescent="0.3">
      <c r="A1698" s="3">
        <v>9133</v>
      </c>
      <c r="B1698" s="3" t="s">
        <v>36</v>
      </c>
      <c r="C1698" s="4">
        <v>45763</v>
      </c>
      <c r="D1698" s="3" t="s">
        <v>34</v>
      </c>
      <c r="E1698" s="3" t="s">
        <v>37</v>
      </c>
      <c r="F1698" s="5">
        <v>3</v>
      </c>
      <c r="G1698" s="6">
        <v>22.06</v>
      </c>
      <c r="H1698" s="6">
        <v>66.180000000000007</v>
      </c>
      <c r="I1698" s="6">
        <v>6.62</v>
      </c>
      <c r="J1698" s="6">
        <v>59.56</v>
      </c>
      <c r="K1698" s="5">
        <v>424</v>
      </c>
      <c r="L1698" s="13" t="str">
        <f t="shared" si="52"/>
        <v>Discount Applied</v>
      </c>
      <c r="M1698" s="13" t="str">
        <f t="shared" si="53"/>
        <v>Gold</v>
      </c>
      <c r="N1698" s="13"/>
    </row>
    <row r="1699" spans="1:14" x14ac:dyDescent="0.3">
      <c r="A1699" s="3">
        <v>9568</v>
      </c>
      <c r="B1699" s="3" t="s">
        <v>30</v>
      </c>
      <c r="C1699" s="4">
        <v>45371</v>
      </c>
      <c r="D1699" s="3" t="s">
        <v>20</v>
      </c>
      <c r="E1699" s="3" t="s">
        <v>32</v>
      </c>
      <c r="F1699" s="5">
        <v>4</v>
      </c>
      <c r="G1699" s="6">
        <v>1.1499999999999999</v>
      </c>
      <c r="H1699" s="6">
        <v>4.5999999999999996</v>
      </c>
      <c r="I1699" s="6">
        <v>4.87</v>
      </c>
      <c r="J1699" s="6">
        <v>-0.27</v>
      </c>
      <c r="K1699" s="5">
        <v>481</v>
      </c>
      <c r="L1699" s="13" t="str">
        <f t="shared" si="52"/>
        <v>Discount Applied</v>
      </c>
      <c r="M1699" s="13" t="str">
        <f t="shared" si="53"/>
        <v>Bronze</v>
      </c>
      <c r="N1699" s="13"/>
    </row>
    <row r="1700" spans="1:14" x14ac:dyDescent="0.3">
      <c r="A1700" s="3">
        <v>5247</v>
      </c>
      <c r="B1700" s="3" t="s">
        <v>36</v>
      </c>
      <c r="C1700" s="4">
        <v>45358</v>
      </c>
      <c r="D1700" s="3" t="s">
        <v>27</v>
      </c>
      <c r="E1700" s="3" t="s">
        <v>41</v>
      </c>
      <c r="F1700" s="5">
        <v>4</v>
      </c>
      <c r="G1700" s="6">
        <v>23.23</v>
      </c>
      <c r="H1700" s="6">
        <v>92.92</v>
      </c>
      <c r="I1700" s="6">
        <v>18.579999999999998</v>
      </c>
      <c r="J1700" s="6">
        <v>74.34</v>
      </c>
      <c r="K1700" s="5">
        <v>9</v>
      </c>
      <c r="L1700" s="13" t="str">
        <f t="shared" si="52"/>
        <v>Discount Applied</v>
      </c>
      <c r="M1700" s="13" t="str">
        <f t="shared" si="53"/>
        <v>Platinum</v>
      </c>
      <c r="N1700" s="13"/>
    </row>
    <row r="1701" spans="1:14" x14ac:dyDescent="0.3">
      <c r="A1701" s="3">
        <v>7092</v>
      </c>
      <c r="B1701" s="3" t="s">
        <v>30</v>
      </c>
      <c r="C1701" s="4">
        <v>45562</v>
      </c>
      <c r="D1701" s="3" t="s">
        <v>35</v>
      </c>
      <c r="E1701" s="3" t="s">
        <v>23</v>
      </c>
      <c r="F1701" s="5">
        <v>1</v>
      </c>
      <c r="G1701" s="6">
        <v>10.32</v>
      </c>
      <c r="H1701" s="6">
        <v>10.32</v>
      </c>
      <c r="I1701" s="6">
        <v>1.55</v>
      </c>
      <c r="J1701" s="6">
        <v>8.77</v>
      </c>
      <c r="K1701" s="5">
        <v>404</v>
      </c>
      <c r="L1701" s="13" t="str">
        <f t="shared" si="52"/>
        <v>Discount Applied</v>
      </c>
      <c r="M1701" s="13" t="str">
        <f t="shared" si="53"/>
        <v>Bronze</v>
      </c>
      <c r="N1701" s="13"/>
    </row>
    <row r="1702" spans="1:14" x14ac:dyDescent="0.3">
      <c r="A1702" s="3">
        <v>5403</v>
      </c>
      <c r="B1702" s="3" t="s">
        <v>14</v>
      </c>
      <c r="C1702" s="4">
        <v>45275</v>
      </c>
      <c r="D1702" s="3" t="s">
        <v>38</v>
      </c>
      <c r="E1702" s="3" t="s">
        <v>44</v>
      </c>
      <c r="F1702" s="5">
        <v>2</v>
      </c>
      <c r="G1702" s="6">
        <v>18.899999999999999</v>
      </c>
      <c r="H1702" s="6">
        <v>37.799999999999997</v>
      </c>
      <c r="I1702" s="6">
        <v>1.3</v>
      </c>
      <c r="J1702" s="6">
        <v>36.5</v>
      </c>
      <c r="K1702" s="5">
        <v>225</v>
      </c>
      <c r="L1702" s="13" t="str">
        <f t="shared" si="52"/>
        <v>Discount Applied</v>
      </c>
      <c r="M1702" s="13" t="str">
        <f t="shared" si="53"/>
        <v>Silver</v>
      </c>
      <c r="N1702" s="13"/>
    </row>
    <row r="1703" spans="1:14" x14ac:dyDescent="0.3">
      <c r="A1703" s="3">
        <v>2934</v>
      </c>
      <c r="B1703" s="3" t="s">
        <v>19</v>
      </c>
      <c r="C1703" s="4">
        <v>45584</v>
      </c>
      <c r="D1703" s="3" t="s">
        <v>22</v>
      </c>
      <c r="E1703" s="3" t="s">
        <v>47</v>
      </c>
      <c r="F1703" s="5">
        <v>5</v>
      </c>
      <c r="G1703" s="6">
        <v>14.62</v>
      </c>
      <c r="H1703" s="6">
        <v>73.099999999999994</v>
      </c>
      <c r="I1703" s="6">
        <v>0</v>
      </c>
      <c r="J1703" s="6">
        <v>73.099999999999994</v>
      </c>
      <c r="K1703" s="5">
        <v>497</v>
      </c>
      <c r="L1703" s="13" t="str">
        <f t="shared" si="52"/>
        <v>No Discount</v>
      </c>
      <c r="M1703" s="13" t="str">
        <f t="shared" si="53"/>
        <v>Platinum</v>
      </c>
      <c r="N1703" s="13"/>
    </row>
    <row r="1704" spans="1:14" x14ac:dyDescent="0.3">
      <c r="A1704" s="3">
        <v>1480</v>
      </c>
      <c r="B1704" s="3" t="s">
        <v>24</v>
      </c>
      <c r="C1704" s="4">
        <v>45571</v>
      </c>
      <c r="D1704" s="3" t="s">
        <v>45</v>
      </c>
      <c r="E1704" s="3" t="s">
        <v>25</v>
      </c>
      <c r="F1704" s="5">
        <v>3</v>
      </c>
      <c r="G1704" s="6">
        <v>29.61</v>
      </c>
      <c r="H1704" s="6">
        <v>88.83</v>
      </c>
      <c r="I1704" s="6">
        <v>1.41</v>
      </c>
      <c r="J1704" s="6">
        <v>87.42</v>
      </c>
      <c r="K1704" s="5">
        <v>300</v>
      </c>
      <c r="L1704" s="13" t="str">
        <f t="shared" si="52"/>
        <v>Discount Applied</v>
      </c>
      <c r="M1704" s="13" t="str">
        <f t="shared" si="53"/>
        <v>Platinum</v>
      </c>
      <c r="N1704" s="13"/>
    </row>
    <row r="1705" spans="1:14" x14ac:dyDescent="0.3">
      <c r="A1705" s="3">
        <v>8034</v>
      </c>
      <c r="B1705" s="3" t="s">
        <v>36</v>
      </c>
      <c r="C1705" s="4">
        <v>45232</v>
      </c>
      <c r="D1705" s="3" t="s">
        <v>35</v>
      </c>
      <c r="E1705" s="3" t="s">
        <v>18</v>
      </c>
      <c r="F1705" s="5">
        <v>3</v>
      </c>
      <c r="G1705" s="6">
        <v>13.7</v>
      </c>
      <c r="H1705" s="6">
        <v>41.1</v>
      </c>
      <c r="I1705" s="6">
        <v>4.1100000000000003</v>
      </c>
      <c r="J1705" s="6">
        <v>36.99</v>
      </c>
      <c r="K1705" s="5">
        <v>145</v>
      </c>
      <c r="L1705" s="13" t="str">
        <f t="shared" si="52"/>
        <v>Discount Applied</v>
      </c>
      <c r="M1705" s="13" t="str">
        <f t="shared" si="53"/>
        <v>Silver</v>
      </c>
      <c r="N1705" s="13"/>
    </row>
    <row r="1706" spans="1:14" x14ac:dyDescent="0.3">
      <c r="A1706" s="3">
        <v>9582</v>
      </c>
      <c r="B1706" s="3" t="s">
        <v>19</v>
      </c>
      <c r="C1706" s="4">
        <v>45353</v>
      </c>
      <c r="D1706" s="3" t="s">
        <v>15</v>
      </c>
      <c r="E1706" s="3" t="s">
        <v>21</v>
      </c>
      <c r="F1706" s="5">
        <v>4</v>
      </c>
      <c r="G1706" s="6">
        <v>24.9</v>
      </c>
      <c r="H1706" s="6">
        <v>99.6</v>
      </c>
      <c r="I1706" s="6">
        <v>2.2000000000000002</v>
      </c>
      <c r="J1706" s="6">
        <v>97.4</v>
      </c>
      <c r="K1706" s="5">
        <v>447</v>
      </c>
      <c r="L1706" s="13" t="str">
        <f t="shared" si="52"/>
        <v>Discount Applied</v>
      </c>
      <c r="M1706" s="13" t="str">
        <f t="shared" si="53"/>
        <v>Platinum</v>
      </c>
      <c r="N1706" s="13"/>
    </row>
    <row r="1707" spans="1:14" x14ac:dyDescent="0.3">
      <c r="A1707" s="3">
        <v>5308</v>
      </c>
      <c r="B1707" s="3" t="s">
        <v>42</v>
      </c>
      <c r="C1707" s="4">
        <v>45784</v>
      </c>
      <c r="D1707" s="3" t="s">
        <v>38</v>
      </c>
      <c r="E1707" s="3" t="s">
        <v>43</v>
      </c>
      <c r="F1707" s="5">
        <v>4</v>
      </c>
      <c r="G1707" s="6">
        <v>8.1</v>
      </c>
      <c r="H1707" s="6">
        <v>32.4</v>
      </c>
      <c r="I1707" s="6">
        <v>3.12</v>
      </c>
      <c r="J1707" s="6">
        <v>29.28</v>
      </c>
      <c r="K1707" s="5">
        <v>293</v>
      </c>
      <c r="L1707" s="13" t="str">
        <f t="shared" si="52"/>
        <v>Discount Applied</v>
      </c>
      <c r="M1707" s="13" t="str">
        <f t="shared" si="53"/>
        <v>Silver</v>
      </c>
      <c r="N1707" s="13"/>
    </row>
    <row r="1708" spans="1:14" x14ac:dyDescent="0.3">
      <c r="A1708" s="3">
        <v>2262</v>
      </c>
      <c r="B1708" s="3" t="s">
        <v>30</v>
      </c>
      <c r="C1708" s="4">
        <v>45566</v>
      </c>
      <c r="D1708" s="3" t="s">
        <v>12</v>
      </c>
      <c r="E1708" s="3" t="s">
        <v>41</v>
      </c>
      <c r="F1708" s="5">
        <v>1</v>
      </c>
      <c r="G1708" s="6">
        <v>26.24</v>
      </c>
      <c r="H1708" s="6">
        <v>26.24</v>
      </c>
      <c r="I1708" s="6">
        <v>3.94</v>
      </c>
      <c r="J1708" s="6">
        <v>22.3</v>
      </c>
      <c r="K1708" s="5">
        <v>358</v>
      </c>
      <c r="L1708" s="13" t="str">
        <f t="shared" si="52"/>
        <v>Discount Applied</v>
      </c>
      <c r="M1708" s="13" t="str">
        <f t="shared" si="53"/>
        <v>Silver</v>
      </c>
      <c r="N1708" s="13"/>
    </row>
    <row r="1709" spans="1:14" x14ac:dyDescent="0.3">
      <c r="A1709" s="3">
        <v>8457</v>
      </c>
      <c r="B1709" s="3" t="s">
        <v>26</v>
      </c>
      <c r="C1709" s="4">
        <v>45735</v>
      </c>
      <c r="D1709" s="3" t="s">
        <v>17</v>
      </c>
      <c r="E1709" s="3" t="s">
        <v>29</v>
      </c>
      <c r="F1709" s="5">
        <v>3</v>
      </c>
      <c r="G1709" s="6">
        <v>14.57</v>
      </c>
      <c r="H1709" s="6">
        <v>43.71</v>
      </c>
      <c r="I1709" s="6">
        <v>6.56</v>
      </c>
      <c r="J1709" s="6">
        <v>37.15</v>
      </c>
      <c r="K1709" s="5">
        <v>235</v>
      </c>
      <c r="L1709" s="13" t="str">
        <f t="shared" si="52"/>
        <v>Discount Applied</v>
      </c>
      <c r="M1709" s="13" t="str">
        <f t="shared" si="53"/>
        <v>Silver</v>
      </c>
      <c r="N1709" s="13"/>
    </row>
    <row r="1710" spans="1:14" x14ac:dyDescent="0.3">
      <c r="A1710" s="3">
        <v>6900</v>
      </c>
      <c r="B1710" s="3" t="s">
        <v>42</v>
      </c>
      <c r="C1710" s="4">
        <v>45569</v>
      </c>
      <c r="D1710" s="3" t="s">
        <v>27</v>
      </c>
      <c r="E1710" s="3" t="s">
        <v>13</v>
      </c>
      <c r="F1710" s="5">
        <v>3</v>
      </c>
      <c r="G1710" s="6">
        <v>18.489999999999998</v>
      </c>
      <c r="H1710" s="6">
        <v>55.47</v>
      </c>
      <c r="I1710" s="6">
        <v>11.09</v>
      </c>
      <c r="J1710" s="6">
        <v>44.38</v>
      </c>
      <c r="K1710" s="5">
        <v>477</v>
      </c>
      <c r="L1710" s="13" t="str">
        <f t="shared" si="52"/>
        <v>Discount Applied</v>
      </c>
      <c r="M1710" s="13" t="str">
        <f t="shared" si="53"/>
        <v>Silver</v>
      </c>
      <c r="N1710" s="13"/>
    </row>
    <row r="1711" spans="1:14" x14ac:dyDescent="0.3">
      <c r="A1711" s="3">
        <v>9185</v>
      </c>
      <c r="B1711" s="3" t="s">
        <v>11</v>
      </c>
      <c r="C1711" s="4">
        <v>45475</v>
      </c>
      <c r="D1711" s="3" t="s">
        <v>27</v>
      </c>
      <c r="E1711" s="3" t="s">
        <v>16</v>
      </c>
      <c r="F1711" s="5">
        <v>4</v>
      </c>
      <c r="G1711" s="6">
        <v>12.48</v>
      </c>
      <c r="H1711" s="6">
        <v>49.92</v>
      </c>
      <c r="I1711" s="6">
        <v>1.24</v>
      </c>
      <c r="J1711" s="6">
        <v>48.68</v>
      </c>
      <c r="K1711" s="5">
        <v>249</v>
      </c>
      <c r="L1711" s="13" t="str">
        <f t="shared" si="52"/>
        <v>Discount Applied</v>
      </c>
      <c r="M1711" s="13" t="str">
        <f t="shared" si="53"/>
        <v>Silver</v>
      </c>
      <c r="N1711" s="13"/>
    </row>
    <row r="1712" spans="1:14" x14ac:dyDescent="0.3">
      <c r="A1712" s="3">
        <v>3734</v>
      </c>
      <c r="B1712" s="3" t="s">
        <v>14</v>
      </c>
      <c r="C1712" s="4">
        <v>45716</v>
      </c>
      <c r="D1712" s="3" t="s">
        <v>22</v>
      </c>
      <c r="E1712" s="3" t="s">
        <v>39</v>
      </c>
      <c r="F1712" s="5">
        <v>5</v>
      </c>
      <c r="G1712" s="6">
        <v>13.67</v>
      </c>
      <c r="H1712" s="6">
        <v>68.349999999999994</v>
      </c>
      <c r="I1712" s="6">
        <v>2.97</v>
      </c>
      <c r="J1712" s="6">
        <v>65.38</v>
      </c>
      <c r="K1712" s="5">
        <v>16</v>
      </c>
      <c r="L1712" s="13" t="str">
        <f t="shared" si="52"/>
        <v>Discount Applied</v>
      </c>
      <c r="M1712" s="13" t="str">
        <f t="shared" si="53"/>
        <v>Gold</v>
      </c>
      <c r="N1712" s="13"/>
    </row>
    <row r="1713" spans="1:14" x14ac:dyDescent="0.3">
      <c r="A1713" s="3">
        <v>3577</v>
      </c>
      <c r="B1713" s="3" t="s">
        <v>36</v>
      </c>
      <c r="C1713" s="4">
        <v>45376</v>
      </c>
      <c r="D1713" s="3" t="s">
        <v>27</v>
      </c>
      <c r="E1713" s="3" t="s">
        <v>43</v>
      </c>
      <c r="F1713" s="5">
        <v>1</v>
      </c>
      <c r="G1713" s="6">
        <v>17.38</v>
      </c>
      <c r="H1713" s="6">
        <v>17.38</v>
      </c>
      <c r="I1713" s="6">
        <v>1.63</v>
      </c>
      <c r="J1713" s="6">
        <v>15.75</v>
      </c>
      <c r="K1713" s="5">
        <v>498</v>
      </c>
      <c r="L1713" s="13" t="str">
        <f t="shared" si="52"/>
        <v>Discount Applied</v>
      </c>
      <c r="M1713" s="13" t="str">
        <f t="shared" si="53"/>
        <v>Bronze</v>
      </c>
      <c r="N1713" s="13"/>
    </row>
    <row r="1714" spans="1:14" x14ac:dyDescent="0.3">
      <c r="A1714" s="3">
        <v>2685</v>
      </c>
      <c r="B1714" s="3" t="s">
        <v>14</v>
      </c>
      <c r="C1714" s="4">
        <v>45494</v>
      </c>
      <c r="D1714" s="3" t="s">
        <v>15</v>
      </c>
      <c r="E1714" s="3" t="s">
        <v>33</v>
      </c>
      <c r="F1714" s="5">
        <v>5</v>
      </c>
      <c r="G1714" s="6">
        <v>19.850000000000001</v>
      </c>
      <c r="H1714" s="6">
        <v>99.25</v>
      </c>
      <c r="I1714" s="6">
        <v>0</v>
      </c>
      <c r="J1714" s="6">
        <v>99.25</v>
      </c>
      <c r="K1714" s="5">
        <v>97</v>
      </c>
      <c r="L1714" s="13" t="str">
        <f t="shared" si="52"/>
        <v>No Discount</v>
      </c>
      <c r="M1714" s="13" t="str">
        <f t="shared" si="53"/>
        <v>Platinum</v>
      </c>
      <c r="N1714" s="13"/>
    </row>
    <row r="1715" spans="1:14" x14ac:dyDescent="0.3">
      <c r="A1715" s="3">
        <v>2889</v>
      </c>
      <c r="B1715" s="3" t="s">
        <v>24</v>
      </c>
      <c r="C1715" s="4">
        <v>45415</v>
      </c>
      <c r="D1715" s="3" t="s">
        <v>35</v>
      </c>
      <c r="E1715" s="3" t="s">
        <v>33</v>
      </c>
      <c r="F1715" s="5">
        <v>4</v>
      </c>
      <c r="G1715" s="6">
        <v>26.78</v>
      </c>
      <c r="H1715" s="6">
        <v>107.12</v>
      </c>
      <c r="I1715" s="6">
        <v>0</v>
      </c>
      <c r="J1715" s="6">
        <v>107.12</v>
      </c>
      <c r="K1715" s="5">
        <v>378</v>
      </c>
      <c r="L1715" s="13" t="str">
        <f t="shared" si="52"/>
        <v>No Discount</v>
      </c>
      <c r="M1715" s="13" t="str">
        <f t="shared" si="53"/>
        <v>Platinum</v>
      </c>
      <c r="N1715" s="13"/>
    </row>
    <row r="1716" spans="1:14" x14ac:dyDescent="0.3">
      <c r="A1716" s="3">
        <v>9336</v>
      </c>
      <c r="B1716" s="3" t="s">
        <v>36</v>
      </c>
      <c r="C1716" s="4">
        <v>45486</v>
      </c>
      <c r="D1716" s="3" t="s">
        <v>15</v>
      </c>
      <c r="E1716" s="3" t="s">
        <v>29</v>
      </c>
      <c r="F1716" s="5">
        <v>5</v>
      </c>
      <c r="G1716" s="6">
        <v>10.84</v>
      </c>
      <c r="H1716" s="6">
        <v>54.2</v>
      </c>
      <c r="I1716" s="6">
        <v>2.61</v>
      </c>
      <c r="J1716" s="6">
        <v>51.59</v>
      </c>
      <c r="K1716" s="5">
        <v>270</v>
      </c>
      <c r="L1716" s="13" t="str">
        <f t="shared" si="52"/>
        <v>Discount Applied</v>
      </c>
      <c r="M1716" s="13" t="str">
        <f t="shared" si="53"/>
        <v>Gold</v>
      </c>
      <c r="N1716" s="13"/>
    </row>
    <row r="1717" spans="1:14" x14ac:dyDescent="0.3">
      <c r="A1717" s="3">
        <v>1721</v>
      </c>
      <c r="B1717" s="3" t="s">
        <v>30</v>
      </c>
      <c r="C1717" s="4">
        <v>45747</v>
      </c>
      <c r="D1717" s="3" t="s">
        <v>12</v>
      </c>
      <c r="E1717" s="3" t="s">
        <v>32</v>
      </c>
      <c r="F1717" s="5">
        <v>1</v>
      </c>
      <c r="G1717" s="6">
        <v>1.24</v>
      </c>
      <c r="H1717" s="6">
        <v>1.24</v>
      </c>
      <c r="I1717" s="6">
        <v>0.25</v>
      </c>
      <c r="J1717" s="6">
        <v>0.99</v>
      </c>
      <c r="K1717" s="5">
        <v>165</v>
      </c>
      <c r="L1717" s="13" t="str">
        <f t="shared" si="52"/>
        <v>Discount Applied</v>
      </c>
      <c r="M1717" s="13" t="str">
        <f t="shared" si="53"/>
        <v>Bronze</v>
      </c>
      <c r="N1717" s="13"/>
    </row>
    <row r="1718" spans="1:14" x14ac:dyDescent="0.3">
      <c r="A1718" s="3">
        <v>1201</v>
      </c>
      <c r="B1718" s="3" t="s">
        <v>30</v>
      </c>
      <c r="C1718" s="4">
        <v>45308</v>
      </c>
      <c r="D1718" s="3" t="s">
        <v>17</v>
      </c>
      <c r="E1718" s="3" t="s">
        <v>21</v>
      </c>
      <c r="F1718" s="5">
        <v>5</v>
      </c>
      <c r="G1718" s="6">
        <v>14.26</v>
      </c>
      <c r="H1718" s="6">
        <v>71.3</v>
      </c>
      <c r="I1718" s="6">
        <v>4.7</v>
      </c>
      <c r="J1718" s="6">
        <v>66.599999999999994</v>
      </c>
      <c r="K1718" s="5">
        <v>340</v>
      </c>
      <c r="L1718" s="13" t="str">
        <f t="shared" si="52"/>
        <v>Discount Applied</v>
      </c>
      <c r="M1718" s="13" t="str">
        <f t="shared" si="53"/>
        <v>Gold</v>
      </c>
      <c r="N1718" s="13"/>
    </row>
    <row r="1719" spans="1:14" x14ac:dyDescent="0.3">
      <c r="A1719" s="3">
        <v>1753</v>
      </c>
      <c r="B1719" s="3" t="s">
        <v>19</v>
      </c>
      <c r="C1719" s="4">
        <v>45813</v>
      </c>
      <c r="D1719" s="3" t="s">
        <v>17</v>
      </c>
      <c r="E1719" s="3" t="s">
        <v>41</v>
      </c>
      <c r="F1719" s="5">
        <v>2</v>
      </c>
      <c r="G1719" s="6">
        <v>9.94</v>
      </c>
      <c r="H1719" s="6">
        <v>19.88</v>
      </c>
      <c r="I1719" s="6">
        <v>3.41</v>
      </c>
      <c r="J1719" s="6">
        <v>16.47</v>
      </c>
      <c r="K1719" s="5">
        <v>51</v>
      </c>
      <c r="L1719" s="13" t="str">
        <f t="shared" si="52"/>
        <v>Discount Applied</v>
      </c>
      <c r="M1719" s="13" t="str">
        <f t="shared" si="53"/>
        <v>Bronze</v>
      </c>
      <c r="N1719" s="13"/>
    </row>
    <row r="1720" spans="1:14" x14ac:dyDescent="0.3">
      <c r="A1720" s="3">
        <v>6963</v>
      </c>
      <c r="B1720" s="3" t="s">
        <v>31</v>
      </c>
      <c r="C1720" s="4">
        <v>45273</v>
      </c>
      <c r="D1720" s="3" t="s">
        <v>34</v>
      </c>
      <c r="E1720" s="3" t="s">
        <v>18</v>
      </c>
      <c r="F1720" s="5">
        <v>3</v>
      </c>
      <c r="G1720" s="6">
        <v>28.68</v>
      </c>
      <c r="H1720" s="6">
        <v>86.04</v>
      </c>
      <c r="I1720" s="6">
        <v>17.21</v>
      </c>
      <c r="J1720" s="6">
        <v>68.83</v>
      </c>
      <c r="K1720" s="5">
        <v>167</v>
      </c>
      <c r="L1720" s="13" t="str">
        <f t="shared" si="52"/>
        <v>Discount Applied</v>
      </c>
      <c r="M1720" s="13" t="str">
        <f t="shared" si="53"/>
        <v>Gold</v>
      </c>
      <c r="N1720" s="13"/>
    </row>
    <row r="1721" spans="1:14" x14ac:dyDescent="0.3">
      <c r="A1721" s="3">
        <v>3458</v>
      </c>
      <c r="B1721" s="3" t="s">
        <v>42</v>
      </c>
      <c r="C1721" s="4">
        <v>45754</v>
      </c>
      <c r="D1721" s="3" t="s">
        <v>17</v>
      </c>
      <c r="E1721" s="3" t="s">
        <v>37</v>
      </c>
      <c r="F1721" s="5">
        <v>2</v>
      </c>
      <c r="G1721" s="6">
        <v>13.29</v>
      </c>
      <c r="H1721" s="6">
        <v>26.58</v>
      </c>
      <c r="I1721" s="6">
        <v>5.32</v>
      </c>
      <c r="J1721" s="6">
        <v>21.26</v>
      </c>
      <c r="K1721" s="5">
        <v>138</v>
      </c>
      <c r="L1721" s="13" t="str">
        <f t="shared" si="52"/>
        <v>Discount Applied</v>
      </c>
      <c r="M1721" s="13" t="str">
        <f t="shared" si="53"/>
        <v>Silver</v>
      </c>
      <c r="N1721" s="13"/>
    </row>
    <row r="1722" spans="1:14" x14ac:dyDescent="0.3">
      <c r="A1722" s="3">
        <v>1579</v>
      </c>
      <c r="B1722" s="3" t="s">
        <v>36</v>
      </c>
      <c r="C1722" s="4">
        <v>45776</v>
      </c>
      <c r="D1722" s="3" t="s">
        <v>12</v>
      </c>
      <c r="E1722" s="3" t="s">
        <v>41</v>
      </c>
      <c r="F1722" s="5">
        <v>4</v>
      </c>
      <c r="G1722" s="6">
        <v>4.5599999999999996</v>
      </c>
      <c r="H1722" s="6">
        <v>18.239999999999998</v>
      </c>
      <c r="I1722" s="6">
        <v>2.78</v>
      </c>
      <c r="J1722" s="6">
        <v>15.46</v>
      </c>
      <c r="K1722" s="5">
        <v>485</v>
      </c>
      <c r="L1722" s="13" t="str">
        <f t="shared" si="52"/>
        <v>Discount Applied</v>
      </c>
      <c r="M1722" s="13" t="str">
        <f t="shared" si="53"/>
        <v>Bronze</v>
      </c>
      <c r="N1722" s="13"/>
    </row>
    <row r="1723" spans="1:14" x14ac:dyDescent="0.3">
      <c r="A1723" s="3">
        <v>7870</v>
      </c>
      <c r="B1723" s="3" t="s">
        <v>42</v>
      </c>
      <c r="C1723" s="4">
        <v>45770</v>
      </c>
      <c r="D1723" s="3" t="s">
        <v>20</v>
      </c>
      <c r="E1723" s="3" t="s">
        <v>40</v>
      </c>
      <c r="F1723" s="5">
        <v>4</v>
      </c>
      <c r="G1723" s="6">
        <v>13.71</v>
      </c>
      <c r="H1723" s="6">
        <v>54.84</v>
      </c>
      <c r="I1723" s="6">
        <v>5.48</v>
      </c>
      <c r="J1723" s="6">
        <v>49.36</v>
      </c>
      <c r="K1723" s="5">
        <v>101</v>
      </c>
      <c r="L1723" s="13" t="str">
        <f t="shared" si="52"/>
        <v>Discount Applied</v>
      </c>
      <c r="M1723" s="13" t="str">
        <f t="shared" si="53"/>
        <v>Silver</v>
      </c>
      <c r="N1723" s="13"/>
    </row>
    <row r="1724" spans="1:14" x14ac:dyDescent="0.3">
      <c r="A1724" s="3">
        <v>7819</v>
      </c>
      <c r="B1724" s="3" t="s">
        <v>11</v>
      </c>
      <c r="C1724" s="4">
        <v>45587</v>
      </c>
      <c r="D1724" s="3" t="s">
        <v>15</v>
      </c>
      <c r="E1724" s="3" t="s">
        <v>29</v>
      </c>
      <c r="F1724" s="5">
        <v>5</v>
      </c>
      <c r="G1724" s="6">
        <v>27.48</v>
      </c>
      <c r="H1724" s="6">
        <v>137.4</v>
      </c>
      <c r="I1724" s="6">
        <v>27.48</v>
      </c>
      <c r="J1724" s="6">
        <v>109.92</v>
      </c>
      <c r="K1724" s="5">
        <v>370</v>
      </c>
      <c r="L1724" s="13" t="str">
        <f t="shared" si="52"/>
        <v>Discount Applied</v>
      </c>
      <c r="M1724" s="13" t="str">
        <f t="shared" si="53"/>
        <v>Platinum</v>
      </c>
      <c r="N1724" s="13"/>
    </row>
    <row r="1725" spans="1:14" x14ac:dyDescent="0.3">
      <c r="A1725" s="3">
        <v>6241</v>
      </c>
      <c r="B1725" s="3" t="s">
        <v>42</v>
      </c>
      <c r="C1725" s="4">
        <v>45558</v>
      </c>
      <c r="D1725" s="3" t="s">
        <v>15</v>
      </c>
      <c r="E1725" s="3" t="s">
        <v>47</v>
      </c>
      <c r="F1725" s="5">
        <v>5</v>
      </c>
      <c r="G1725" s="6">
        <v>11.38</v>
      </c>
      <c r="H1725" s="6">
        <v>56.9</v>
      </c>
      <c r="I1725" s="6">
        <v>11.38</v>
      </c>
      <c r="J1725" s="6">
        <v>45.52</v>
      </c>
      <c r="K1725" s="5">
        <v>162</v>
      </c>
      <c r="L1725" s="13" t="str">
        <f t="shared" si="52"/>
        <v>Discount Applied</v>
      </c>
      <c r="M1725" s="13" t="str">
        <f t="shared" si="53"/>
        <v>Silver</v>
      </c>
      <c r="N1725" s="13"/>
    </row>
    <row r="1726" spans="1:14" x14ac:dyDescent="0.3">
      <c r="A1726" s="3">
        <v>9225</v>
      </c>
      <c r="B1726" s="3" t="s">
        <v>42</v>
      </c>
      <c r="C1726" s="4">
        <v>45608</v>
      </c>
      <c r="D1726" s="3" t="s">
        <v>15</v>
      </c>
      <c r="E1726" s="3" t="s">
        <v>46</v>
      </c>
      <c r="F1726" s="5">
        <v>3</v>
      </c>
      <c r="G1726" s="6">
        <v>14.85</v>
      </c>
      <c r="H1726" s="6">
        <v>44.55</v>
      </c>
      <c r="I1726" s="6">
        <v>4.46</v>
      </c>
      <c r="J1726" s="6">
        <v>40.090000000000003</v>
      </c>
      <c r="K1726" s="5">
        <v>260</v>
      </c>
      <c r="L1726" s="13" t="str">
        <f t="shared" si="52"/>
        <v>Discount Applied</v>
      </c>
      <c r="M1726" s="13" t="str">
        <f t="shared" si="53"/>
        <v>Silver</v>
      </c>
      <c r="N1726" s="13"/>
    </row>
    <row r="1727" spans="1:14" x14ac:dyDescent="0.3">
      <c r="A1727" s="3">
        <v>1862</v>
      </c>
      <c r="B1727" s="3" t="s">
        <v>31</v>
      </c>
      <c r="C1727" s="4">
        <v>45275</v>
      </c>
      <c r="D1727" s="3" t="s">
        <v>12</v>
      </c>
      <c r="E1727" s="3" t="s">
        <v>32</v>
      </c>
      <c r="F1727" s="5">
        <v>4</v>
      </c>
      <c r="G1727" s="6">
        <v>12.6</v>
      </c>
      <c r="H1727" s="6">
        <v>50.4</v>
      </c>
      <c r="I1727" s="6">
        <v>7.56</v>
      </c>
      <c r="J1727" s="6">
        <v>42.84</v>
      </c>
      <c r="K1727" s="5">
        <v>439</v>
      </c>
      <c r="L1727" s="13" t="str">
        <f t="shared" si="52"/>
        <v>Discount Applied</v>
      </c>
      <c r="M1727" s="13" t="str">
        <f t="shared" si="53"/>
        <v>Silver</v>
      </c>
      <c r="N1727" s="13"/>
    </row>
    <row r="1728" spans="1:14" x14ac:dyDescent="0.3">
      <c r="A1728" s="3">
        <v>4656</v>
      </c>
      <c r="B1728" s="3" t="s">
        <v>36</v>
      </c>
      <c r="C1728" s="4">
        <v>45691</v>
      </c>
      <c r="D1728" s="3" t="s">
        <v>35</v>
      </c>
      <c r="E1728" s="3" t="s">
        <v>43</v>
      </c>
      <c r="F1728" s="5">
        <v>4</v>
      </c>
      <c r="G1728" s="6">
        <v>28.42</v>
      </c>
      <c r="H1728" s="6">
        <v>113.68</v>
      </c>
      <c r="I1728" s="6">
        <v>22.74</v>
      </c>
      <c r="J1728" s="6">
        <v>90.94</v>
      </c>
      <c r="K1728" s="5">
        <v>333</v>
      </c>
      <c r="L1728" s="13" t="str">
        <f t="shared" si="52"/>
        <v>Discount Applied</v>
      </c>
      <c r="M1728" s="13" t="str">
        <f t="shared" si="53"/>
        <v>Platinum</v>
      </c>
      <c r="N1728" s="13"/>
    </row>
    <row r="1729" spans="1:14" x14ac:dyDescent="0.3">
      <c r="A1729" s="3">
        <v>9450</v>
      </c>
      <c r="B1729" s="3" t="s">
        <v>11</v>
      </c>
      <c r="C1729" s="4">
        <v>45369</v>
      </c>
      <c r="D1729" s="3" t="s">
        <v>27</v>
      </c>
      <c r="E1729" s="3" t="s">
        <v>32</v>
      </c>
      <c r="F1729" s="5">
        <v>4</v>
      </c>
      <c r="G1729" s="6">
        <v>1.45</v>
      </c>
      <c r="H1729" s="6">
        <v>5.8</v>
      </c>
      <c r="I1729" s="6">
        <v>0</v>
      </c>
      <c r="J1729" s="6">
        <v>5.8</v>
      </c>
      <c r="K1729" s="5">
        <v>493</v>
      </c>
      <c r="L1729" s="13" t="str">
        <f t="shared" si="52"/>
        <v>No Discount</v>
      </c>
      <c r="M1729" s="13" t="str">
        <f t="shared" si="53"/>
        <v>Bronze</v>
      </c>
      <c r="N1729" s="13"/>
    </row>
    <row r="1730" spans="1:14" x14ac:dyDescent="0.3">
      <c r="A1730" s="3">
        <v>7568</v>
      </c>
      <c r="B1730" s="3" t="s">
        <v>36</v>
      </c>
      <c r="C1730" s="4">
        <v>45811</v>
      </c>
      <c r="D1730" s="3" t="s">
        <v>12</v>
      </c>
      <c r="E1730" s="3" t="s">
        <v>41</v>
      </c>
      <c r="F1730" s="5">
        <v>2</v>
      </c>
      <c r="G1730" s="6">
        <v>6.13</v>
      </c>
      <c r="H1730" s="6">
        <v>12.26</v>
      </c>
      <c r="I1730" s="6">
        <v>1.62</v>
      </c>
      <c r="J1730" s="6">
        <v>10.64</v>
      </c>
      <c r="K1730" s="5">
        <v>4</v>
      </c>
      <c r="L1730" s="13" t="str">
        <f t="shared" si="52"/>
        <v>Discount Applied</v>
      </c>
      <c r="M1730" s="13" t="str">
        <f t="shared" si="53"/>
        <v>Bronze</v>
      </c>
      <c r="N1730" s="13"/>
    </row>
    <row r="1731" spans="1:14" x14ac:dyDescent="0.3">
      <c r="A1731" s="3">
        <v>8620</v>
      </c>
      <c r="B1731" s="3" t="s">
        <v>26</v>
      </c>
      <c r="C1731" s="4">
        <v>45844</v>
      </c>
      <c r="D1731" s="3" t="s">
        <v>12</v>
      </c>
      <c r="E1731" s="3" t="s">
        <v>40</v>
      </c>
      <c r="F1731" s="5">
        <v>5</v>
      </c>
      <c r="G1731" s="6">
        <v>24.26</v>
      </c>
      <c r="H1731" s="6">
        <v>121.3</v>
      </c>
      <c r="I1731" s="6">
        <v>18.2</v>
      </c>
      <c r="J1731" s="6">
        <v>103.1</v>
      </c>
      <c r="K1731" s="5">
        <v>443</v>
      </c>
      <c r="L1731" s="13" t="str">
        <f t="shared" ref="L1731:L1794" si="54">IF(I1731&gt;0,"Discount Applied","No Discount")</f>
        <v>Discount Applied</v>
      </c>
      <c r="M1731" s="13" t="str">
        <f t="shared" ref="M1731:M1794" si="55">IF(J1731 &gt;= 70, "Platinum",
   IF(J1731 &gt;= 50, "Gold",
      IF(J1731 &gt;= 20, "Silver", "Bronze")))</f>
        <v>Platinum</v>
      </c>
      <c r="N1731" s="13"/>
    </row>
    <row r="1732" spans="1:14" x14ac:dyDescent="0.3">
      <c r="A1732" s="3">
        <v>5625</v>
      </c>
      <c r="B1732" s="3" t="s">
        <v>24</v>
      </c>
      <c r="C1732" s="4">
        <v>45250</v>
      </c>
      <c r="D1732" s="3" t="s">
        <v>34</v>
      </c>
      <c r="E1732" s="3" t="s">
        <v>16</v>
      </c>
      <c r="F1732" s="5">
        <v>2</v>
      </c>
      <c r="G1732" s="6">
        <v>6.05</v>
      </c>
      <c r="H1732" s="6">
        <v>12.1</v>
      </c>
      <c r="I1732" s="6">
        <v>0</v>
      </c>
      <c r="J1732" s="6">
        <v>12.1</v>
      </c>
      <c r="K1732" s="5">
        <v>265</v>
      </c>
      <c r="L1732" s="13" t="str">
        <f t="shared" si="54"/>
        <v>No Discount</v>
      </c>
      <c r="M1732" s="13" t="str">
        <f t="shared" si="55"/>
        <v>Bronze</v>
      </c>
      <c r="N1732" s="13"/>
    </row>
    <row r="1733" spans="1:14" x14ac:dyDescent="0.3">
      <c r="A1733" s="3">
        <v>6090</v>
      </c>
      <c r="B1733" s="3" t="s">
        <v>19</v>
      </c>
      <c r="C1733" s="4">
        <v>45858</v>
      </c>
      <c r="D1733" s="3" t="s">
        <v>22</v>
      </c>
      <c r="E1733" s="3" t="s">
        <v>48</v>
      </c>
      <c r="F1733" s="5">
        <v>2</v>
      </c>
      <c r="G1733" s="6">
        <v>1.86</v>
      </c>
      <c r="H1733" s="6">
        <v>3.72</v>
      </c>
      <c r="I1733" s="6">
        <v>0.37</v>
      </c>
      <c r="J1733" s="6">
        <v>3.35</v>
      </c>
      <c r="K1733" s="5">
        <v>104</v>
      </c>
      <c r="L1733" s="13" t="str">
        <f t="shared" si="54"/>
        <v>Discount Applied</v>
      </c>
      <c r="M1733" s="13" t="str">
        <f t="shared" si="55"/>
        <v>Bronze</v>
      </c>
      <c r="N1733" s="13"/>
    </row>
    <row r="1734" spans="1:14" x14ac:dyDescent="0.3">
      <c r="A1734" s="3">
        <v>2415</v>
      </c>
      <c r="B1734" s="3" t="s">
        <v>36</v>
      </c>
      <c r="C1734" s="4">
        <v>45360</v>
      </c>
      <c r="D1734" s="3" t="s">
        <v>35</v>
      </c>
      <c r="E1734" s="3" t="s">
        <v>21</v>
      </c>
      <c r="F1734" s="5">
        <v>1</v>
      </c>
      <c r="G1734" s="6">
        <v>23.7</v>
      </c>
      <c r="H1734" s="6">
        <v>23.7</v>
      </c>
      <c r="I1734" s="6">
        <v>2.37</v>
      </c>
      <c r="J1734" s="6">
        <v>21.33</v>
      </c>
      <c r="K1734" s="5">
        <v>169</v>
      </c>
      <c r="L1734" s="13" t="str">
        <f t="shared" si="54"/>
        <v>Discount Applied</v>
      </c>
      <c r="M1734" s="13" t="str">
        <f t="shared" si="55"/>
        <v>Silver</v>
      </c>
      <c r="N1734" s="13"/>
    </row>
    <row r="1735" spans="1:14" x14ac:dyDescent="0.3">
      <c r="A1735" s="3">
        <v>8483</v>
      </c>
      <c r="B1735" s="3" t="s">
        <v>31</v>
      </c>
      <c r="C1735" s="4">
        <v>45689</v>
      </c>
      <c r="D1735" s="3" t="s">
        <v>34</v>
      </c>
      <c r="E1735" s="3" t="s">
        <v>16</v>
      </c>
      <c r="F1735" s="5">
        <v>1</v>
      </c>
      <c r="G1735" s="6">
        <v>16.63</v>
      </c>
      <c r="H1735" s="6">
        <v>16.63</v>
      </c>
      <c r="I1735" s="6">
        <v>3.33</v>
      </c>
      <c r="J1735" s="6">
        <v>13.3</v>
      </c>
      <c r="K1735" s="5">
        <v>390</v>
      </c>
      <c r="L1735" s="13" t="str">
        <f t="shared" si="54"/>
        <v>Discount Applied</v>
      </c>
      <c r="M1735" s="13" t="str">
        <f t="shared" si="55"/>
        <v>Bronze</v>
      </c>
      <c r="N1735" s="13"/>
    </row>
    <row r="1736" spans="1:14" x14ac:dyDescent="0.3">
      <c r="A1736" s="3">
        <v>5777</v>
      </c>
      <c r="B1736" s="3" t="s">
        <v>11</v>
      </c>
      <c r="C1736" s="4">
        <v>45338</v>
      </c>
      <c r="D1736" s="3" t="s">
        <v>12</v>
      </c>
      <c r="E1736" s="3" t="s">
        <v>23</v>
      </c>
      <c r="F1736" s="5">
        <v>2</v>
      </c>
      <c r="G1736" s="6">
        <v>3.66</v>
      </c>
      <c r="H1736" s="6">
        <v>7.32</v>
      </c>
      <c r="I1736" s="6">
        <v>0.73</v>
      </c>
      <c r="J1736" s="6">
        <v>6.59</v>
      </c>
      <c r="K1736" s="5">
        <v>33</v>
      </c>
      <c r="L1736" s="13" t="str">
        <f t="shared" si="54"/>
        <v>Discount Applied</v>
      </c>
      <c r="M1736" s="13" t="str">
        <f t="shared" si="55"/>
        <v>Bronze</v>
      </c>
      <c r="N1736" s="13"/>
    </row>
    <row r="1737" spans="1:14" x14ac:dyDescent="0.3">
      <c r="A1737" s="3">
        <v>5979</v>
      </c>
      <c r="B1737" s="3" t="s">
        <v>26</v>
      </c>
      <c r="C1737" s="4">
        <v>45697</v>
      </c>
      <c r="D1737" s="3" t="s">
        <v>20</v>
      </c>
      <c r="E1737" s="3" t="s">
        <v>18</v>
      </c>
      <c r="F1737" s="5">
        <v>4</v>
      </c>
      <c r="G1737" s="6">
        <v>4.8899999999999997</v>
      </c>
      <c r="H1737" s="6">
        <v>19.559999999999999</v>
      </c>
      <c r="I1737" s="6">
        <v>2.93</v>
      </c>
      <c r="J1737" s="6">
        <v>16.63</v>
      </c>
      <c r="K1737" s="5">
        <v>308</v>
      </c>
      <c r="L1737" s="13" t="str">
        <f t="shared" si="54"/>
        <v>Discount Applied</v>
      </c>
      <c r="M1737" s="13" t="str">
        <f t="shared" si="55"/>
        <v>Bronze</v>
      </c>
      <c r="N1737" s="13"/>
    </row>
    <row r="1738" spans="1:14" x14ac:dyDescent="0.3">
      <c r="A1738" s="3">
        <v>7033</v>
      </c>
      <c r="B1738" s="3" t="s">
        <v>26</v>
      </c>
      <c r="C1738" s="4">
        <v>45788</v>
      </c>
      <c r="D1738" s="3" t="s">
        <v>45</v>
      </c>
      <c r="E1738" s="3" t="s">
        <v>13</v>
      </c>
      <c r="F1738" s="5">
        <v>2</v>
      </c>
      <c r="G1738" s="6">
        <v>10.35</v>
      </c>
      <c r="H1738" s="6">
        <v>20.7</v>
      </c>
      <c r="I1738" s="6">
        <v>3.67</v>
      </c>
      <c r="J1738" s="6">
        <v>17.03</v>
      </c>
      <c r="K1738" s="5">
        <v>276</v>
      </c>
      <c r="L1738" s="13" t="str">
        <f t="shared" si="54"/>
        <v>Discount Applied</v>
      </c>
      <c r="M1738" s="13" t="str">
        <f t="shared" si="55"/>
        <v>Bronze</v>
      </c>
      <c r="N1738" s="13"/>
    </row>
    <row r="1739" spans="1:14" x14ac:dyDescent="0.3">
      <c r="A1739" s="3">
        <v>9083</v>
      </c>
      <c r="B1739" s="3" t="s">
        <v>11</v>
      </c>
      <c r="C1739" s="4">
        <v>45736</v>
      </c>
      <c r="D1739" s="3" t="s">
        <v>45</v>
      </c>
      <c r="E1739" s="3" t="s">
        <v>47</v>
      </c>
      <c r="F1739" s="5">
        <v>5</v>
      </c>
      <c r="G1739" s="6">
        <v>6.68</v>
      </c>
      <c r="H1739" s="6">
        <v>33.4</v>
      </c>
      <c r="I1739" s="6">
        <v>6.68</v>
      </c>
      <c r="J1739" s="6">
        <v>26.72</v>
      </c>
      <c r="K1739" s="5">
        <v>112</v>
      </c>
      <c r="L1739" s="13" t="str">
        <f t="shared" si="54"/>
        <v>Discount Applied</v>
      </c>
      <c r="M1739" s="13" t="str">
        <f t="shared" si="55"/>
        <v>Silver</v>
      </c>
      <c r="N1739" s="13"/>
    </row>
    <row r="1740" spans="1:14" x14ac:dyDescent="0.3">
      <c r="A1740" s="3">
        <v>4201</v>
      </c>
      <c r="B1740" s="3" t="s">
        <v>42</v>
      </c>
      <c r="C1740" s="4">
        <v>45525</v>
      </c>
      <c r="D1740" s="3" t="s">
        <v>27</v>
      </c>
      <c r="E1740" s="3" t="s">
        <v>43</v>
      </c>
      <c r="F1740" s="5">
        <v>1</v>
      </c>
      <c r="G1740" s="6">
        <v>21.79</v>
      </c>
      <c r="H1740" s="6">
        <v>21.79</v>
      </c>
      <c r="I1740" s="6">
        <v>4.3600000000000003</v>
      </c>
      <c r="J1740" s="6">
        <v>17.43</v>
      </c>
      <c r="K1740" s="5">
        <v>144</v>
      </c>
      <c r="L1740" s="13" t="str">
        <f t="shared" si="54"/>
        <v>Discount Applied</v>
      </c>
      <c r="M1740" s="13" t="str">
        <f t="shared" si="55"/>
        <v>Bronze</v>
      </c>
      <c r="N1740" s="13"/>
    </row>
    <row r="1741" spans="1:14" x14ac:dyDescent="0.3">
      <c r="A1741" s="3">
        <v>5016</v>
      </c>
      <c r="B1741" s="3" t="s">
        <v>42</v>
      </c>
      <c r="C1741" s="4">
        <v>45593</v>
      </c>
      <c r="D1741" s="3" t="s">
        <v>35</v>
      </c>
      <c r="E1741" s="3" t="s">
        <v>29</v>
      </c>
      <c r="F1741" s="5">
        <v>3</v>
      </c>
      <c r="G1741" s="6">
        <v>10.52</v>
      </c>
      <c r="H1741" s="6">
        <v>31.56</v>
      </c>
      <c r="I1741" s="6">
        <v>0</v>
      </c>
      <c r="J1741" s="6">
        <v>31.56</v>
      </c>
      <c r="K1741" s="5">
        <v>498</v>
      </c>
      <c r="L1741" s="13" t="str">
        <f t="shared" si="54"/>
        <v>No Discount</v>
      </c>
      <c r="M1741" s="13" t="str">
        <f t="shared" si="55"/>
        <v>Silver</v>
      </c>
      <c r="N1741" s="13"/>
    </row>
    <row r="1742" spans="1:14" x14ac:dyDescent="0.3">
      <c r="A1742" s="3">
        <v>7718</v>
      </c>
      <c r="B1742" s="3" t="s">
        <v>14</v>
      </c>
      <c r="C1742" s="4">
        <v>45632</v>
      </c>
      <c r="D1742" s="3" t="s">
        <v>38</v>
      </c>
      <c r="E1742" s="3" t="s">
        <v>13</v>
      </c>
      <c r="F1742" s="5">
        <v>2</v>
      </c>
      <c r="G1742" s="6">
        <v>10.5</v>
      </c>
      <c r="H1742" s="6">
        <v>21</v>
      </c>
      <c r="I1742" s="6">
        <v>3.95</v>
      </c>
      <c r="J1742" s="6">
        <v>17.05</v>
      </c>
      <c r="K1742" s="5">
        <v>191</v>
      </c>
      <c r="L1742" s="13" t="str">
        <f t="shared" si="54"/>
        <v>Discount Applied</v>
      </c>
      <c r="M1742" s="13" t="str">
        <f t="shared" si="55"/>
        <v>Bronze</v>
      </c>
      <c r="N1742" s="13"/>
    </row>
    <row r="1743" spans="1:14" x14ac:dyDescent="0.3">
      <c r="A1743" s="3">
        <v>6675</v>
      </c>
      <c r="B1743" s="3" t="s">
        <v>31</v>
      </c>
      <c r="C1743" s="4">
        <v>45436</v>
      </c>
      <c r="D1743" s="3" t="s">
        <v>20</v>
      </c>
      <c r="E1743" s="3" t="s">
        <v>40</v>
      </c>
      <c r="F1743" s="5">
        <v>2</v>
      </c>
      <c r="G1743" s="6">
        <v>29.4</v>
      </c>
      <c r="H1743" s="6">
        <v>58.8</v>
      </c>
      <c r="I1743" s="6">
        <v>0</v>
      </c>
      <c r="J1743" s="6">
        <v>58.8</v>
      </c>
      <c r="K1743" s="5">
        <v>7</v>
      </c>
      <c r="L1743" s="13" t="str">
        <f t="shared" si="54"/>
        <v>No Discount</v>
      </c>
      <c r="M1743" s="13" t="str">
        <f t="shared" si="55"/>
        <v>Gold</v>
      </c>
      <c r="N1743" s="13"/>
    </row>
    <row r="1744" spans="1:14" x14ac:dyDescent="0.3">
      <c r="A1744" s="3">
        <v>1157</v>
      </c>
      <c r="B1744" s="3" t="s">
        <v>31</v>
      </c>
      <c r="C1744" s="4">
        <v>45203</v>
      </c>
      <c r="D1744" s="3" t="s">
        <v>17</v>
      </c>
      <c r="E1744" s="3" t="s">
        <v>29</v>
      </c>
      <c r="F1744" s="5">
        <v>4</v>
      </c>
      <c r="G1744" s="6">
        <v>10.34</v>
      </c>
      <c r="H1744" s="6">
        <v>41.36</v>
      </c>
      <c r="I1744" s="6">
        <v>4.1399999999999997</v>
      </c>
      <c r="J1744" s="6">
        <v>37.22</v>
      </c>
      <c r="K1744" s="5">
        <v>292</v>
      </c>
      <c r="L1744" s="13" t="str">
        <f t="shared" si="54"/>
        <v>Discount Applied</v>
      </c>
      <c r="M1744" s="13" t="str">
        <f t="shared" si="55"/>
        <v>Silver</v>
      </c>
      <c r="N1744" s="13"/>
    </row>
    <row r="1745" spans="1:14" x14ac:dyDescent="0.3">
      <c r="A1745" s="3">
        <v>1023</v>
      </c>
      <c r="B1745" s="3" t="s">
        <v>36</v>
      </c>
      <c r="C1745" s="4">
        <v>45457</v>
      </c>
      <c r="D1745" s="3" t="s">
        <v>17</v>
      </c>
      <c r="E1745" s="3" t="s">
        <v>32</v>
      </c>
      <c r="F1745" s="5">
        <v>4</v>
      </c>
      <c r="G1745" s="6">
        <v>29.78</v>
      </c>
      <c r="H1745" s="6">
        <v>119.12</v>
      </c>
      <c r="I1745" s="6">
        <v>2.76</v>
      </c>
      <c r="J1745" s="6">
        <v>116.36</v>
      </c>
      <c r="K1745" s="5">
        <v>232</v>
      </c>
      <c r="L1745" s="13" t="str">
        <f t="shared" si="54"/>
        <v>Discount Applied</v>
      </c>
      <c r="M1745" s="13" t="str">
        <f t="shared" si="55"/>
        <v>Platinum</v>
      </c>
      <c r="N1745" s="13"/>
    </row>
    <row r="1746" spans="1:14" x14ac:dyDescent="0.3">
      <c r="A1746" s="3">
        <v>7164</v>
      </c>
      <c r="B1746" s="3" t="s">
        <v>30</v>
      </c>
      <c r="C1746" s="4">
        <v>45727</v>
      </c>
      <c r="D1746" s="3" t="s">
        <v>27</v>
      </c>
      <c r="E1746" s="3" t="s">
        <v>46</v>
      </c>
      <c r="F1746" s="5">
        <v>3</v>
      </c>
      <c r="G1746" s="6">
        <v>10.77</v>
      </c>
      <c r="H1746" s="6">
        <v>32.31</v>
      </c>
      <c r="I1746" s="6">
        <v>4.8499999999999996</v>
      </c>
      <c r="J1746" s="6">
        <v>27.46</v>
      </c>
      <c r="K1746" s="5">
        <v>456</v>
      </c>
      <c r="L1746" s="13" t="str">
        <f t="shared" si="54"/>
        <v>Discount Applied</v>
      </c>
      <c r="M1746" s="13" t="str">
        <f t="shared" si="55"/>
        <v>Silver</v>
      </c>
      <c r="N1746" s="13"/>
    </row>
    <row r="1747" spans="1:14" x14ac:dyDescent="0.3">
      <c r="A1747" s="3">
        <v>4361</v>
      </c>
      <c r="B1747" s="3" t="s">
        <v>36</v>
      </c>
      <c r="C1747" s="4">
        <v>45684</v>
      </c>
      <c r="D1747" s="3" t="s">
        <v>45</v>
      </c>
      <c r="E1747" s="3" t="s">
        <v>18</v>
      </c>
      <c r="F1747" s="5">
        <v>4</v>
      </c>
      <c r="G1747" s="6">
        <v>20.22</v>
      </c>
      <c r="H1747" s="6">
        <v>80.88</v>
      </c>
      <c r="I1747" s="6">
        <v>2.0499999999999998</v>
      </c>
      <c r="J1747" s="6">
        <v>78.83</v>
      </c>
      <c r="K1747" s="5">
        <v>342</v>
      </c>
      <c r="L1747" s="13" t="str">
        <f t="shared" si="54"/>
        <v>Discount Applied</v>
      </c>
      <c r="M1747" s="13" t="str">
        <f t="shared" si="55"/>
        <v>Platinum</v>
      </c>
      <c r="N1747" s="13"/>
    </row>
    <row r="1748" spans="1:14" x14ac:dyDescent="0.3">
      <c r="A1748" s="3">
        <v>4902</v>
      </c>
      <c r="B1748" s="3" t="s">
        <v>36</v>
      </c>
      <c r="C1748" s="4">
        <v>45498</v>
      </c>
      <c r="D1748" s="3" t="s">
        <v>20</v>
      </c>
      <c r="E1748" s="3" t="s">
        <v>39</v>
      </c>
      <c r="F1748" s="5">
        <v>5</v>
      </c>
      <c r="G1748" s="6">
        <v>4.6500000000000004</v>
      </c>
      <c r="H1748" s="6">
        <v>23.25</v>
      </c>
      <c r="I1748" s="6">
        <v>1.48</v>
      </c>
      <c r="J1748" s="6">
        <v>21.77</v>
      </c>
      <c r="K1748" s="5">
        <v>116</v>
      </c>
      <c r="L1748" s="13" t="str">
        <f t="shared" si="54"/>
        <v>Discount Applied</v>
      </c>
      <c r="M1748" s="13" t="str">
        <f t="shared" si="55"/>
        <v>Silver</v>
      </c>
      <c r="N1748" s="13"/>
    </row>
    <row r="1749" spans="1:14" x14ac:dyDescent="0.3">
      <c r="A1749" s="3">
        <v>9061</v>
      </c>
      <c r="B1749" s="3" t="s">
        <v>30</v>
      </c>
      <c r="C1749" s="4">
        <v>45399</v>
      </c>
      <c r="D1749" s="3" t="s">
        <v>34</v>
      </c>
      <c r="E1749" s="3" t="s">
        <v>23</v>
      </c>
      <c r="F1749" s="5">
        <v>3</v>
      </c>
      <c r="G1749" s="6">
        <v>14.11</v>
      </c>
      <c r="H1749" s="6">
        <v>42.33</v>
      </c>
      <c r="I1749" s="6">
        <v>1.73</v>
      </c>
      <c r="J1749" s="6">
        <v>40.6</v>
      </c>
      <c r="K1749" s="5">
        <v>283</v>
      </c>
      <c r="L1749" s="13" t="str">
        <f t="shared" si="54"/>
        <v>Discount Applied</v>
      </c>
      <c r="M1749" s="13" t="str">
        <f t="shared" si="55"/>
        <v>Silver</v>
      </c>
      <c r="N1749" s="13"/>
    </row>
    <row r="1750" spans="1:14" x14ac:dyDescent="0.3">
      <c r="A1750" s="3">
        <v>3332</v>
      </c>
      <c r="B1750" s="3" t="s">
        <v>14</v>
      </c>
      <c r="C1750" s="4">
        <v>45819</v>
      </c>
      <c r="D1750" s="3" t="s">
        <v>17</v>
      </c>
      <c r="E1750" s="3" t="s">
        <v>41</v>
      </c>
      <c r="F1750" s="5">
        <v>2</v>
      </c>
      <c r="G1750" s="6">
        <v>23.49</v>
      </c>
      <c r="H1750" s="6">
        <v>46.98</v>
      </c>
      <c r="I1750" s="6">
        <v>3.4</v>
      </c>
      <c r="J1750" s="6">
        <v>43.58</v>
      </c>
      <c r="K1750" s="5">
        <v>101</v>
      </c>
      <c r="L1750" s="13" t="str">
        <f t="shared" si="54"/>
        <v>Discount Applied</v>
      </c>
      <c r="M1750" s="13" t="str">
        <f t="shared" si="55"/>
        <v>Silver</v>
      </c>
      <c r="N1750" s="13"/>
    </row>
    <row r="1751" spans="1:14" x14ac:dyDescent="0.3">
      <c r="A1751" s="3">
        <v>5584</v>
      </c>
      <c r="B1751" s="3" t="s">
        <v>19</v>
      </c>
      <c r="C1751" s="4">
        <v>45712</v>
      </c>
      <c r="D1751" s="3" t="s">
        <v>28</v>
      </c>
      <c r="E1751" s="3" t="s">
        <v>46</v>
      </c>
      <c r="F1751" s="5">
        <v>5</v>
      </c>
      <c r="G1751" s="6">
        <v>2.35</v>
      </c>
      <c r="H1751" s="6">
        <v>11.75</v>
      </c>
      <c r="I1751" s="6">
        <v>1.92</v>
      </c>
      <c r="J1751" s="6">
        <v>9.83</v>
      </c>
      <c r="K1751" s="5">
        <v>272</v>
      </c>
      <c r="L1751" s="13" t="str">
        <f t="shared" si="54"/>
        <v>Discount Applied</v>
      </c>
      <c r="M1751" s="13" t="str">
        <f t="shared" si="55"/>
        <v>Bronze</v>
      </c>
      <c r="N1751" s="13"/>
    </row>
    <row r="1752" spans="1:14" x14ac:dyDescent="0.3">
      <c r="A1752" s="3">
        <v>1719</v>
      </c>
      <c r="B1752" s="3" t="s">
        <v>14</v>
      </c>
      <c r="C1752" s="4">
        <v>45638</v>
      </c>
      <c r="D1752" s="3" t="s">
        <v>34</v>
      </c>
      <c r="E1752" s="3" t="s">
        <v>23</v>
      </c>
      <c r="F1752" s="5">
        <v>2</v>
      </c>
      <c r="G1752" s="6">
        <v>3.89</v>
      </c>
      <c r="H1752" s="6">
        <v>7.78</v>
      </c>
      <c r="I1752" s="6">
        <v>0</v>
      </c>
      <c r="J1752" s="6">
        <v>7.78</v>
      </c>
      <c r="K1752" s="5">
        <v>84</v>
      </c>
      <c r="L1752" s="13" t="str">
        <f t="shared" si="54"/>
        <v>No Discount</v>
      </c>
      <c r="M1752" s="13" t="str">
        <f t="shared" si="55"/>
        <v>Bronze</v>
      </c>
      <c r="N1752" s="13"/>
    </row>
    <row r="1753" spans="1:14" x14ac:dyDescent="0.3">
      <c r="A1753" s="3">
        <v>4792</v>
      </c>
      <c r="B1753" s="3" t="s">
        <v>19</v>
      </c>
      <c r="C1753" s="4">
        <v>45805</v>
      </c>
      <c r="D1753" s="3" t="s">
        <v>38</v>
      </c>
      <c r="E1753" s="3" t="s">
        <v>16</v>
      </c>
      <c r="F1753" s="5">
        <v>2</v>
      </c>
      <c r="G1753" s="6">
        <v>9.06</v>
      </c>
      <c r="H1753" s="6">
        <v>18.12</v>
      </c>
      <c r="I1753" s="6">
        <v>2.72</v>
      </c>
      <c r="J1753" s="6">
        <v>15.4</v>
      </c>
      <c r="K1753" s="5">
        <v>491</v>
      </c>
      <c r="L1753" s="13" t="str">
        <f t="shared" si="54"/>
        <v>Discount Applied</v>
      </c>
      <c r="M1753" s="13" t="str">
        <f t="shared" si="55"/>
        <v>Bronze</v>
      </c>
      <c r="N1753" s="13"/>
    </row>
    <row r="1754" spans="1:14" x14ac:dyDescent="0.3">
      <c r="A1754" s="3">
        <v>9515</v>
      </c>
      <c r="B1754" s="3" t="s">
        <v>24</v>
      </c>
      <c r="C1754" s="4">
        <v>45763</v>
      </c>
      <c r="D1754" s="3" t="s">
        <v>38</v>
      </c>
      <c r="E1754" s="3" t="s">
        <v>16</v>
      </c>
      <c r="F1754" s="5">
        <v>4</v>
      </c>
      <c r="G1754" s="6">
        <v>14.56</v>
      </c>
      <c r="H1754" s="6">
        <v>58.24</v>
      </c>
      <c r="I1754" s="6">
        <v>1.3</v>
      </c>
      <c r="J1754" s="6">
        <v>56.94</v>
      </c>
      <c r="K1754" s="5">
        <v>69</v>
      </c>
      <c r="L1754" s="13" t="str">
        <f t="shared" si="54"/>
        <v>Discount Applied</v>
      </c>
      <c r="M1754" s="13" t="str">
        <f t="shared" si="55"/>
        <v>Gold</v>
      </c>
      <c r="N1754" s="13"/>
    </row>
    <row r="1755" spans="1:14" x14ac:dyDescent="0.3">
      <c r="A1755" s="3">
        <v>7102</v>
      </c>
      <c r="B1755" s="3" t="s">
        <v>14</v>
      </c>
      <c r="C1755" s="4">
        <v>45453</v>
      </c>
      <c r="D1755" s="3" t="s">
        <v>27</v>
      </c>
      <c r="E1755" s="3" t="s">
        <v>37</v>
      </c>
      <c r="F1755" s="5">
        <v>2</v>
      </c>
      <c r="G1755" s="6">
        <v>27.76</v>
      </c>
      <c r="H1755" s="6">
        <v>55.52</v>
      </c>
      <c r="I1755" s="6">
        <v>4.0199999999999996</v>
      </c>
      <c r="J1755" s="6">
        <v>51.5</v>
      </c>
      <c r="K1755" s="5">
        <v>313</v>
      </c>
      <c r="L1755" s="13" t="str">
        <f t="shared" si="54"/>
        <v>Discount Applied</v>
      </c>
      <c r="M1755" s="13" t="str">
        <f t="shared" si="55"/>
        <v>Gold</v>
      </c>
      <c r="N1755" s="13"/>
    </row>
    <row r="1756" spans="1:14" x14ac:dyDescent="0.3">
      <c r="A1756" s="3">
        <v>2565</v>
      </c>
      <c r="B1756" s="3" t="s">
        <v>19</v>
      </c>
      <c r="C1756" s="4">
        <v>45478</v>
      </c>
      <c r="D1756" s="3" t="s">
        <v>34</v>
      </c>
      <c r="E1756" s="3" t="s">
        <v>47</v>
      </c>
      <c r="F1756" s="5">
        <v>2</v>
      </c>
      <c r="G1756" s="6">
        <v>23.16</v>
      </c>
      <c r="H1756" s="6">
        <v>46.32</v>
      </c>
      <c r="I1756" s="6">
        <v>4.63</v>
      </c>
      <c r="J1756" s="6">
        <v>41.69</v>
      </c>
      <c r="K1756" s="5">
        <v>413</v>
      </c>
      <c r="L1756" s="13" t="str">
        <f t="shared" si="54"/>
        <v>Discount Applied</v>
      </c>
      <c r="M1756" s="13" t="str">
        <f t="shared" si="55"/>
        <v>Silver</v>
      </c>
      <c r="N1756" s="13"/>
    </row>
    <row r="1757" spans="1:14" x14ac:dyDescent="0.3">
      <c r="A1757" s="3">
        <v>3187</v>
      </c>
      <c r="B1757" s="3" t="s">
        <v>19</v>
      </c>
      <c r="C1757" s="4">
        <v>45529</v>
      </c>
      <c r="D1757" s="3" t="s">
        <v>27</v>
      </c>
      <c r="E1757" s="3" t="s">
        <v>16</v>
      </c>
      <c r="F1757" s="5">
        <v>4</v>
      </c>
      <c r="G1757" s="6">
        <v>18.14</v>
      </c>
      <c r="H1757" s="6">
        <v>72.56</v>
      </c>
      <c r="I1757" s="6">
        <v>1.91</v>
      </c>
      <c r="J1757" s="6">
        <v>70.650000000000006</v>
      </c>
      <c r="K1757" s="5">
        <v>127</v>
      </c>
      <c r="L1757" s="13" t="str">
        <f t="shared" si="54"/>
        <v>Discount Applied</v>
      </c>
      <c r="M1757" s="13" t="str">
        <f t="shared" si="55"/>
        <v>Platinum</v>
      </c>
      <c r="N1757" s="13"/>
    </row>
    <row r="1758" spans="1:14" x14ac:dyDescent="0.3">
      <c r="A1758" s="3">
        <v>7461</v>
      </c>
      <c r="B1758" s="3" t="s">
        <v>30</v>
      </c>
      <c r="C1758" s="4">
        <v>45395</v>
      </c>
      <c r="D1758" s="3" t="s">
        <v>34</v>
      </c>
      <c r="E1758" s="3" t="s">
        <v>32</v>
      </c>
      <c r="F1758" s="5">
        <v>1</v>
      </c>
      <c r="G1758" s="6">
        <v>22.04</v>
      </c>
      <c r="H1758" s="6">
        <v>22.04</v>
      </c>
      <c r="I1758" s="6">
        <v>4.41</v>
      </c>
      <c r="J1758" s="6">
        <v>17.63</v>
      </c>
      <c r="K1758" s="5">
        <v>299</v>
      </c>
      <c r="L1758" s="13" t="str">
        <f t="shared" si="54"/>
        <v>Discount Applied</v>
      </c>
      <c r="M1758" s="13" t="str">
        <f t="shared" si="55"/>
        <v>Bronze</v>
      </c>
      <c r="N1758" s="13"/>
    </row>
    <row r="1759" spans="1:14" x14ac:dyDescent="0.3">
      <c r="A1759" s="3">
        <v>3141</v>
      </c>
      <c r="B1759" s="3" t="s">
        <v>26</v>
      </c>
      <c r="C1759" s="4">
        <v>45407</v>
      </c>
      <c r="D1759" s="3" t="s">
        <v>34</v>
      </c>
      <c r="E1759" s="3" t="s">
        <v>13</v>
      </c>
      <c r="F1759" s="5">
        <v>3</v>
      </c>
      <c r="G1759" s="6">
        <v>1.3</v>
      </c>
      <c r="H1759" s="6">
        <v>3.9</v>
      </c>
      <c r="I1759" s="6">
        <v>1.41</v>
      </c>
      <c r="J1759" s="6">
        <v>2.4900000000000002</v>
      </c>
      <c r="K1759" s="5">
        <v>60</v>
      </c>
      <c r="L1759" s="13" t="str">
        <f t="shared" si="54"/>
        <v>Discount Applied</v>
      </c>
      <c r="M1759" s="13" t="str">
        <f t="shared" si="55"/>
        <v>Bronze</v>
      </c>
      <c r="N1759" s="13"/>
    </row>
    <row r="1760" spans="1:14" x14ac:dyDescent="0.3">
      <c r="A1760" s="3">
        <v>5778</v>
      </c>
      <c r="B1760" s="3" t="s">
        <v>26</v>
      </c>
      <c r="C1760" s="4">
        <v>45593</v>
      </c>
      <c r="D1760" s="3" t="s">
        <v>17</v>
      </c>
      <c r="E1760" s="3" t="s">
        <v>33</v>
      </c>
      <c r="F1760" s="5">
        <v>3</v>
      </c>
      <c r="G1760" s="6">
        <v>24.83</v>
      </c>
      <c r="H1760" s="6">
        <v>74.489999999999995</v>
      </c>
      <c r="I1760" s="6">
        <v>14.9</v>
      </c>
      <c r="J1760" s="6">
        <v>59.59</v>
      </c>
      <c r="K1760" s="5">
        <v>277</v>
      </c>
      <c r="L1760" s="13" t="str">
        <f t="shared" si="54"/>
        <v>Discount Applied</v>
      </c>
      <c r="M1760" s="13" t="str">
        <f t="shared" si="55"/>
        <v>Gold</v>
      </c>
      <c r="N1760" s="13"/>
    </row>
    <row r="1761" spans="1:14" x14ac:dyDescent="0.3">
      <c r="A1761" s="3">
        <v>6161</v>
      </c>
      <c r="B1761" s="3" t="s">
        <v>11</v>
      </c>
      <c r="C1761" s="4">
        <v>45584</v>
      </c>
      <c r="D1761" s="3" t="s">
        <v>22</v>
      </c>
      <c r="E1761" s="3" t="s">
        <v>13</v>
      </c>
      <c r="F1761" s="5">
        <v>1</v>
      </c>
      <c r="G1761" s="6">
        <v>12.05</v>
      </c>
      <c r="H1761" s="6">
        <v>12.05</v>
      </c>
      <c r="I1761" s="6">
        <v>3.51</v>
      </c>
      <c r="J1761" s="6">
        <v>8.5399999999999991</v>
      </c>
      <c r="K1761" s="5">
        <v>456</v>
      </c>
      <c r="L1761" s="13" t="str">
        <f t="shared" si="54"/>
        <v>Discount Applied</v>
      </c>
      <c r="M1761" s="13" t="str">
        <f t="shared" si="55"/>
        <v>Bronze</v>
      </c>
      <c r="N1761" s="13"/>
    </row>
    <row r="1762" spans="1:14" x14ac:dyDescent="0.3">
      <c r="A1762" s="3">
        <v>6345</v>
      </c>
      <c r="B1762" s="3" t="s">
        <v>24</v>
      </c>
      <c r="C1762" s="4">
        <v>45757</v>
      </c>
      <c r="D1762" s="3" t="s">
        <v>28</v>
      </c>
      <c r="E1762" s="3" t="s">
        <v>29</v>
      </c>
      <c r="F1762" s="5">
        <v>4</v>
      </c>
      <c r="G1762" s="6">
        <v>22.99</v>
      </c>
      <c r="H1762" s="6">
        <v>91.96</v>
      </c>
      <c r="I1762" s="6">
        <v>4.99</v>
      </c>
      <c r="J1762" s="6">
        <v>86.97</v>
      </c>
      <c r="K1762" s="5">
        <v>115</v>
      </c>
      <c r="L1762" s="13" t="str">
        <f t="shared" si="54"/>
        <v>Discount Applied</v>
      </c>
      <c r="M1762" s="13" t="str">
        <f t="shared" si="55"/>
        <v>Platinum</v>
      </c>
      <c r="N1762" s="13"/>
    </row>
    <row r="1763" spans="1:14" x14ac:dyDescent="0.3">
      <c r="A1763" s="3">
        <v>8417</v>
      </c>
      <c r="B1763" s="3" t="s">
        <v>36</v>
      </c>
      <c r="C1763" s="4">
        <v>45839</v>
      </c>
      <c r="D1763" s="3" t="s">
        <v>17</v>
      </c>
      <c r="E1763" s="3" t="s">
        <v>47</v>
      </c>
      <c r="F1763" s="5">
        <v>4</v>
      </c>
      <c r="G1763" s="6">
        <v>13.22</v>
      </c>
      <c r="H1763" s="6">
        <v>52.88</v>
      </c>
      <c r="I1763" s="6">
        <v>7.93</v>
      </c>
      <c r="J1763" s="6">
        <v>44.95</v>
      </c>
      <c r="K1763" s="5">
        <v>326</v>
      </c>
      <c r="L1763" s="13" t="str">
        <f t="shared" si="54"/>
        <v>Discount Applied</v>
      </c>
      <c r="M1763" s="13" t="str">
        <f t="shared" si="55"/>
        <v>Silver</v>
      </c>
      <c r="N1763" s="13"/>
    </row>
    <row r="1764" spans="1:14" x14ac:dyDescent="0.3">
      <c r="A1764" s="3">
        <v>4827</v>
      </c>
      <c r="B1764" s="3" t="s">
        <v>30</v>
      </c>
      <c r="C1764" s="4">
        <v>45180</v>
      </c>
      <c r="D1764" s="3" t="s">
        <v>35</v>
      </c>
      <c r="E1764" s="3" t="s">
        <v>46</v>
      </c>
      <c r="F1764" s="5">
        <v>3</v>
      </c>
      <c r="G1764" s="6">
        <v>13.16</v>
      </c>
      <c r="H1764" s="6">
        <v>39.479999999999997</v>
      </c>
      <c r="I1764" s="6">
        <v>5.92</v>
      </c>
      <c r="J1764" s="6">
        <v>33.56</v>
      </c>
      <c r="K1764" s="5">
        <v>428</v>
      </c>
      <c r="L1764" s="13" t="str">
        <f t="shared" si="54"/>
        <v>Discount Applied</v>
      </c>
      <c r="M1764" s="13" t="str">
        <f t="shared" si="55"/>
        <v>Silver</v>
      </c>
      <c r="N1764" s="13"/>
    </row>
    <row r="1765" spans="1:14" x14ac:dyDescent="0.3">
      <c r="A1765" s="3">
        <v>4321</v>
      </c>
      <c r="B1765" s="3" t="s">
        <v>11</v>
      </c>
      <c r="C1765" s="4">
        <v>45631</v>
      </c>
      <c r="D1765" s="3" t="s">
        <v>12</v>
      </c>
      <c r="E1765" s="3" t="s">
        <v>48</v>
      </c>
      <c r="F1765" s="5">
        <v>4</v>
      </c>
      <c r="G1765" s="6">
        <v>8.0299999999999994</v>
      </c>
      <c r="H1765" s="6">
        <v>32.119999999999997</v>
      </c>
      <c r="I1765" s="6">
        <v>2.74</v>
      </c>
      <c r="J1765" s="6">
        <v>29.38</v>
      </c>
      <c r="K1765" s="5">
        <v>253</v>
      </c>
      <c r="L1765" s="13" t="str">
        <f t="shared" si="54"/>
        <v>Discount Applied</v>
      </c>
      <c r="M1765" s="13" t="str">
        <f t="shared" si="55"/>
        <v>Silver</v>
      </c>
      <c r="N1765" s="13"/>
    </row>
    <row r="1766" spans="1:14" x14ac:dyDescent="0.3">
      <c r="A1766" s="3">
        <v>2785</v>
      </c>
      <c r="B1766" s="3" t="s">
        <v>30</v>
      </c>
      <c r="C1766" s="4">
        <v>45157</v>
      </c>
      <c r="D1766" s="3" t="s">
        <v>15</v>
      </c>
      <c r="E1766" s="3" t="s">
        <v>47</v>
      </c>
      <c r="F1766" s="5">
        <v>5</v>
      </c>
      <c r="G1766" s="6">
        <v>18.579999999999998</v>
      </c>
      <c r="H1766" s="6">
        <v>92.9</v>
      </c>
      <c r="I1766" s="6">
        <v>3.08</v>
      </c>
      <c r="J1766" s="6">
        <v>89.82</v>
      </c>
      <c r="K1766" s="5">
        <v>289</v>
      </c>
      <c r="L1766" s="13" t="str">
        <f t="shared" si="54"/>
        <v>Discount Applied</v>
      </c>
      <c r="M1766" s="13" t="str">
        <f t="shared" si="55"/>
        <v>Platinum</v>
      </c>
      <c r="N1766" s="13"/>
    </row>
    <row r="1767" spans="1:14" x14ac:dyDescent="0.3">
      <c r="A1767" s="3">
        <v>2731</v>
      </c>
      <c r="B1767" s="3" t="s">
        <v>24</v>
      </c>
      <c r="C1767" s="4">
        <v>45866</v>
      </c>
      <c r="D1767" s="3" t="s">
        <v>12</v>
      </c>
      <c r="E1767" s="3" t="s">
        <v>48</v>
      </c>
      <c r="F1767" s="5">
        <v>5</v>
      </c>
      <c r="G1767" s="6">
        <v>25.3</v>
      </c>
      <c r="H1767" s="6">
        <v>126.5</v>
      </c>
      <c r="I1767" s="6">
        <v>1.38</v>
      </c>
      <c r="J1767" s="6">
        <v>125.12</v>
      </c>
      <c r="K1767" s="5">
        <v>329</v>
      </c>
      <c r="L1767" s="13" t="str">
        <f t="shared" si="54"/>
        <v>Discount Applied</v>
      </c>
      <c r="M1767" s="13" t="str">
        <f t="shared" si="55"/>
        <v>Platinum</v>
      </c>
      <c r="N1767" s="13"/>
    </row>
    <row r="1768" spans="1:14" x14ac:dyDescent="0.3">
      <c r="A1768" s="3">
        <v>8365</v>
      </c>
      <c r="B1768" s="3" t="s">
        <v>42</v>
      </c>
      <c r="C1768" s="4">
        <v>45487</v>
      </c>
      <c r="D1768" s="3" t="s">
        <v>22</v>
      </c>
      <c r="E1768" s="3" t="s">
        <v>16</v>
      </c>
      <c r="F1768" s="5">
        <v>4</v>
      </c>
      <c r="G1768" s="6">
        <v>21.82</v>
      </c>
      <c r="H1768" s="6">
        <v>87.28</v>
      </c>
      <c r="I1768" s="6">
        <v>0</v>
      </c>
      <c r="J1768" s="6">
        <v>87.28</v>
      </c>
      <c r="K1768" s="5">
        <v>20</v>
      </c>
      <c r="L1768" s="13" t="str">
        <f t="shared" si="54"/>
        <v>No Discount</v>
      </c>
      <c r="M1768" s="13" t="str">
        <f t="shared" si="55"/>
        <v>Platinum</v>
      </c>
      <c r="N1768" s="13"/>
    </row>
    <row r="1769" spans="1:14" x14ac:dyDescent="0.3">
      <c r="A1769" s="3">
        <v>6145</v>
      </c>
      <c r="B1769" s="3" t="s">
        <v>26</v>
      </c>
      <c r="C1769" s="4">
        <v>45145</v>
      </c>
      <c r="D1769" s="3" t="s">
        <v>45</v>
      </c>
      <c r="E1769" s="3" t="s">
        <v>46</v>
      </c>
      <c r="F1769" s="5">
        <v>1</v>
      </c>
      <c r="G1769" s="6">
        <v>28.26</v>
      </c>
      <c r="H1769" s="6">
        <v>28.26</v>
      </c>
      <c r="I1769" s="6">
        <v>0</v>
      </c>
      <c r="J1769" s="6">
        <v>28.26</v>
      </c>
      <c r="K1769" s="5">
        <v>416</v>
      </c>
      <c r="L1769" s="13" t="str">
        <f t="shared" si="54"/>
        <v>No Discount</v>
      </c>
      <c r="M1769" s="13" t="str">
        <f t="shared" si="55"/>
        <v>Silver</v>
      </c>
      <c r="N1769" s="13"/>
    </row>
    <row r="1770" spans="1:14" x14ac:dyDescent="0.3">
      <c r="A1770" s="3">
        <v>2978</v>
      </c>
      <c r="B1770" s="3" t="s">
        <v>31</v>
      </c>
      <c r="C1770" s="4">
        <v>45302</v>
      </c>
      <c r="D1770" s="3" t="s">
        <v>17</v>
      </c>
      <c r="E1770" s="3" t="s">
        <v>29</v>
      </c>
      <c r="F1770" s="5">
        <v>1</v>
      </c>
      <c r="G1770" s="6">
        <v>19.28</v>
      </c>
      <c r="H1770" s="6">
        <v>19.28</v>
      </c>
      <c r="I1770" s="6">
        <v>2.89</v>
      </c>
      <c r="J1770" s="6">
        <v>16.39</v>
      </c>
      <c r="K1770" s="5">
        <v>168</v>
      </c>
      <c r="L1770" s="13" t="str">
        <f t="shared" si="54"/>
        <v>Discount Applied</v>
      </c>
      <c r="M1770" s="13" t="str">
        <f t="shared" si="55"/>
        <v>Bronze</v>
      </c>
      <c r="N1770" s="13"/>
    </row>
    <row r="1771" spans="1:14" x14ac:dyDescent="0.3">
      <c r="A1771" s="3">
        <v>6870</v>
      </c>
      <c r="B1771" s="3" t="s">
        <v>24</v>
      </c>
      <c r="C1771" s="4">
        <v>45830</v>
      </c>
      <c r="D1771" s="3" t="s">
        <v>12</v>
      </c>
      <c r="E1771" s="3" t="s">
        <v>33</v>
      </c>
      <c r="F1771" s="5">
        <v>3</v>
      </c>
      <c r="G1771" s="6">
        <v>11.39</v>
      </c>
      <c r="H1771" s="6">
        <v>34.17</v>
      </c>
      <c r="I1771" s="6">
        <v>5.13</v>
      </c>
      <c r="J1771" s="6">
        <v>29.04</v>
      </c>
      <c r="K1771" s="5">
        <v>349</v>
      </c>
      <c r="L1771" s="13" t="str">
        <f t="shared" si="54"/>
        <v>Discount Applied</v>
      </c>
      <c r="M1771" s="13" t="str">
        <f t="shared" si="55"/>
        <v>Silver</v>
      </c>
      <c r="N1771" s="13"/>
    </row>
    <row r="1772" spans="1:14" x14ac:dyDescent="0.3">
      <c r="A1772" s="3">
        <v>4401</v>
      </c>
      <c r="B1772" s="3" t="s">
        <v>42</v>
      </c>
      <c r="C1772" s="4">
        <v>45268</v>
      </c>
      <c r="D1772" s="3" t="s">
        <v>35</v>
      </c>
      <c r="E1772" s="3" t="s">
        <v>33</v>
      </c>
      <c r="F1772" s="5">
        <v>1</v>
      </c>
      <c r="G1772" s="6">
        <v>10.4</v>
      </c>
      <c r="H1772" s="6">
        <v>10.4</v>
      </c>
      <c r="I1772" s="6">
        <v>2.08</v>
      </c>
      <c r="J1772" s="6">
        <v>8.32</v>
      </c>
      <c r="K1772" s="5">
        <v>357</v>
      </c>
      <c r="L1772" s="13" t="str">
        <f t="shared" si="54"/>
        <v>Discount Applied</v>
      </c>
      <c r="M1772" s="13" t="str">
        <f t="shared" si="55"/>
        <v>Bronze</v>
      </c>
      <c r="N1772" s="13"/>
    </row>
    <row r="1773" spans="1:14" x14ac:dyDescent="0.3">
      <c r="A1773" s="3">
        <v>6051</v>
      </c>
      <c r="B1773" s="3" t="s">
        <v>42</v>
      </c>
      <c r="C1773" s="4">
        <v>45217</v>
      </c>
      <c r="D1773" s="3" t="s">
        <v>38</v>
      </c>
      <c r="E1773" s="3" t="s">
        <v>18</v>
      </c>
      <c r="F1773" s="5">
        <v>3</v>
      </c>
      <c r="G1773" s="6">
        <v>22.47</v>
      </c>
      <c r="H1773" s="6">
        <v>67.41</v>
      </c>
      <c r="I1773" s="6">
        <v>13.48</v>
      </c>
      <c r="J1773" s="6">
        <v>53.93</v>
      </c>
      <c r="K1773" s="5">
        <v>385</v>
      </c>
      <c r="L1773" s="13" t="str">
        <f t="shared" si="54"/>
        <v>Discount Applied</v>
      </c>
      <c r="M1773" s="13" t="str">
        <f t="shared" si="55"/>
        <v>Gold</v>
      </c>
      <c r="N1773" s="13"/>
    </row>
    <row r="1774" spans="1:14" x14ac:dyDescent="0.3">
      <c r="A1774" s="3">
        <v>5341</v>
      </c>
      <c r="B1774" s="3" t="s">
        <v>26</v>
      </c>
      <c r="C1774" s="4">
        <v>45339</v>
      </c>
      <c r="D1774" s="3" t="s">
        <v>15</v>
      </c>
      <c r="E1774" s="3" t="s">
        <v>21</v>
      </c>
      <c r="F1774" s="5">
        <v>3</v>
      </c>
      <c r="G1774" s="6">
        <v>18.87</v>
      </c>
      <c r="H1774" s="6">
        <v>56.61</v>
      </c>
      <c r="I1774" s="6">
        <v>8.49</v>
      </c>
      <c r="J1774" s="6">
        <v>48.12</v>
      </c>
      <c r="K1774" s="5">
        <v>378</v>
      </c>
      <c r="L1774" s="13" t="str">
        <f t="shared" si="54"/>
        <v>Discount Applied</v>
      </c>
      <c r="M1774" s="13" t="str">
        <f t="shared" si="55"/>
        <v>Silver</v>
      </c>
      <c r="N1774" s="13"/>
    </row>
    <row r="1775" spans="1:14" x14ac:dyDescent="0.3">
      <c r="A1775" s="3">
        <v>3582</v>
      </c>
      <c r="B1775" s="3" t="s">
        <v>30</v>
      </c>
      <c r="C1775" s="4">
        <v>45433</v>
      </c>
      <c r="D1775" s="3" t="s">
        <v>15</v>
      </c>
      <c r="E1775" s="3" t="s">
        <v>43</v>
      </c>
      <c r="F1775" s="5">
        <v>4</v>
      </c>
      <c r="G1775" s="6">
        <v>10.06</v>
      </c>
      <c r="H1775" s="6">
        <v>40.24</v>
      </c>
      <c r="I1775" s="6">
        <v>4.0199999999999996</v>
      </c>
      <c r="J1775" s="6">
        <v>36.22</v>
      </c>
      <c r="K1775" s="5">
        <v>254</v>
      </c>
      <c r="L1775" s="13" t="str">
        <f t="shared" si="54"/>
        <v>Discount Applied</v>
      </c>
      <c r="M1775" s="13" t="str">
        <f t="shared" si="55"/>
        <v>Silver</v>
      </c>
      <c r="N1775" s="13"/>
    </row>
    <row r="1776" spans="1:14" x14ac:dyDescent="0.3">
      <c r="A1776" s="3">
        <v>5984</v>
      </c>
      <c r="B1776" s="3" t="s">
        <v>42</v>
      </c>
      <c r="C1776" s="4">
        <v>45185</v>
      </c>
      <c r="D1776" s="3" t="s">
        <v>35</v>
      </c>
      <c r="E1776" s="3" t="s">
        <v>47</v>
      </c>
      <c r="F1776" s="5">
        <v>3</v>
      </c>
      <c r="G1776" s="6">
        <v>10.76</v>
      </c>
      <c r="H1776" s="6">
        <v>32.28</v>
      </c>
      <c r="I1776" s="6">
        <v>6.46</v>
      </c>
      <c r="J1776" s="6">
        <v>25.82</v>
      </c>
      <c r="K1776" s="5">
        <v>224</v>
      </c>
      <c r="L1776" s="13" t="str">
        <f t="shared" si="54"/>
        <v>Discount Applied</v>
      </c>
      <c r="M1776" s="13" t="str">
        <f t="shared" si="55"/>
        <v>Silver</v>
      </c>
      <c r="N1776" s="13"/>
    </row>
    <row r="1777" spans="1:14" x14ac:dyDescent="0.3">
      <c r="A1777" s="3">
        <v>1660</v>
      </c>
      <c r="B1777" s="3" t="s">
        <v>19</v>
      </c>
      <c r="C1777" s="4">
        <v>45630</v>
      </c>
      <c r="D1777" s="3" t="s">
        <v>22</v>
      </c>
      <c r="E1777" s="3" t="s">
        <v>39</v>
      </c>
      <c r="F1777" s="5">
        <v>1</v>
      </c>
      <c r="G1777" s="6">
        <v>6.49</v>
      </c>
      <c r="H1777" s="6">
        <v>6.49</v>
      </c>
      <c r="I1777" s="6">
        <v>3.15</v>
      </c>
      <c r="J1777" s="6">
        <v>3.34</v>
      </c>
      <c r="K1777" s="5">
        <v>158</v>
      </c>
      <c r="L1777" s="13" t="str">
        <f t="shared" si="54"/>
        <v>Discount Applied</v>
      </c>
      <c r="M1777" s="13" t="str">
        <f t="shared" si="55"/>
        <v>Bronze</v>
      </c>
      <c r="N1777" s="13"/>
    </row>
    <row r="1778" spans="1:14" x14ac:dyDescent="0.3">
      <c r="A1778" s="3">
        <v>6370</v>
      </c>
      <c r="B1778" s="3" t="s">
        <v>24</v>
      </c>
      <c r="C1778" s="4">
        <v>45708</v>
      </c>
      <c r="D1778" s="3" t="s">
        <v>28</v>
      </c>
      <c r="E1778" s="3" t="s">
        <v>43</v>
      </c>
      <c r="F1778" s="5">
        <v>2</v>
      </c>
      <c r="G1778" s="6">
        <v>3.7</v>
      </c>
      <c r="H1778" s="6">
        <v>7.4</v>
      </c>
      <c r="I1778" s="6">
        <v>1.1100000000000001</v>
      </c>
      <c r="J1778" s="6">
        <v>6.29</v>
      </c>
      <c r="K1778" s="5">
        <v>364</v>
      </c>
      <c r="L1778" s="13" t="str">
        <f t="shared" si="54"/>
        <v>Discount Applied</v>
      </c>
      <c r="M1778" s="13" t="str">
        <f t="shared" si="55"/>
        <v>Bronze</v>
      </c>
      <c r="N1778" s="13"/>
    </row>
    <row r="1779" spans="1:14" x14ac:dyDescent="0.3">
      <c r="A1779" s="3">
        <v>7492</v>
      </c>
      <c r="B1779" s="3" t="s">
        <v>19</v>
      </c>
      <c r="C1779" s="4">
        <v>45478</v>
      </c>
      <c r="D1779" s="3" t="s">
        <v>22</v>
      </c>
      <c r="E1779" s="3" t="s">
        <v>18</v>
      </c>
      <c r="F1779" s="5">
        <v>3</v>
      </c>
      <c r="G1779" s="6">
        <v>12.5</v>
      </c>
      <c r="H1779" s="6">
        <v>37.5</v>
      </c>
      <c r="I1779" s="6">
        <v>4.38</v>
      </c>
      <c r="J1779" s="6">
        <v>33.119999999999997</v>
      </c>
      <c r="K1779" s="5">
        <v>471</v>
      </c>
      <c r="L1779" s="13" t="str">
        <f t="shared" si="54"/>
        <v>Discount Applied</v>
      </c>
      <c r="M1779" s="13" t="str">
        <f t="shared" si="55"/>
        <v>Silver</v>
      </c>
      <c r="N1779" s="13"/>
    </row>
    <row r="1780" spans="1:14" x14ac:dyDescent="0.3">
      <c r="A1780" s="3">
        <v>1802</v>
      </c>
      <c r="B1780" s="3" t="s">
        <v>30</v>
      </c>
      <c r="C1780" s="4">
        <v>45691</v>
      </c>
      <c r="D1780" s="3" t="s">
        <v>28</v>
      </c>
      <c r="E1780" s="3" t="s">
        <v>43</v>
      </c>
      <c r="F1780" s="5">
        <v>3</v>
      </c>
      <c r="G1780" s="6">
        <v>29.97</v>
      </c>
      <c r="H1780" s="6">
        <v>89.91</v>
      </c>
      <c r="I1780" s="6">
        <v>17.98</v>
      </c>
      <c r="J1780" s="6">
        <v>71.930000000000007</v>
      </c>
      <c r="K1780" s="5">
        <v>226</v>
      </c>
      <c r="L1780" s="13" t="str">
        <f t="shared" si="54"/>
        <v>Discount Applied</v>
      </c>
      <c r="M1780" s="13" t="str">
        <f t="shared" si="55"/>
        <v>Platinum</v>
      </c>
      <c r="N1780" s="13"/>
    </row>
    <row r="1781" spans="1:14" x14ac:dyDescent="0.3">
      <c r="A1781" s="3">
        <v>5896</v>
      </c>
      <c r="B1781" s="3" t="s">
        <v>14</v>
      </c>
      <c r="C1781" s="4">
        <v>45145</v>
      </c>
      <c r="D1781" s="3" t="s">
        <v>34</v>
      </c>
      <c r="E1781" s="3" t="s">
        <v>13</v>
      </c>
      <c r="F1781" s="5">
        <v>1</v>
      </c>
      <c r="G1781" s="6">
        <v>15.33</v>
      </c>
      <c r="H1781" s="6">
        <v>15.33</v>
      </c>
      <c r="I1781" s="6">
        <v>3.07</v>
      </c>
      <c r="J1781" s="6">
        <v>12.26</v>
      </c>
      <c r="K1781" s="5">
        <v>426</v>
      </c>
      <c r="L1781" s="13" t="str">
        <f t="shared" si="54"/>
        <v>Discount Applied</v>
      </c>
      <c r="M1781" s="13" t="str">
        <f t="shared" si="55"/>
        <v>Bronze</v>
      </c>
      <c r="N1781" s="13"/>
    </row>
    <row r="1782" spans="1:14" x14ac:dyDescent="0.3">
      <c r="A1782" s="3">
        <v>3848</v>
      </c>
      <c r="B1782" s="3" t="s">
        <v>42</v>
      </c>
      <c r="C1782" s="4">
        <v>45515</v>
      </c>
      <c r="D1782" s="3" t="s">
        <v>45</v>
      </c>
      <c r="E1782" s="3" t="s">
        <v>44</v>
      </c>
      <c r="F1782" s="5">
        <v>2</v>
      </c>
      <c r="G1782" s="6">
        <v>1.35</v>
      </c>
      <c r="H1782" s="6">
        <v>2.7</v>
      </c>
      <c r="I1782" s="6">
        <v>2.93</v>
      </c>
      <c r="J1782" s="6">
        <v>-0.23</v>
      </c>
      <c r="K1782" s="5">
        <v>124</v>
      </c>
      <c r="L1782" s="13" t="str">
        <f t="shared" si="54"/>
        <v>Discount Applied</v>
      </c>
      <c r="M1782" s="13" t="str">
        <f t="shared" si="55"/>
        <v>Bronze</v>
      </c>
      <c r="N1782" s="13"/>
    </row>
    <row r="1783" spans="1:14" x14ac:dyDescent="0.3">
      <c r="A1783" s="3">
        <v>8408</v>
      </c>
      <c r="B1783" s="3" t="s">
        <v>26</v>
      </c>
      <c r="C1783" s="4">
        <v>45248</v>
      </c>
      <c r="D1783" s="3" t="s">
        <v>20</v>
      </c>
      <c r="E1783" s="3" t="s">
        <v>18</v>
      </c>
      <c r="F1783" s="5">
        <v>5</v>
      </c>
      <c r="G1783" s="6">
        <v>29.94</v>
      </c>
      <c r="H1783" s="6">
        <v>149.69999999999999</v>
      </c>
      <c r="I1783" s="6">
        <v>29.94</v>
      </c>
      <c r="J1783" s="6">
        <v>119.76</v>
      </c>
      <c r="K1783" s="5">
        <v>98</v>
      </c>
      <c r="L1783" s="13" t="str">
        <f t="shared" si="54"/>
        <v>Discount Applied</v>
      </c>
      <c r="M1783" s="13" t="str">
        <f t="shared" si="55"/>
        <v>Platinum</v>
      </c>
      <c r="N1783" s="13"/>
    </row>
    <row r="1784" spans="1:14" x14ac:dyDescent="0.3">
      <c r="A1784" s="3">
        <v>5093</v>
      </c>
      <c r="B1784" s="3" t="s">
        <v>14</v>
      </c>
      <c r="C1784" s="4">
        <v>45548</v>
      </c>
      <c r="D1784" s="3" t="s">
        <v>28</v>
      </c>
      <c r="E1784" s="3" t="s">
        <v>32</v>
      </c>
      <c r="F1784" s="5">
        <v>5</v>
      </c>
      <c r="G1784" s="6">
        <v>26.76</v>
      </c>
      <c r="H1784" s="6">
        <v>133.80000000000001</v>
      </c>
      <c r="I1784" s="6">
        <v>0</v>
      </c>
      <c r="J1784" s="6">
        <v>133.80000000000001</v>
      </c>
      <c r="K1784" s="5">
        <v>198</v>
      </c>
      <c r="L1784" s="13" t="str">
        <f t="shared" si="54"/>
        <v>No Discount</v>
      </c>
      <c r="M1784" s="13" t="str">
        <f t="shared" si="55"/>
        <v>Platinum</v>
      </c>
      <c r="N1784" s="13"/>
    </row>
    <row r="1785" spans="1:14" x14ac:dyDescent="0.3">
      <c r="A1785" s="3">
        <v>8570</v>
      </c>
      <c r="B1785" s="3" t="s">
        <v>36</v>
      </c>
      <c r="C1785" s="4">
        <v>45152</v>
      </c>
      <c r="D1785" s="3" t="s">
        <v>35</v>
      </c>
      <c r="E1785" s="3" t="s">
        <v>16</v>
      </c>
      <c r="F1785" s="5">
        <v>3</v>
      </c>
      <c r="G1785" s="6">
        <v>11.56</v>
      </c>
      <c r="H1785" s="6">
        <v>34.68</v>
      </c>
      <c r="I1785" s="6">
        <v>5.2</v>
      </c>
      <c r="J1785" s="6">
        <v>29.48</v>
      </c>
      <c r="K1785" s="5">
        <v>473</v>
      </c>
      <c r="L1785" s="13" t="str">
        <f t="shared" si="54"/>
        <v>Discount Applied</v>
      </c>
      <c r="M1785" s="13" t="str">
        <f t="shared" si="55"/>
        <v>Silver</v>
      </c>
      <c r="N1785" s="13"/>
    </row>
    <row r="1786" spans="1:14" x14ac:dyDescent="0.3">
      <c r="A1786" s="3">
        <v>1195</v>
      </c>
      <c r="B1786" s="3" t="s">
        <v>14</v>
      </c>
      <c r="C1786" s="4">
        <v>45685</v>
      </c>
      <c r="D1786" s="3" t="s">
        <v>22</v>
      </c>
      <c r="E1786" s="3" t="s">
        <v>43</v>
      </c>
      <c r="F1786" s="5">
        <v>2</v>
      </c>
      <c r="G1786" s="6">
        <v>10.32</v>
      </c>
      <c r="H1786" s="6">
        <v>20.64</v>
      </c>
      <c r="I1786" s="6">
        <v>3.32</v>
      </c>
      <c r="J1786" s="6">
        <v>17.32</v>
      </c>
      <c r="K1786" s="5">
        <v>423</v>
      </c>
      <c r="L1786" s="13" t="str">
        <f t="shared" si="54"/>
        <v>Discount Applied</v>
      </c>
      <c r="M1786" s="13" t="str">
        <f t="shared" si="55"/>
        <v>Bronze</v>
      </c>
      <c r="N1786" s="13"/>
    </row>
    <row r="1787" spans="1:14" x14ac:dyDescent="0.3">
      <c r="A1787" s="3">
        <v>4641</v>
      </c>
      <c r="B1787" s="3" t="s">
        <v>11</v>
      </c>
      <c r="C1787" s="4">
        <v>45779</v>
      </c>
      <c r="D1787" s="3" t="s">
        <v>38</v>
      </c>
      <c r="E1787" s="3" t="s">
        <v>47</v>
      </c>
      <c r="F1787" s="5">
        <v>5</v>
      </c>
      <c r="G1787" s="6">
        <v>10.08</v>
      </c>
      <c r="H1787" s="6">
        <v>50.4</v>
      </c>
      <c r="I1787" s="6">
        <v>0</v>
      </c>
      <c r="J1787" s="6">
        <v>50.4</v>
      </c>
      <c r="K1787" s="5">
        <v>413</v>
      </c>
      <c r="L1787" s="13" t="str">
        <f t="shared" si="54"/>
        <v>No Discount</v>
      </c>
      <c r="M1787" s="13" t="str">
        <f t="shared" si="55"/>
        <v>Gold</v>
      </c>
      <c r="N1787" s="13"/>
    </row>
    <row r="1788" spans="1:14" x14ac:dyDescent="0.3">
      <c r="A1788" s="3">
        <v>4246</v>
      </c>
      <c r="B1788" s="3" t="s">
        <v>36</v>
      </c>
      <c r="C1788" s="4">
        <v>45813</v>
      </c>
      <c r="D1788" s="3" t="s">
        <v>27</v>
      </c>
      <c r="E1788" s="3" t="s">
        <v>18</v>
      </c>
      <c r="F1788" s="5">
        <v>2</v>
      </c>
      <c r="G1788" s="6">
        <v>14.48</v>
      </c>
      <c r="H1788" s="6">
        <v>28.96</v>
      </c>
      <c r="I1788" s="6">
        <v>2.9</v>
      </c>
      <c r="J1788" s="6">
        <v>26.06</v>
      </c>
      <c r="K1788" s="5">
        <v>294</v>
      </c>
      <c r="L1788" s="13" t="str">
        <f t="shared" si="54"/>
        <v>Discount Applied</v>
      </c>
      <c r="M1788" s="13" t="str">
        <f t="shared" si="55"/>
        <v>Silver</v>
      </c>
      <c r="N1788" s="13"/>
    </row>
    <row r="1789" spans="1:14" x14ac:dyDescent="0.3">
      <c r="A1789" s="3">
        <v>7563</v>
      </c>
      <c r="B1789" s="3" t="s">
        <v>26</v>
      </c>
      <c r="C1789" s="4">
        <v>45684</v>
      </c>
      <c r="D1789" s="3" t="s">
        <v>45</v>
      </c>
      <c r="E1789" s="3" t="s">
        <v>16</v>
      </c>
      <c r="F1789" s="5">
        <v>1</v>
      </c>
      <c r="G1789" s="6">
        <v>28.63</v>
      </c>
      <c r="H1789" s="6">
        <v>28.63</v>
      </c>
      <c r="I1789" s="6">
        <v>2.79</v>
      </c>
      <c r="J1789" s="6">
        <v>25.84</v>
      </c>
      <c r="K1789" s="5">
        <v>87</v>
      </c>
      <c r="L1789" s="13" t="str">
        <f t="shared" si="54"/>
        <v>Discount Applied</v>
      </c>
      <c r="M1789" s="13" t="str">
        <f t="shared" si="55"/>
        <v>Silver</v>
      </c>
      <c r="N1789" s="13"/>
    </row>
    <row r="1790" spans="1:14" x14ac:dyDescent="0.3">
      <c r="A1790" s="3">
        <v>2376</v>
      </c>
      <c r="B1790" s="3" t="s">
        <v>31</v>
      </c>
      <c r="C1790" s="4">
        <v>45516</v>
      </c>
      <c r="D1790" s="3" t="s">
        <v>22</v>
      </c>
      <c r="E1790" s="3" t="s">
        <v>47</v>
      </c>
      <c r="F1790" s="5">
        <v>2</v>
      </c>
      <c r="G1790" s="6">
        <v>2.84</v>
      </c>
      <c r="H1790" s="6">
        <v>5.68</v>
      </c>
      <c r="I1790" s="6">
        <v>0</v>
      </c>
      <c r="J1790" s="6">
        <v>5.68</v>
      </c>
      <c r="K1790" s="5">
        <v>181</v>
      </c>
      <c r="L1790" s="13" t="str">
        <f t="shared" si="54"/>
        <v>No Discount</v>
      </c>
      <c r="M1790" s="13" t="str">
        <f t="shared" si="55"/>
        <v>Bronze</v>
      </c>
      <c r="N1790" s="13"/>
    </row>
    <row r="1791" spans="1:14" x14ac:dyDescent="0.3">
      <c r="A1791" s="3">
        <v>5240</v>
      </c>
      <c r="B1791" s="3" t="s">
        <v>30</v>
      </c>
      <c r="C1791" s="4">
        <v>45322</v>
      </c>
      <c r="D1791" s="3" t="s">
        <v>28</v>
      </c>
      <c r="E1791" s="3" t="s">
        <v>13</v>
      </c>
      <c r="F1791" s="5">
        <v>1</v>
      </c>
      <c r="G1791" s="6">
        <v>21.68</v>
      </c>
      <c r="H1791" s="6">
        <v>21.68</v>
      </c>
      <c r="I1791" s="6">
        <v>0</v>
      </c>
      <c r="J1791" s="6">
        <v>21.68</v>
      </c>
      <c r="K1791" s="5">
        <v>251</v>
      </c>
      <c r="L1791" s="13" t="str">
        <f t="shared" si="54"/>
        <v>No Discount</v>
      </c>
      <c r="M1791" s="13" t="str">
        <f t="shared" si="55"/>
        <v>Silver</v>
      </c>
      <c r="N1791" s="13"/>
    </row>
    <row r="1792" spans="1:14" x14ac:dyDescent="0.3">
      <c r="A1792" s="3">
        <v>2228</v>
      </c>
      <c r="B1792" s="3" t="s">
        <v>19</v>
      </c>
      <c r="C1792" s="4">
        <v>45214</v>
      </c>
      <c r="D1792" s="3" t="s">
        <v>20</v>
      </c>
      <c r="E1792" s="3" t="s">
        <v>44</v>
      </c>
      <c r="F1792" s="5">
        <v>4</v>
      </c>
      <c r="G1792" s="6">
        <v>9.9700000000000006</v>
      </c>
      <c r="H1792" s="6">
        <v>39.880000000000003</v>
      </c>
      <c r="I1792" s="6">
        <v>5.98</v>
      </c>
      <c r="J1792" s="6">
        <v>33.9</v>
      </c>
      <c r="K1792" s="5">
        <v>356</v>
      </c>
      <c r="L1792" s="13" t="str">
        <f t="shared" si="54"/>
        <v>Discount Applied</v>
      </c>
      <c r="M1792" s="13" t="str">
        <f t="shared" si="55"/>
        <v>Silver</v>
      </c>
      <c r="N1792" s="13"/>
    </row>
    <row r="1793" spans="1:14" x14ac:dyDescent="0.3">
      <c r="A1793" s="3">
        <v>2056</v>
      </c>
      <c r="B1793" s="3" t="s">
        <v>42</v>
      </c>
      <c r="C1793" s="4">
        <v>45225</v>
      </c>
      <c r="D1793" s="3" t="s">
        <v>28</v>
      </c>
      <c r="E1793" s="3" t="s">
        <v>46</v>
      </c>
      <c r="F1793" s="5">
        <v>4</v>
      </c>
      <c r="G1793" s="6">
        <v>5.17</v>
      </c>
      <c r="H1793" s="6">
        <v>20.68</v>
      </c>
      <c r="I1793" s="6">
        <v>4.88</v>
      </c>
      <c r="J1793" s="6">
        <v>15.8</v>
      </c>
      <c r="K1793" s="5">
        <v>276</v>
      </c>
      <c r="L1793" s="13" t="str">
        <f t="shared" si="54"/>
        <v>Discount Applied</v>
      </c>
      <c r="M1793" s="13" t="str">
        <f t="shared" si="55"/>
        <v>Bronze</v>
      </c>
      <c r="N1793" s="13"/>
    </row>
    <row r="1794" spans="1:14" x14ac:dyDescent="0.3">
      <c r="A1794" s="3">
        <v>8265</v>
      </c>
      <c r="B1794" s="3" t="s">
        <v>31</v>
      </c>
      <c r="C1794" s="4">
        <v>45430</v>
      </c>
      <c r="D1794" s="3" t="s">
        <v>22</v>
      </c>
      <c r="E1794" s="3" t="s">
        <v>48</v>
      </c>
      <c r="F1794" s="5">
        <v>1</v>
      </c>
      <c r="G1794" s="6">
        <v>18.79</v>
      </c>
      <c r="H1794" s="6">
        <v>18.79</v>
      </c>
      <c r="I1794" s="6">
        <v>0</v>
      </c>
      <c r="J1794" s="6">
        <v>18.79</v>
      </c>
      <c r="K1794" s="5">
        <v>271</v>
      </c>
      <c r="L1794" s="13" t="str">
        <f t="shared" si="54"/>
        <v>No Discount</v>
      </c>
      <c r="M1794" s="13" t="str">
        <f t="shared" si="55"/>
        <v>Bronze</v>
      </c>
      <c r="N1794" s="13"/>
    </row>
    <row r="1795" spans="1:14" x14ac:dyDescent="0.3">
      <c r="A1795" s="3">
        <v>3110</v>
      </c>
      <c r="B1795" s="3" t="s">
        <v>19</v>
      </c>
      <c r="C1795" s="4">
        <v>45251</v>
      </c>
      <c r="D1795" s="3" t="s">
        <v>17</v>
      </c>
      <c r="E1795" s="3" t="s">
        <v>25</v>
      </c>
      <c r="F1795" s="5">
        <v>5</v>
      </c>
      <c r="G1795" s="6">
        <v>23.43</v>
      </c>
      <c r="H1795" s="6">
        <v>117.15</v>
      </c>
      <c r="I1795" s="6">
        <v>3.6</v>
      </c>
      <c r="J1795" s="6">
        <v>113.55</v>
      </c>
      <c r="K1795" s="5">
        <v>91</v>
      </c>
      <c r="L1795" s="13" t="str">
        <f t="shared" ref="L1795:L1858" si="56">IF(I1795&gt;0,"Discount Applied","No Discount")</f>
        <v>Discount Applied</v>
      </c>
      <c r="M1795" s="13" t="str">
        <f t="shared" ref="M1795:M1858" si="57">IF(J1795 &gt;= 70, "Platinum",
   IF(J1795 &gt;= 50, "Gold",
      IF(J1795 &gt;= 20, "Silver", "Bronze")))</f>
        <v>Platinum</v>
      </c>
      <c r="N1795" s="13"/>
    </row>
    <row r="1796" spans="1:14" x14ac:dyDescent="0.3">
      <c r="A1796" s="3">
        <v>1699</v>
      </c>
      <c r="B1796" s="3" t="s">
        <v>26</v>
      </c>
      <c r="C1796" s="4">
        <v>45745</v>
      </c>
      <c r="D1796" s="3" t="s">
        <v>15</v>
      </c>
      <c r="E1796" s="3" t="s">
        <v>21</v>
      </c>
      <c r="F1796" s="5">
        <v>1</v>
      </c>
      <c r="G1796" s="6">
        <v>3.72</v>
      </c>
      <c r="H1796" s="6">
        <v>3.72</v>
      </c>
      <c r="I1796" s="6">
        <v>0.37</v>
      </c>
      <c r="J1796" s="6">
        <v>3.35</v>
      </c>
      <c r="K1796" s="5">
        <v>206</v>
      </c>
      <c r="L1796" s="13" t="str">
        <f t="shared" si="56"/>
        <v>Discount Applied</v>
      </c>
      <c r="M1796" s="13" t="str">
        <f t="shared" si="57"/>
        <v>Bronze</v>
      </c>
      <c r="N1796" s="13"/>
    </row>
    <row r="1797" spans="1:14" x14ac:dyDescent="0.3">
      <c r="A1797" s="3">
        <v>8096</v>
      </c>
      <c r="B1797" s="3" t="s">
        <v>24</v>
      </c>
      <c r="C1797" s="4">
        <v>45643</v>
      </c>
      <c r="D1797" s="3" t="s">
        <v>45</v>
      </c>
      <c r="E1797" s="3" t="s">
        <v>41</v>
      </c>
      <c r="F1797" s="5">
        <v>3</v>
      </c>
      <c r="G1797" s="6">
        <v>6.3</v>
      </c>
      <c r="H1797" s="6">
        <v>18.899999999999999</v>
      </c>
      <c r="I1797" s="6">
        <v>3.78</v>
      </c>
      <c r="J1797" s="6">
        <v>15.12</v>
      </c>
      <c r="K1797" s="5">
        <v>159</v>
      </c>
      <c r="L1797" s="13" t="str">
        <f t="shared" si="56"/>
        <v>Discount Applied</v>
      </c>
      <c r="M1797" s="13" t="str">
        <f t="shared" si="57"/>
        <v>Bronze</v>
      </c>
      <c r="N1797" s="13"/>
    </row>
    <row r="1798" spans="1:14" x14ac:dyDescent="0.3">
      <c r="A1798" s="3">
        <v>7471</v>
      </c>
      <c r="B1798" s="3" t="s">
        <v>24</v>
      </c>
      <c r="C1798" s="4">
        <v>45198</v>
      </c>
      <c r="D1798" s="3" t="s">
        <v>35</v>
      </c>
      <c r="E1798" s="3" t="s">
        <v>47</v>
      </c>
      <c r="F1798" s="5">
        <v>1</v>
      </c>
      <c r="G1798" s="6">
        <v>6.34</v>
      </c>
      <c r="H1798" s="6">
        <v>6.34</v>
      </c>
      <c r="I1798" s="6">
        <v>1.27</v>
      </c>
      <c r="J1798" s="6">
        <v>5.07</v>
      </c>
      <c r="K1798" s="5">
        <v>205</v>
      </c>
      <c r="L1798" s="13" t="str">
        <f t="shared" si="56"/>
        <v>Discount Applied</v>
      </c>
      <c r="M1798" s="13" t="str">
        <f t="shared" si="57"/>
        <v>Bronze</v>
      </c>
      <c r="N1798" s="13"/>
    </row>
    <row r="1799" spans="1:14" x14ac:dyDescent="0.3">
      <c r="A1799" s="3">
        <v>1483</v>
      </c>
      <c r="B1799" s="3" t="s">
        <v>36</v>
      </c>
      <c r="C1799" s="4">
        <v>45582</v>
      </c>
      <c r="D1799" s="3" t="s">
        <v>27</v>
      </c>
      <c r="E1799" s="3" t="s">
        <v>43</v>
      </c>
      <c r="F1799" s="5">
        <v>3</v>
      </c>
      <c r="G1799" s="6">
        <v>14.09</v>
      </c>
      <c r="H1799" s="6">
        <v>42.27</v>
      </c>
      <c r="I1799" s="6">
        <v>4.5199999999999996</v>
      </c>
      <c r="J1799" s="6">
        <v>37.75</v>
      </c>
      <c r="K1799" s="5">
        <v>48</v>
      </c>
      <c r="L1799" s="13" t="str">
        <f t="shared" si="56"/>
        <v>Discount Applied</v>
      </c>
      <c r="M1799" s="13" t="str">
        <f t="shared" si="57"/>
        <v>Silver</v>
      </c>
      <c r="N1799" s="13"/>
    </row>
    <row r="1800" spans="1:14" x14ac:dyDescent="0.3">
      <c r="B1800" s="3" t="s">
        <v>31</v>
      </c>
      <c r="C1800" s="4">
        <v>45619</v>
      </c>
      <c r="D1800" s="3" t="s">
        <v>38</v>
      </c>
      <c r="E1800" s="3" t="s">
        <v>40</v>
      </c>
      <c r="F1800" s="5">
        <v>3</v>
      </c>
      <c r="G1800" s="6">
        <v>3.76</v>
      </c>
      <c r="H1800" s="6">
        <v>11.28</v>
      </c>
      <c r="I1800" s="6">
        <v>2.31</v>
      </c>
      <c r="J1800" s="6">
        <v>8.9700000000000006</v>
      </c>
      <c r="K1800" s="5">
        <v>0</v>
      </c>
      <c r="L1800" s="13" t="str">
        <f t="shared" si="56"/>
        <v>Discount Applied</v>
      </c>
      <c r="M1800" s="13" t="str">
        <f t="shared" si="57"/>
        <v>Bronze</v>
      </c>
      <c r="N1800" s="13"/>
    </row>
    <row r="1801" spans="1:14" x14ac:dyDescent="0.3">
      <c r="B1801" s="3" t="s">
        <v>30</v>
      </c>
      <c r="C1801" s="4">
        <v>45486</v>
      </c>
      <c r="D1801" s="3" t="s">
        <v>12</v>
      </c>
      <c r="E1801" s="3" t="s">
        <v>23</v>
      </c>
      <c r="F1801" s="5">
        <v>1</v>
      </c>
      <c r="G1801" s="6">
        <v>28.71</v>
      </c>
      <c r="H1801" s="6">
        <v>28.71</v>
      </c>
      <c r="I1801" s="6">
        <v>5.74</v>
      </c>
      <c r="J1801" s="6">
        <v>22.97</v>
      </c>
      <c r="K1801" s="5">
        <v>96</v>
      </c>
      <c r="L1801" s="13" t="str">
        <f t="shared" si="56"/>
        <v>Discount Applied</v>
      </c>
      <c r="M1801" s="13" t="str">
        <f t="shared" si="57"/>
        <v>Silver</v>
      </c>
      <c r="N1801" s="13"/>
    </row>
    <row r="1802" spans="1:14" x14ac:dyDescent="0.3">
      <c r="B1802" s="3" t="s">
        <v>14</v>
      </c>
      <c r="C1802" s="4">
        <v>45706</v>
      </c>
      <c r="D1802" s="3" t="s">
        <v>17</v>
      </c>
      <c r="E1802" s="3" t="s">
        <v>23</v>
      </c>
      <c r="F1802" s="5">
        <v>1</v>
      </c>
      <c r="G1802" s="6">
        <v>26.28</v>
      </c>
      <c r="H1802" s="6">
        <v>26.28</v>
      </c>
      <c r="I1802" s="6">
        <v>2.5</v>
      </c>
      <c r="J1802" s="6">
        <v>23.78</v>
      </c>
      <c r="K1802" s="5">
        <v>467</v>
      </c>
      <c r="L1802" s="13" t="str">
        <f t="shared" si="56"/>
        <v>Discount Applied</v>
      </c>
      <c r="M1802" s="13" t="str">
        <f t="shared" si="57"/>
        <v>Silver</v>
      </c>
      <c r="N1802" s="13"/>
    </row>
    <row r="1803" spans="1:14" x14ac:dyDescent="0.3">
      <c r="B1803" s="3" t="s">
        <v>19</v>
      </c>
      <c r="C1803" s="4">
        <v>45632</v>
      </c>
      <c r="D1803" s="3" t="s">
        <v>45</v>
      </c>
      <c r="E1803" s="3" t="s">
        <v>29</v>
      </c>
      <c r="F1803" s="5">
        <v>5</v>
      </c>
      <c r="G1803" s="6">
        <v>5.31</v>
      </c>
      <c r="H1803" s="6">
        <v>26.55</v>
      </c>
      <c r="I1803" s="6">
        <v>3.49</v>
      </c>
      <c r="J1803" s="6">
        <v>23.06</v>
      </c>
      <c r="K1803" s="5">
        <v>419</v>
      </c>
      <c r="L1803" s="13" t="str">
        <f t="shared" si="56"/>
        <v>Discount Applied</v>
      </c>
      <c r="M1803" s="13" t="str">
        <f t="shared" si="57"/>
        <v>Silver</v>
      </c>
      <c r="N1803" s="13"/>
    </row>
    <row r="1804" spans="1:14" x14ac:dyDescent="0.3">
      <c r="B1804" s="3" t="s">
        <v>14</v>
      </c>
      <c r="C1804" s="4">
        <v>45859</v>
      </c>
      <c r="D1804" s="3" t="s">
        <v>15</v>
      </c>
      <c r="E1804" s="3" t="s">
        <v>37</v>
      </c>
      <c r="F1804" s="5">
        <v>3</v>
      </c>
      <c r="G1804" s="6">
        <v>4.12</v>
      </c>
      <c r="H1804" s="6">
        <v>12.36</v>
      </c>
      <c r="I1804" s="6">
        <v>3.07</v>
      </c>
      <c r="J1804" s="6">
        <v>9.2899999999999991</v>
      </c>
      <c r="K1804" s="5">
        <v>349</v>
      </c>
      <c r="L1804" s="13" t="str">
        <f t="shared" si="56"/>
        <v>Discount Applied</v>
      </c>
      <c r="M1804" s="13" t="str">
        <f t="shared" si="57"/>
        <v>Bronze</v>
      </c>
      <c r="N1804" s="13"/>
    </row>
    <row r="1805" spans="1:14" x14ac:dyDescent="0.3">
      <c r="B1805" s="3" t="s">
        <v>11</v>
      </c>
      <c r="C1805" s="4">
        <v>45623</v>
      </c>
      <c r="D1805" s="3" t="s">
        <v>45</v>
      </c>
      <c r="E1805" s="3" t="s">
        <v>44</v>
      </c>
      <c r="F1805" s="5">
        <v>5</v>
      </c>
      <c r="G1805" s="6">
        <v>5.49</v>
      </c>
      <c r="H1805" s="6">
        <v>27.45</v>
      </c>
      <c r="I1805" s="6">
        <v>2.75</v>
      </c>
      <c r="J1805" s="6">
        <v>24.7</v>
      </c>
      <c r="K1805" s="5">
        <v>313</v>
      </c>
      <c r="L1805" s="13" t="str">
        <f t="shared" si="56"/>
        <v>Discount Applied</v>
      </c>
      <c r="M1805" s="13" t="str">
        <f t="shared" si="57"/>
        <v>Silver</v>
      </c>
      <c r="N1805" s="13"/>
    </row>
    <row r="1806" spans="1:14" x14ac:dyDescent="0.3">
      <c r="B1806" s="3" t="s">
        <v>14</v>
      </c>
      <c r="C1806" s="4">
        <v>45812</v>
      </c>
      <c r="D1806" s="3" t="s">
        <v>20</v>
      </c>
      <c r="E1806" s="3" t="s">
        <v>33</v>
      </c>
      <c r="F1806" s="5">
        <v>1</v>
      </c>
      <c r="G1806" s="6">
        <v>20.38</v>
      </c>
      <c r="H1806" s="6">
        <v>20.38</v>
      </c>
      <c r="I1806" s="6">
        <v>4.08</v>
      </c>
      <c r="J1806" s="6">
        <v>16.3</v>
      </c>
      <c r="K1806" s="5">
        <v>33</v>
      </c>
      <c r="L1806" s="13" t="str">
        <f t="shared" si="56"/>
        <v>Discount Applied</v>
      </c>
      <c r="M1806" s="13" t="str">
        <f t="shared" si="57"/>
        <v>Bronze</v>
      </c>
      <c r="N1806" s="13"/>
    </row>
    <row r="1807" spans="1:14" x14ac:dyDescent="0.3">
      <c r="B1807" s="3" t="s">
        <v>36</v>
      </c>
      <c r="C1807" s="4">
        <v>45212</v>
      </c>
      <c r="D1807" s="3" t="s">
        <v>34</v>
      </c>
      <c r="E1807" s="3" t="s">
        <v>25</v>
      </c>
      <c r="F1807" s="5">
        <v>4</v>
      </c>
      <c r="G1807" s="6">
        <v>6.45</v>
      </c>
      <c r="H1807" s="6">
        <v>25.8</v>
      </c>
      <c r="I1807" s="6">
        <v>3.87</v>
      </c>
      <c r="J1807" s="6">
        <v>21.93</v>
      </c>
      <c r="K1807" s="5">
        <v>206</v>
      </c>
      <c r="L1807" s="13" t="str">
        <f t="shared" si="56"/>
        <v>Discount Applied</v>
      </c>
      <c r="M1807" s="13" t="str">
        <f t="shared" si="57"/>
        <v>Silver</v>
      </c>
      <c r="N1807" s="13"/>
    </row>
    <row r="1808" spans="1:14" x14ac:dyDescent="0.3">
      <c r="B1808" s="3" t="s">
        <v>31</v>
      </c>
      <c r="C1808" s="4">
        <v>45253</v>
      </c>
      <c r="D1808" s="3" t="s">
        <v>45</v>
      </c>
      <c r="E1808" s="3" t="s">
        <v>48</v>
      </c>
      <c r="F1808" s="5">
        <v>5</v>
      </c>
      <c r="G1808" s="6">
        <v>3.63</v>
      </c>
      <c r="H1808" s="6">
        <v>18.149999999999999</v>
      </c>
      <c r="I1808" s="6">
        <v>3.25</v>
      </c>
      <c r="J1808" s="6">
        <v>14.9</v>
      </c>
      <c r="K1808" s="5">
        <v>335</v>
      </c>
      <c r="L1808" s="13" t="str">
        <f t="shared" si="56"/>
        <v>Discount Applied</v>
      </c>
      <c r="M1808" s="13" t="str">
        <f t="shared" si="57"/>
        <v>Bronze</v>
      </c>
      <c r="N1808" s="13"/>
    </row>
    <row r="1809" spans="2:14" x14ac:dyDescent="0.3">
      <c r="B1809" s="3" t="s">
        <v>14</v>
      </c>
      <c r="C1809" s="4">
        <v>45602</v>
      </c>
      <c r="D1809" s="3" t="s">
        <v>38</v>
      </c>
      <c r="E1809" s="3" t="s">
        <v>32</v>
      </c>
      <c r="F1809" s="5">
        <v>5</v>
      </c>
      <c r="G1809" s="6">
        <v>19.64</v>
      </c>
      <c r="H1809" s="6">
        <v>98.2</v>
      </c>
      <c r="I1809" s="6">
        <v>19.64</v>
      </c>
      <c r="J1809" s="6">
        <v>78.56</v>
      </c>
      <c r="K1809" s="5">
        <v>144</v>
      </c>
      <c r="L1809" s="13" t="str">
        <f t="shared" si="56"/>
        <v>Discount Applied</v>
      </c>
      <c r="M1809" s="13" t="str">
        <f t="shared" si="57"/>
        <v>Platinum</v>
      </c>
      <c r="N1809" s="13"/>
    </row>
    <row r="1810" spans="2:14" x14ac:dyDescent="0.3">
      <c r="B1810" s="3" t="s">
        <v>26</v>
      </c>
      <c r="C1810" s="4">
        <v>45418</v>
      </c>
      <c r="D1810" s="3" t="s">
        <v>17</v>
      </c>
      <c r="E1810" s="3" t="s">
        <v>37</v>
      </c>
      <c r="F1810" s="5">
        <v>4</v>
      </c>
      <c r="G1810" s="6">
        <v>12.71</v>
      </c>
      <c r="H1810" s="6">
        <v>50.84</v>
      </c>
      <c r="I1810" s="6">
        <v>5.08</v>
      </c>
      <c r="J1810" s="6">
        <v>45.76</v>
      </c>
      <c r="K1810" s="5">
        <v>193</v>
      </c>
      <c r="L1810" s="13" t="str">
        <f t="shared" si="56"/>
        <v>Discount Applied</v>
      </c>
      <c r="M1810" s="13" t="str">
        <f t="shared" si="57"/>
        <v>Silver</v>
      </c>
      <c r="N1810" s="13"/>
    </row>
    <row r="1811" spans="2:14" x14ac:dyDescent="0.3">
      <c r="B1811" s="3" t="s">
        <v>31</v>
      </c>
      <c r="C1811" s="4">
        <v>45389</v>
      </c>
      <c r="D1811" s="3" t="s">
        <v>45</v>
      </c>
      <c r="E1811" s="3" t="s">
        <v>48</v>
      </c>
      <c r="F1811" s="5">
        <v>3</v>
      </c>
      <c r="G1811" s="6">
        <v>17.27</v>
      </c>
      <c r="H1811" s="6">
        <v>51.81</v>
      </c>
      <c r="I1811" s="6">
        <v>7.77</v>
      </c>
      <c r="J1811" s="6">
        <v>44.04</v>
      </c>
      <c r="K1811" s="5">
        <v>312</v>
      </c>
      <c r="L1811" s="13" t="str">
        <f t="shared" si="56"/>
        <v>Discount Applied</v>
      </c>
      <c r="M1811" s="13" t="str">
        <f t="shared" si="57"/>
        <v>Silver</v>
      </c>
      <c r="N1811" s="13"/>
    </row>
    <row r="1812" spans="2:14" x14ac:dyDescent="0.3">
      <c r="B1812" s="3" t="s">
        <v>26</v>
      </c>
      <c r="C1812" s="4">
        <v>45337</v>
      </c>
      <c r="D1812" s="3" t="s">
        <v>35</v>
      </c>
      <c r="E1812" s="3" t="s">
        <v>40</v>
      </c>
      <c r="F1812" s="5">
        <v>5</v>
      </c>
      <c r="G1812" s="6">
        <v>25.1</v>
      </c>
      <c r="H1812" s="6">
        <v>125.5</v>
      </c>
      <c r="I1812" s="6">
        <v>18.82</v>
      </c>
      <c r="J1812" s="6">
        <v>106.68</v>
      </c>
      <c r="K1812" s="5">
        <v>96</v>
      </c>
      <c r="L1812" s="13" t="str">
        <f t="shared" si="56"/>
        <v>Discount Applied</v>
      </c>
      <c r="M1812" s="13" t="str">
        <f t="shared" si="57"/>
        <v>Platinum</v>
      </c>
      <c r="N1812" s="13"/>
    </row>
    <row r="1813" spans="2:14" x14ac:dyDescent="0.3">
      <c r="B1813" s="3" t="s">
        <v>14</v>
      </c>
      <c r="C1813" s="4">
        <v>45645</v>
      </c>
      <c r="D1813" s="3" t="s">
        <v>34</v>
      </c>
      <c r="E1813" s="3" t="s">
        <v>21</v>
      </c>
      <c r="F1813" s="5">
        <v>1</v>
      </c>
      <c r="G1813" s="6">
        <v>16.48</v>
      </c>
      <c r="H1813" s="6">
        <v>16.48</v>
      </c>
      <c r="I1813" s="6">
        <v>1.65</v>
      </c>
      <c r="J1813" s="6">
        <v>14.83</v>
      </c>
      <c r="K1813" s="5">
        <v>24</v>
      </c>
      <c r="L1813" s="13" t="str">
        <f t="shared" si="56"/>
        <v>Discount Applied</v>
      </c>
      <c r="M1813" s="13" t="str">
        <f t="shared" si="57"/>
        <v>Bronze</v>
      </c>
      <c r="N1813" s="13"/>
    </row>
    <row r="1814" spans="2:14" x14ac:dyDescent="0.3">
      <c r="B1814" s="3" t="s">
        <v>42</v>
      </c>
      <c r="C1814" s="4">
        <v>45337</v>
      </c>
      <c r="D1814" s="3" t="s">
        <v>22</v>
      </c>
      <c r="E1814" s="3" t="s">
        <v>18</v>
      </c>
      <c r="F1814" s="5">
        <v>1</v>
      </c>
      <c r="G1814" s="6">
        <v>24.88</v>
      </c>
      <c r="H1814" s="6">
        <v>24.88</v>
      </c>
      <c r="I1814" s="6">
        <v>0</v>
      </c>
      <c r="J1814" s="6">
        <v>24.88</v>
      </c>
      <c r="K1814" s="5">
        <v>350</v>
      </c>
      <c r="L1814" s="13" t="str">
        <f t="shared" si="56"/>
        <v>No Discount</v>
      </c>
      <c r="M1814" s="13" t="str">
        <f t="shared" si="57"/>
        <v>Silver</v>
      </c>
      <c r="N1814" s="13"/>
    </row>
    <row r="1815" spans="2:14" x14ac:dyDescent="0.3">
      <c r="B1815" s="3" t="s">
        <v>14</v>
      </c>
      <c r="C1815" s="4">
        <v>45750</v>
      </c>
      <c r="D1815" s="3" t="s">
        <v>38</v>
      </c>
      <c r="E1815" s="3" t="s">
        <v>29</v>
      </c>
      <c r="F1815" s="5">
        <v>5</v>
      </c>
      <c r="G1815" s="6">
        <v>11.74</v>
      </c>
      <c r="H1815" s="6">
        <v>58.7</v>
      </c>
      <c r="I1815" s="6">
        <v>11.74</v>
      </c>
      <c r="J1815" s="6">
        <v>46.96</v>
      </c>
      <c r="K1815" s="5">
        <v>357</v>
      </c>
      <c r="L1815" s="13" t="str">
        <f t="shared" si="56"/>
        <v>Discount Applied</v>
      </c>
      <c r="M1815" s="13" t="str">
        <f t="shared" si="57"/>
        <v>Silver</v>
      </c>
      <c r="N1815" s="13"/>
    </row>
    <row r="1816" spans="2:14" x14ac:dyDescent="0.3">
      <c r="B1816" s="3" t="s">
        <v>11</v>
      </c>
      <c r="C1816" s="4">
        <v>45803</v>
      </c>
      <c r="D1816" s="3" t="s">
        <v>45</v>
      </c>
      <c r="E1816" s="3" t="s">
        <v>29</v>
      </c>
      <c r="F1816" s="5">
        <v>2</v>
      </c>
      <c r="G1816" s="6">
        <v>21.65</v>
      </c>
      <c r="H1816" s="6">
        <v>43.3</v>
      </c>
      <c r="I1816" s="6">
        <v>4.33</v>
      </c>
      <c r="J1816" s="6">
        <v>38.97</v>
      </c>
      <c r="K1816" s="5">
        <v>37</v>
      </c>
      <c r="L1816" s="13" t="str">
        <f t="shared" si="56"/>
        <v>Discount Applied</v>
      </c>
      <c r="M1816" s="13" t="str">
        <f t="shared" si="57"/>
        <v>Silver</v>
      </c>
      <c r="N1816" s="13"/>
    </row>
    <row r="1817" spans="2:14" x14ac:dyDescent="0.3">
      <c r="B1817" s="3" t="s">
        <v>42</v>
      </c>
      <c r="C1817" s="4">
        <v>45304</v>
      </c>
      <c r="D1817" s="3" t="s">
        <v>28</v>
      </c>
      <c r="E1817" s="3" t="s">
        <v>39</v>
      </c>
      <c r="F1817" s="5">
        <v>1</v>
      </c>
      <c r="G1817" s="6">
        <v>27.73</v>
      </c>
      <c r="H1817" s="6">
        <v>27.73</v>
      </c>
      <c r="I1817" s="6">
        <v>4.16</v>
      </c>
      <c r="J1817" s="6">
        <v>23.57</v>
      </c>
      <c r="K1817" s="5">
        <v>105</v>
      </c>
      <c r="L1817" s="13" t="str">
        <f t="shared" si="56"/>
        <v>Discount Applied</v>
      </c>
      <c r="M1817" s="13" t="str">
        <f t="shared" si="57"/>
        <v>Silver</v>
      </c>
      <c r="N1817" s="13"/>
    </row>
    <row r="1818" spans="2:14" x14ac:dyDescent="0.3">
      <c r="B1818" s="3" t="s">
        <v>31</v>
      </c>
      <c r="C1818" s="4">
        <v>45616</v>
      </c>
      <c r="D1818" s="3" t="s">
        <v>17</v>
      </c>
      <c r="E1818" s="3" t="s">
        <v>21</v>
      </c>
      <c r="F1818" s="5">
        <v>2</v>
      </c>
      <c r="G1818" s="6">
        <v>29.62</v>
      </c>
      <c r="H1818" s="6">
        <v>59.24</v>
      </c>
      <c r="I1818" s="6">
        <v>8.89</v>
      </c>
      <c r="J1818" s="6">
        <v>50.35</v>
      </c>
      <c r="K1818" s="5">
        <v>423</v>
      </c>
      <c r="L1818" s="13" t="str">
        <f t="shared" si="56"/>
        <v>Discount Applied</v>
      </c>
      <c r="M1818" s="13" t="str">
        <f t="shared" si="57"/>
        <v>Gold</v>
      </c>
      <c r="N1818" s="13"/>
    </row>
    <row r="1819" spans="2:14" x14ac:dyDescent="0.3">
      <c r="B1819" s="3" t="s">
        <v>24</v>
      </c>
      <c r="C1819" s="4">
        <v>45291</v>
      </c>
      <c r="D1819" s="3" t="s">
        <v>12</v>
      </c>
      <c r="E1819" s="3" t="s">
        <v>41</v>
      </c>
      <c r="F1819" s="5">
        <v>2</v>
      </c>
      <c r="G1819" s="6">
        <v>18.350000000000001</v>
      </c>
      <c r="H1819" s="6">
        <v>36.700000000000003</v>
      </c>
      <c r="I1819" s="6">
        <v>3.67</v>
      </c>
      <c r="J1819" s="6">
        <v>33.03</v>
      </c>
      <c r="K1819" s="5">
        <v>318</v>
      </c>
      <c r="L1819" s="13" t="str">
        <f t="shared" si="56"/>
        <v>Discount Applied</v>
      </c>
      <c r="M1819" s="13" t="str">
        <f t="shared" si="57"/>
        <v>Silver</v>
      </c>
      <c r="N1819" s="13"/>
    </row>
    <row r="1820" spans="2:14" x14ac:dyDescent="0.3">
      <c r="B1820" s="3" t="s">
        <v>30</v>
      </c>
      <c r="C1820" s="4">
        <v>45374</v>
      </c>
      <c r="D1820" s="3" t="s">
        <v>17</v>
      </c>
      <c r="E1820" s="3" t="s">
        <v>13</v>
      </c>
      <c r="F1820" s="5">
        <v>4</v>
      </c>
      <c r="G1820" s="6">
        <v>21.01</v>
      </c>
      <c r="H1820" s="6">
        <v>84.04</v>
      </c>
      <c r="I1820" s="6">
        <v>8.4</v>
      </c>
      <c r="J1820" s="6">
        <v>75.64</v>
      </c>
      <c r="K1820" s="5">
        <v>212</v>
      </c>
      <c r="L1820" s="13" t="str">
        <f t="shared" si="56"/>
        <v>Discount Applied</v>
      </c>
      <c r="M1820" s="13" t="str">
        <f t="shared" si="57"/>
        <v>Platinum</v>
      </c>
      <c r="N1820" s="13"/>
    </row>
    <row r="1821" spans="2:14" x14ac:dyDescent="0.3">
      <c r="B1821" s="3" t="s">
        <v>30</v>
      </c>
      <c r="C1821" s="4">
        <v>45753</v>
      </c>
      <c r="D1821" s="3" t="s">
        <v>17</v>
      </c>
      <c r="E1821" s="3" t="s">
        <v>47</v>
      </c>
      <c r="F1821" s="5">
        <v>3</v>
      </c>
      <c r="G1821" s="6">
        <v>18.39</v>
      </c>
      <c r="H1821" s="6">
        <v>55.17</v>
      </c>
      <c r="I1821" s="6">
        <v>3.78</v>
      </c>
      <c r="J1821" s="6">
        <v>51.39</v>
      </c>
      <c r="K1821" s="5">
        <v>320</v>
      </c>
      <c r="L1821" s="13" t="str">
        <f t="shared" si="56"/>
        <v>Discount Applied</v>
      </c>
      <c r="M1821" s="13" t="str">
        <f t="shared" si="57"/>
        <v>Gold</v>
      </c>
      <c r="N1821" s="13"/>
    </row>
    <row r="1822" spans="2:14" x14ac:dyDescent="0.3">
      <c r="B1822" s="3" t="s">
        <v>26</v>
      </c>
      <c r="C1822" s="4">
        <v>45529</v>
      </c>
      <c r="D1822" s="3" t="s">
        <v>34</v>
      </c>
      <c r="E1822" s="3" t="s">
        <v>25</v>
      </c>
      <c r="F1822" s="5">
        <v>1</v>
      </c>
      <c r="G1822" s="6">
        <v>19.48</v>
      </c>
      <c r="H1822" s="6">
        <v>19.48</v>
      </c>
      <c r="I1822" s="6">
        <v>1.95</v>
      </c>
      <c r="J1822" s="6">
        <v>17.53</v>
      </c>
      <c r="K1822" s="5">
        <v>59</v>
      </c>
      <c r="L1822" s="13" t="str">
        <f t="shared" si="56"/>
        <v>Discount Applied</v>
      </c>
      <c r="M1822" s="13" t="str">
        <f t="shared" si="57"/>
        <v>Bronze</v>
      </c>
      <c r="N1822" s="13"/>
    </row>
    <row r="1823" spans="2:14" x14ac:dyDescent="0.3">
      <c r="B1823" s="3" t="s">
        <v>11</v>
      </c>
      <c r="C1823" s="4">
        <v>45232</v>
      </c>
      <c r="D1823" s="3" t="s">
        <v>34</v>
      </c>
      <c r="E1823" s="3" t="s">
        <v>18</v>
      </c>
      <c r="F1823" s="5">
        <v>3</v>
      </c>
      <c r="G1823" s="6">
        <v>5.84</v>
      </c>
      <c r="H1823" s="6">
        <v>17.52</v>
      </c>
      <c r="I1823" s="6">
        <v>0</v>
      </c>
      <c r="J1823" s="6">
        <v>17.52</v>
      </c>
      <c r="K1823" s="5">
        <v>378</v>
      </c>
      <c r="L1823" s="13" t="str">
        <f t="shared" si="56"/>
        <v>No Discount</v>
      </c>
      <c r="M1823" s="13" t="str">
        <f t="shared" si="57"/>
        <v>Bronze</v>
      </c>
      <c r="N1823" s="13"/>
    </row>
    <row r="1824" spans="2:14" x14ac:dyDescent="0.3">
      <c r="B1824" s="3" t="s">
        <v>24</v>
      </c>
      <c r="C1824" s="4">
        <v>45533</v>
      </c>
      <c r="D1824" s="3" t="s">
        <v>35</v>
      </c>
      <c r="E1824" s="3" t="s">
        <v>18</v>
      </c>
      <c r="F1824" s="5">
        <v>3</v>
      </c>
      <c r="G1824" s="6">
        <v>9.25</v>
      </c>
      <c r="H1824" s="6">
        <v>27.75</v>
      </c>
      <c r="I1824" s="6">
        <v>4.04</v>
      </c>
      <c r="J1824" s="6">
        <v>23.71</v>
      </c>
      <c r="K1824" s="5">
        <v>291</v>
      </c>
      <c r="L1824" s="13" t="str">
        <f t="shared" si="56"/>
        <v>Discount Applied</v>
      </c>
      <c r="M1824" s="13" t="str">
        <f t="shared" si="57"/>
        <v>Silver</v>
      </c>
      <c r="N1824" s="13"/>
    </row>
    <row r="1825" spans="2:14" x14ac:dyDescent="0.3">
      <c r="B1825" s="3"/>
      <c r="C1825" s="4">
        <v>45555</v>
      </c>
      <c r="D1825" s="3" t="s">
        <v>17</v>
      </c>
      <c r="E1825" s="3" t="s">
        <v>43</v>
      </c>
      <c r="F1825" s="5">
        <v>5</v>
      </c>
      <c r="G1825" s="6">
        <v>25.54</v>
      </c>
      <c r="H1825" s="6">
        <v>127.7</v>
      </c>
      <c r="I1825" s="6">
        <v>4.9800000000000004</v>
      </c>
      <c r="J1825" s="6">
        <v>122.72</v>
      </c>
      <c r="K1825" s="5">
        <v>102</v>
      </c>
      <c r="L1825" s="13" t="str">
        <f t="shared" si="56"/>
        <v>Discount Applied</v>
      </c>
      <c r="M1825" s="13" t="str">
        <f t="shared" si="57"/>
        <v>Platinum</v>
      </c>
      <c r="N1825" s="13"/>
    </row>
    <row r="1826" spans="2:14" x14ac:dyDescent="0.3">
      <c r="B1826" s="3" t="s">
        <v>26</v>
      </c>
      <c r="C1826" s="4">
        <v>45425</v>
      </c>
      <c r="D1826" s="3" t="s">
        <v>45</v>
      </c>
      <c r="E1826" s="3" t="s">
        <v>48</v>
      </c>
      <c r="F1826" s="5">
        <v>1</v>
      </c>
      <c r="G1826" s="6">
        <v>7.62</v>
      </c>
      <c r="H1826" s="6">
        <v>7.62</v>
      </c>
      <c r="I1826" s="6">
        <v>1.52</v>
      </c>
      <c r="J1826" s="6">
        <v>6.1</v>
      </c>
      <c r="K1826" s="5">
        <v>426</v>
      </c>
      <c r="L1826" s="13" t="str">
        <f t="shared" si="56"/>
        <v>Discount Applied</v>
      </c>
      <c r="M1826" s="13" t="str">
        <f t="shared" si="57"/>
        <v>Bronze</v>
      </c>
      <c r="N1826" s="13"/>
    </row>
    <row r="1827" spans="2:14" x14ac:dyDescent="0.3">
      <c r="B1827" s="3" t="s">
        <v>11</v>
      </c>
      <c r="C1827" s="4">
        <v>45247</v>
      </c>
      <c r="D1827" s="3" t="s">
        <v>15</v>
      </c>
      <c r="E1827" s="3" t="s">
        <v>25</v>
      </c>
      <c r="F1827" s="5">
        <v>4</v>
      </c>
      <c r="G1827" s="6">
        <v>18.829999999999998</v>
      </c>
      <c r="H1827" s="6">
        <v>75.319999999999993</v>
      </c>
      <c r="I1827" s="6">
        <v>7.53</v>
      </c>
      <c r="J1827" s="6">
        <v>67.790000000000006</v>
      </c>
      <c r="K1827" s="5">
        <v>224</v>
      </c>
      <c r="L1827" s="13" t="str">
        <f t="shared" si="56"/>
        <v>Discount Applied</v>
      </c>
      <c r="M1827" s="13" t="str">
        <f t="shared" si="57"/>
        <v>Gold</v>
      </c>
      <c r="N1827" s="13"/>
    </row>
    <row r="1828" spans="2:14" x14ac:dyDescent="0.3">
      <c r="B1828" s="3" t="s">
        <v>31</v>
      </c>
      <c r="C1828" s="4">
        <v>45813</v>
      </c>
      <c r="D1828" s="3" t="s">
        <v>27</v>
      </c>
      <c r="E1828" s="3" t="s">
        <v>46</v>
      </c>
      <c r="F1828" s="5">
        <v>2</v>
      </c>
      <c r="G1828" s="6">
        <v>23.28</v>
      </c>
      <c r="H1828" s="6">
        <v>46.56</v>
      </c>
      <c r="I1828" s="6">
        <v>3.28</v>
      </c>
      <c r="J1828" s="6">
        <v>43.28</v>
      </c>
      <c r="K1828" s="5">
        <v>371</v>
      </c>
      <c r="L1828" s="13" t="str">
        <f t="shared" si="56"/>
        <v>Discount Applied</v>
      </c>
      <c r="M1828" s="13" t="str">
        <f t="shared" si="57"/>
        <v>Silver</v>
      </c>
      <c r="N1828" s="13"/>
    </row>
    <row r="1829" spans="2:14" x14ac:dyDescent="0.3">
      <c r="B1829" s="3" t="s">
        <v>19</v>
      </c>
      <c r="C1829" s="4">
        <v>45428</v>
      </c>
      <c r="D1829" s="3" t="s">
        <v>22</v>
      </c>
      <c r="E1829" s="3" t="s">
        <v>13</v>
      </c>
      <c r="F1829" s="5">
        <v>2</v>
      </c>
      <c r="G1829" s="6">
        <v>11.14</v>
      </c>
      <c r="H1829" s="6">
        <v>22.28</v>
      </c>
      <c r="I1829" s="6">
        <v>2.23</v>
      </c>
      <c r="J1829" s="6">
        <v>20.05</v>
      </c>
      <c r="K1829" s="5">
        <v>102</v>
      </c>
      <c r="L1829" s="13" t="str">
        <f t="shared" si="56"/>
        <v>Discount Applied</v>
      </c>
      <c r="M1829" s="13" t="str">
        <f t="shared" si="57"/>
        <v>Silver</v>
      </c>
      <c r="N1829" s="13"/>
    </row>
    <row r="1830" spans="2:14" x14ac:dyDescent="0.3">
      <c r="B1830" s="3" t="s">
        <v>24</v>
      </c>
      <c r="C1830" s="4">
        <v>45675</v>
      </c>
      <c r="D1830" s="3" t="s">
        <v>34</v>
      </c>
      <c r="E1830" s="3" t="s">
        <v>37</v>
      </c>
      <c r="F1830" s="5">
        <v>5</v>
      </c>
      <c r="G1830" s="6">
        <v>2.84</v>
      </c>
      <c r="H1830" s="6">
        <v>14.2</v>
      </c>
      <c r="I1830" s="6">
        <v>2.13</v>
      </c>
      <c r="J1830" s="6">
        <v>12.07</v>
      </c>
      <c r="K1830" s="5">
        <v>94</v>
      </c>
      <c r="L1830" s="13" t="str">
        <f t="shared" si="56"/>
        <v>Discount Applied</v>
      </c>
      <c r="M1830" s="13" t="str">
        <f t="shared" si="57"/>
        <v>Bronze</v>
      </c>
      <c r="N1830" s="13"/>
    </row>
    <row r="1831" spans="2:14" x14ac:dyDescent="0.3">
      <c r="B1831" s="3" t="s">
        <v>26</v>
      </c>
      <c r="C1831" s="4">
        <v>45737</v>
      </c>
      <c r="D1831" s="3" t="s">
        <v>12</v>
      </c>
      <c r="E1831" s="3" t="s">
        <v>33</v>
      </c>
      <c r="F1831" s="5">
        <v>1</v>
      </c>
      <c r="G1831" s="6">
        <v>25.45</v>
      </c>
      <c r="H1831" s="6">
        <v>25.45</v>
      </c>
      <c r="I1831" s="6">
        <v>1.64</v>
      </c>
      <c r="J1831" s="6">
        <v>23.81</v>
      </c>
      <c r="K1831" s="5">
        <v>308</v>
      </c>
      <c r="L1831" s="13" t="str">
        <f t="shared" si="56"/>
        <v>Discount Applied</v>
      </c>
      <c r="M1831" s="13" t="str">
        <f t="shared" si="57"/>
        <v>Silver</v>
      </c>
      <c r="N1831" s="13"/>
    </row>
    <row r="1832" spans="2:14" x14ac:dyDescent="0.3">
      <c r="B1832" s="3" t="s">
        <v>14</v>
      </c>
      <c r="C1832" s="4">
        <v>45743</v>
      </c>
      <c r="D1832" s="3" t="s">
        <v>22</v>
      </c>
      <c r="E1832" s="3" t="s">
        <v>40</v>
      </c>
      <c r="F1832" s="5">
        <v>1</v>
      </c>
      <c r="G1832" s="6">
        <v>20.85</v>
      </c>
      <c r="H1832" s="6">
        <v>20.85</v>
      </c>
      <c r="I1832" s="6">
        <v>3.88</v>
      </c>
      <c r="J1832" s="6">
        <v>16.97</v>
      </c>
      <c r="K1832" s="5">
        <v>209</v>
      </c>
      <c r="L1832" s="13" t="str">
        <f t="shared" si="56"/>
        <v>Discount Applied</v>
      </c>
      <c r="M1832" s="13" t="str">
        <f t="shared" si="57"/>
        <v>Bronze</v>
      </c>
      <c r="N1832" s="13"/>
    </row>
    <row r="1833" spans="2:14" x14ac:dyDescent="0.3">
      <c r="B1833" s="3" t="s">
        <v>36</v>
      </c>
      <c r="C1833" s="4">
        <v>45157</v>
      </c>
      <c r="D1833" s="3" t="s">
        <v>22</v>
      </c>
      <c r="E1833" s="3" t="s">
        <v>40</v>
      </c>
      <c r="F1833" s="5">
        <v>2</v>
      </c>
      <c r="G1833" s="6">
        <v>27.13</v>
      </c>
      <c r="H1833" s="6">
        <v>54.26</v>
      </c>
      <c r="I1833" s="6">
        <v>2.52</v>
      </c>
      <c r="J1833" s="6">
        <v>51.74</v>
      </c>
      <c r="K1833" s="5">
        <v>350</v>
      </c>
      <c r="L1833" s="13" t="str">
        <f t="shared" si="56"/>
        <v>Discount Applied</v>
      </c>
      <c r="M1833" s="13" t="str">
        <f t="shared" si="57"/>
        <v>Gold</v>
      </c>
      <c r="N1833" s="13"/>
    </row>
    <row r="1834" spans="2:14" x14ac:dyDescent="0.3">
      <c r="B1834" s="3" t="s">
        <v>31</v>
      </c>
      <c r="C1834" s="4">
        <v>45155</v>
      </c>
      <c r="D1834" s="3" t="s">
        <v>20</v>
      </c>
      <c r="E1834" s="3" t="s">
        <v>48</v>
      </c>
      <c r="F1834" s="5">
        <v>2</v>
      </c>
      <c r="G1834" s="6">
        <v>23.09</v>
      </c>
      <c r="H1834" s="6">
        <v>46.18</v>
      </c>
      <c r="I1834" s="6">
        <v>3.6</v>
      </c>
      <c r="J1834" s="6">
        <v>42.58</v>
      </c>
      <c r="K1834" s="5">
        <v>18</v>
      </c>
      <c r="L1834" s="13" t="str">
        <f t="shared" si="56"/>
        <v>Discount Applied</v>
      </c>
      <c r="M1834" s="13" t="str">
        <f t="shared" si="57"/>
        <v>Silver</v>
      </c>
      <c r="N1834" s="13"/>
    </row>
    <row r="1835" spans="2:14" x14ac:dyDescent="0.3">
      <c r="B1835" s="3" t="s">
        <v>26</v>
      </c>
      <c r="C1835" s="4">
        <v>45312</v>
      </c>
      <c r="D1835" s="3" t="s">
        <v>28</v>
      </c>
      <c r="E1835" s="3" t="s">
        <v>32</v>
      </c>
      <c r="F1835" s="5">
        <v>3</v>
      </c>
      <c r="G1835" s="6">
        <v>20.87</v>
      </c>
      <c r="H1835" s="6">
        <v>62.61</v>
      </c>
      <c r="I1835" s="6">
        <v>0</v>
      </c>
      <c r="J1835" s="6">
        <v>62.61</v>
      </c>
      <c r="K1835" s="5">
        <v>198</v>
      </c>
      <c r="L1835" s="13" t="str">
        <f t="shared" si="56"/>
        <v>No Discount</v>
      </c>
      <c r="M1835" s="13" t="str">
        <f t="shared" si="57"/>
        <v>Gold</v>
      </c>
      <c r="N1835" s="13"/>
    </row>
    <row r="1836" spans="2:14" x14ac:dyDescent="0.3">
      <c r="B1836" s="3" t="s">
        <v>42</v>
      </c>
      <c r="C1836" s="4">
        <v>45861</v>
      </c>
      <c r="D1836" s="3" t="s">
        <v>27</v>
      </c>
      <c r="E1836" s="3" t="s">
        <v>47</v>
      </c>
      <c r="F1836" s="5">
        <v>5</v>
      </c>
      <c r="G1836" s="6">
        <v>8.24</v>
      </c>
      <c r="H1836" s="6">
        <v>41.2</v>
      </c>
      <c r="I1836" s="6">
        <v>4.12</v>
      </c>
      <c r="J1836" s="6">
        <v>37.08</v>
      </c>
      <c r="K1836" s="5">
        <v>325</v>
      </c>
      <c r="L1836" s="13" t="str">
        <f t="shared" si="56"/>
        <v>Discount Applied</v>
      </c>
      <c r="M1836" s="13" t="str">
        <f t="shared" si="57"/>
        <v>Silver</v>
      </c>
      <c r="N1836" s="13"/>
    </row>
    <row r="1837" spans="2:14" x14ac:dyDescent="0.3">
      <c r="B1837" s="3" t="s">
        <v>19</v>
      </c>
      <c r="C1837" s="4">
        <v>45758</v>
      </c>
      <c r="D1837" s="3" t="s">
        <v>45</v>
      </c>
      <c r="E1837" s="3" t="s">
        <v>18</v>
      </c>
      <c r="F1837" s="5">
        <v>3</v>
      </c>
      <c r="G1837" s="6">
        <v>7.48</v>
      </c>
      <c r="H1837" s="6">
        <v>22.44</v>
      </c>
      <c r="I1837" s="6">
        <v>2.2400000000000002</v>
      </c>
      <c r="J1837" s="6">
        <v>20.2</v>
      </c>
      <c r="K1837" s="5">
        <v>146</v>
      </c>
      <c r="L1837" s="13" t="str">
        <f t="shared" si="56"/>
        <v>Discount Applied</v>
      </c>
      <c r="M1837" s="13" t="str">
        <f t="shared" si="57"/>
        <v>Silver</v>
      </c>
      <c r="N1837" s="13"/>
    </row>
    <row r="1838" spans="2:14" x14ac:dyDescent="0.3">
      <c r="B1838" s="3" t="s">
        <v>30</v>
      </c>
      <c r="C1838" s="4">
        <v>45538</v>
      </c>
      <c r="D1838" s="3" t="s">
        <v>34</v>
      </c>
      <c r="E1838" s="3" t="s">
        <v>23</v>
      </c>
      <c r="F1838" s="5">
        <v>1</v>
      </c>
      <c r="G1838" s="6">
        <v>13.51</v>
      </c>
      <c r="H1838" s="6">
        <v>13.51</v>
      </c>
      <c r="I1838" s="6">
        <v>2.84</v>
      </c>
      <c r="J1838" s="6">
        <v>10.67</v>
      </c>
      <c r="K1838" s="5">
        <v>153</v>
      </c>
      <c r="L1838" s="13" t="str">
        <f t="shared" si="56"/>
        <v>Discount Applied</v>
      </c>
      <c r="M1838" s="13" t="str">
        <f t="shared" si="57"/>
        <v>Bronze</v>
      </c>
      <c r="N1838" s="13"/>
    </row>
    <row r="1839" spans="2:14" x14ac:dyDescent="0.3">
      <c r="B1839" s="3" t="s">
        <v>14</v>
      </c>
      <c r="C1839" s="4">
        <v>45633</v>
      </c>
      <c r="D1839" s="3" t="s">
        <v>17</v>
      </c>
      <c r="E1839" s="3" t="s">
        <v>32</v>
      </c>
      <c r="F1839" s="5">
        <v>2</v>
      </c>
      <c r="G1839" s="6">
        <v>25.35</v>
      </c>
      <c r="H1839" s="6">
        <v>50.7</v>
      </c>
      <c r="I1839" s="6">
        <v>5.07</v>
      </c>
      <c r="J1839" s="6">
        <v>45.63</v>
      </c>
      <c r="K1839" s="5">
        <v>180</v>
      </c>
      <c r="L1839" s="13" t="str">
        <f t="shared" si="56"/>
        <v>Discount Applied</v>
      </c>
      <c r="M1839" s="13" t="str">
        <f t="shared" si="57"/>
        <v>Silver</v>
      </c>
      <c r="N1839" s="13"/>
    </row>
    <row r="1840" spans="2:14" x14ac:dyDescent="0.3">
      <c r="B1840" s="3" t="s">
        <v>24</v>
      </c>
      <c r="C1840" s="4">
        <v>45740</v>
      </c>
      <c r="D1840" s="3" t="s">
        <v>20</v>
      </c>
      <c r="E1840" s="3" t="s">
        <v>33</v>
      </c>
      <c r="F1840" s="5">
        <v>4</v>
      </c>
      <c r="G1840" s="6">
        <v>13.86</v>
      </c>
      <c r="H1840" s="6">
        <v>55.44</v>
      </c>
      <c r="I1840" s="6">
        <v>8.32</v>
      </c>
      <c r="J1840" s="6">
        <v>47.12</v>
      </c>
      <c r="K1840" s="5">
        <v>198</v>
      </c>
      <c r="L1840" s="13" t="str">
        <f t="shared" si="56"/>
        <v>Discount Applied</v>
      </c>
      <c r="M1840" s="13" t="str">
        <f t="shared" si="57"/>
        <v>Silver</v>
      </c>
      <c r="N1840" s="13"/>
    </row>
    <row r="1841" spans="2:14" x14ac:dyDescent="0.3">
      <c r="B1841" s="3" t="s">
        <v>36</v>
      </c>
      <c r="C1841" s="4">
        <v>45474</v>
      </c>
      <c r="D1841" s="3" t="s">
        <v>22</v>
      </c>
      <c r="E1841" s="3" t="s">
        <v>32</v>
      </c>
      <c r="F1841" s="5">
        <v>2</v>
      </c>
      <c r="G1841" s="6">
        <v>21.97</v>
      </c>
      <c r="H1841" s="6">
        <v>43.94</v>
      </c>
      <c r="I1841" s="6">
        <v>8.7899999999999991</v>
      </c>
      <c r="J1841" s="6">
        <v>35.15</v>
      </c>
      <c r="K1841" s="5">
        <v>105</v>
      </c>
      <c r="L1841" s="13" t="str">
        <f t="shared" si="56"/>
        <v>Discount Applied</v>
      </c>
      <c r="M1841" s="13" t="str">
        <f t="shared" si="57"/>
        <v>Silver</v>
      </c>
      <c r="N1841" s="13"/>
    </row>
    <row r="1842" spans="2:14" x14ac:dyDescent="0.3">
      <c r="B1842" s="3" t="s">
        <v>42</v>
      </c>
      <c r="C1842" s="4">
        <v>45209</v>
      </c>
      <c r="D1842" s="3" t="s">
        <v>28</v>
      </c>
      <c r="E1842" s="3" t="s">
        <v>44</v>
      </c>
      <c r="F1842" s="5">
        <v>5</v>
      </c>
      <c r="G1842" s="6">
        <v>11.53</v>
      </c>
      <c r="H1842" s="6">
        <v>57.65</v>
      </c>
      <c r="I1842" s="6">
        <v>8.65</v>
      </c>
      <c r="J1842" s="6">
        <v>49</v>
      </c>
      <c r="K1842" s="5">
        <v>237</v>
      </c>
      <c r="L1842" s="13" t="str">
        <f t="shared" si="56"/>
        <v>Discount Applied</v>
      </c>
      <c r="M1842" s="13" t="str">
        <f t="shared" si="57"/>
        <v>Silver</v>
      </c>
      <c r="N1842" s="13"/>
    </row>
    <row r="1843" spans="2:14" x14ac:dyDescent="0.3">
      <c r="B1843" s="3" t="s">
        <v>30</v>
      </c>
      <c r="C1843" s="4">
        <v>45562</v>
      </c>
      <c r="D1843" s="3" t="s">
        <v>17</v>
      </c>
      <c r="E1843" s="3" t="s">
        <v>32</v>
      </c>
      <c r="F1843" s="5">
        <v>2</v>
      </c>
      <c r="G1843" s="6">
        <v>14.63</v>
      </c>
      <c r="H1843" s="6">
        <v>29.26</v>
      </c>
      <c r="I1843" s="6">
        <v>4.3899999999999997</v>
      </c>
      <c r="J1843" s="6">
        <v>24.87</v>
      </c>
      <c r="K1843" s="5">
        <v>277</v>
      </c>
      <c r="L1843" s="13" t="str">
        <f t="shared" si="56"/>
        <v>Discount Applied</v>
      </c>
      <c r="M1843" s="13" t="str">
        <f t="shared" si="57"/>
        <v>Silver</v>
      </c>
      <c r="N1843" s="13"/>
    </row>
    <row r="1844" spans="2:14" x14ac:dyDescent="0.3">
      <c r="B1844" s="3" t="s">
        <v>24</v>
      </c>
      <c r="C1844" s="4">
        <v>45360</v>
      </c>
      <c r="D1844" s="3" t="s">
        <v>12</v>
      </c>
      <c r="E1844" s="3" t="s">
        <v>44</v>
      </c>
      <c r="F1844" s="5">
        <v>2</v>
      </c>
      <c r="G1844" s="6">
        <v>10.78</v>
      </c>
      <c r="H1844" s="6">
        <v>21.56</v>
      </c>
      <c r="I1844" s="6">
        <v>0</v>
      </c>
      <c r="J1844" s="6">
        <v>21.56</v>
      </c>
      <c r="K1844" s="5">
        <v>455</v>
      </c>
      <c r="L1844" s="13" t="str">
        <f t="shared" si="56"/>
        <v>No Discount</v>
      </c>
      <c r="M1844" s="13" t="str">
        <f t="shared" si="57"/>
        <v>Silver</v>
      </c>
      <c r="N1844" s="13"/>
    </row>
    <row r="1845" spans="2:14" x14ac:dyDescent="0.3">
      <c r="B1845" s="3" t="s">
        <v>24</v>
      </c>
      <c r="C1845" s="4">
        <v>45385</v>
      </c>
      <c r="D1845" s="3" t="s">
        <v>38</v>
      </c>
      <c r="E1845" s="3" t="s">
        <v>16</v>
      </c>
      <c r="F1845" s="5">
        <v>2</v>
      </c>
      <c r="G1845" s="6">
        <v>28.34</v>
      </c>
      <c r="H1845" s="6">
        <v>56.68</v>
      </c>
      <c r="I1845" s="6">
        <v>5.67</v>
      </c>
      <c r="J1845" s="6">
        <v>51.01</v>
      </c>
      <c r="K1845" s="5">
        <v>12</v>
      </c>
      <c r="L1845" s="13" t="str">
        <f t="shared" si="56"/>
        <v>Discount Applied</v>
      </c>
      <c r="M1845" s="13" t="str">
        <f t="shared" si="57"/>
        <v>Gold</v>
      </c>
      <c r="N1845" s="13"/>
    </row>
    <row r="1846" spans="2:14" x14ac:dyDescent="0.3">
      <c r="B1846" s="3" t="s">
        <v>19</v>
      </c>
      <c r="C1846" s="4">
        <v>45542</v>
      </c>
      <c r="D1846" s="3" t="s">
        <v>35</v>
      </c>
      <c r="E1846" s="3" t="s">
        <v>41</v>
      </c>
      <c r="F1846" s="5">
        <v>4</v>
      </c>
      <c r="G1846" s="6">
        <v>17.670000000000002</v>
      </c>
      <c r="H1846" s="6">
        <v>70.680000000000007</v>
      </c>
      <c r="I1846" s="6">
        <v>14.14</v>
      </c>
      <c r="J1846" s="6">
        <v>56.54</v>
      </c>
      <c r="K1846" s="5">
        <v>410</v>
      </c>
      <c r="L1846" s="13" t="str">
        <f t="shared" si="56"/>
        <v>Discount Applied</v>
      </c>
      <c r="M1846" s="13" t="str">
        <f t="shared" si="57"/>
        <v>Gold</v>
      </c>
      <c r="N1846" s="13"/>
    </row>
    <row r="1847" spans="2:14" x14ac:dyDescent="0.3">
      <c r="B1847" s="3" t="s">
        <v>24</v>
      </c>
      <c r="C1847" s="4">
        <v>45772</v>
      </c>
      <c r="D1847" s="3" t="s">
        <v>22</v>
      </c>
      <c r="E1847" s="3" t="s">
        <v>33</v>
      </c>
      <c r="F1847" s="5">
        <v>2</v>
      </c>
      <c r="G1847" s="6">
        <v>26.16</v>
      </c>
      <c r="H1847" s="6">
        <v>52.32</v>
      </c>
      <c r="I1847" s="6">
        <v>7.85</v>
      </c>
      <c r="J1847" s="6">
        <v>44.47</v>
      </c>
      <c r="K1847" s="5">
        <v>66</v>
      </c>
      <c r="L1847" s="13" t="str">
        <f t="shared" si="56"/>
        <v>Discount Applied</v>
      </c>
      <c r="M1847" s="13" t="str">
        <f t="shared" si="57"/>
        <v>Silver</v>
      </c>
      <c r="N1847" s="13"/>
    </row>
    <row r="1848" spans="2:14" x14ac:dyDescent="0.3">
      <c r="B1848" s="3" t="s">
        <v>14</v>
      </c>
      <c r="C1848" s="4">
        <v>45561</v>
      </c>
      <c r="D1848" s="3" t="s">
        <v>27</v>
      </c>
      <c r="E1848" s="3" t="s">
        <v>40</v>
      </c>
      <c r="F1848" s="5">
        <v>1</v>
      </c>
      <c r="G1848" s="6">
        <v>23.81</v>
      </c>
      <c r="H1848" s="6">
        <v>23.81</v>
      </c>
      <c r="I1848" s="6">
        <v>4.68</v>
      </c>
      <c r="J1848" s="6">
        <v>19.13</v>
      </c>
      <c r="K1848" s="5">
        <v>43</v>
      </c>
      <c r="L1848" s="13" t="str">
        <f t="shared" si="56"/>
        <v>Discount Applied</v>
      </c>
      <c r="M1848" s="13" t="str">
        <f t="shared" si="57"/>
        <v>Bronze</v>
      </c>
      <c r="N1848" s="13"/>
    </row>
    <row r="1849" spans="2:14" x14ac:dyDescent="0.3">
      <c r="B1849" s="3" t="s">
        <v>31</v>
      </c>
      <c r="C1849" s="4">
        <v>45448</v>
      </c>
      <c r="D1849" s="3" t="s">
        <v>22</v>
      </c>
      <c r="E1849" s="3" t="s">
        <v>43</v>
      </c>
      <c r="F1849" s="5">
        <v>3</v>
      </c>
      <c r="G1849" s="6">
        <v>28.01</v>
      </c>
      <c r="H1849" s="6">
        <v>84.03</v>
      </c>
      <c r="I1849" s="6">
        <v>0</v>
      </c>
      <c r="J1849" s="6">
        <v>84.03</v>
      </c>
      <c r="K1849" s="5">
        <v>182</v>
      </c>
      <c r="L1849" s="13" t="str">
        <f t="shared" si="56"/>
        <v>No Discount</v>
      </c>
      <c r="M1849" s="13" t="str">
        <f t="shared" si="57"/>
        <v>Platinum</v>
      </c>
      <c r="N1849" s="13"/>
    </row>
    <row r="1850" spans="2:14" x14ac:dyDescent="0.3">
      <c r="B1850" s="3" t="s">
        <v>19</v>
      </c>
      <c r="C1850" s="4">
        <v>45385</v>
      </c>
      <c r="D1850" s="3" t="s">
        <v>17</v>
      </c>
      <c r="E1850" s="3" t="s">
        <v>37</v>
      </c>
      <c r="F1850" s="5">
        <v>1</v>
      </c>
      <c r="G1850" s="6">
        <v>11.52</v>
      </c>
      <c r="H1850" s="6">
        <v>11.52</v>
      </c>
      <c r="I1850" s="6">
        <v>4.62</v>
      </c>
      <c r="J1850" s="6">
        <v>6.9</v>
      </c>
      <c r="K1850" s="5">
        <v>465</v>
      </c>
      <c r="L1850" s="13" t="str">
        <f t="shared" si="56"/>
        <v>Discount Applied</v>
      </c>
      <c r="M1850" s="13" t="str">
        <f t="shared" si="57"/>
        <v>Bronze</v>
      </c>
      <c r="N1850" s="13"/>
    </row>
    <row r="1851" spans="2:14" x14ac:dyDescent="0.3">
      <c r="B1851" s="3" t="s">
        <v>26</v>
      </c>
      <c r="C1851" s="4">
        <v>45711</v>
      </c>
      <c r="D1851" s="3" t="s">
        <v>45</v>
      </c>
      <c r="E1851" s="3" t="s">
        <v>21</v>
      </c>
      <c r="F1851" s="5">
        <v>2</v>
      </c>
      <c r="G1851" s="6">
        <v>9.39</v>
      </c>
      <c r="H1851" s="6">
        <v>18.78</v>
      </c>
      <c r="I1851" s="6">
        <v>3.76</v>
      </c>
      <c r="J1851" s="6">
        <v>15.02</v>
      </c>
      <c r="K1851" s="5">
        <v>51</v>
      </c>
      <c r="L1851" s="13" t="str">
        <f t="shared" si="56"/>
        <v>Discount Applied</v>
      </c>
      <c r="M1851" s="13" t="str">
        <f t="shared" si="57"/>
        <v>Bronze</v>
      </c>
      <c r="N1851" s="13"/>
    </row>
    <row r="1852" spans="2:14" x14ac:dyDescent="0.3">
      <c r="B1852" s="3" t="s">
        <v>19</v>
      </c>
      <c r="C1852" s="4">
        <v>45189</v>
      </c>
      <c r="D1852" s="3" t="s">
        <v>20</v>
      </c>
      <c r="E1852" s="3" t="s">
        <v>48</v>
      </c>
      <c r="F1852" s="5">
        <v>5</v>
      </c>
      <c r="G1852" s="6">
        <v>27.39</v>
      </c>
      <c r="H1852" s="6">
        <v>136.94999999999999</v>
      </c>
      <c r="I1852" s="6">
        <v>3.21</v>
      </c>
      <c r="J1852" s="6">
        <v>133.74</v>
      </c>
      <c r="K1852" s="5">
        <v>209</v>
      </c>
      <c r="L1852" s="13" t="str">
        <f t="shared" si="56"/>
        <v>Discount Applied</v>
      </c>
      <c r="M1852" s="13" t="str">
        <f t="shared" si="57"/>
        <v>Platinum</v>
      </c>
      <c r="N1852" s="13"/>
    </row>
    <row r="1853" spans="2:14" x14ac:dyDescent="0.3">
      <c r="B1853" s="3" t="s">
        <v>26</v>
      </c>
      <c r="C1853" s="4">
        <v>45211</v>
      </c>
      <c r="D1853" s="3" t="s">
        <v>35</v>
      </c>
      <c r="E1853" s="3" t="s">
        <v>25</v>
      </c>
      <c r="F1853" s="5">
        <v>1</v>
      </c>
      <c r="G1853" s="6">
        <v>20.239999999999998</v>
      </c>
      <c r="H1853" s="6">
        <v>20.239999999999998</v>
      </c>
      <c r="I1853" s="6">
        <v>4.0199999999999996</v>
      </c>
      <c r="J1853" s="6">
        <v>16.22</v>
      </c>
      <c r="K1853" s="5">
        <v>75</v>
      </c>
      <c r="L1853" s="13" t="str">
        <f t="shared" si="56"/>
        <v>Discount Applied</v>
      </c>
      <c r="M1853" s="13" t="str">
        <f t="shared" si="57"/>
        <v>Bronze</v>
      </c>
      <c r="N1853" s="13"/>
    </row>
    <row r="1854" spans="2:14" x14ac:dyDescent="0.3">
      <c r="B1854" s="3" t="s">
        <v>19</v>
      </c>
      <c r="C1854" s="4">
        <v>45235</v>
      </c>
      <c r="D1854" s="3" t="s">
        <v>20</v>
      </c>
      <c r="E1854" s="3" t="s">
        <v>47</v>
      </c>
      <c r="F1854" s="5">
        <v>4</v>
      </c>
      <c r="G1854" s="6">
        <v>14.82</v>
      </c>
      <c r="H1854" s="6">
        <v>59.28</v>
      </c>
      <c r="I1854" s="6">
        <v>3.75</v>
      </c>
      <c r="J1854" s="6">
        <v>55.53</v>
      </c>
      <c r="K1854" s="5">
        <v>392</v>
      </c>
      <c r="L1854" s="13" t="str">
        <f t="shared" si="56"/>
        <v>Discount Applied</v>
      </c>
      <c r="M1854" s="13" t="str">
        <f t="shared" si="57"/>
        <v>Gold</v>
      </c>
      <c r="N1854" s="13"/>
    </row>
    <row r="1855" spans="2:14" x14ac:dyDescent="0.3">
      <c r="B1855" s="3" t="s">
        <v>36</v>
      </c>
      <c r="C1855" s="4">
        <v>45620</v>
      </c>
      <c r="D1855" s="3" t="s">
        <v>45</v>
      </c>
      <c r="E1855" s="3" t="s">
        <v>29</v>
      </c>
      <c r="F1855" s="5">
        <v>4</v>
      </c>
      <c r="G1855" s="6">
        <v>26.92</v>
      </c>
      <c r="H1855" s="6">
        <v>107.68</v>
      </c>
      <c r="I1855" s="6">
        <v>0</v>
      </c>
      <c r="J1855" s="6">
        <v>107.68</v>
      </c>
      <c r="K1855" s="5">
        <v>496</v>
      </c>
      <c r="L1855" s="13" t="str">
        <f t="shared" si="56"/>
        <v>No Discount</v>
      </c>
      <c r="M1855" s="13" t="str">
        <f t="shared" si="57"/>
        <v>Platinum</v>
      </c>
      <c r="N1855" s="13"/>
    </row>
    <row r="1856" spans="2:14" x14ac:dyDescent="0.3">
      <c r="B1856" s="3" t="s">
        <v>36</v>
      </c>
      <c r="C1856" s="4">
        <v>45385</v>
      </c>
      <c r="D1856" s="3" t="s">
        <v>22</v>
      </c>
      <c r="E1856" s="3" t="s">
        <v>43</v>
      </c>
      <c r="F1856" s="5">
        <v>3</v>
      </c>
      <c r="G1856" s="6">
        <v>2.99</v>
      </c>
      <c r="H1856" s="6">
        <v>8.9700000000000006</v>
      </c>
      <c r="I1856" s="6">
        <v>0</v>
      </c>
      <c r="J1856" s="6">
        <v>8.9700000000000006</v>
      </c>
      <c r="K1856" s="5">
        <v>69</v>
      </c>
      <c r="L1856" s="13" t="str">
        <f t="shared" si="56"/>
        <v>No Discount</v>
      </c>
      <c r="M1856" s="13" t="str">
        <f t="shared" si="57"/>
        <v>Bronze</v>
      </c>
      <c r="N1856" s="13"/>
    </row>
    <row r="1857" spans="2:14" x14ac:dyDescent="0.3">
      <c r="B1857" s="3" t="s">
        <v>24</v>
      </c>
      <c r="C1857" s="4">
        <v>45237</v>
      </c>
      <c r="D1857" s="3" t="s">
        <v>34</v>
      </c>
      <c r="E1857" s="3" t="s">
        <v>48</v>
      </c>
      <c r="F1857" s="5">
        <v>2</v>
      </c>
      <c r="G1857" s="6">
        <v>28.88</v>
      </c>
      <c r="H1857" s="6">
        <v>57.76</v>
      </c>
      <c r="I1857" s="6">
        <v>0</v>
      </c>
      <c r="J1857" s="6">
        <v>57.76</v>
      </c>
      <c r="K1857" s="5">
        <v>164</v>
      </c>
      <c r="L1857" s="13" t="str">
        <f t="shared" si="56"/>
        <v>No Discount</v>
      </c>
      <c r="M1857" s="13" t="str">
        <f t="shared" si="57"/>
        <v>Gold</v>
      </c>
      <c r="N1857" s="13"/>
    </row>
    <row r="1858" spans="2:14" x14ac:dyDescent="0.3">
      <c r="B1858" s="3" t="s">
        <v>11</v>
      </c>
      <c r="C1858" s="4">
        <v>45694</v>
      </c>
      <c r="D1858" s="3" t="s">
        <v>22</v>
      </c>
      <c r="E1858" s="3" t="s">
        <v>47</v>
      </c>
      <c r="F1858" s="5">
        <v>1</v>
      </c>
      <c r="G1858" s="6">
        <v>19.02</v>
      </c>
      <c r="H1858" s="6">
        <v>19.02</v>
      </c>
      <c r="I1858" s="6">
        <v>3.8</v>
      </c>
      <c r="J1858" s="6">
        <v>15.22</v>
      </c>
      <c r="K1858" s="5">
        <v>302</v>
      </c>
      <c r="L1858" s="13" t="str">
        <f t="shared" si="56"/>
        <v>Discount Applied</v>
      </c>
      <c r="M1858" s="13" t="str">
        <f t="shared" si="57"/>
        <v>Bronze</v>
      </c>
      <c r="N1858" s="13"/>
    </row>
    <row r="1859" spans="2:14" x14ac:dyDescent="0.3">
      <c r="B1859" s="3" t="s">
        <v>36</v>
      </c>
      <c r="C1859" s="4">
        <v>45689</v>
      </c>
      <c r="D1859" s="3" t="s">
        <v>35</v>
      </c>
      <c r="E1859" s="3" t="s">
        <v>44</v>
      </c>
      <c r="F1859" s="5">
        <v>5</v>
      </c>
      <c r="G1859" s="6">
        <v>9.1199999999999992</v>
      </c>
      <c r="H1859" s="6">
        <v>45.6</v>
      </c>
      <c r="I1859" s="6">
        <v>4.5599999999999996</v>
      </c>
      <c r="J1859" s="6">
        <v>41.04</v>
      </c>
      <c r="K1859" s="5">
        <v>266</v>
      </c>
      <c r="L1859" s="13" t="str">
        <f t="shared" ref="L1859:L1922" si="58">IF(I1859&gt;0,"Discount Applied","No Discount")</f>
        <v>Discount Applied</v>
      </c>
      <c r="M1859" s="13" t="str">
        <f t="shared" ref="M1859:M1922" si="59">IF(J1859 &gt;= 70, "Platinum",
   IF(J1859 &gt;= 50, "Gold",
      IF(J1859 &gt;= 20, "Silver", "Bronze")))</f>
        <v>Silver</v>
      </c>
      <c r="N1859" s="13"/>
    </row>
    <row r="1860" spans="2:14" x14ac:dyDescent="0.3">
      <c r="B1860" s="3" t="s">
        <v>36</v>
      </c>
      <c r="C1860" s="4">
        <v>45272</v>
      </c>
      <c r="D1860" s="3" t="s">
        <v>34</v>
      </c>
      <c r="E1860" s="3" t="s">
        <v>40</v>
      </c>
      <c r="F1860" s="5">
        <v>2</v>
      </c>
      <c r="G1860" s="6">
        <v>21.3</v>
      </c>
      <c r="H1860" s="6">
        <v>42.6</v>
      </c>
      <c r="I1860" s="6">
        <v>4.26</v>
      </c>
      <c r="J1860" s="6">
        <v>38.340000000000003</v>
      </c>
      <c r="K1860" s="5">
        <v>134</v>
      </c>
      <c r="L1860" s="13" t="str">
        <f t="shared" si="58"/>
        <v>Discount Applied</v>
      </c>
      <c r="M1860" s="13" t="str">
        <f t="shared" si="59"/>
        <v>Silver</v>
      </c>
      <c r="N1860" s="13"/>
    </row>
    <row r="1861" spans="2:14" x14ac:dyDescent="0.3">
      <c r="B1861" s="3" t="s">
        <v>36</v>
      </c>
      <c r="C1861" s="4">
        <v>45414</v>
      </c>
      <c r="D1861" s="3" t="s">
        <v>12</v>
      </c>
      <c r="E1861" s="3" t="s">
        <v>13</v>
      </c>
      <c r="F1861" s="5">
        <v>4</v>
      </c>
      <c r="G1861" s="6">
        <v>20.11</v>
      </c>
      <c r="H1861" s="6">
        <v>80.44</v>
      </c>
      <c r="I1861" s="6">
        <v>16.09</v>
      </c>
      <c r="J1861" s="6">
        <v>64.349999999999994</v>
      </c>
      <c r="K1861" s="5">
        <v>170</v>
      </c>
      <c r="L1861" s="13" t="str">
        <f t="shared" si="58"/>
        <v>Discount Applied</v>
      </c>
      <c r="M1861" s="13" t="str">
        <f t="shared" si="59"/>
        <v>Gold</v>
      </c>
      <c r="N1861" s="13"/>
    </row>
    <row r="1862" spans="2:14" x14ac:dyDescent="0.3">
      <c r="B1862" s="3" t="s">
        <v>31</v>
      </c>
      <c r="C1862" s="4">
        <v>45546</v>
      </c>
      <c r="D1862" s="3" t="s">
        <v>28</v>
      </c>
      <c r="E1862" s="3" t="s">
        <v>39</v>
      </c>
      <c r="F1862" s="5">
        <v>3</v>
      </c>
      <c r="G1862" s="6">
        <v>12.03</v>
      </c>
      <c r="H1862" s="6">
        <v>36.090000000000003</v>
      </c>
      <c r="I1862" s="6">
        <v>3.61</v>
      </c>
      <c r="J1862" s="6">
        <v>32.479999999999997</v>
      </c>
      <c r="K1862" s="5">
        <v>463</v>
      </c>
      <c r="L1862" s="13" t="str">
        <f t="shared" si="58"/>
        <v>Discount Applied</v>
      </c>
      <c r="M1862" s="13" t="str">
        <f t="shared" si="59"/>
        <v>Silver</v>
      </c>
      <c r="N1862" s="13"/>
    </row>
    <row r="1863" spans="2:14" x14ac:dyDescent="0.3">
      <c r="B1863" s="3" t="s">
        <v>24</v>
      </c>
      <c r="C1863" s="4">
        <v>45274</v>
      </c>
      <c r="D1863" s="3" t="s">
        <v>12</v>
      </c>
      <c r="E1863" s="3" t="s">
        <v>13</v>
      </c>
      <c r="F1863" s="5">
        <v>4</v>
      </c>
      <c r="G1863" s="6">
        <v>10.72</v>
      </c>
      <c r="H1863" s="6">
        <v>42.88</v>
      </c>
      <c r="I1863" s="6">
        <v>4.29</v>
      </c>
      <c r="J1863" s="6">
        <v>38.590000000000003</v>
      </c>
      <c r="K1863" s="5">
        <v>411</v>
      </c>
      <c r="L1863" s="13" t="str">
        <f t="shared" si="58"/>
        <v>Discount Applied</v>
      </c>
      <c r="M1863" s="13" t="str">
        <f t="shared" si="59"/>
        <v>Silver</v>
      </c>
      <c r="N1863" s="13"/>
    </row>
    <row r="1864" spans="2:14" x14ac:dyDescent="0.3">
      <c r="B1864" s="3" t="s">
        <v>36</v>
      </c>
      <c r="C1864" s="4">
        <v>45243</v>
      </c>
      <c r="D1864" s="3" t="s">
        <v>34</v>
      </c>
      <c r="E1864" s="3" t="s">
        <v>23</v>
      </c>
      <c r="F1864" s="5">
        <v>3</v>
      </c>
      <c r="G1864" s="6">
        <v>17.010000000000002</v>
      </c>
      <c r="H1864" s="6">
        <v>51.03</v>
      </c>
      <c r="I1864" s="6">
        <v>7.65</v>
      </c>
      <c r="J1864" s="6">
        <v>43.38</v>
      </c>
      <c r="K1864" s="5">
        <v>250</v>
      </c>
      <c r="L1864" s="13" t="str">
        <f t="shared" si="58"/>
        <v>Discount Applied</v>
      </c>
      <c r="M1864" s="13" t="str">
        <f t="shared" si="59"/>
        <v>Silver</v>
      </c>
      <c r="N1864" s="13"/>
    </row>
    <row r="1865" spans="2:14" x14ac:dyDescent="0.3">
      <c r="B1865" s="3" t="s">
        <v>11</v>
      </c>
      <c r="C1865" s="4">
        <v>45714</v>
      </c>
      <c r="D1865" s="3" t="s">
        <v>45</v>
      </c>
      <c r="E1865" s="3" t="s">
        <v>43</v>
      </c>
      <c r="F1865" s="5">
        <v>3</v>
      </c>
      <c r="G1865" s="6">
        <v>25.97</v>
      </c>
      <c r="H1865" s="6">
        <v>77.91</v>
      </c>
      <c r="I1865" s="6">
        <v>4.24</v>
      </c>
      <c r="J1865" s="6">
        <v>73.67</v>
      </c>
      <c r="K1865" s="5">
        <v>458</v>
      </c>
      <c r="L1865" s="13" t="str">
        <f t="shared" si="58"/>
        <v>Discount Applied</v>
      </c>
      <c r="M1865" s="13" t="str">
        <f t="shared" si="59"/>
        <v>Platinum</v>
      </c>
      <c r="N1865" s="13"/>
    </row>
    <row r="1866" spans="2:14" x14ac:dyDescent="0.3">
      <c r="B1866" s="3" t="s">
        <v>11</v>
      </c>
      <c r="C1866" s="4">
        <v>45744</v>
      </c>
      <c r="D1866" s="3" t="s">
        <v>17</v>
      </c>
      <c r="E1866" s="3" t="s">
        <v>43</v>
      </c>
      <c r="F1866" s="5">
        <v>2</v>
      </c>
      <c r="G1866" s="6">
        <v>11.82</v>
      </c>
      <c r="H1866" s="6">
        <v>23.64</v>
      </c>
      <c r="I1866" s="6">
        <v>4.45</v>
      </c>
      <c r="J1866" s="6">
        <v>19.190000000000001</v>
      </c>
      <c r="K1866" s="5">
        <v>78</v>
      </c>
      <c r="L1866" s="13" t="str">
        <f t="shared" si="58"/>
        <v>Discount Applied</v>
      </c>
      <c r="M1866" s="13" t="str">
        <f t="shared" si="59"/>
        <v>Bronze</v>
      </c>
      <c r="N1866" s="13"/>
    </row>
    <row r="1867" spans="2:14" x14ac:dyDescent="0.3">
      <c r="B1867" s="3" t="s">
        <v>31</v>
      </c>
      <c r="C1867" s="4">
        <v>45405</v>
      </c>
      <c r="D1867" s="3" t="s">
        <v>12</v>
      </c>
      <c r="E1867" s="3" t="s">
        <v>21</v>
      </c>
      <c r="F1867" s="5">
        <v>5</v>
      </c>
      <c r="G1867" s="6">
        <v>3.03</v>
      </c>
      <c r="H1867" s="6">
        <v>15.15</v>
      </c>
      <c r="I1867" s="6">
        <v>0</v>
      </c>
      <c r="J1867" s="6">
        <v>15.15</v>
      </c>
      <c r="K1867" s="5">
        <v>298</v>
      </c>
      <c r="L1867" s="13" t="str">
        <f t="shared" si="58"/>
        <v>No Discount</v>
      </c>
      <c r="M1867" s="13" t="str">
        <f t="shared" si="59"/>
        <v>Bronze</v>
      </c>
      <c r="N1867" s="13"/>
    </row>
    <row r="1868" spans="2:14" x14ac:dyDescent="0.3">
      <c r="B1868" s="3" t="s">
        <v>36</v>
      </c>
      <c r="C1868" s="4">
        <v>45356</v>
      </c>
      <c r="D1868" s="3" t="s">
        <v>27</v>
      </c>
      <c r="E1868" s="3" t="s">
        <v>48</v>
      </c>
      <c r="F1868" s="5">
        <v>5</v>
      </c>
      <c r="G1868" s="6">
        <v>4.53</v>
      </c>
      <c r="H1868" s="6">
        <v>22.65</v>
      </c>
      <c r="I1868" s="6">
        <v>4.53</v>
      </c>
      <c r="J1868" s="6">
        <v>18.12</v>
      </c>
      <c r="K1868" s="5">
        <v>360</v>
      </c>
      <c r="L1868" s="13" t="str">
        <f t="shared" si="58"/>
        <v>Discount Applied</v>
      </c>
      <c r="M1868" s="13" t="str">
        <f t="shared" si="59"/>
        <v>Bronze</v>
      </c>
      <c r="N1868" s="13"/>
    </row>
    <row r="1869" spans="2:14" x14ac:dyDescent="0.3">
      <c r="B1869" s="3" t="s">
        <v>11</v>
      </c>
      <c r="C1869" s="4">
        <v>45194</v>
      </c>
      <c r="D1869" s="3" t="s">
        <v>34</v>
      </c>
      <c r="E1869" s="3" t="s">
        <v>43</v>
      </c>
      <c r="F1869" s="5">
        <v>1</v>
      </c>
      <c r="G1869" s="6">
        <v>1.1000000000000001</v>
      </c>
      <c r="H1869" s="6">
        <v>1.1000000000000001</v>
      </c>
      <c r="I1869" s="6">
        <v>0.22</v>
      </c>
      <c r="J1869" s="6">
        <v>0.88</v>
      </c>
      <c r="K1869" s="5">
        <v>405</v>
      </c>
      <c r="L1869" s="13" t="str">
        <f t="shared" si="58"/>
        <v>Discount Applied</v>
      </c>
      <c r="M1869" s="13" t="str">
        <f t="shared" si="59"/>
        <v>Bronze</v>
      </c>
      <c r="N1869" s="13"/>
    </row>
    <row r="1870" spans="2:14" x14ac:dyDescent="0.3">
      <c r="B1870" s="3" t="s">
        <v>31</v>
      </c>
      <c r="C1870" s="4">
        <v>45698</v>
      </c>
      <c r="D1870" s="3" t="s">
        <v>15</v>
      </c>
      <c r="E1870" s="3" t="s">
        <v>32</v>
      </c>
      <c r="F1870" s="5">
        <v>3</v>
      </c>
      <c r="G1870" s="6">
        <v>19.13</v>
      </c>
      <c r="H1870" s="6">
        <v>57.39</v>
      </c>
      <c r="I1870" s="6">
        <v>11.48</v>
      </c>
      <c r="J1870" s="6">
        <v>45.91</v>
      </c>
      <c r="K1870" s="5">
        <v>98</v>
      </c>
      <c r="L1870" s="13" t="str">
        <f t="shared" si="58"/>
        <v>Discount Applied</v>
      </c>
      <c r="M1870" s="13" t="str">
        <f t="shared" si="59"/>
        <v>Silver</v>
      </c>
      <c r="N1870" s="13"/>
    </row>
    <row r="1871" spans="2:14" x14ac:dyDescent="0.3">
      <c r="B1871" s="3" t="s">
        <v>26</v>
      </c>
      <c r="C1871" s="4">
        <v>45530</v>
      </c>
      <c r="D1871" s="3" t="s">
        <v>28</v>
      </c>
      <c r="E1871" s="3" t="s">
        <v>29</v>
      </c>
      <c r="F1871" s="5">
        <v>4</v>
      </c>
      <c r="G1871" s="6">
        <v>9.34</v>
      </c>
      <c r="H1871" s="6">
        <v>37.36</v>
      </c>
      <c r="I1871" s="6">
        <v>3.74</v>
      </c>
      <c r="J1871" s="6">
        <v>33.619999999999997</v>
      </c>
      <c r="K1871" s="5">
        <v>346</v>
      </c>
      <c r="L1871" s="13" t="str">
        <f t="shared" si="58"/>
        <v>Discount Applied</v>
      </c>
      <c r="M1871" s="13" t="str">
        <f t="shared" si="59"/>
        <v>Silver</v>
      </c>
      <c r="N1871" s="13"/>
    </row>
    <row r="1872" spans="2:14" x14ac:dyDescent="0.3">
      <c r="B1872" s="3" t="s">
        <v>19</v>
      </c>
      <c r="C1872" s="4">
        <v>45541</v>
      </c>
      <c r="D1872" s="3" t="s">
        <v>38</v>
      </c>
      <c r="E1872" s="3" t="s">
        <v>39</v>
      </c>
      <c r="F1872" s="5">
        <v>1</v>
      </c>
      <c r="G1872" s="6">
        <v>6.09</v>
      </c>
      <c r="H1872" s="6">
        <v>6.09</v>
      </c>
      <c r="I1872" s="6">
        <v>1.22</v>
      </c>
      <c r="J1872" s="6">
        <v>4.87</v>
      </c>
      <c r="K1872" s="5">
        <v>101</v>
      </c>
      <c r="L1872" s="13" t="str">
        <f t="shared" si="58"/>
        <v>Discount Applied</v>
      </c>
      <c r="M1872" s="13" t="str">
        <f t="shared" si="59"/>
        <v>Bronze</v>
      </c>
      <c r="N1872" s="13"/>
    </row>
    <row r="1873" spans="2:14" x14ac:dyDescent="0.3">
      <c r="B1873" s="3" t="s">
        <v>14</v>
      </c>
      <c r="C1873" s="4">
        <v>45188</v>
      </c>
      <c r="D1873" s="3" t="s">
        <v>28</v>
      </c>
      <c r="E1873" s="3" t="s">
        <v>44</v>
      </c>
      <c r="F1873" s="5">
        <v>1</v>
      </c>
      <c r="G1873" s="6">
        <v>21.37</v>
      </c>
      <c r="H1873" s="6">
        <v>21.37</v>
      </c>
      <c r="I1873" s="6">
        <v>4.2699999999999996</v>
      </c>
      <c r="J1873" s="6">
        <v>17.100000000000001</v>
      </c>
      <c r="K1873" s="5">
        <v>38</v>
      </c>
      <c r="L1873" s="13" t="str">
        <f t="shared" si="58"/>
        <v>Discount Applied</v>
      </c>
      <c r="M1873" s="13" t="str">
        <f t="shared" si="59"/>
        <v>Bronze</v>
      </c>
      <c r="N1873" s="13"/>
    </row>
    <row r="1874" spans="2:14" x14ac:dyDescent="0.3">
      <c r="B1874" s="3" t="s">
        <v>36</v>
      </c>
      <c r="C1874" s="4">
        <v>45812</v>
      </c>
      <c r="D1874" s="3" t="s">
        <v>17</v>
      </c>
      <c r="E1874" s="3" t="s">
        <v>29</v>
      </c>
      <c r="F1874" s="5">
        <v>4</v>
      </c>
      <c r="G1874" s="6">
        <v>19.41</v>
      </c>
      <c r="H1874" s="6">
        <v>77.64</v>
      </c>
      <c r="I1874" s="6">
        <v>2.65</v>
      </c>
      <c r="J1874" s="6">
        <v>74.989999999999995</v>
      </c>
      <c r="K1874" s="5">
        <v>303</v>
      </c>
      <c r="L1874" s="13" t="str">
        <f t="shared" si="58"/>
        <v>Discount Applied</v>
      </c>
      <c r="M1874" s="13" t="str">
        <f t="shared" si="59"/>
        <v>Platinum</v>
      </c>
      <c r="N1874" s="13"/>
    </row>
    <row r="1875" spans="2:14" x14ac:dyDescent="0.3">
      <c r="B1875" s="3" t="s">
        <v>30</v>
      </c>
      <c r="C1875" s="4">
        <v>45430</v>
      </c>
      <c r="D1875" s="3" t="s">
        <v>17</v>
      </c>
      <c r="E1875" s="3" t="s">
        <v>16</v>
      </c>
      <c r="F1875" s="5">
        <v>3</v>
      </c>
      <c r="G1875" s="6">
        <v>24.9</v>
      </c>
      <c r="H1875" s="6">
        <v>74.7</v>
      </c>
      <c r="I1875" s="6">
        <v>1.03</v>
      </c>
      <c r="J1875" s="6">
        <v>73.67</v>
      </c>
      <c r="K1875" s="5">
        <v>376</v>
      </c>
      <c r="L1875" s="13" t="str">
        <f t="shared" si="58"/>
        <v>Discount Applied</v>
      </c>
      <c r="M1875" s="13" t="str">
        <f t="shared" si="59"/>
        <v>Platinum</v>
      </c>
      <c r="N1875" s="13"/>
    </row>
    <row r="1876" spans="2:14" x14ac:dyDescent="0.3">
      <c r="B1876" s="3" t="s">
        <v>30</v>
      </c>
      <c r="C1876" s="4">
        <v>45343</v>
      </c>
      <c r="D1876" s="3" t="s">
        <v>35</v>
      </c>
      <c r="E1876" s="3" t="s">
        <v>29</v>
      </c>
      <c r="F1876" s="5">
        <v>1</v>
      </c>
      <c r="G1876" s="6">
        <v>2.78</v>
      </c>
      <c r="H1876" s="6">
        <v>2.78</v>
      </c>
      <c r="I1876" s="6">
        <v>0</v>
      </c>
      <c r="J1876" s="6">
        <v>2.78</v>
      </c>
      <c r="K1876" s="5">
        <v>252</v>
      </c>
      <c r="L1876" s="13" t="str">
        <f t="shared" si="58"/>
        <v>No Discount</v>
      </c>
      <c r="M1876" s="13" t="str">
        <f t="shared" si="59"/>
        <v>Bronze</v>
      </c>
      <c r="N1876" s="13"/>
    </row>
    <row r="1877" spans="2:14" x14ac:dyDescent="0.3">
      <c r="B1877" s="3" t="s">
        <v>31</v>
      </c>
      <c r="C1877" s="4">
        <v>45839</v>
      </c>
      <c r="D1877" s="3" t="s">
        <v>28</v>
      </c>
      <c r="E1877" s="3" t="s">
        <v>16</v>
      </c>
      <c r="F1877" s="5">
        <v>1</v>
      </c>
      <c r="G1877" s="6">
        <v>20.54</v>
      </c>
      <c r="H1877" s="6">
        <v>20.54</v>
      </c>
      <c r="I1877" s="6">
        <v>4.91</v>
      </c>
      <c r="J1877" s="6">
        <v>15.63</v>
      </c>
      <c r="K1877" s="5">
        <v>460</v>
      </c>
      <c r="L1877" s="13" t="str">
        <f t="shared" si="58"/>
        <v>Discount Applied</v>
      </c>
      <c r="M1877" s="13" t="str">
        <f t="shared" si="59"/>
        <v>Bronze</v>
      </c>
      <c r="N1877" s="13"/>
    </row>
    <row r="1878" spans="2:14" x14ac:dyDescent="0.3">
      <c r="B1878" s="3" t="s">
        <v>11</v>
      </c>
      <c r="C1878" s="4">
        <v>45322</v>
      </c>
      <c r="D1878" s="3" t="s">
        <v>22</v>
      </c>
      <c r="E1878" s="3" t="s">
        <v>23</v>
      </c>
      <c r="F1878" s="5">
        <v>5</v>
      </c>
      <c r="G1878" s="6">
        <v>20.66</v>
      </c>
      <c r="H1878" s="6">
        <v>103.3</v>
      </c>
      <c r="I1878" s="6">
        <v>0</v>
      </c>
      <c r="J1878" s="6">
        <v>103.3</v>
      </c>
      <c r="K1878" s="5">
        <v>33</v>
      </c>
      <c r="L1878" s="13" t="str">
        <f t="shared" si="58"/>
        <v>No Discount</v>
      </c>
      <c r="M1878" s="13" t="str">
        <f t="shared" si="59"/>
        <v>Platinum</v>
      </c>
      <c r="N1878" s="13"/>
    </row>
    <row r="1879" spans="2:14" x14ac:dyDescent="0.3">
      <c r="B1879" s="3" t="s">
        <v>36</v>
      </c>
      <c r="C1879" s="4">
        <v>45146</v>
      </c>
      <c r="D1879" s="3" t="s">
        <v>45</v>
      </c>
      <c r="E1879" s="3" t="s">
        <v>23</v>
      </c>
      <c r="F1879" s="5">
        <v>4</v>
      </c>
      <c r="G1879" s="6">
        <v>11.73</v>
      </c>
      <c r="H1879" s="6">
        <v>46.92</v>
      </c>
      <c r="I1879" s="6">
        <v>7.04</v>
      </c>
      <c r="J1879" s="6">
        <v>39.880000000000003</v>
      </c>
      <c r="K1879" s="5">
        <v>153</v>
      </c>
      <c r="L1879" s="13" t="str">
        <f t="shared" si="58"/>
        <v>Discount Applied</v>
      </c>
      <c r="M1879" s="13" t="str">
        <f t="shared" si="59"/>
        <v>Silver</v>
      </c>
      <c r="N1879" s="13"/>
    </row>
    <row r="1880" spans="2:14" x14ac:dyDescent="0.3">
      <c r="B1880" s="3" t="s">
        <v>14</v>
      </c>
      <c r="C1880" s="4">
        <v>45811</v>
      </c>
      <c r="D1880" s="3" t="s">
        <v>17</v>
      </c>
      <c r="E1880" s="3" t="s">
        <v>25</v>
      </c>
      <c r="F1880" s="5">
        <v>5</v>
      </c>
      <c r="G1880" s="6">
        <v>5.94</v>
      </c>
      <c r="H1880" s="6">
        <v>29.7</v>
      </c>
      <c r="I1880" s="6">
        <v>2.97</v>
      </c>
      <c r="J1880" s="6">
        <v>26.73</v>
      </c>
      <c r="K1880" s="5">
        <v>353</v>
      </c>
      <c r="L1880" s="13" t="str">
        <f t="shared" si="58"/>
        <v>Discount Applied</v>
      </c>
      <c r="M1880" s="13" t="str">
        <f t="shared" si="59"/>
        <v>Silver</v>
      </c>
      <c r="N1880" s="13"/>
    </row>
    <row r="1881" spans="2:14" x14ac:dyDescent="0.3">
      <c r="B1881" s="3" t="s">
        <v>26</v>
      </c>
      <c r="C1881" s="4">
        <v>45334</v>
      </c>
      <c r="D1881" s="3" t="s">
        <v>45</v>
      </c>
      <c r="E1881" s="3" t="s">
        <v>21</v>
      </c>
      <c r="F1881" s="5">
        <v>4</v>
      </c>
      <c r="G1881" s="6">
        <v>14.44</v>
      </c>
      <c r="H1881" s="6">
        <v>57.76</v>
      </c>
      <c r="I1881" s="6">
        <v>5.78</v>
      </c>
      <c r="J1881" s="6">
        <v>51.98</v>
      </c>
      <c r="K1881" s="5">
        <v>460</v>
      </c>
      <c r="L1881" s="13" t="str">
        <f t="shared" si="58"/>
        <v>Discount Applied</v>
      </c>
      <c r="M1881" s="13" t="str">
        <f t="shared" si="59"/>
        <v>Gold</v>
      </c>
      <c r="N1881" s="13"/>
    </row>
    <row r="1882" spans="2:14" x14ac:dyDescent="0.3">
      <c r="B1882" s="3" t="s">
        <v>19</v>
      </c>
      <c r="C1882" s="4">
        <v>45511</v>
      </c>
      <c r="D1882" s="3" t="s">
        <v>34</v>
      </c>
      <c r="E1882" s="3" t="s">
        <v>32</v>
      </c>
      <c r="F1882" s="5">
        <v>4</v>
      </c>
      <c r="G1882" s="6">
        <v>28.53</v>
      </c>
      <c r="H1882" s="6">
        <v>114.12</v>
      </c>
      <c r="I1882" s="6">
        <v>17.12</v>
      </c>
      <c r="J1882" s="6">
        <v>97</v>
      </c>
      <c r="K1882" s="5">
        <v>447</v>
      </c>
      <c r="L1882" s="13" t="str">
        <f t="shared" si="58"/>
        <v>Discount Applied</v>
      </c>
      <c r="M1882" s="13" t="str">
        <f t="shared" si="59"/>
        <v>Platinum</v>
      </c>
      <c r="N1882" s="13"/>
    </row>
    <row r="1883" spans="2:14" x14ac:dyDescent="0.3">
      <c r="B1883" s="3" t="s">
        <v>24</v>
      </c>
      <c r="C1883" s="4">
        <v>45442</v>
      </c>
      <c r="D1883" s="3" t="s">
        <v>27</v>
      </c>
      <c r="E1883" s="3" t="s">
        <v>41</v>
      </c>
      <c r="F1883" s="5">
        <v>4</v>
      </c>
      <c r="G1883" s="6">
        <v>11.6</v>
      </c>
      <c r="H1883" s="6">
        <v>46.4</v>
      </c>
      <c r="I1883" s="6">
        <v>9.2799999999999994</v>
      </c>
      <c r="J1883" s="6">
        <v>37.119999999999997</v>
      </c>
      <c r="K1883" s="5">
        <v>222</v>
      </c>
      <c r="L1883" s="13" t="str">
        <f t="shared" si="58"/>
        <v>Discount Applied</v>
      </c>
      <c r="M1883" s="13" t="str">
        <f t="shared" si="59"/>
        <v>Silver</v>
      </c>
      <c r="N1883" s="13"/>
    </row>
    <row r="1884" spans="2:14" x14ac:dyDescent="0.3">
      <c r="B1884" s="3" t="s">
        <v>19</v>
      </c>
      <c r="C1884" s="4">
        <v>45284</v>
      </c>
      <c r="D1884" s="3" t="s">
        <v>17</v>
      </c>
      <c r="E1884" s="3" t="s">
        <v>48</v>
      </c>
      <c r="F1884" s="5">
        <v>1</v>
      </c>
      <c r="G1884" s="6">
        <v>12.34</v>
      </c>
      <c r="H1884" s="6">
        <v>12.34</v>
      </c>
      <c r="I1884" s="6">
        <v>1.85</v>
      </c>
      <c r="J1884" s="6">
        <v>10.49</v>
      </c>
      <c r="K1884" s="5">
        <v>76</v>
      </c>
      <c r="L1884" s="13" t="str">
        <f t="shared" si="58"/>
        <v>Discount Applied</v>
      </c>
      <c r="M1884" s="13" t="str">
        <f t="shared" si="59"/>
        <v>Bronze</v>
      </c>
      <c r="N1884" s="13"/>
    </row>
    <row r="1885" spans="2:14" x14ac:dyDescent="0.3">
      <c r="B1885" s="3" t="s">
        <v>42</v>
      </c>
      <c r="C1885" s="4">
        <v>45574</v>
      </c>
      <c r="D1885" s="3" t="s">
        <v>12</v>
      </c>
      <c r="E1885" s="3" t="s">
        <v>47</v>
      </c>
      <c r="F1885" s="5">
        <v>4</v>
      </c>
      <c r="G1885" s="6">
        <v>5.58</v>
      </c>
      <c r="H1885" s="6">
        <v>22.32</v>
      </c>
      <c r="I1885" s="6">
        <v>4.46</v>
      </c>
      <c r="J1885" s="6">
        <v>17.86</v>
      </c>
      <c r="K1885" s="5">
        <v>424</v>
      </c>
      <c r="L1885" s="13" t="str">
        <f t="shared" si="58"/>
        <v>Discount Applied</v>
      </c>
      <c r="M1885" s="13" t="str">
        <f t="shared" si="59"/>
        <v>Bronze</v>
      </c>
      <c r="N1885" s="13"/>
    </row>
    <row r="1886" spans="2:14" x14ac:dyDescent="0.3">
      <c r="B1886" s="3" t="s">
        <v>42</v>
      </c>
      <c r="C1886" s="4">
        <v>45319</v>
      </c>
      <c r="D1886" s="3" t="s">
        <v>45</v>
      </c>
      <c r="E1886" s="3" t="s">
        <v>47</v>
      </c>
      <c r="F1886" s="5">
        <v>4</v>
      </c>
      <c r="G1886" s="6">
        <v>13.61</v>
      </c>
      <c r="H1886" s="6">
        <v>54.44</v>
      </c>
      <c r="I1886" s="6">
        <v>5.44</v>
      </c>
      <c r="J1886" s="6">
        <v>49</v>
      </c>
      <c r="K1886" s="5">
        <v>436</v>
      </c>
      <c r="L1886" s="13" t="str">
        <f t="shared" si="58"/>
        <v>Discount Applied</v>
      </c>
      <c r="M1886" s="13" t="str">
        <f t="shared" si="59"/>
        <v>Silver</v>
      </c>
      <c r="N1886" s="13"/>
    </row>
    <row r="1887" spans="2:14" x14ac:dyDescent="0.3">
      <c r="B1887" s="3" t="s">
        <v>31</v>
      </c>
      <c r="C1887" s="4">
        <v>45337</v>
      </c>
      <c r="D1887" s="3" t="s">
        <v>22</v>
      </c>
      <c r="E1887" s="3" t="s">
        <v>48</v>
      </c>
      <c r="F1887" s="5">
        <v>1</v>
      </c>
      <c r="G1887" s="6">
        <v>28.63</v>
      </c>
      <c r="H1887" s="6">
        <v>28.63</v>
      </c>
      <c r="I1887" s="6">
        <v>2.16</v>
      </c>
      <c r="J1887" s="6">
        <v>26.47</v>
      </c>
      <c r="K1887" s="5">
        <v>361</v>
      </c>
      <c r="L1887" s="13" t="str">
        <f t="shared" si="58"/>
        <v>Discount Applied</v>
      </c>
      <c r="M1887" s="13" t="str">
        <f t="shared" si="59"/>
        <v>Silver</v>
      </c>
      <c r="N1887" s="13"/>
    </row>
    <row r="1888" spans="2:14" x14ac:dyDescent="0.3">
      <c r="B1888" s="3" t="s">
        <v>42</v>
      </c>
      <c r="C1888" s="4">
        <v>45856</v>
      </c>
      <c r="D1888" s="3" t="s">
        <v>38</v>
      </c>
      <c r="E1888" s="3" t="s">
        <v>47</v>
      </c>
      <c r="F1888" s="5">
        <v>2</v>
      </c>
      <c r="G1888" s="6">
        <v>13.06</v>
      </c>
      <c r="H1888" s="6">
        <v>26.12</v>
      </c>
      <c r="I1888" s="6">
        <v>0</v>
      </c>
      <c r="J1888" s="6">
        <v>26.12</v>
      </c>
      <c r="K1888" s="5">
        <v>6</v>
      </c>
      <c r="L1888" s="13" t="str">
        <f t="shared" si="58"/>
        <v>No Discount</v>
      </c>
      <c r="M1888" s="13" t="str">
        <f t="shared" si="59"/>
        <v>Silver</v>
      </c>
      <c r="N1888" s="13"/>
    </row>
    <row r="1889" spans="2:14" x14ac:dyDescent="0.3">
      <c r="B1889" s="3" t="s">
        <v>19</v>
      </c>
      <c r="C1889" s="4">
        <v>45355</v>
      </c>
      <c r="D1889" s="3" t="s">
        <v>22</v>
      </c>
      <c r="E1889" s="3" t="s">
        <v>37</v>
      </c>
      <c r="F1889" s="5">
        <v>5</v>
      </c>
      <c r="G1889" s="6">
        <v>13.43</v>
      </c>
      <c r="H1889" s="6">
        <v>67.150000000000006</v>
      </c>
      <c r="I1889" s="6">
        <v>2.13</v>
      </c>
      <c r="J1889" s="6">
        <v>65.02</v>
      </c>
      <c r="K1889" s="5">
        <v>62</v>
      </c>
      <c r="L1889" s="13" t="str">
        <f t="shared" si="58"/>
        <v>Discount Applied</v>
      </c>
      <c r="M1889" s="13" t="str">
        <f t="shared" si="59"/>
        <v>Gold</v>
      </c>
      <c r="N1889" s="13"/>
    </row>
    <row r="1890" spans="2:14" x14ac:dyDescent="0.3">
      <c r="B1890" s="3" t="s">
        <v>36</v>
      </c>
      <c r="C1890" s="4">
        <v>45588</v>
      </c>
      <c r="D1890" s="3" t="s">
        <v>34</v>
      </c>
      <c r="E1890" s="3" t="s">
        <v>23</v>
      </c>
      <c r="F1890" s="5">
        <v>5</v>
      </c>
      <c r="G1890" s="6">
        <v>29.13</v>
      </c>
      <c r="H1890" s="6">
        <v>145.65</v>
      </c>
      <c r="I1890" s="6">
        <v>14.57</v>
      </c>
      <c r="J1890" s="6">
        <v>131.08000000000001</v>
      </c>
      <c r="K1890" s="5">
        <v>32</v>
      </c>
      <c r="L1890" s="13" t="str">
        <f t="shared" si="58"/>
        <v>Discount Applied</v>
      </c>
      <c r="M1890" s="13" t="str">
        <f t="shared" si="59"/>
        <v>Platinum</v>
      </c>
      <c r="N1890" s="13"/>
    </row>
    <row r="1891" spans="2:14" x14ac:dyDescent="0.3">
      <c r="B1891" s="3" t="s">
        <v>36</v>
      </c>
      <c r="C1891" s="4">
        <v>45237</v>
      </c>
      <c r="D1891" s="3" t="s">
        <v>20</v>
      </c>
      <c r="E1891" s="3" t="s">
        <v>25</v>
      </c>
      <c r="F1891" s="5">
        <v>2</v>
      </c>
      <c r="G1891" s="6">
        <v>28.38</v>
      </c>
      <c r="H1891" s="6">
        <v>56.76</v>
      </c>
      <c r="I1891" s="6">
        <v>8.51</v>
      </c>
      <c r="J1891" s="6">
        <v>48.25</v>
      </c>
      <c r="K1891" s="5">
        <v>352</v>
      </c>
      <c r="L1891" s="13" t="str">
        <f t="shared" si="58"/>
        <v>Discount Applied</v>
      </c>
      <c r="M1891" s="13" t="str">
        <f t="shared" si="59"/>
        <v>Silver</v>
      </c>
      <c r="N1891" s="13"/>
    </row>
    <row r="1892" spans="2:14" x14ac:dyDescent="0.3">
      <c r="B1892" s="3" t="s">
        <v>26</v>
      </c>
      <c r="C1892" s="4">
        <v>45667</v>
      </c>
      <c r="D1892" s="3" t="s">
        <v>35</v>
      </c>
      <c r="E1892" s="3" t="s">
        <v>18</v>
      </c>
      <c r="F1892" s="5">
        <v>3</v>
      </c>
      <c r="G1892" s="6">
        <v>17.73</v>
      </c>
      <c r="H1892" s="6">
        <v>53.19</v>
      </c>
      <c r="I1892" s="6">
        <v>10.64</v>
      </c>
      <c r="J1892" s="6">
        <v>42.55</v>
      </c>
      <c r="K1892" s="5">
        <v>169</v>
      </c>
      <c r="L1892" s="13" t="str">
        <f t="shared" si="58"/>
        <v>Discount Applied</v>
      </c>
      <c r="M1892" s="13" t="str">
        <f t="shared" si="59"/>
        <v>Silver</v>
      </c>
      <c r="N1892" s="13"/>
    </row>
    <row r="1893" spans="2:14" x14ac:dyDescent="0.3">
      <c r="B1893" s="3" t="s">
        <v>36</v>
      </c>
      <c r="C1893" s="4">
        <v>45284</v>
      </c>
      <c r="D1893" s="3" t="s">
        <v>27</v>
      </c>
      <c r="E1893" s="3" t="s">
        <v>25</v>
      </c>
      <c r="F1893" s="5">
        <v>5</v>
      </c>
      <c r="G1893" s="6">
        <v>18.66</v>
      </c>
      <c r="H1893" s="6">
        <v>93.3</v>
      </c>
      <c r="I1893" s="6">
        <v>9.33</v>
      </c>
      <c r="J1893" s="6">
        <v>83.97</v>
      </c>
      <c r="K1893" s="5">
        <v>416</v>
      </c>
      <c r="L1893" s="13" t="str">
        <f t="shared" si="58"/>
        <v>Discount Applied</v>
      </c>
      <c r="M1893" s="13" t="str">
        <f t="shared" si="59"/>
        <v>Platinum</v>
      </c>
      <c r="N1893" s="13"/>
    </row>
    <row r="1894" spans="2:14" x14ac:dyDescent="0.3">
      <c r="B1894" s="3" t="s">
        <v>26</v>
      </c>
      <c r="C1894" s="4">
        <v>45769</v>
      </c>
      <c r="D1894" s="3" t="s">
        <v>12</v>
      </c>
      <c r="E1894" s="3" t="s">
        <v>21</v>
      </c>
      <c r="F1894" s="5">
        <v>5</v>
      </c>
      <c r="G1894" s="6">
        <v>26.53</v>
      </c>
      <c r="H1894" s="6">
        <v>132.65</v>
      </c>
      <c r="I1894" s="6">
        <v>2.29</v>
      </c>
      <c r="J1894" s="6">
        <v>130.36000000000001</v>
      </c>
      <c r="K1894" s="5">
        <v>196</v>
      </c>
      <c r="L1894" s="13" t="str">
        <f t="shared" si="58"/>
        <v>Discount Applied</v>
      </c>
      <c r="M1894" s="13" t="str">
        <f t="shared" si="59"/>
        <v>Platinum</v>
      </c>
      <c r="N1894" s="13"/>
    </row>
    <row r="1895" spans="2:14" x14ac:dyDescent="0.3">
      <c r="B1895" s="3" t="s">
        <v>14</v>
      </c>
      <c r="C1895" s="4">
        <v>45180</v>
      </c>
      <c r="D1895" s="3" t="s">
        <v>45</v>
      </c>
      <c r="E1895" s="3" t="s">
        <v>33</v>
      </c>
      <c r="F1895" s="5">
        <v>5</v>
      </c>
      <c r="G1895" s="6">
        <v>27.1</v>
      </c>
      <c r="H1895" s="6">
        <v>135.5</v>
      </c>
      <c r="I1895" s="6">
        <v>2.8</v>
      </c>
      <c r="J1895" s="6">
        <v>132.69999999999999</v>
      </c>
      <c r="K1895" s="5">
        <v>484</v>
      </c>
      <c r="L1895" s="13" t="str">
        <f t="shared" si="58"/>
        <v>Discount Applied</v>
      </c>
      <c r="M1895" s="13" t="str">
        <f t="shared" si="59"/>
        <v>Platinum</v>
      </c>
      <c r="N1895" s="13"/>
    </row>
    <row r="1896" spans="2:14" x14ac:dyDescent="0.3">
      <c r="B1896" s="3" t="s">
        <v>42</v>
      </c>
      <c r="C1896" s="4">
        <v>45198</v>
      </c>
      <c r="D1896" s="3" t="s">
        <v>35</v>
      </c>
      <c r="E1896" s="3" t="s">
        <v>41</v>
      </c>
      <c r="F1896" s="5">
        <v>3</v>
      </c>
      <c r="G1896" s="6">
        <v>25.58</v>
      </c>
      <c r="H1896" s="6">
        <v>76.739999999999995</v>
      </c>
      <c r="I1896" s="6">
        <v>15.35</v>
      </c>
      <c r="J1896" s="6">
        <v>61.39</v>
      </c>
      <c r="K1896" s="5">
        <v>30</v>
      </c>
      <c r="L1896" s="13" t="str">
        <f t="shared" si="58"/>
        <v>Discount Applied</v>
      </c>
      <c r="M1896" s="13" t="str">
        <f t="shared" si="59"/>
        <v>Gold</v>
      </c>
      <c r="N1896" s="13"/>
    </row>
    <row r="1897" spans="2:14" x14ac:dyDescent="0.3">
      <c r="B1897" s="3" t="s">
        <v>42</v>
      </c>
      <c r="C1897" s="4">
        <v>45817</v>
      </c>
      <c r="D1897" s="3" t="s">
        <v>27</v>
      </c>
      <c r="E1897" s="3" t="s">
        <v>39</v>
      </c>
      <c r="F1897" s="5">
        <v>3</v>
      </c>
      <c r="G1897" s="6">
        <v>11.32</v>
      </c>
      <c r="H1897" s="6">
        <v>33.96</v>
      </c>
      <c r="I1897" s="6">
        <v>1.58</v>
      </c>
      <c r="J1897" s="6">
        <v>32.380000000000003</v>
      </c>
      <c r="K1897" s="5">
        <v>317</v>
      </c>
      <c r="L1897" s="13" t="str">
        <f t="shared" si="58"/>
        <v>Discount Applied</v>
      </c>
      <c r="M1897" s="13" t="str">
        <f t="shared" si="59"/>
        <v>Silver</v>
      </c>
      <c r="N1897" s="13"/>
    </row>
    <row r="1898" spans="2:14" x14ac:dyDescent="0.3">
      <c r="B1898" s="3" t="s">
        <v>30</v>
      </c>
      <c r="C1898" s="4">
        <v>45745</v>
      </c>
      <c r="D1898" s="3" t="s">
        <v>22</v>
      </c>
      <c r="E1898" s="3" t="s">
        <v>47</v>
      </c>
      <c r="F1898" s="5">
        <v>3</v>
      </c>
      <c r="G1898" s="6">
        <v>18.53</v>
      </c>
      <c r="H1898" s="6">
        <v>55.59</v>
      </c>
      <c r="I1898" s="6">
        <v>0</v>
      </c>
      <c r="J1898" s="6">
        <v>55.59</v>
      </c>
      <c r="K1898" s="5">
        <v>274</v>
      </c>
      <c r="L1898" s="13" t="str">
        <f t="shared" si="58"/>
        <v>No Discount</v>
      </c>
      <c r="M1898" s="13" t="str">
        <f t="shared" si="59"/>
        <v>Gold</v>
      </c>
      <c r="N1898" s="13"/>
    </row>
    <row r="1899" spans="2:14" x14ac:dyDescent="0.3">
      <c r="B1899" s="3" t="s">
        <v>42</v>
      </c>
      <c r="C1899" s="4">
        <v>45399</v>
      </c>
      <c r="D1899" s="3" t="s">
        <v>28</v>
      </c>
      <c r="E1899" s="3" t="s">
        <v>48</v>
      </c>
      <c r="F1899" s="5">
        <v>3</v>
      </c>
      <c r="G1899" s="6">
        <v>22.26</v>
      </c>
      <c r="H1899" s="6">
        <v>66.78</v>
      </c>
      <c r="I1899" s="6">
        <v>4.2</v>
      </c>
      <c r="J1899" s="6">
        <v>62.58</v>
      </c>
      <c r="K1899" s="5">
        <v>376</v>
      </c>
      <c r="L1899" s="13" t="str">
        <f t="shared" si="58"/>
        <v>Discount Applied</v>
      </c>
      <c r="M1899" s="13" t="str">
        <f t="shared" si="59"/>
        <v>Gold</v>
      </c>
      <c r="N1899" s="13"/>
    </row>
    <row r="1900" spans="2:14" x14ac:dyDescent="0.3">
      <c r="B1900" s="3" t="s">
        <v>30</v>
      </c>
      <c r="C1900" s="4">
        <v>45574</v>
      </c>
      <c r="D1900" s="3" t="s">
        <v>17</v>
      </c>
      <c r="E1900" s="3" t="s">
        <v>32</v>
      </c>
      <c r="F1900" s="5">
        <v>4</v>
      </c>
      <c r="G1900" s="6">
        <v>21.31</v>
      </c>
      <c r="H1900" s="6">
        <v>85.24</v>
      </c>
      <c r="I1900" s="6">
        <v>12.79</v>
      </c>
      <c r="J1900" s="6">
        <v>72.45</v>
      </c>
      <c r="K1900" s="5">
        <v>436</v>
      </c>
      <c r="L1900" s="13" t="str">
        <f t="shared" si="58"/>
        <v>Discount Applied</v>
      </c>
      <c r="M1900" s="13" t="str">
        <f t="shared" si="59"/>
        <v>Platinum</v>
      </c>
      <c r="N1900" s="13"/>
    </row>
    <row r="1901" spans="2:14" x14ac:dyDescent="0.3">
      <c r="B1901" s="3" t="s">
        <v>30</v>
      </c>
      <c r="C1901" s="4">
        <v>45151</v>
      </c>
      <c r="D1901" s="3" t="s">
        <v>17</v>
      </c>
      <c r="E1901" s="3" t="s">
        <v>41</v>
      </c>
      <c r="F1901" s="5">
        <v>3</v>
      </c>
      <c r="G1901" s="6">
        <v>1.72</v>
      </c>
      <c r="H1901" s="6">
        <v>5.16</v>
      </c>
      <c r="I1901" s="6">
        <v>2.4700000000000002</v>
      </c>
      <c r="J1901" s="6">
        <v>2.69</v>
      </c>
      <c r="K1901" s="5">
        <v>333</v>
      </c>
      <c r="L1901" s="13" t="str">
        <f t="shared" si="58"/>
        <v>Discount Applied</v>
      </c>
      <c r="M1901" s="13" t="str">
        <f t="shared" si="59"/>
        <v>Bronze</v>
      </c>
      <c r="N1901" s="13"/>
    </row>
    <row r="1902" spans="2:14" x14ac:dyDescent="0.3">
      <c r="B1902" s="3" t="s">
        <v>19</v>
      </c>
      <c r="C1902" s="4">
        <v>45300</v>
      </c>
      <c r="D1902" s="3" t="s">
        <v>45</v>
      </c>
      <c r="E1902" s="3" t="s">
        <v>32</v>
      </c>
      <c r="F1902" s="5">
        <v>5</v>
      </c>
      <c r="G1902" s="6">
        <v>5.54</v>
      </c>
      <c r="H1902" s="6">
        <v>27.7</v>
      </c>
      <c r="I1902" s="6">
        <v>4.75</v>
      </c>
      <c r="J1902" s="6">
        <v>22.95</v>
      </c>
      <c r="K1902" s="5">
        <v>227</v>
      </c>
      <c r="L1902" s="13" t="str">
        <f t="shared" si="58"/>
        <v>Discount Applied</v>
      </c>
      <c r="M1902" s="13" t="str">
        <f t="shared" si="59"/>
        <v>Silver</v>
      </c>
      <c r="N1902" s="13"/>
    </row>
    <row r="1903" spans="2:14" x14ac:dyDescent="0.3">
      <c r="B1903" s="3" t="s">
        <v>26</v>
      </c>
      <c r="C1903" s="4">
        <v>45582</v>
      </c>
      <c r="D1903" s="3" t="s">
        <v>35</v>
      </c>
      <c r="E1903" s="3" t="s">
        <v>44</v>
      </c>
      <c r="F1903" s="5">
        <v>5</v>
      </c>
      <c r="G1903" s="6">
        <v>14.14</v>
      </c>
      <c r="H1903" s="6">
        <v>70.7</v>
      </c>
      <c r="I1903" s="6">
        <v>10.61</v>
      </c>
      <c r="J1903" s="6">
        <v>60.09</v>
      </c>
      <c r="K1903" s="5">
        <v>83</v>
      </c>
      <c r="L1903" s="13" t="str">
        <f t="shared" si="58"/>
        <v>Discount Applied</v>
      </c>
      <c r="M1903" s="13" t="str">
        <f t="shared" si="59"/>
        <v>Gold</v>
      </c>
      <c r="N1903" s="13"/>
    </row>
    <row r="1904" spans="2:14" x14ac:dyDescent="0.3">
      <c r="B1904" s="3" t="s">
        <v>31</v>
      </c>
      <c r="C1904" s="4">
        <v>45719</v>
      </c>
      <c r="D1904" s="3" t="s">
        <v>15</v>
      </c>
      <c r="E1904" s="3" t="s">
        <v>40</v>
      </c>
      <c r="F1904" s="5">
        <v>3</v>
      </c>
      <c r="G1904" s="6">
        <v>17.010000000000002</v>
      </c>
      <c r="H1904" s="6">
        <v>51.03</v>
      </c>
      <c r="I1904" s="6">
        <v>7.65</v>
      </c>
      <c r="J1904" s="6">
        <v>43.38</v>
      </c>
      <c r="K1904" s="5">
        <v>188</v>
      </c>
      <c r="L1904" s="13" t="str">
        <f t="shared" si="58"/>
        <v>Discount Applied</v>
      </c>
      <c r="M1904" s="13" t="str">
        <f t="shared" si="59"/>
        <v>Silver</v>
      </c>
      <c r="N1904" s="13"/>
    </row>
    <row r="1905" spans="2:14" x14ac:dyDescent="0.3">
      <c r="B1905" s="3" t="s">
        <v>24</v>
      </c>
      <c r="C1905" s="4">
        <v>45505</v>
      </c>
      <c r="D1905" s="3" t="s">
        <v>38</v>
      </c>
      <c r="E1905" s="3" t="s">
        <v>39</v>
      </c>
      <c r="F1905" s="5">
        <v>4</v>
      </c>
      <c r="G1905" s="6">
        <v>19.73</v>
      </c>
      <c r="H1905" s="6">
        <v>78.92</v>
      </c>
      <c r="I1905" s="6">
        <v>11.84</v>
      </c>
      <c r="J1905" s="6">
        <v>67.08</v>
      </c>
      <c r="K1905" s="5">
        <v>202</v>
      </c>
      <c r="L1905" s="13" t="str">
        <f t="shared" si="58"/>
        <v>Discount Applied</v>
      </c>
      <c r="M1905" s="13" t="str">
        <f t="shared" si="59"/>
        <v>Gold</v>
      </c>
      <c r="N1905" s="13"/>
    </row>
    <row r="1906" spans="2:14" x14ac:dyDescent="0.3">
      <c r="B1906" s="3" t="s">
        <v>31</v>
      </c>
      <c r="C1906" s="4">
        <v>45604</v>
      </c>
      <c r="D1906" s="3" t="s">
        <v>27</v>
      </c>
      <c r="E1906" s="3" t="s">
        <v>37</v>
      </c>
      <c r="F1906" s="5">
        <v>3</v>
      </c>
      <c r="G1906" s="6">
        <v>17.39</v>
      </c>
      <c r="H1906" s="6">
        <v>52.17</v>
      </c>
      <c r="I1906" s="6">
        <v>1.22</v>
      </c>
      <c r="J1906" s="6">
        <v>50.95</v>
      </c>
      <c r="K1906" s="5">
        <v>291</v>
      </c>
      <c r="L1906" s="13" t="str">
        <f t="shared" si="58"/>
        <v>Discount Applied</v>
      </c>
      <c r="M1906" s="13" t="str">
        <f t="shared" si="59"/>
        <v>Gold</v>
      </c>
      <c r="N1906" s="13"/>
    </row>
    <row r="1907" spans="2:14" x14ac:dyDescent="0.3">
      <c r="B1907" s="3" t="s">
        <v>19</v>
      </c>
      <c r="C1907" s="4">
        <v>45745</v>
      </c>
      <c r="D1907" s="3" t="s">
        <v>45</v>
      </c>
      <c r="E1907" s="3" t="s">
        <v>43</v>
      </c>
      <c r="F1907" s="5">
        <v>1</v>
      </c>
      <c r="G1907" s="6">
        <v>5.05</v>
      </c>
      <c r="H1907" s="6">
        <v>5.05</v>
      </c>
      <c r="I1907" s="6">
        <v>0</v>
      </c>
      <c r="J1907" s="6">
        <v>5.05</v>
      </c>
      <c r="K1907" s="5">
        <v>52</v>
      </c>
      <c r="L1907" s="13" t="str">
        <f t="shared" si="58"/>
        <v>No Discount</v>
      </c>
      <c r="M1907" s="13" t="str">
        <f t="shared" si="59"/>
        <v>Bronze</v>
      </c>
      <c r="N1907" s="13"/>
    </row>
    <row r="1908" spans="2:14" x14ac:dyDescent="0.3">
      <c r="B1908" s="3" t="s">
        <v>42</v>
      </c>
      <c r="C1908" s="4">
        <v>45713</v>
      </c>
      <c r="D1908" s="3" t="s">
        <v>15</v>
      </c>
      <c r="E1908" s="3" t="s">
        <v>23</v>
      </c>
      <c r="F1908" s="5">
        <v>3</v>
      </c>
      <c r="G1908" s="6">
        <v>10.8</v>
      </c>
      <c r="H1908" s="6">
        <v>32.4</v>
      </c>
      <c r="I1908" s="6">
        <v>2.97</v>
      </c>
      <c r="J1908" s="6">
        <v>29.43</v>
      </c>
      <c r="K1908" s="5">
        <v>211</v>
      </c>
      <c r="L1908" s="13" t="str">
        <f t="shared" si="58"/>
        <v>Discount Applied</v>
      </c>
      <c r="M1908" s="13" t="str">
        <f t="shared" si="59"/>
        <v>Silver</v>
      </c>
      <c r="N1908" s="13"/>
    </row>
    <row r="1909" spans="2:14" x14ac:dyDescent="0.3">
      <c r="B1909" s="3" t="s">
        <v>14</v>
      </c>
      <c r="C1909" s="4">
        <v>45735</v>
      </c>
      <c r="D1909" s="3" t="s">
        <v>12</v>
      </c>
      <c r="E1909" s="3" t="s">
        <v>46</v>
      </c>
      <c r="F1909" s="5">
        <v>4</v>
      </c>
      <c r="G1909" s="6">
        <v>19.600000000000001</v>
      </c>
      <c r="H1909" s="6">
        <v>78.400000000000006</v>
      </c>
      <c r="I1909" s="6">
        <v>4.29</v>
      </c>
      <c r="J1909" s="6">
        <v>74.11</v>
      </c>
      <c r="K1909" s="5">
        <v>202</v>
      </c>
      <c r="L1909" s="13" t="str">
        <f t="shared" si="58"/>
        <v>Discount Applied</v>
      </c>
      <c r="M1909" s="13" t="str">
        <f t="shared" si="59"/>
        <v>Platinum</v>
      </c>
      <c r="N1909" s="13"/>
    </row>
    <row r="1910" spans="2:14" x14ac:dyDescent="0.3">
      <c r="B1910" s="3" t="s">
        <v>42</v>
      </c>
      <c r="C1910" s="4">
        <v>45261</v>
      </c>
      <c r="D1910" s="3" t="s">
        <v>45</v>
      </c>
      <c r="E1910" s="3" t="s">
        <v>29</v>
      </c>
      <c r="F1910" s="5">
        <v>1</v>
      </c>
      <c r="G1910" s="6">
        <v>23.11</v>
      </c>
      <c r="H1910" s="6">
        <v>23.11</v>
      </c>
      <c r="I1910" s="6">
        <v>4.62</v>
      </c>
      <c r="J1910" s="6">
        <v>18.489999999999998</v>
      </c>
      <c r="K1910" s="5">
        <v>444</v>
      </c>
      <c r="L1910" s="13" t="str">
        <f t="shared" si="58"/>
        <v>Discount Applied</v>
      </c>
      <c r="M1910" s="13" t="str">
        <f t="shared" si="59"/>
        <v>Bronze</v>
      </c>
      <c r="N1910" s="13"/>
    </row>
    <row r="1911" spans="2:14" x14ac:dyDescent="0.3">
      <c r="B1911" s="3" t="s">
        <v>42</v>
      </c>
      <c r="C1911" s="4">
        <v>45869</v>
      </c>
      <c r="D1911" s="3" t="s">
        <v>12</v>
      </c>
      <c r="E1911" s="3" t="s">
        <v>18</v>
      </c>
      <c r="F1911" s="5">
        <v>1</v>
      </c>
      <c r="G1911" s="6">
        <v>2.5099999999999998</v>
      </c>
      <c r="H1911" s="6">
        <v>2.5099999999999998</v>
      </c>
      <c r="I1911" s="6">
        <v>0.25</v>
      </c>
      <c r="J1911" s="6">
        <v>2.2599999999999998</v>
      </c>
      <c r="K1911" s="5">
        <v>431</v>
      </c>
      <c r="L1911" s="13" t="str">
        <f t="shared" si="58"/>
        <v>Discount Applied</v>
      </c>
      <c r="M1911" s="13" t="str">
        <f t="shared" si="59"/>
        <v>Bronze</v>
      </c>
      <c r="N1911" s="13"/>
    </row>
    <row r="1912" spans="2:14" x14ac:dyDescent="0.3">
      <c r="B1912" s="3" t="s">
        <v>31</v>
      </c>
      <c r="C1912" s="4">
        <v>45163</v>
      </c>
      <c r="D1912" s="3" t="s">
        <v>12</v>
      </c>
      <c r="E1912" s="3" t="s">
        <v>25</v>
      </c>
      <c r="F1912" s="5">
        <v>2</v>
      </c>
      <c r="G1912" s="6">
        <v>28.54</v>
      </c>
      <c r="H1912" s="6">
        <v>57.08</v>
      </c>
      <c r="I1912" s="6">
        <v>2.2799999999999998</v>
      </c>
      <c r="J1912" s="6">
        <v>54.8</v>
      </c>
      <c r="K1912" s="5">
        <v>488</v>
      </c>
      <c r="L1912" s="13" t="str">
        <f t="shared" si="58"/>
        <v>Discount Applied</v>
      </c>
      <c r="M1912" s="13" t="str">
        <f t="shared" si="59"/>
        <v>Gold</v>
      </c>
      <c r="N1912" s="13"/>
    </row>
    <row r="1913" spans="2:14" x14ac:dyDescent="0.3">
      <c r="B1913" s="3" t="s">
        <v>24</v>
      </c>
      <c r="C1913" s="4">
        <v>45565</v>
      </c>
      <c r="D1913" s="3" t="s">
        <v>27</v>
      </c>
      <c r="E1913" s="3" t="s">
        <v>32</v>
      </c>
      <c r="F1913" s="5">
        <v>1</v>
      </c>
      <c r="G1913" s="6">
        <v>15.79</v>
      </c>
      <c r="H1913" s="6">
        <v>15.79</v>
      </c>
      <c r="I1913" s="6">
        <v>3.68</v>
      </c>
      <c r="J1913" s="6">
        <v>12.11</v>
      </c>
      <c r="K1913" s="5">
        <v>148</v>
      </c>
      <c r="L1913" s="13" t="str">
        <f t="shared" si="58"/>
        <v>Discount Applied</v>
      </c>
      <c r="M1913" s="13" t="str">
        <f t="shared" si="59"/>
        <v>Bronze</v>
      </c>
      <c r="N1913" s="13"/>
    </row>
    <row r="1914" spans="2:14" x14ac:dyDescent="0.3">
      <c r="B1914" s="3" t="s">
        <v>24</v>
      </c>
      <c r="C1914" s="4">
        <v>45638</v>
      </c>
      <c r="D1914" s="3" t="s">
        <v>38</v>
      </c>
      <c r="E1914" s="3" t="s">
        <v>43</v>
      </c>
      <c r="F1914" s="5">
        <v>1</v>
      </c>
      <c r="G1914" s="6">
        <v>6.79</v>
      </c>
      <c r="H1914" s="6">
        <v>6.79</v>
      </c>
      <c r="I1914" s="6">
        <v>1.36</v>
      </c>
      <c r="J1914" s="6">
        <v>5.43</v>
      </c>
      <c r="K1914" s="5">
        <v>18</v>
      </c>
      <c r="L1914" s="13" t="str">
        <f t="shared" si="58"/>
        <v>Discount Applied</v>
      </c>
      <c r="M1914" s="13" t="str">
        <f t="shared" si="59"/>
        <v>Bronze</v>
      </c>
      <c r="N1914" s="13"/>
    </row>
    <row r="1915" spans="2:14" x14ac:dyDescent="0.3">
      <c r="B1915" s="3" t="s">
        <v>26</v>
      </c>
      <c r="C1915" s="4">
        <v>45405</v>
      </c>
      <c r="D1915" s="3" t="s">
        <v>12</v>
      </c>
      <c r="E1915" s="3" t="s">
        <v>23</v>
      </c>
      <c r="F1915" s="5">
        <v>1</v>
      </c>
      <c r="G1915" s="6">
        <v>17.86</v>
      </c>
      <c r="H1915" s="6">
        <v>17.86</v>
      </c>
      <c r="I1915" s="6">
        <v>1.79</v>
      </c>
      <c r="J1915" s="6">
        <v>16.07</v>
      </c>
      <c r="K1915" s="5">
        <v>188</v>
      </c>
      <c r="L1915" s="13" t="str">
        <f t="shared" si="58"/>
        <v>Discount Applied</v>
      </c>
      <c r="M1915" s="13" t="str">
        <f t="shared" si="59"/>
        <v>Bronze</v>
      </c>
      <c r="N1915" s="13"/>
    </row>
    <row r="1916" spans="2:14" x14ac:dyDescent="0.3">
      <c r="B1916" s="3" t="s">
        <v>42</v>
      </c>
      <c r="C1916" s="4">
        <v>45734</v>
      </c>
      <c r="D1916" s="3" t="s">
        <v>34</v>
      </c>
      <c r="E1916" s="3" t="s">
        <v>18</v>
      </c>
      <c r="F1916" s="5">
        <v>1</v>
      </c>
      <c r="G1916" s="6">
        <v>27.53</v>
      </c>
      <c r="H1916" s="6">
        <v>27.53</v>
      </c>
      <c r="I1916" s="6">
        <v>4.13</v>
      </c>
      <c r="J1916" s="6">
        <v>23.4</v>
      </c>
      <c r="K1916" s="5">
        <v>381</v>
      </c>
      <c r="L1916" s="13" t="str">
        <f t="shared" si="58"/>
        <v>Discount Applied</v>
      </c>
      <c r="M1916" s="13" t="str">
        <f t="shared" si="59"/>
        <v>Silver</v>
      </c>
      <c r="N1916" s="13"/>
    </row>
    <row r="1917" spans="2:14" x14ac:dyDescent="0.3">
      <c r="B1917" s="3" t="s">
        <v>14</v>
      </c>
      <c r="C1917" s="4">
        <v>45804</v>
      </c>
      <c r="D1917" s="3" t="s">
        <v>22</v>
      </c>
      <c r="E1917" s="3" t="s">
        <v>46</v>
      </c>
      <c r="F1917" s="5">
        <v>4</v>
      </c>
      <c r="G1917" s="6">
        <v>5.63</v>
      </c>
      <c r="H1917" s="6">
        <v>22.52</v>
      </c>
      <c r="I1917" s="6">
        <v>3.38</v>
      </c>
      <c r="J1917" s="6">
        <v>19.14</v>
      </c>
      <c r="K1917" s="5">
        <v>103</v>
      </c>
      <c r="L1917" s="13" t="str">
        <f t="shared" si="58"/>
        <v>Discount Applied</v>
      </c>
      <c r="M1917" s="13" t="str">
        <f t="shared" si="59"/>
        <v>Bronze</v>
      </c>
      <c r="N1917" s="13"/>
    </row>
    <row r="1918" spans="2:14" x14ac:dyDescent="0.3">
      <c r="B1918" s="3" t="s">
        <v>42</v>
      </c>
      <c r="C1918" s="4">
        <v>45225</v>
      </c>
      <c r="D1918" s="3" t="s">
        <v>22</v>
      </c>
      <c r="E1918" s="3" t="s">
        <v>13</v>
      </c>
      <c r="F1918" s="5">
        <v>4</v>
      </c>
      <c r="G1918" s="6">
        <v>4.45</v>
      </c>
      <c r="H1918" s="6">
        <v>17.8</v>
      </c>
      <c r="I1918" s="6">
        <v>2.78</v>
      </c>
      <c r="J1918" s="6">
        <v>15.02</v>
      </c>
      <c r="K1918" s="5">
        <v>146</v>
      </c>
      <c r="L1918" s="13" t="str">
        <f t="shared" si="58"/>
        <v>Discount Applied</v>
      </c>
      <c r="M1918" s="13" t="str">
        <f t="shared" si="59"/>
        <v>Bronze</v>
      </c>
      <c r="N1918" s="13"/>
    </row>
    <row r="1919" spans="2:14" x14ac:dyDescent="0.3">
      <c r="B1919" s="3" t="s">
        <v>14</v>
      </c>
      <c r="C1919" s="4">
        <v>45556</v>
      </c>
      <c r="D1919" s="3" t="s">
        <v>20</v>
      </c>
      <c r="E1919" s="3" t="s">
        <v>44</v>
      </c>
      <c r="F1919" s="5">
        <v>2</v>
      </c>
      <c r="G1919" s="6">
        <v>4.26</v>
      </c>
      <c r="H1919" s="6">
        <v>8.52</v>
      </c>
      <c r="I1919" s="6">
        <v>0</v>
      </c>
      <c r="J1919" s="6">
        <v>8.52</v>
      </c>
      <c r="K1919" s="5">
        <v>198</v>
      </c>
      <c r="L1919" s="13" t="str">
        <f t="shared" si="58"/>
        <v>No Discount</v>
      </c>
      <c r="M1919" s="13" t="str">
        <f t="shared" si="59"/>
        <v>Bronze</v>
      </c>
      <c r="N1919" s="13"/>
    </row>
    <row r="1920" spans="2:14" x14ac:dyDescent="0.3">
      <c r="B1920" s="3" t="s">
        <v>42</v>
      </c>
      <c r="C1920" s="4">
        <v>45471</v>
      </c>
      <c r="D1920" s="3" t="s">
        <v>17</v>
      </c>
      <c r="E1920" s="3" t="s">
        <v>37</v>
      </c>
      <c r="F1920" s="5">
        <v>2</v>
      </c>
      <c r="G1920" s="6">
        <v>26.7</v>
      </c>
      <c r="H1920" s="6">
        <v>53.4</v>
      </c>
      <c r="I1920" s="6">
        <v>8.01</v>
      </c>
      <c r="J1920" s="6">
        <v>45.39</v>
      </c>
      <c r="K1920" s="5">
        <v>418</v>
      </c>
      <c r="L1920" s="13" t="str">
        <f t="shared" si="58"/>
        <v>Discount Applied</v>
      </c>
      <c r="M1920" s="13" t="str">
        <f t="shared" si="59"/>
        <v>Silver</v>
      </c>
      <c r="N1920" s="13"/>
    </row>
    <row r="1921" spans="2:14" x14ac:dyDescent="0.3">
      <c r="B1921" s="3" t="s">
        <v>26</v>
      </c>
      <c r="C1921" s="4">
        <v>45191</v>
      </c>
      <c r="D1921" s="3" t="s">
        <v>12</v>
      </c>
      <c r="E1921" s="3" t="s">
        <v>25</v>
      </c>
      <c r="F1921" s="5">
        <v>5</v>
      </c>
      <c r="G1921" s="6">
        <v>26.81</v>
      </c>
      <c r="H1921" s="6">
        <v>134.05000000000001</v>
      </c>
      <c r="I1921" s="6">
        <v>26.81</v>
      </c>
      <c r="J1921" s="6">
        <v>107.24</v>
      </c>
      <c r="K1921" s="5">
        <v>431</v>
      </c>
      <c r="L1921" s="13" t="str">
        <f t="shared" si="58"/>
        <v>Discount Applied</v>
      </c>
      <c r="M1921" s="13" t="str">
        <f t="shared" si="59"/>
        <v>Platinum</v>
      </c>
      <c r="N1921" s="13"/>
    </row>
    <row r="1922" spans="2:14" x14ac:dyDescent="0.3">
      <c r="B1922" s="3" t="s">
        <v>14</v>
      </c>
      <c r="C1922" s="4">
        <v>45697</v>
      </c>
      <c r="D1922" s="3" t="s">
        <v>12</v>
      </c>
      <c r="E1922" s="3" t="s">
        <v>37</v>
      </c>
      <c r="F1922" s="5">
        <v>1</v>
      </c>
      <c r="G1922" s="6">
        <v>7.27</v>
      </c>
      <c r="H1922" s="6">
        <v>7.27</v>
      </c>
      <c r="I1922" s="6">
        <v>1.45</v>
      </c>
      <c r="J1922" s="6">
        <v>5.82</v>
      </c>
      <c r="K1922" s="5">
        <v>92</v>
      </c>
      <c r="L1922" s="13" t="str">
        <f t="shared" si="58"/>
        <v>Discount Applied</v>
      </c>
      <c r="M1922" s="13" t="str">
        <f t="shared" si="59"/>
        <v>Bronze</v>
      </c>
      <c r="N1922" s="13"/>
    </row>
    <row r="1923" spans="2:14" x14ac:dyDescent="0.3">
      <c r="B1923" s="3" t="s">
        <v>26</v>
      </c>
      <c r="C1923" s="4">
        <v>45217</v>
      </c>
      <c r="D1923" s="3" t="s">
        <v>20</v>
      </c>
      <c r="E1923" s="3" t="s">
        <v>21</v>
      </c>
      <c r="F1923" s="5">
        <v>4</v>
      </c>
      <c r="G1923" s="6">
        <v>29.53</v>
      </c>
      <c r="H1923" s="6">
        <v>118.12</v>
      </c>
      <c r="I1923" s="6">
        <v>11.81</v>
      </c>
      <c r="J1923" s="6">
        <v>106.31</v>
      </c>
      <c r="K1923" s="5">
        <v>308</v>
      </c>
      <c r="L1923" s="13" t="str">
        <f t="shared" ref="L1923:L1981" si="60">IF(I1923&gt;0,"Discount Applied","No Discount")</f>
        <v>Discount Applied</v>
      </c>
      <c r="M1923" s="13" t="str">
        <f t="shared" ref="M1923:M1981" si="61">IF(J1923 &gt;= 70, "Platinum",
   IF(J1923 &gt;= 50, "Gold",
      IF(J1923 &gt;= 20, "Silver", "Bronze")))</f>
        <v>Platinum</v>
      </c>
      <c r="N1923" s="13"/>
    </row>
    <row r="1924" spans="2:14" x14ac:dyDescent="0.3">
      <c r="B1924" s="3" t="s">
        <v>26</v>
      </c>
      <c r="C1924" s="4">
        <v>45860</v>
      </c>
      <c r="D1924" s="3" t="s">
        <v>38</v>
      </c>
      <c r="E1924" s="3" t="s">
        <v>37</v>
      </c>
      <c r="F1924" s="5">
        <v>2</v>
      </c>
      <c r="G1924" s="6">
        <v>3.24</v>
      </c>
      <c r="H1924" s="6">
        <v>6.48</v>
      </c>
      <c r="I1924" s="6">
        <v>3.48</v>
      </c>
      <c r="J1924" s="6">
        <v>3</v>
      </c>
      <c r="K1924" s="5">
        <v>54</v>
      </c>
      <c r="L1924" s="13" t="str">
        <f t="shared" si="60"/>
        <v>Discount Applied</v>
      </c>
      <c r="M1924" s="13" t="str">
        <f t="shared" si="61"/>
        <v>Bronze</v>
      </c>
      <c r="N1924" s="13"/>
    </row>
    <row r="1925" spans="2:14" x14ac:dyDescent="0.3">
      <c r="B1925" s="3" t="s">
        <v>31</v>
      </c>
      <c r="C1925" s="4">
        <v>45841</v>
      </c>
      <c r="D1925" s="3" t="s">
        <v>35</v>
      </c>
      <c r="E1925" s="3" t="s">
        <v>39</v>
      </c>
      <c r="F1925" s="5">
        <v>3</v>
      </c>
      <c r="G1925" s="6">
        <v>13.9</v>
      </c>
      <c r="H1925" s="6">
        <v>41.7</v>
      </c>
      <c r="I1925" s="6">
        <v>1.21</v>
      </c>
      <c r="J1925" s="6">
        <v>40.49</v>
      </c>
      <c r="K1925" s="5">
        <v>373</v>
      </c>
      <c r="L1925" s="13" t="str">
        <f t="shared" si="60"/>
        <v>Discount Applied</v>
      </c>
      <c r="M1925" s="13" t="str">
        <f t="shared" si="61"/>
        <v>Silver</v>
      </c>
      <c r="N1925" s="13"/>
    </row>
    <row r="1926" spans="2:14" x14ac:dyDescent="0.3">
      <c r="B1926" s="3" t="s">
        <v>42</v>
      </c>
      <c r="C1926" s="4">
        <v>45465</v>
      </c>
      <c r="D1926" s="3" t="s">
        <v>27</v>
      </c>
      <c r="E1926" s="3" t="s">
        <v>44</v>
      </c>
      <c r="F1926" s="5">
        <v>4</v>
      </c>
      <c r="G1926" s="6">
        <v>22.5</v>
      </c>
      <c r="H1926" s="6">
        <v>90</v>
      </c>
      <c r="I1926" s="6">
        <v>13.5</v>
      </c>
      <c r="J1926" s="6">
        <v>76.5</v>
      </c>
      <c r="K1926" s="5">
        <v>190</v>
      </c>
      <c r="L1926" s="13" t="str">
        <f t="shared" si="60"/>
        <v>Discount Applied</v>
      </c>
      <c r="M1926" s="13" t="str">
        <f t="shared" si="61"/>
        <v>Platinum</v>
      </c>
      <c r="N1926" s="13"/>
    </row>
    <row r="1927" spans="2:14" x14ac:dyDescent="0.3">
      <c r="B1927" s="3" t="s">
        <v>24</v>
      </c>
      <c r="C1927" s="4">
        <v>45501</v>
      </c>
      <c r="D1927" s="3" t="s">
        <v>27</v>
      </c>
      <c r="E1927" s="3" t="s">
        <v>39</v>
      </c>
      <c r="F1927" s="5">
        <v>3</v>
      </c>
      <c r="G1927" s="6">
        <v>23.33</v>
      </c>
      <c r="H1927" s="6">
        <v>69.989999999999995</v>
      </c>
      <c r="I1927" s="6">
        <v>10.5</v>
      </c>
      <c r="J1927" s="6">
        <v>59.49</v>
      </c>
      <c r="K1927" s="5">
        <v>460</v>
      </c>
      <c r="L1927" s="13" t="str">
        <f t="shared" si="60"/>
        <v>Discount Applied</v>
      </c>
      <c r="M1927" s="13" t="str">
        <f t="shared" si="61"/>
        <v>Gold</v>
      </c>
      <c r="N1927" s="13"/>
    </row>
    <row r="1928" spans="2:14" x14ac:dyDescent="0.3">
      <c r="B1928" s="3" t="s">
        <v>19</v>
      </c>
      <c r="C1928" s="4">
        <v>45596</v>
      </c>
      <c r="D1928" s="3" t="s">
        <v>35</v>
      </c>
      <c r="E1928" s="3" t="s">
        <v>33</v>
      </c>
      <c r="F1928" s="5">
        <v>2</v>
      </c>
      <c r="G1928" s="6">
        <v>4.4800000000000004</v>
      </c>
      <c r="H1928" s="6">
        <v>8.9600000000000009</v>
      </c>
      <c r="I1928" s="6">
        <v>0.9</v>
      </c>
      <c r="J1928" s="6">
        <v>8.06</v>
      </c>
      <c r="K1928" s="5">
        <v>325</v>
      </c>
      <c r="L1928" s="13" t="str">
        <f t="shared" si="60"/>
        <v>Discount Applied</v>
      </c>
      <c r="M1928" s="13" t="str">
        <f t="shared" si="61"/>
        <v>Bronze</v>
      </c>
      <c r="N1928" s="13"/>
    </row>
    <row r="1929" spans="2:14" x14ac:dyDescent="0.3">
      <c r="B1929" s="3" t="s">
        <v>19</v>
      </c>
      <c r="C1929" s="4">
        <v>45537</v>
      </c>
      <c r="D1929" s="3" t="s">
        <v>12</v>
      </c>
      <c r="E1929" s="3" t="s">
        <v>48</v>
      </c>
      <c r="F1929" s="5">
        <v>1</v>
      </c>
      <c r="G1929" s="6">
        <v>22.01</v>
      </c>
      <c r="H1929" s="6">
        <v>22.01</v>
      </c>
      <c r="I1929" s="6">
        <v>3.3</v>
      </c>
      <c r="J1929" s="6">
        <v>18.71</v>
      </c>
      <c r="K1929" s="5">
        <v>233</v>
      </c>
      <c r="L1929" s="13" t="str">
        <f t="shared" si="60"/>
        <v>Discount Applied</v>
      </c>
      <c r="M1929" s="13" t="str">
        <f t="shared" si="61"/>
        <v>Bronze</v>
      </c>
      <c r="N1929" s="13"/>
    </row>
    <row r="1930" spans="2:14" x14ac:dyDescent="0.3">
      <c r="B1930" s="3" t="s">
        <v>31</v>
      </c>
      <c r="C1930" s="4">
        <v>45639</v>
      </c>
      <c r="D1930" s="3" t="s">
        <v>28</v>
      </c>
      <c r="E1930" s="3" t="s">
        <v>47</v>
      </c>
      <c r="F1930" s="5">
        <v>1</v>
      </c>
      <c r="G1930" s="6">
        <v>22.2</v>
      </c>
      <c r="H1930" s="6">
        <v>22.2</v>
      </c>
      <c r="I1930" s="6">
        <v>2.59</v>
      </c>
      <c r="J1930" s="6">
        <v>19.61</v>
      </c>
      <c r="K1930" s="5">
        <v>78</v>
      </c>
      <c r="L1930" s="13" t="str">
        <f t="shared" si="60"/>
        <v>Discount Applied</v>
      </c>
      <c r="M1930" s="13" t="str">
        <f t="shared" si="61"/>
        <v>Bronze</v>
      </c>
      <c r="N1930" s="13"/>
    </row>
    <row r="1931" spans="2:14" x14ac:dyDescent="0.3">
      <c r="B1931" s="3" t="s">
        <v>24</v>
      </c>
      <c r="C1931" s="4">
        <v>45203</v>
      </c>
      <c r="D1931" s="3" t="s">
        <v>12</v>
      </c>
      <c r="E1931" s="3" t="s">
        <v>40</v>
      </c>
      <c r="F1931" s="5">
        <v>4</v>
      </c>
      <c r="G1931" s="6">
        <v>13.53</v>
      </c>
      <c r="H1931" s="6">
        <v>54.12</v>
      </c>
      <c r="I1931" s="6">
        <v>10.82</v>
      </c>
      <c r="J1931" s="6">
        <v>43.3</v>
      </c>
      <c r="K1931" s="5">
        <v>238</v>
      </c>
      <c r="L1931" s="13" t="str">
        <f t="shared" si="60"/>
        <v>Discount Applied</v>
      </c>
      <c r="M1931" s="13" t="str">
        <f t="shared" si="61"/>
        <v>Silver</v>
      </c>
      <c r="N1931" s="13"/>
    </row>
    <row r="1932" spans="2:14" x14ac:dyDescent="0.3">
      <c r="B1932" s="3" t="s">
        <v>31</v>
      </c>
      <c r="C1932" s="4">
        <v>45482</v>
      </c>
      <c r="D1932" s="3" t="s">
        <v>28</v>
      </c>
      <c r="E1932" s="3" t="s">
        <v>40</v>
      </c>
      <c r="F1932" s="5">
        <v>1</v>
      </c>
      <c r="G1932" s="6">
        <v>28.81</v>
      </c>
      <c r="H1932" s="6">
        <v>28.81</v>
      </c>
      <c r="I1932" s="6">
        <v>0</v>
      </c>
      <c r="J1932" s="6">
        <v>28.81</v>
      </c>
      <c r="K1932" s="5">
        <v>448</v>
      </c>
      <c r="L1932" s="13" t="str">
        <f t="shared" si="60"/>
        <v>No Discount</v>
      </c>
      <c r="M1932" s="13" t="str">
        <f t="shared" si="61"/>
        <v>Silver</v>
      </c>
      <c r="N1932" s="13"/>
    </row>
    <row r="1933" spans="2:14" x14ac:dyDescent="0.3">
      <c r="B1933" s="3" t="s">
        <v>30</v>
      </c>
      <c r="C1933" s="4">
        <v>45328</v>
      </c>
      <c r="D1933" s="3" t="s">
        <v>45</v>
      </c>
      <c r="E1933" s="3" t="s">
        <v>44</v>
      </c>
      <c r="F1933" s="5">
        <v>3</v>
      </c>
      <c r="G1933" s="6">
        <v>1.7</v>
      </c>
      <c r="H1933" s="6">
        <v>5.0999999999999996</v>
      </c>
      <c r="I1933" s="6">
        <v>1.02</v>
      </c>
      <c r="J1933" s="6">
        <v>4.08</v>
      </c>
      <c r="K1933" s="5">
        <v>139</v>
      </c>
      <c r="L1933" s="13" t="str">
        <f t="shared" si="60"/>
        <v>Discount Applied</v>
      </c>
      <c r="M1933" s="13" t="str">
        <f t="shared" si="61"/>
        <v>Bronze</v>
      </c>
      <c r="N1933" s="13"/>
    </row>
    <row r="1934" spans="2:14" x14ac:dyDescent="0.3">
      <c r="B1934" s="3" t="s">
        <v>26</v>
      </c>
      <c r="C1934" s="4">
        <v>45347</v>
      </c>
      <c r="D1934" s="3" t="s">
        <v>12</v>
      </c>
      <c r="E1934" s="3" t="s">
        <v>40</v>
      </c>
      <c r="F1934" s="5">
        <v>5</v>
      </c>
      <c r="G1934" s="6">
        <v>25.22</v>
      </c>
      <c r="H1934" s="6">
        <v>126.1</v>
      </c>
      <c r="I1934" s="6">
        <v>25.22</v>
      </c>
      <c r="J1934" s="6">
        <v>100.88</v>
      </c>
      <c r="K1934" s="5">
        <v>222</v>
      </c>
      <c r="L1934" s="13" t="str">
        <f t="shared" si="60"/>
        <v>Discount Applied</v>
      </c>
      <c r="M1934" s="13" t="str">
        <f t="shared" si="61"/>
        <v>Platinum</v>
      </c>
      <c r="N1934" s="13"/>
    </row>
    <row r="1935" spans="2:14" x14ac:dyDescent="0.3">
      <c r="B1935" s="3" t="s">
        <v>31</v>
      </c>
      <c r="C1935" s="4">
        <v>45864</v>
      </c>
      <c r="D1935" s="3" t="s">
        <v>35</v>
      </c>
      <c r="E1935" s="3" t="s">
        <v>23</v>
      </c>
      <c r="F1935" s="5">
        <v>1</v>
      </c>
      <c r="G1935" s="6">
        <v>18.329999999999998</v>
      </c>
      <c r="H1935" s="6">
        <v>18.329999999999998</v>
      </c>
      <c r="I1935" s="6">
        <v>1.66</v>
      </c>
      <c r="J1935" s="6">
        <v>16.670000000000002</v>
      </c>
      <c r="K1935" s="5">
        <v>233</v>
      </c>
      <c r="L1935" s="13" t="str">
        <f t="shared" si="60"/>
        <v>Discount Applied</v>
      </c>
      <c r="M1935" s="13" t="str">
        <f t="shared" si="61"/>
        <v>Bronze</v>
      </c>
      <c r="N1935" s="13"/>
    </row>
    <row r="1936" spans="2:14" x14ac:dyDescent="0.3">
      <c r="B1936" s="3" t="s">
        <v>36</v>
      </c>
      <c r="C1936" s="4">
        <v>45689</v>
      </c>
      <c r="D1936" s="3" t="s">
        <v>38</v>
      </c>
      <c r="E1936" s="3" t="s">
        <v>18</v>
      </c>
      <c r="F1936" s="5">
        <v>2</v>
      </c>
      <c r="G1936" s="6">
        <v>10.29</v>
      </c>
      <c r="H1936" s="6">
        <v>20.58</v>
      </c>
      <c r="I1936" s="6">
        <v>2.06</v>
      </c>
      <c r="J1936" s="6">
        <v>18.52</v>
      </c>
      <c r="K1936" s="5">
        <v>327</v>
      </c>
      <c r="L1936" s="13" t="str">
        <f t="shared" si="60"/>
        <v>Discount Applied</v>
      </c>
      <c r="M1936" s="13" t="str">
        <f t="shared" si="61"/>
        <v>Bronze</v>
      </c>
      <c r="N1936" s="13"/>
    </row>
    <row r="1937" spans="2:14" x14ac:dyDescent="0.3">
      <c r="B1937" s="3" t="s">
        <v>19</v>
      </c>
      <c r="C1937" s="4">
        <v>45392</v>
      </c>
      <c r="D1937" s="3" t="s">
        <v>28</v>
      </c>
      <c r="E1937" s="3" t="s">
        <v>32</v>
      </c>
      <c r="F1937" s="5">
        <v>3</v>
      </c>
      <c r="G1937" s="6">
        <v>14.55</v>
      </c>
      <c r="H1937" s="6">
        <v>43.65</v>
      </c>
      <c r="I1937" s="6">
        <v>8.73</v>
      </c>
      <c r="J1937" s="6">
        <v>34.92</v>
      </c>
      <c r="K1937" s="5">
        <v>177</v>
      </c>
      <c r="L1937" s="13" t="str">
        <f t="shared" si="60"/>
        <v>Discount Applied</v>
      </c>
      <c r="M1937" s="13" t="str">
        <f t="shared" si="61"/>
        <v>Silver</v>
      </c>
      <c r="N1937" s="13"/>
    </row>
    <row r="1938" spans="2:14" x14ac:dyDescent="0.3">
      <c r="B1938" s="3" t="s">
        <v>26</v>
      </c>
      <c r="C1938" s="4">
        <v>45356</v>
      </c>
      <c r="D1938" s="3" t="s">
        <v>27</v>
      </c>
      <c r="E1938" s="3" t="s">
        <v>18</v>
      </c>
      <c r="F1938" s="5">
        <v>4</v>
      </c>
      <c r="G1938" s="6">
        <v>11.44</v>
      </c>
      <c r="H1938" s="6">
        <v>45.76</v>
      </c>
      <c r="I1938" s="6">
        <v>2.0099999999999998</v>
      </c>
      <c r="J1938" s="6">
        <v>43.75</v>
      </c>
      <c r="K1938" s="5">
        <v>221</v>
      </c>
      <c r="L1938" s="13" t="str">
        <f t="shared" si="60"/>
        <v>Discount Applied</v>
      </c>
      <c r="M1938" s="13" t="str">
        <f t="shared" si="61"/>
        <v>Silver</v>
      </c>
      <c r="N1938" s="13"/>
    </row>
    <row r="1939" spans="2:14" x14ac:dyDescent="0.3">
      <c r="B1939" s="3" t="s">
        <v>19</v>
      </c>
      <c r="C1939" s="4">
        <v>45203</v>
      </c>
      <c r="D1939" s="3" t="s">
        <v>22</v>
      </c>
      <c r="E1939" s="3" t="s">
        <v>23</v>
      </c>
      <c r="F1939" s="5">
        <v>4</v>
      </c>
      <c r="G1939" s="6">
        <v>14.06</v>
      </c>
      <c r="H1939" s="6">
        <v>56.24</v>
      </c>
      <c r="I1939" s="6">
        <v>2.37</v>
      </c>
      <c r="J1939" s="6">
        <v>53.87</v>
      </c>
      <c r="K1939" s="5">
        <v>276</v>
      </c>
      <c r="L1939" s="13" t="str">
        <f t="shared" si="60"/>
        <v>Discount Applied</v>
      </c>
      <c r="M1939" s="13" t="str">
        <f t="shared" si="61"/>
        <v>Gold</v>
      </c>
      <c r="N1939" s="13"/>
    </row>
    <row r="1940" spans="2:14" x14ac:dyDescent="0.3">
      <c r="B1940" s="3" t="s">
        <v>19</v>
      </c>
      <c r="C1940" s="4">
        <v>45250</v>
      </c>
      <c r="D1940" s="3" t="s">
        <v>28</v>
      </c>
      <c r="E1940" s="3" t="s">
        <v>21</v>
      </c>
      <c r="F1940" s="5">
        <v>5</v>
      </c>
      <c r="G1940" s="6">
        <v>19.34</v>
      </c>
      <c r="H1940" s="6">
        <v>96.7</v>
      </c>
      <c r="I1940" s="6">
        <v>1.56</v>
      </c>
      <c r="J1940" s="6">
        <v>95.14</v>
      </c>
      <c r="K1940" s="5">
        <v>381</v>
      </c>
      <c r="L1940" s="13" t="str">
        <f t="shared" si="60"/>
        <v>Discount Applied</v>
      </c>
      <c r="M1940" s="13" t="str">
        <f t="shared" si="61"/>
        <v>Platinum</v>
      </c>
      <c r="N1940" s="13"/>
    </row>
    <row r="1941" spans="2:14" x14ac:dyDescent="0.3">
      <c r="B1941" s="3" t="s">
        <v>42</v>
      </c>
      <c r="C1941" s="4">
        <v>45265</v>
      </c>
      <c r="D1941" s="3" t="s">
        <v>20</v>
      </c>
      <c r="E1941" s="3" t="s">
        <v>43</v>
      </c>
      <c r="F1941" s="5">
        <v>4</v>
      </c>
      <c r="G1941" s="6">
        <v>26.53</v>
      </c>
      <c r="H1941" s="6">
        <v>106.12</v>
      </c>
      <c r="I1941" s="6">
        <v>1.42</v>
      </c>
      <c r="J1941" s="6">
        <v>104.7</v>
      </c>
      <c r="K1941" s="5">
        <v>256</v>
      </c>
      <c r="L1941" s="13" t="str">
        <f t="shared" si="60"/>
        <v>Discount Applied</v>
      </c>
      <c r="M1941" s="13" t="str">
        <f t="shared" si="61"/>
        <v>Platinum</v>
      </c>
      <c r="N1941" s="13"/>
    </row>
    <row r="1942" spans="2:14" x14ac:dyDescent="0.3">
      <c r="B1942" s="3" t="s">
        <v>31</v>
      </c>
      <c r="C1942" s="4">
        <v>45272</v>
      </c>
      <c r="D1942" s="3" t="s">
        <v>35</v>
      </c>
      <c r="E1942" s="3" t="s">
        <v>18</v>
      </c>
      <c r="F1942" s="5">
        <v>2</v>
      </c>
      <c r="G1942" s="6">
        <v>22.44</v>
      </c>
      <c r="H1942" s="6">
        <v>44.88</v>
      </c>
      <c r="I1942" s="6">
        <v>4.49</v>
      </c>
      <c r="J1942" s="6">
        <v>40.39</v>
      </c>
      <c r="K1942" s="5">
        <v>350</v>
      </c>
      <c r="L1942" s="13" t="str">
        <f t="shared" si="60"/>
        <v>Discount Applied</v>
      </c>
      <c r="M1942" s="13" t="str">
        <f t="shared" si="61"/>
        <v>Silver</v>
      </c>
      <c r="N1942" s="13"/>
    </row>
    <row r="1943" spans="2:14" x14ac:dyDescent="0.3">
      <c r="B1943" s="3" t="s">
        <v>11</v>
      </c>
      <c r="C1943" s="4">
        <v>45506</v>
      </c>
      <c r="D1943" s="3" t="s">
        <v>22</v>
      </c>
      <c r="E1943" s="3" t="s">
        <v>23</v>
      </c>
      <c r="F1943" s="5">
        <v>5</v>
      </c>
      <c r="G1943" s="6">
        <v>28.16</v>
      </c>
      <c r="H1943" s="6">
        <v>140.80000000000001</v>
      </c>
      <c r="I1943" s="6">
        <v>28.16</v>
      </c>
      <c r="J1943" s="6">
        <v>112.64</v>
      </c>
      <c r="K1943" s="5">
        <v>267</v>
      </c>
      <c r="L1943" s="13" t="str">
        <f t="shared" si="60"/>
        <v>Discount Applied</v>
      </c>
      <c r="M1943" s="13" t="str">
        <f t="shared" si="61"/>
        <v>Platinum</v>
      </c>
      <c r="N1943" s="13"/>
    </row>
    <row r="1944" spans="2:14" x14ac:dyDescent="0.3">
      <c r="B1944" s="3" t="s">
        <v>36</v>
      </c>
      <c r="C1944" s="4">
        <v>45460</v>
      </c>
      <c r="D1944" s="3" t="s">
        <v>20</v>
      </c>
      <c r="E1944" s="3" t="s">
        <v>48</v>
      </c>
      <c r="F1944" s="5">
        <v>2</v>
      </c>
      <c r="G1944" s="6">
        <v>19.559999999999999</v>
      </c>
      <c r="H1944" s="6">
        <v>39.119999999999997</v>
      </c>
      <c r="I1944" s="6">
        <v>0</v>
      </c>
      <c r="J1944" s="6">
        <v>39.119999999999997</v>
      </c>
      <c r="K1944" s="5">
        <v>232</v>
      </c>
      <c r="L1944" s="13" t="str">
        <f t="shared" si="60"/>
        <v>No Discount</v>
      </c>
      <c r="M1944" s="13" t="str">
        <f t="shared" si="61"/>
        <v>Silver</v>
      </c>
      <c r="N1944" s="13"/>
    </row>
    <row r="1945" spans="2:14" x14ac:dyDescent="0.3">
      <c r="B1945" s="3" t="s">
        <v>42</v>
      </c>
      <c r="C1945" s="4">
        <v>45561</v>
      </c>
      <c r="D1945" s="3" t="s">
        <v>12</v>
      </c>
      <c r="E1945" s="3" t="s">
        <v>46</v>
      </c>
      <c r="F1945" s="5">
        <v>1</v>
      </c>
      <c r="G1945" s="6">
        <v>15.35</v>
      </c>
      <c r="H1945" s="6">
        <v>15.35</v>
      </c>
      <c r="I1945" s="6">
        <v>0</v>
      </c>
      <c r="J1945" s="6">
        <v>15.35</v>
      </c>
      <c r="K1945" s="5">
        <v>468</v>
      </c>
      <c r="L1945" s="13" t="str">
        <f t="shared" si="60"/>
        <v>No Discount</v>
      </c>
      <c r="M1945" s="13" t="str">
        <f t="shared" si="61"/>
        <v>Bronze</v>
      </c>
      <c r="N1945" s="13"/>
    </row>
    <row r="1946" spans="2:14" x14ac:dyDescent="0.3">
      <c r="B1946" s="3" t="s">
        <v>30</v>
      </c>
      <c r="C1946" s="4">
        <v>45743</v>
      </c>
      <c r="D1946" s="3" t="s">
        <v>17</v>
      </c>
      <c r="E1946" s="3" t="s">
        <v>32</v>
      </c>
      <c r="F1946" s="5">
        <v>3</v>
      </c>
      <c r="G1946" s="6">
        <v>24.92</v>
      </c>
      <c r="H1946" s="6">
        <v>74.760000000000005</v>
      </c>
      <c r="I1946" s="6">
        <v>14.95</v>
      </c>
      <c r="J1946" s="6">
        <v>59.81</v>
      </c>
      <c r="K1946" s="5">
        <v>277</v>
      </c>
      <c r="L1946" s="13" t="str">
        <f t="shared" si="60"/>
        <v>Discount Applied</v>
      </c>
      <c r="M1946" s="13" t="str">
        <f t="shared" si="61"/>
        <v>Gold</v>
      </c>
      <c r="N1946" s="13"/>
    </row>
    <row r="1947" spans="2:14" x14ac:dyDescent="0.3">
      <c r="B1947" s="3" t="s">
        <v>31</v>
      </c>
      <c r="C1947" s="4">
        <v>45496</v>
      </c>
      <c r="D1947" s="3" t="s">
        <v>12</v>
      </c>
      <c r="E1947" s="3" t="s">
        <v>39</v>
      </c>
      <c r="F1947" s="5">
        <v>3</v>
      </c>
      <c r="G1947" s="6">
        <v>4.5</v>
      </c>
      <c r="H1947" s="6">
        <v>13.5</v>
      </c>
      <c r="I1947" s="6">
        <v>2.0099999999999998</v>
      </c>
      <c r="J1947" s="6">
        <v>11.49</v>
      </c>
      <c r="K1947" s="5">
        <v>95</v>
      </c>
      <c r="L1947" s="13" t="str">
        <f t="shared" si="60"/>
        <v>Discount Applied</v>
      </c>
      <c r="M1947" s="13" t="str">
        <f t="shared" si="61"/>
        <v>Bronze</v>
      </c>
      <c r="N1947" s="13"/>
    </row>
    <row r="1948" spans="2:14" x14ac:dyDescent="0.3">
      <c r="B1948" s="3" t="s">
        <v>11</v>
      </c>
      <c r="C1948" s="4">
        <v>45504</v>
      </c>
      <c r="D1948" s="3" t="s">
        <v>20</v>
      </c>
      <c r="E1948" s="3" t="s">
        <v>23</v>
      </c>
      <c r="F1948" s="5">
        <v>4</v>
      </c>
      <c r="G1948" s="6">
        <v>1.3</v>
      </c>
      <c r="H1948" s="6">
        <v>5.2</v>
      </c>
      <c r="I1948" s="6">
        <v>0.78</v>
      </c>
      <c r="J1948" s="6">
        <v>4.42</v>
      </c>
      <c r="K1948" s="5">
        <v>305</v>
      </c>
      <c r="L1948" s="13" t="str">
        <f t="shared" si="60"/>
        <v>Discount Applied</v>
      </c>
      <c r="M1948" s="13" t="str">
        <f t="shared" si="61"/>
        <v>Bronze</v>
      </c>
      <c r="N1948" s="13"/>
    </row>
    <row r="1949" spans="2:14" x14ac:dyDescent="0.3">
      <c r="B1949" s="3" t="s">
        <v>24</v>
      </c>
      <c r="C1949" s="4">
        <v>45807</v>
      </c>
      <c r="D1949" s="3" t="s">
        <v>22</v>
      </c>
      <c r="E1949" s="3" t="s">
        <v>44</v>
      </c>
      <c r="F1949" s="5">
        <v>3</v>
      </c>
      <c r="G1949" s="6">
        <v>13.42</v>
      </c>
      <c r="H1949" s="6">
        <v>40.26</v>
      </c>
      <c r="I1949" s="6">
        <v>0</v>
      </c>
      <c r="J1949" s="6">
        <v>40.26</v>
      </c>
      <c r="K1949" s="5">
        <v>301</v>
      </c>
      <c r="L1949" s="13" t="str">
        <f t="shared" si="60"/>
        <v>No Discount</v>
      </c>
      <c r="M1949" s="13" t="str">
        <f t="shared" si="61"/>
        <v>Silver</v>
      </c>
      <c r="N1949" s="13"/>
    </row>
    <row r="1950" spans="2:14" x14ac:dyDescent="0.3">
      <c r="B1950" s="3" t="s">
        <v>31</v>
      </c>
      <c r="C1950" s="4">
        <v>45215</v>
      </c>
      <c r="D1950" s="3" t="s">
        <v>27</v>
      </c>
      <c r="E1950" s="3" t="s">
        <v>47</v>
      </c>
      <c r="F1950" s="5">
        <v>1</v>
      </c>
      <c r="G1950" s="6">
        <v>15.49</v>
      </c>
      <c r="H1950" s="6">
        <v>15.49</v>
      </c>
      <c r="I1950" s="6">
        <v>2.3199999999999998</v>
      </c>
      <c r="J1950" s="6">
        <v>13.17</v>
      </c>
      <c r="K1950" s="5">
        <v>179</v>
      </c>
      <c r="L1950" s="13" t="str">
        <f t="shared" si="60"/>
        <v>Discount Applied</v>
      </c>
      <c r="M1950" s="13" t="str">
        <f t="shared" si="61"/>
        <v>Bronze</v>
      </c>
      <c r="N1950" s="13"/>
    </row>
    <row r="1951" spans="2:14" x14ac:dyDescent="0.3">
      <c r="B1951" s="3" t="s">
        <v>26</v>
      </c>
      <c r="C1951" s="4">
        <v>45772</v>
      </c>
      <c r="D1951" s="3" t="s">
        <v>20</v>
      </c>
      <c r="E1951" s="3" t="s">
        <v>18</v>
      </c>
      <c r="F1951" s="5">
        <v>1</v>
      </c>
      <c r="G1951" s="6">
        <v>13.25</v>
      </c>
      <c r="H1951" s="6">
        <v>13.25</v>
      </c>
      <c r="I1951" s="6">
        <v>0</v>
      </c>
      <c r="J1951" s="6">
        <v>13.25</v>
      </c>
      <c r="K1951" s="5">
        <v>300</v>
      </c>
      <c r="L1951" s="13" t="str">
        <f t="shared" si="60"/>
        <v>No Discount</v>
      </c>
      <c r="M1951" s="13" t="str">
        <f t="shared" si="61"/>
        <v>Bronze</v>
      </c>
      <c r="N1951" s="13"/>
    </row>
    <row r="1952" spans="2:14" x14ac:dyDescent="0.3">
      <c r="B1952" s="3" t="s">
        <v>26</v>
      </c>
      <c r="C1952" s="4">
        <v>45786</v>
      </c>
      <c r="D1952" s="3" t="s">
        <v>12</v>
      </c>
      <c r="E1952" s="3" t="s">
        <v>32</v>
      </c>
      <c r="F1952" s="5">
        <v>1</v>
      </c>
      <c r="G1952" s="6">
        <v>28.91</v>
      </c>
      <c r="H1952" s="6">
        <v>28.91</v>
      </c>
      <c r="I1952" s="6">
        <v>2.89</v>
      </c>
      <c r="J1952" s="6">
        <v>26.02</v>
      </c>
      <c r="K1952" s="5">
        <v>388</v>
      </c>
      <c r="L1952" s="13" t="str">
        <f t="shared" si="60"/>
        <v>Discount Applied</v>
      </c>
      <c r="M1952" s="13" t="str">
        <f t="shared" si="61"/>
        <v>Silver</v>
      </c>
      <c r="N1952" s="13"/>
    </row>
    <row r="1953" spans="2:14" x14ac:dyDescent="0.3">
      <c r="B1953" s="3" t="s">
        <v>30</v>
      </c>
      <c r="C1953" s="4">
        <v>45312</v>
      </c>
      <c r="D1953" s="3" t="s">
        <v>38</v>
      </c>
      <c r="E1953" s="3" t="s">
        <v>43</v>
      </c>
      <c r="F1953" s="5">
        <v>1</v>
      </c>
      <c r="G1953" s="6">
        <v>8.11</v>
      </c>
      <c r="H1953" s="6">
        <v>8.11</v>
      </c>
      <c r="I1953" s="6">
        <v>0.81</v>
      </c>
      <c r="J1953" s="6">
        <v>7.3</v>
      </c>
      <c r="K1953" s="5">
        <v>425</v>
      </c>
      <c r="L1953" s="13" t="str">
        <f t="shared" si="60"/>
        <v>Discount Applied</v>
      </c>
      <c r="M1953" s="13" t="str">
        <f t="shared" si="61"/>
        <v>Bronze</v>
      </c>
      <c r="N1953" s="13"/>
    </row>
    <row r="1954" spans="2:14" x14ac:dyDescent="0.3">
      <c r="B1954" s="3" t="s">
        <v>24</v>
      </c>
      <c r="C1954" s="4">
        <v>45260</v>
      </c>
      <c r="D1954" s="3" t="s">
        <v>22</v>
      </c>
      <c r="E1954" s="3" t="s">
        <v>25</v>
      </c>
      <c r="F1954" s="5">
        <v>5</v>
      </c>
      <c r="G1954" s="6">
        <v>29.53</v>
      </c>
      <c r="H1954" s="6">
        <v>147.65</v>
      </c>
      <c r="I1954" s="6">
        <v>22.15</v>
      </c>
      <c r="J1954" s="6">
        <v>125.5</v>
      </c>
      <c r="K1954" s="5">
        <v>17</v>
      </c>
      <c r="L1954" s="13" t="str">
        <f t="shared" si="60"/>
        <v>Discount Applied</v>
      </c>
      <c r="M1954" s="13" t="str">
        <f t="shared" si="61"/>
        <v>Platinum</v>
      </c>
      <c r="N1954" s="13"/>
    </row>
    <row r="1955" spans="2:14" x14ac:dyDescent="0.3">
      <c r="B1955" s="3" t="s">
        <v>14</v>
      </c>
      <c r="C1955" s="4">
        <v>45697</v>
      </c>
      <c r="D1955" s="3" t="s">
        <v>45</v>
      </c>
      <c r="E1955" s="3" t="s">
        <v>44</v>
      </c>
      <c r="F1955" s="5">
        <v>5</v>
      </c>
      <c r="G1955" s="6">
        <v>12.9</v>
      </c>
      <c r="H1955" s="6">
        <v>64.5</v>
      </c>
      <c r="I1955" s="6">
        <v>4.45</v>
      </c>
      <c r="J1955" s="6">
        <v>60.05</v>
      </c>
      <c r="K1955" s="5">
        <v>5</v>
      </c>
      <c r="L1955" s="13" t="str">
        <f t="shared" si="60"/>
        <v>Discount Applied</v>
      </c>
      <c r="M1955" s="13" t="str">
        <f t="shared" si="61"/>
        <v>Gold</v>
      </c>
      <c r="N1955" s="13"/>
    </row>
    <row r="1956" spans="2:14" x14ac:dyDescent="0.3">
      <c r="B1956" s="3" t="s">
        <v>31</v>
      </c>
      <c r="C1956" s="4">
        <v>45421</v>
      </c>
      <c r="D1956" s="3" t="s">
        <v>38</v>
      </c>
      <c r="E1956" s="3" t="s">
        <v>33</v>
      </c>
      <c r="F1956" s="5">
        <v>1</v>
      </c>
      <c r="G1956" s="6">
        <v>15.55</v>
      </c>
      <c r="H1956" s="6">
        <v>15.55</v>
      </c>
      <c r="I1956" s="6">
        <v>0</v>
      </c>
      <c r="J1956" s="6">
        <v>15.55</v>
      </c>
      <c r="K1956" s="5">
        <v>237</v>
      </c>
      <c r="L1956" s="13" t="str">
        <f t="shared" si="60"/>
        <v>No Discount</v>
      </c>
      <c r="M1956" s="13" t="str">
        <f t="shared" si="61"/>
        <v>Bronze</v>
      </c>
      <c r="N1956" s="13"/>
    </row>
    <row r="1957" spans="2:14" x14ac:dyDescent="0.3">
      <c r="B1957" s="3" t="s">
        <v>24</v>
      </c>
      <c r="C1957" s="4">
        <v>45543</v>
      </c>
      <c r="D1957" s="3" t="s">
        <v>38</v>
      </c>
      <c r="E1957" s="3" t="s">
        <v>40</v>
      </c>
      <c r="F1957" s="5">
        <v>3</v>
      </c>
      <c r="G1957" s="6">
        <v>17.97</v>
      </c>
      <c r="H1957" s="6">
        <v>53.91</v>
      </c>
      <c r="I1957" s="6">
        <v>10.78</v>
      </c>
      <c r="J1957" s="6">
        <v>43.13</v>
      </c>
      <c r="K1957" s="5">
        <v>357</v>
      </c>
      <c r="L1957" s="13" t="str">
        <f t="shared" si="60"/>
        <v>Discount Applied</v>
      </c>
      <c r="M1957" s="13" t="str">
        <f t="shared" si="61"/>
        <v>Silver</v>
      </c>
      <c r="N1957" s="13"/>
    </row>
    <row r="1958" spans="2:14" x14ac:dyDescent="0.3">
      <c r="B1958" s="3" t="s">
        <v>26</v>
      </c>
      <c r="C1958" s="4">
        <v>45670</v>
      </c>
      <c r="D1958" s="3" t="s">
        <v>35</v>
      </c>
      <c r="E1958" s="3" t="s">
        <v>29</v>
      </c>
      <c r="F1958" s="5">
        <v>1</v>
      </c>
      <c r="G1958" s="6">
        <v>9.41</v>
      </c>
      <c r="H1958" s="6">
        <v>9.41</v>
      </c>
      <c r="I1958" s="6">
        <v>3.75</v>
      </c>
      <c r="J1958" s="6">
        <v>5.66</v>
      </c>
      <c r="K1958" s="5">
        <v>169</v>
      </c>
      <c r="L1958" s="13" t="str">
        <f t="shared" si="60"/>
        <v>Discount Applied</v>
      </c>
      <c r="M1958" s="13" t="str">
        <f t="shared" si="61"/>
        <v>Bronze</v>
      </c>
      <c r="N1958" s="13"/>
    </row>
    <row r="1959" spans="2:14" x14ac:dyDescent="0.3">
      <c r="B1959" s="3" t="s">
        <v>11</v>
      </c>
      <c r="C1959" s="4">
        <v>45347</v>
      </c>
      <c r="D1959" s="3" t="s">
        <v>17</v>
      </c>
      <c r="E1959" s="3" t="s">
        <v>47</v>
      </c>
      <c r="F1959" s="5">
        <v>4</v>
      </c>
      <c r="G1959" s="6">
        <v>8.2100000000000009</v>
      </c>
      <c r="H1959" s="6">
        <v>32.840000000000003</v>
      </c>
      <c r="I1959" s="6">
        <v>3.28</v>
      </c>
      <c r="J1959" s="6">
        <v>29.56</v>
      </c>
      <c r="K1959" s="5">
        <v>198</v>
      </c>
      <c r="L1959" s="13" t="str">
        <f t="shared" si="60"/>
        <v>Discount Applied</v>
      </c>
      <c r="M1959" s="13" t="str">
        <f t="shared" si="61"/>
        <v>Silver</v>
      </c>
      <c r="N1959" s="13"/>
    </row>
    <row r="1960" spans="2:14" x14ac:dyDescent="0.3">
      <c r="B1960" s="3" t="s">
        <v>31</v>
      </c>
      <c r="C1960" s="4">
        <v>45169</v>
      </c>
      <c r="D1960" s="3" t="s">
        <v>35</v>
      </c>
      <c r="E1960" s="3" t="s">
        <v>29</v>
      </c>
      <c r="F1960" s="5">
        <v>2</v>
      </c>
      <c r="G1960" s="6">
        <v>10.85</v>
      </c>
      <c r="H1960" s="6">
        <v>21.7</v>
      </c>
      <c r="I1960" s="6">
        <v>4.34</v>
      </c>
      <c r="J1960" s="6">
        <v>17.36</v>
      </c>
      <c r="K1960" s="5">
        <v>349</v>
      </c>
      <c r="L1960" s="13" t="str">
        <f t="shared" si="60"/>
        <v>Discount Applied</v>
      </c>
      <c r="M1960" s="13" t="str">
        <f t="shared" si="61"/>
        <v>Bronze</v>
      </c>
      <c r="N1960" s="13"/>
    </row>
    <row r="1961" spans="2:14" x14ac:dyDescent="0.3">
      <c r="B1961" s="3" t="s">
        <v>26</v>
      </c>
      <c r="C1961" s="4">
        <v>45808</v>
      </c>
      <c r="D1961" s="3" t="s">
        <v>15</v>
      </c>
      <c r="E1961" s="3" t="s">
        <v>48</v>
      </c>
      <c r="F1961" s="5">
        <v>2</v>
      </c>
      <c r="G1961" s="6">
        <v>5.03</v>
      </c>
      <c r="H1961" s="6">
        <v>10.06</v>
      </c>
      <c r="I1961" s="6">
        <v>1.01</v>
      </c>
      <c r="J1961" s="6">
        <v>9.0500000000000007</v>
      </c>
      <c r="K1961" s="5">
        <v>379</v>
      </c>
      <c r="L1961" s="13" t="str">
        <f t="shared" si="60"/>
        <v>Discount Applied</v>
      </c>
      <c r="M1961" s="13" t="str">
        <f t="shared" si="61"/>
        <v>Bronze</v>
      </c>
      <c r="N1961" s="13"/>
    </row>
    <row r="1962" spans="2:14" x14ac:dyDescent="0.3">
      <c r="B1962" s="3" t="s">
        <v>26</v>
      </c>
      <c r="C1962" s="4">
        <v>45576</v>
      </c>
      <c r="D1962" s="3" t="s">
        <v>22</v>
      </c>
      <c r="E1962" s="3" t="s">
        <v>16</v>
      </c>
      <c r="F1962" s="5">
        <v>1</v>
      </c>
      <c r="G1962" s="6">
        <v>21.53</v>
      </c>
      <c r="H1962" s="6">
        <v>21.53</v>
      </c>
      <c r="I1962" s="6">
        <v>0</v>
      </c>
      <c r="J1962" s="6">
        <v>21.53</v>
      </c>
      <c r="K1962" s="5">
        <v>459</v>
      </c>
      <c r="L1962" s="13" t="str">
        <f t="shared" si="60"/>
        <v>No Discount</v>
      </c>
      <c r="M1962" s="13" t="str">
        <f t="shared" si="61"/>
        <v>Silver</v>
      </c>
      <c r="N1962" s="13"/>
    </row>
    <row r="1963" spans="2:14" x14ac:dyDescent="0.3">
      <c r="B1963" s="3" t="s">
        <v>14</v>
      </c>
      <c r="C1963" s="4">
        <v>45218</v>
      </c>
      <c r="D1963" s="3" t="s">
        <v>15</v>
      </c>
      <c r="E1963" s="3" t="s">
        <v>16</v>
      </c>
      <c r="F1963" s="5">
        <v>4</v>
      </c>
      <c r="G1963" s="6">
        <v>1.96</v>
      </c>
      <c r="H1963" s="6">
        <v>7.84</v>
      </c>
      <c r="I1963" s="6">
        <v>1.26</v>
      </c>
      <c r="J1963" s="6">
        <v>6.58</v>
      </c>
      <c r="K1963" s="5">
        <v>223</v>
      </c>
      <c r="L1963" s="13" t="str">
        <f t="shared" si="60"/>
        <v>Discount Applied</v>
      </c>
      <c r="M1963" s="13" t="str">
        <f t="shared" si="61"/>
        <v>Bronze</v>
      </c>
      <c r="N1963" s="13"/>
    </row>
    <row r="1964" spans="2:14" x14ac:dyDescent="0.3">
      <c r="B1964" s="3" t="s">
        <v>30</v>
      </c>
      <c r="C1964" s="4">
        <v>45224</v>
      </c>
      <c r="D1964" s="3" t="s">
        <v>27</v>
      </c>
      <c r="E1964" s="3" t="s">
        <v>23</v>
      </c>
      <c r="F1964" s="5">
        <v>4</v>
      </c>
      <c r="G1964" s="6">
        <v>12.63</v>
      </c>
      <c r="H1964" s="6">
        <v>50.52</v>
      </c>
      <c r="I1964" s="6">
        <v>10.1</v>
      </c>
      <c r="J1964" s="6">
        <v>40.42</v>
      </c>
      <c r="K1964" s="5">
        <v>470</v>
      </c>
      <c r="L1964" s="13" t="str">
        <f t="shared" si="60"/>
        <v>Discount Applied</v>
      </c>
      <c r="M1964" s="13" t="str">
        <f t="shared" si="61"/>
        <v>Silver</v>
      </c>
      <c r="N1964" s="13"/>
    </row>
    <row r="1965" spans="2:14" x14ac:dyDescent="0.3">
      <c r="B1965" s="3" t="s">
        <v>11</v>
      </c>
      <c r="C1965" s="4">
        <v>45239</v>
      </c>
      <c r="D1965" s="3" t="s">
        <v>12</v>
      </c>
      <c r="E1965" s="3" t="s">
        <v>29</v>
      </c>
      <c r="F1965" s="5">
        <v>1</v>
      </c>
      <c r="G1965" s="6">
        <v>17.53</v>
      </c>
      <c r="H1965" s="6">
        <v>17.53</v>
      </c>
      <c r="I1965" s="6">
        <v>1.75</v>
      </c>
      <c r="J1965" s="6">
        <v>15.78</v>
      </c>
      <c r="K1965" s="5">
        <v>340</v>
      </c>
      <c r="L1965" s="13" t="str">
        <f t="shared" si="60"/>
        <v>Discount Applied</v>
      </c>
      <c r="M1965" s="13" t="str">
        <f t="shared" si="61"/>
        <v>Bronze</v>
      </c>
      <c r="N1965" s="13"/>
    </row>
    <row r="1966" spans="2:14" x14ac:dyDescent="0.3">
      <c r="B1966" s="3" t="s">
        <v>14</v>
      </c>
      <c r="C1966" s="4">
        <v>45192</v>
      </c>
      <c r="D1966" s="3" t="s">
        <v>22</v>
      </c>
      <c r="E1966" s="3" t="s">
        <v>18</v>
      </c>
      <c r="F1966" s="5">
        <v>3</v>
      </c>
      <c r="G1966" s="6">
        <v>14.85</v>
      </c>
      <c r="H1966" s="6">
        <v>44.55</v>
      </c>
      <c r="I1966" s="6">
        <v>2.65</v>
      </c>
      <c r="J1966" s="6">
        <v>41.9</v>
      </c>
      <c r="K1966" s="5">
        <v>497</v>
      </c>
      <c r="L1966" s="13" t="str">
        <f t="shared" si="60"/>
        <v>Discount Applied</v>
      </c>
      <c r="M1966" s="13" t="str">
        <f t="shared" si="61"/>
        <v>Silver</v>
      </c>
      <c r="N1966" s="13"/>
    </row>
    <row r="1967" spans="2:14" x14ac:dyDescent="0.3">
      <c r="B1967" s="3" t="s">
        <v>14</v>
      </c>
      <c r="C1967" s="4">
        <v>45246</v>
      </c>
      <c r="D1967" s="3" t="s">
        <v>12</v>
      </c>
      <c r="E1967" s="3" t="s">
        <v>25</v>
      </c>
      <c r="F1967" s="5">
        <v>2</v>
      </c>
      <c r="G1967" s="6">
        <v>5.26</v>
      </c>
      <c r="H1967" s="6">
        <v>10.52</v>
      </c>
      <c r="I1967" s="6">
        <v>2.4900000000000002</v>
      </c>
      <c r="J1967" s="6">
        <v>8.0299999999999994</v>
      </c>
      <c r="K1967" s="5">
        <v>68</v>
      </c>
      <c r="L1967" s="13" t="str">
        <f t="shared" si="60"/>
        <v>Discount Applied</v>
      </c>
      <c r="M1967" s="13" t="str">
        <f t="shared" si="61"/>
        <v>Bronze</v>
      </c>
      <c r="N1967" s="13"/>
    </row>
    <row r="1968" spans="2:14" x14ac:dyDescent="0.3">
      <c r="B1968" s="3" t="s">
        <v>14</v>
      </c>
      <c r="C1968" s="4">
        <v>45784</v>
      </c>
      <c r="D1968" s="3" t="s">
        <v>12</v>
      </c>
      <c r="E1968" s="3" t="s">
        <v>48</v>
      </c>
      <c r="F1968" s="5">
        <v>5</v>
      </c>
      <c r="G1968" s="6">
        <v>20.3</v>
      </c>
      <c r="H1968" s="6">
        <v>101.5</v>
      </c>
      <c r="I1968" s="6">
        <v>15.22</v>
      </c>
      <c r="J1968" s="6">
        <v>86.28</v>
      </c>
      <c r="K1968" s="5">
        <v>299</v>
      </c>
      <c r="L1968" s="13" t="str">
        <f t="shared" si="60"/>
        <v>Discount Applied</v>
      </c>
      <c r="M1968" s="13" t="str">
        <f t="shared" si="61"/>
        <v>Platinum</v>
      </c>
      <c r="N1968" s="13"/>
    </row>
    <row r="1969" spans="2:14" x14ac:dyDescent="0.3">
      <c r="B1969" s="3" t="s">
        <v>19</v>
      </c>
      <c r="C1969" s="4">
        <v>45434</v>
      </c>
      <c r="D1969" s="3" t="s">
        <v>22</v>
      </c>
      <c r="E1969" s="3" t="s">
        <v>25</v>
      </c>
      <c r="F1969" s="5">
        <v>4</v>
      </c>
      <c r="G1969" s="6">
        <v>24.23</v>
      </c>
      <c r="H1969" s="6">
        <v>96.92</v>
      </c>
      <c r="I1969" s="6">
        <v>9.69</v>
      </c>
      <c r="J1969" s="6">
        <v>87.23</v>
      </c>
      <c r="K1969" s="5">
        <v>96</v>
      </c>
      <c r="L1969" s="13" t="str">
        <f t="shared" si="60"/>
        <v>Discount Applied</v>
      </c>
      <c r="M1969" s="13" t="str">
        <f t="shared" si="61"/>
        <v>Platinum</v>
      </c>
      <c r="N1969" s="13"/>
    </row>
    <row r="1970" spans="2:14" x14ac:dyDescent="0.3">
      <c r="B1970" s="3" t="s">
        <v>26</v>
      </c>
      <c r="C1970" s="4">
        <v>45597</v>
      </c>
      <c r="D1970" s="3" t="s">
        <v>17</v>
      </c>
      <c r="E1970" s="3" t="s">
        <v>48</v>
      </c>
      <c r="F1970" s="5">
        <v>2</v>
      </c>
      <c r="G1970" s="6">
        <v>12.24</v>
      </c>
      <c r="H1970" s="6">
        <v>24.48</v>
      </c>
      <c r="I1970" s="6">
        <v>4.9000000000000004</v>
      </c>
      <c r="J1970" s="6">
        <v>19.579999999999998</v>
      </c>
      <c r="K1970" s="5">
        <v>324</v>
      </c>
      <c r="L1970" s="13" t="str">
        <f t="shared" si="60"/>
        <v>Discount Applied</v>
      </c>
      <c r="M1970" s="13" t="str">
        <f t="shared" si="61"/>
        <v>Bronze</v>
      </c>
      <c r="N1970" s="13"/>
    </row>
    <row r="1971" spans="2:14" x14ac:dyDescent="0.3">
      <c r="B1971" s="3" t="s">
        <v>19</v>
      </c>
      <c r="C1971" s="4">
        <v>45857</v>
      </c>
      <c r="D1971" s="3" t="s">
        <v>38</v>
      </c>
      <c r="E1971" s="3" t="s">
        <v>41</v>
      </c>
      <c r="F1971" s="5">
        <v>1</v>
      </c>
      <c r="G1971" s="6">
        <v>14.84</v>
      </c>
      <c r="H1971" s="6">
        <v>14.84</v>
      </c>
      <c r="I1971" s="6">
        <v>2.97</v>
      </c>
      <c r="J1971" s="6">
        <v>11.87</v>
      </c>
      <c r="K1971" s="5">
        <v>37</v>
      </c>
      <c r="L1971" s="13" t="str">
        <f t="shared" si="60"/>
        <v>Discount Applied</v>
      </c>
      <c r="M1971" s="13" t="str">
        <f t="shared" si="61"/>
        <v>Bronze</v>
      </c>
      <c r="N1971" s="13"/>
    </row>
    <row r="1972" spans="2:14" x14ac:dyDescent="0.3">
      <c r="B1972" s="3" t="s">
        <v>24</v>
      </c>
      <c r="C1972" s="4">
        <v>45161</v>
      </c>
      <c r="D1972" s="3" t="s">
        <v>27</v>
      </c>
      <c r="E1972" s="3" t="s">
        <v>23</v>
      </c>
      <c r="F1972" s="5">
        <v>2</v>
      </c>
      <c r="G1972" s="6">
        <v>25</v>
      </c>
      <c r="H1972" s="6">
        <v>50</v>
      </c>
      <c r="I1972" s="6">
        <v>5</v>
      </c>
      <c r="J1972" s="6">
        <v>45</v>
      </c>
      <c r="K1972" s="5">
        <v>208</v>
      </c>
      <c r="L1972" s="13" t="str">
        <f t="shared" si="60"/>
        <v>Discount Applied</v>
      </c>
      <c r="M1972" s="13" t="str">
        <f t="shared" si="61"/>
        <v>Silver</v>
      </c>
      <c r="N1972" s="13"/>
    </row>
    <row r="1973" spans="2:14" x14ac:dyDescent="0.3">
      <c r="B1973" s="3" t="s">
        <v>31</v>
      </c>
      <c r="C1973" s="4">
        <v>45298</v>
      </c>
      <c r="D1973" s="3" t="s">
        <v>22</v>
      </c>
      <c r="E1973" s="3" t="s">
        <v>32</v>
      </c>
      <c r="F1973" s="5">
        <v>1</v>
      </c>
      <c r="G1973" s="6">
        <v>6.58</v>
      </c>
      <c r="H1973" s="6">
        <v>6.58</v>
      </c>
      <c r="I1973" s="6">
        <v>0.66</v>
      </c>
      <c r="J1973" s="6">
        <v>5.92</v>
      </c>
      <c r="K1973" s="5">
        <v>371</v>
      </c>
      <c r="L1973" s="13" t="str">
        <f t="shared" si="60"/>
        <v>Discount Applied</v>
      </c>
      <c r="M1973" s="13" t="str">
        <f t="shared" si="61"/>
        <v>Bronze</v>
      </c>
      <c r="N1973" s="13"/>
    </row>
    <row r="1974" spans="2:14" x14ac:dyDescent="0.3">
      <c r="B1974" s="3" t="s">
        <v>26</v>
      </c>
      <c r="C1974" s="4">
        <v>45773</v>
      </c>
      <c r="D1974" s="3" t="s">
        <v>28</v>
      </c>
      <c r="E1974" s="3" t="s">
        <v>25</v>
      </c>
      <c r="F1974" s="5">
        <v>2</v>
      </c>
      <c r="G1974" s="6">
        <v>14.89</v>
      </c>
      <c r="H1974" s="6">
        <v>29.78</v>
      </c>
      <c r="I1974" s="6">
        <v>0</v>
      </c>
      <c r="J1974" s="6">
        <v>29.78</v>
      </c>
      <c r="K1974" s="5">
        <v>486</v>
      </c>
      <c r="L1974" s="13" t="str">
        <f t="shared" si="60"/>
        <v>No Discount</v>
      </c>
      <c r="M1974" s="13" t="str">
        <f t="shared" si="61"/>
        <v>Silver</v>
      </c>
      <c r="N1974" s="13"/>
    </row>
    <row r="1975" spans="2:14" x14ac:dyDescent="0.3">
      <c r="B1975" s="3" t="s">
        <v>19</v>
      </c>
      <c r="C1975" s="4">
        <v>45216</v>
      </c>
      <c r="D1975" s="3" t="s">
        <v>17</v>
      </c>
      <c r="E1975" s="3" t="s">
        <v>46</v>
      </c>
      <c r="F1975" s="5">
        <v>3</v>
      </c>
      <c r="G1975" s="6">
        <v>15.41</v>
      </c>
      <c r="H1975" s="6">
        <v>46.23</v>
      </c>
      <c r="I1975" s="6">
        <v>1.1200000000000001</v>
      </c>
      <c r="J1975" s="6">
        <v>45.11</v>
      </c>
      <c r="K1975" s="5">
        <v>38</v>
      </c>
      <c r="L1975" s="13" t="str">
        <f t="shared" si="60"/>
        <v>Discount Applied</v>
      </c>
      <c r="M1975" s="13" t="str">
        <f t="shared" si="61"/>
        <v>Silver</v>
      </c>
      <c r="N1975" s="13"/>
    </row>
    <row r="1976" spans="2:14" x14ac:dyDescent="0.3">
      <c r="B1976" s="3" t="s">
        <v>11</v>
      </c>
      <c r="C1976" s="4">
        <v>45240</v>
      </c>
      <c r="D1976" s="3" t="s">
        <v>38</v>
      </c>
      <c r="E1976" s="3" t="s">
        <v>43</v>
      </c>
      <c r="F1976" s="5">
        <v>2</v>
      </c>
      <c r="G1976" s="6">
        <v>23.4</v>
      </c>
      <c r="H1976" s="6">
        <v>46.8</v>
      </c>
      <c r="I1976" s="6">
        <v>7.02</v>
      </c>
      <c r="J1976" s="6">
        <v>39.78</v>
      </c>
      <c r="K1976" s="5">
        <v>20</v>
      </c>
      <c r="L1976" s="13" t="str">
        <f t="shared" si="60"/>
        <v>Discount Applied</v>
      </c>
      <c r="M1976" s="13" t="str">
        <f t="shared" si="61"/>
        <v>Silver</v>
      </c>
      <c r="N1976" s="13"/>
    </row>
    <row r="1977" spans="2:14" x14ac:dyDescent="0.3">
      <c r="B1977" s="3" t="s">
        <v>24</v>
      </c>
      <c r="C1977" s="4">
        <v>45503</v>
      </c>
      <c r="D1977" s="3" t="s">
        <v>35</v>
      </c>
      <c r="E1977" s="3" t="s">
        <v>33</v>
      </c>
      <c r="F1977" s="5">
        <v>3</v>
      </c>
      <c r="G1977" s="6">
        <v>9.7899999999999991</v>
      </c>
      <c r="H1977" s="6">
        <v>29.37</v>
      </c>
      <c r="I1977" s="6">
        <v>4.41</v>
      </c>
      <c r="J1977" s="6">
        <v>24.96</v>
      </c>
      <c r="K1977" s="5">
        <v>274</v>
      </c>
      <c r="L1977" s="13" t="str">
        <f t="shared" si="60"/>
        <v>Discount Applied</v>
      </c>
      <c r="M1977" s="13" t="str">
        <f t="shared" si="61"/>
        <v>Silver</v>
      </c>
      <c r="N1977" s="13"/>
    </row>
    <row r="1978" spans="2:14" x14ac:dyDescent="0.3">
      <c r="B1978" s="3" t="s">
        <v>26</v>
      </c>
      <c r="C1978" s="4">
        <v>45275</v>
      </c>
      <c r="D1978" s="3" t="s">
        <v>38</v>
      </c>
      <c r="E1978" s="3" t="s">
        <v>47</v>
      </c>
      <c r="F1978" s="5">
        <v>4</v>
      </c>
      <c r="G1978" s="6">
        <v>22.96</v>
      </c>
      <c r="H1978" s="6">
        <v>91.84</v>
      </c>
      <c r="I1978" s="6">
        <v>9.18</v>
      </c>
      <c r="J1978" s="6">
        <v>82.66</v>
      </c>
      <c r="K1978" s="5">
        <v>429</v>
      </c>
      <c r="L1978" s="13" t="str">
        <f t="shared" si="60"/>
        <v>Discount Applied</v>
      </c>
      <c r="M1978" s="13" t="str">
        <f t="shared" si="61"/>
        <v>Platinum</v>
      </c>
      <c r="N1978" s="13"/>
    </row>
    <row r="1979" spans="2:14" x14ac:dyDescent="0.3">
      <c r="B1979" s="3" t="s">
        <v>36</v>
      </c>
      <c r="C1979" s="4">
        <v>45783</v>
      </c>
      <c r="D1979" s="3" t="s">
        <v>15</v>
      </c>
      <c r="E1979" s="3" t="s">
        <v>47</v>
      </c>
      <c r="F1979" s="5">
        <v>3</v>
      </c>
      <c r="G1979" s="6">
        <v>16.440000000000001</v>
      </c>
      <c r="H1979" s="6">
        <v>49.32</v>
      </c>
      <c r="I1979" s="6">
        <v>7.4</v>
      </c>
      <c r="J1979" s="6">
        <v>41.92</v>
      </c>
      <c r="K1979" s="5">
        <v>315</v>
      </c>
      <c r="L1979" s="13" t="str">
        <f t="shared" si="60"/>
        <v>Discount Applied</v>
      </c>
      <c r="M1979" s="13" t="str">
        <f t="shared" si="61"/>
        <v>Silver</v>
      </c>
      <c r="N1979" s="13"/>
    </row>
    <row r="1980" spans="2:14" x14ac:dyDescent="0.3">
      <c r="B1980" s="3" t="s">
        <v>30</v>
      </c>
      <c r="C1980" s="4">
        <v>45530</v>
      </c>
      <c r="D1980" s="3" t="s">
        <v>35</v>
      </c>
      <c r="E1980" s="3" t="s">
        <v>37</v>
      </c>
      <c r="F1980" s="5">
        <v>5</v>
      </c>
      <c r="G1980" s="6">
        <v>15.88</v>
      </c>
      <c r="H1980" s="6">
        <v>79.400000000000006</v>
      </c>
      <c r="I1980" s="6">
        <v>15.88</v>
      </c>
      <c r="J1980" s="6">
        <v>63.52</v>
      </c>
      <c r="K1980" s="5">
        <v>160</v>
      </c>
      <c r="L1980" s="13" t="str">
        <f t="shared" si="60"/>
        <v>Discount Applied</v>
      </c>
      <c r="M1980" s="13" t="str">
        <f t="shared" si="61"/>
        <v>Gold</v>
      </c>
      <c r="N1980" s="13"/>
    </row>
    <row r="1981" spans="2:14" x14ac:dyDescent="0.3">
      <c r="B1981" s="3" t="s">
        <v>42</v>
      </c>
      <c r="C1981" s="4">
        <v>45442</v>
      </c>
      <c r="D1981" s="3" t="s">
        <v>22</v>
      </c>
      <c r="E1981" s="3" t="s">
        <v>37</v>
      </c>
      <c r="F1981" s="5">
        <v>2</v>
      </c>
      <c r="G1981" s="6">
        <v>24.94</v>
      </c>
      <c r="H1981" s="6">
        <v>49.88</v>
      </c>
      <c r="I1981" s="6">
        <v>7.48</v>
      </c>
      <c r="J1981" s="6">
        <v>42.4</v>
      </c>
      <c r="K1981" s="5">
        <v>265</v>
      </c>
      <c r="L1981" s="13" t="str">
        <f t="shared" si="60"/>
        <v>Discount Applied</v>
      </c>
      <c r="M1981" s="13" t="str">
        <f t="shared" si="61"/>
        <v>Silver</v>
      </c>
      <c r="N1981" s="13"/>
    </row>
  </sheetData>
  <mergeCells count="2">
    <mergeCell ref="O3:P3"/>
    <mergeCell ref="R3:S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1D489-AA4D-474B-B4C3-7960AF0E5370}">
  <dimension ref="A1:K1983"/>
  <sheetViews>
    <sheetView topLeftCell="A118" workbookViewId="0">
      <selection activeCell="L7" sqref="L7"/>
    </sheetView>
  </sheetViews>
  <sheetFormatPr defaultRowHeight="14.4" x14ac:dyDescent="0.3"/>
  <cols>
    <col min="1" max="1" width="11.109375" bestFit="1" customWidth="1"/>
    <col min="2" max="2" width="19" bestFit="1" customWidth="1"/>
    <col min="3" max="3" width="15.21875" bestFit="1" customWidth="1"/>
    <col min="4" max="4" width="15.88671875" bestFit="1" customWidth="1"/>
    <col min="5" max="5" width="13.21875" bestFit="1" customWidth="1"/>
    <col min="6" max="6" width="8.33203125" bestFit="1" customWidth="1"/>
    <col min="7" max="7" width="9.109375" bestFit="1" customWidth="1"/>
    <col min="8" max="8" width="12.5546875" bestFit="1" customWidth="1"/>
    <col min="9" max="9" width="15.77734375" bestFit="1" customWidth="1"/>
    <col min="10" max="10" width="12.21875" bestFit="1" customWidth="1"/>
    <col min="11" max="11" width="12.77734375" bestFit="1" customWidth="1"/>
  </cols>
  <sheetData>
    <row r="1" spans="1:11" x14ac:dyDescent="0.3">
      <c r="A1" s="17" t="s">
        <v>89</v>
      </c>
      <c r="B1" s="17"/>
      <c r="C1" s="17"/>
      <c r="D1" s="17"/>
      <c r="E1" s="17"/>
      <c r="F1" s="17"/>
      <c r="G1" s="17"/>
      <c r="H1" s="17"/>
      <c r="I1" s="17"/>
      <c r="J1" s="17"/>
      <c r="K1" s="17"/>
    </row>
    <row r="2" spans="1:11" x14ac:dyDescent="0.3">
      <c r="A2" s="18"/>
      <c r="B2" s="18"/>
      <c r="C2" s="18"/>
      <c r="D2" s="18"/>
      <c r="E2" s="18"/>
      <c r="F2" s="18"/>
      <c r="G2" s="18"/>
      <c r="H2" s="18"/>
      <c r="I2" s="18"/>
      <c r="J2" s="18"/>
      <c r="K2" s="18"/>
    </row>
    <row r="3" spans="1:11" x14ac:dyDescent="0.3">
      <c r="A3" s="2" t="s">
        <v>49</v>
      </c>
      <c r="B3" s="2" t="s">
        <v>50</v>
      </c>
      <c r="C3" s="2" t="s">
        <v>51</v>
      </c>
      <c r="D3" s="2" t="s">
        <v>52</v>
      </c>
      <c r="E3" s="2" t="s">
        <v>53</v>
      </c>
      <c r="F3" s="2" t="s">
        <v>54</v>
      </c>
      <c r="G3" s="2" t="s">
        <v>55</v>
      </c>
      <c r="H3" s="2" t="s">
        <v>56</v>
      </c>
      <c r="I3" s="2" t="s">
        <v>57</v>
      </c>
      <c r="J3" s="2" t="s">
        <v>58</v>
      </c>
      <c r="K3" s="2" t="s">
        <v>59</v>
      </c>
    </row>
    <row r="4" spans="1:11" x14ac:dyDescent="0.3">
      <c r="A4" s="3">
        <v>2824</v>
      </c>
      <c r="B4" s="3" t="s">
        <v>11</v>
      </c>
      <c r="C4" s="4">
        <v>45164</v>
      </c>
      <c r="D4" s="3" t="s">
        <v>12</v>
      </c>
      <c r="E4" s="3" t="s">
        <v>13</v>
      </c>
      <c r="F4" s="5">
        <v>2</v>
      </c>
      <c r="G4" s="6">
        <v>7.46</v>
      </c>
      <c r="H4" s="6">
        <v>14.92</v>
      </c>
      <c r="I4" s="6">
        <v>0</v>
      </c>
      <c r="J4" s="6">
        <v>14.92</v>
      </c>
      <c r="K4" s="5">
        <v>377</v>
      </c>
    </row>
    <row r="5" spans="1:11" x14ac:dyDescent="0.3">
      <c r="A5" s="3">
        <v>5506</v>
      </c>
      <c r="B5" s="3" t="s">
        <v>14</v>
      </c>
      <c r="C5" s="4">
        <v>45335</v>
      </c>
      <c r="D5" s="3" t="s">
        <v>15</v>
      </c>
      <c r="E5" s="3" t="s">
        <v>16</v>
      </c>
      <c r="F5" s="5">
        <v>1</v>
      </c>
      <c r="G5" s="6">
        <v>1.85</v>
      </c>
      <c r="H5" s="6">
        <v>1.85</v>
      </c>
      <c r="I5" s="6">
        <v>3.41</v>
      </c>
      <c r="J5" s="6">
        <v>-1.56</v>
      </c>
      <c r="K5" s="5">
        <v>111</v>
      </c>
    </row>
    <row r="6" spans="1:11" x14ac:dyDescent="0.3">
      <c r="A6" s="3">
        <v>4657</v>
      </c>
      <c r="B6" s="3" t="s">
        <v>14</v>
      </c>
      <c r="C6" s="4">
        <v>45253</v>
      </c>
      <c r="D6" s="3" t="s">
        <v>17</v>
      </c>
      <c r="E6" s="3" t="s">
        <v>18</v>
      </c>
      <c r="F6" s="5">
        <v>4</v>
      </c>
      <c r="G6" s="6">
        <v>7.38</v>
      </c>
      <c r="H6" s="6">
        <v>29.52</v>
      </c>
      <c r="I6" s="6">
        <v>4.04</v>
      </c>
      <c r="J6" s="6">
        <v>25.48</v>
      </c>
      <c r="K6" s="5">
        <v>301</v>
      </c>
    </row>
    <row r="7" spans="1:11" x14ac:dyDescent="0.3">
      <c r="A7" s="3">
        <v>2679</v>
      </c>
      <c r="B7" s="3" t="s">
        <v>19</v>
      </c>
      <c r="C7" s="4">
        <v>45670</v>
      </c>
      <c r="D7" s="3" t="s">
        <v>20</v>
      </c>
      <c r="E7" s="3" t="s">
        <v>21</v>
      </c>
      <c r="F7" s="5">
        <v>3</v>
      </c>
      <c r="G7" s="6">
        <v>5.5</v>
      </c>
      <c r="H7" s="6">
        <v>16.5</v>
      </c>
      <c r="I7" s="6">
        <v>1.37</v>
      </c>
      <c r="J7" s="6">
        <v>15.13</v>
      </c>
      <c r="K7" s="5">
        <v>490</v>
      </c>
    </row>
    <row r="8" spans="1:11" x14ac:dyDescent="0.3">
      <c r="A8" s="3">
        <v>9935</v>
      </c>
      <c r="B8" s="3" t="s">
        <v>11</v>
      </c>
      <c r="C8" s="4">
        <v>45212</v>
      </c>
      <c r="D8" s="3" t="s">
        <v>22</v>
      </c>
      <c r="E8" s="3" t="s">
        <v>23</v>
      </c>
      <c r="F8" s="5">
        <v>5</v>
      </c>
      <c r="G8" s="6">
        <v>8.66</v>
      </c>
      <c r="H8" s="6">
        <v>43.3</v>
      </c>
      <c r="I8" s="6">
        <v>1.5</v>
      </c>
      <c r="J8" s="6">
        <v>41.8</v>
      </c>
      <c r="K8" s="5">
        <v>22</v>
      </c>
    </row>
    <row r="9" spans="1:11" x14ac:dyDescent="0.3">
      <c r="A9" s="3">
        <v>7912</v>
      </c>
      <c r="B9" s="3" t="s">
        <v>24</v>
      </c>
      <c r="C9" s="4">
        <v>45169</v>
      </c>
      <c r="D9" s="3" t="s">
        <v>15</v>
      </c>
      <c r="E9" s="3" t="s">
        <v>18</v>
      </c>
      <c r="F9" s="5">
        <v>3</v>
      </c>
      <c r="G9" s="6">
        <v>25.04</v>
      </c>
      <c r="H9" s="6">
        <v>75.12</v>
      </c>
      <c r="I9" s="6">
        <v>1.77</v>
      </c>
      <c r="J9" s="6">
        <v>73.349999999999994</v>
      </c>
      <c r="K9" s="5">
        <v>316</v>
      </c>
    </row>
    <row r="10" spans="1:11" x14ac:dyDescent="0.3">
      <c r="A10" s="3">
        <v>1488</v>
      </c>
      <c r="B10" s="3" t="s">
        <v>11</v>
      </c>
      <c r="C10" s="4">
        <v>45217</v>
      </c>
      <c r="D10" s="3" t="s">
        <v>12</v>
      </c>
      <c r="E10" s="3" t="s">
        <v>25</v>
      </c>
      <c r="F10" s="5">
        <v>3</v>
      </c>
      <c r="G10" s="6">
        <v>29.56</v>
      </c>
      <c r="H10" s="6">
        <v>88.68</v>
      </c>
      <c r="I10" s="6">
        <v>2.52</v>
      </c>
      <c r="J10" s="6">
        <v>86.16</v>
      </c>
      <c r="K10" s="5">
        <v>437</v>
      </c>
    </row>
    <row r="11" spans="1:11" x14ac:dyDescent="0.3">
      <c r="A11" s="3">
        <v>4582</v>
      </c>
      <c r="B11" s="3" t="s">
        <v>26</v>
      </c>
      <c r="C11" s="4">
        <v>45325</v>
      </c>
      <c r="D11" s="3" t="s">
        <v>27</v>
      </c>
      <c r="E11" s="3" t="s">
        <v>23</v>
      </c>
      <c r="F11" s="5">
        <v>2</v>
      </c>
      <c r="G11" s="6">
        <v>11.73</v>
      </c>
      <c r="H11" s="6">
        <v>23.46</v>
      </c>
      <c r="I11" s="6">
        <v>0</v>
      </c>
      <c r="J11" s="6">
        <v>23.46</v>
      </c>
      <c r="K11" s="5">
        <v>107</v>
      </c>
    </row>
    <row r="12" spans="1:11" x14ac:dyDescent="0.3">
      <c r="A12" s="3">
        <v>9279</v>
      </c>
      <c r="B12" s="3" t="s">
        <v>11</v>
      </c>
      <c r="C12" s="4">
        <v>45612</v>
      </c>
      <c r="D12" s="3" t="s">
        <v>28</v>
      </c>
      <c r="E12" s="3" t="s">
        <v>29</v>
      </c>
      <c r="F12" s="5">
        <v>5</v>
      </c>
      <c r="G12" s="6">
        <v>22.13</v>
      </c>
      <c r="H12" s="6">
        <v>110.65</v>
      </c>
      <c r="I12" s="6">
        <v>11.07</v>
      </c>
      <c r="J12" s="6">
        <v>99.58</v>
      </c>
      <c r="K12" s="5">
        <v>83</v>
      </c>
    </row>
    <row r="13" spans="1:11" x14ac:dyDescent="0.3">
      <c r="A13" s="3">
        <v>1434</v>
      </c>
      <c r="B13" s="3" t="s">
        <v>30</v>
      </c>
      <c r="C13" s="4">
        <v>45580</v>
      </c>
      <c r="D13" s="3" t="s">
        <v>27</v>
      </c>
      <c r="E13" s="3" t="s">
        <v>18</v>
      </c>
      <c r="F13" s="5">
        <v>2</v>
      </c>
      <c r="G13" s="6">
        <v>20.84</v>
      </c>
      <c r="H13" s="6">
        <v>41.68</v>
      </c>
      <c r="I13" s="6">
        <v>8.34</v>
      </c>
      <c r="J13" s="6">
        <v>33.340000000000003</v>
      </c>
      <c r="K13" s="5">
        <v>431</v>
      </c>
    </row>
    <row r="14" spans="1:11" x14ac:dyDescent="0.3">
      <c r="A14" s="3">
        <v>4257</v>
      </c>
      <c r="B14" s="3" t="s">
        <v>31</v>
      </c>
      <c r="C14" s="4">
        <v>45701</v>
      </c>
      <c r="D14" s="3" t="s">
        <v>22</v>
      </c>
      <c r="E14" s="3" t="s">
        <v>32</v>
      </c>
      <c r="F14" s="5">
        <v>3</v>
      </c>
      <c r="G14" s="6">
        <v>2.91</v>
      </c>
      <c r="H14" s="6">
        <v>8.73</v>
      </c>
      <c r="I14" s="6">
        <v>1.75</v>
      </c>
      <c r="J14" s="6">
        <v>6.98</v>
      </c>
      <c r="K14" s="5">
        <v>467</v>
      </c>
    </row>
    <row r="15" spans="1:11" x14ac:dyDescent="0.3">
      <c r="A15" s="3">
        <v>9928</v>
      </c>
      <c r="B15" s="3" t="s">
        <v>26</v>
      </c>
      <c r="C15" s="4">
        <v>45470</v>
      </c>
      <c r="D15" s="3" t="s">
        <v>20</v>
      </c>
      <c r="E15" s="3" t="s">
        <v>33</v>
      </c>
      <c r="F15" s="5">
        <v>2</v>
      </c>
      <c r="G15" s="6">
        <v>8.67</v>
      </c>
      <c r="H15" s="6">
        <v>17.34</v>
      </c>
      <c r="I15" s="6">
        <v>0</v>
      </c>
      <c r="J15" s="6">
        <v>17.34</v>
      </c>
      <c r="K15" s="5">
        <v>126</v>
      </c>
    </row>
    <row r="16" spans="1:11" x14ac:dyDescent="0.3">
      <c r="A16" s="3">
        <v>4611</v>
      </c>
      <c r="B16" s="3" t="s">
        <v>24</v>
      </c>
      <c r="C16" s="4">
        <v>45493</v>
      </c>
      <c r="D16" s="3" t="s">
        <v>28</v>
      </c>
      <c r="E16" s="3" t="s">
        <v>32</v>
      </c>
      <c r="F16" s="5">
        <v>3</v>
      </c>
      <c r="G16" s="6">
        <v>7.35</v>
      </c>
      <c r="H16" s="6">
        <v>22.05</v>
      </c>
      <c r="I16" s="6">
        <v>4.0199999999999996</v>
      </c>
      <c r="J16" s="6">
        <v>18.03</v>
      </c>
      <c r="K16" s="5">
        <v>70</v>
      </c>
    </row>
    <row r="17" spans="1:11" x14ac:dyDescent="0.3">
      <c r="A17" s="3">
        <v>5557</v>
      </c>
      <c r="B17" s="3" t="s">
        <v>11</v>
      </c>
      <c r="C17" s="4">
        <v>45773</v>
      </c>
      <c r="D17" s="3" t="s">
        <v>34</v>
      </c>
      <c r="E17" s="3" t="s">
        <v>29</v>
      </c>
      <c r="F17" s="5">
        <v>4</v>
      </c>
      <c r="G17" s="6">
        <v>18.29</v>
      </c>
      <c r="H17" s="6">
        <v>73.16</v>
      </c>
      <c r="I17" s="6">
        <v>4.9800000000000004</v>
      </c>
      <c r="J17" s="6">
        <v>68.180000000000007</v>
      </c>
      <c r="K17" s="5">
        <v>197</v>
      </c>
    </row>
    <row r="18" spans="1:11" x14ac:dyDescent="0.3">
      <c r="A18" s="3">
        <v>1106</v>
      </c>
      <c r="B18" s="3" t="s">
        <v>14</v>
      </c>
      <c r="C18" s="4">
        <v>45734</v>
      </c>
      <c r="D18" s="3" t="s">
        <v>35</v>
      </c>
      <c r="E18" s="3" t="s">
        <v>18</v>
      </c>
      <c r="F18" s="5">
        <v>1</v>
      </c>
      <c r="G18" s="6">
        <v>20.72</v>
      </c>
      <c r="H18" s="6">
        <v>20.72</v>
      </c>
      <c r="I18" s="6">
        <v>0</v>
      </c>
      <c r="J18" s="6">
        <v>20.72</v>
      </c>
      <c r="K18" s="5">
        <v>58</v>
      </c>
    </row>
    <row r="19" spans="1:11" x14ac:dyDescent="0.3">
      <c r="A19" s="3">
        <v>3615</v>
      </c>
      <c r="B19" s="3" t="s">
        <v>36</v>
      </c>
      <c r="C19" s="4">
        <v>45687</v>
      </c>
      <c r="D19" s="3" t="s">
        <v>15</v>
      </c>
      <c r="E19" s="3" t="s">
        <v>37</v>
      </c>
      <c r="F19" s="5">
        <v>4</v>
      </c>
      <c r="G19" s="6">
        <v>5.58</v>
      </c>
      <c r="H19" s="6">
        <v>22.32</v>
      </c>
      <c r="I19" s="6">
        <v>4.05</v>
      </c>
      <c r="J19" s="6">
        <v>18.27</v>
      </c>
      <c r="K19" s="5">
        <v>1</v>
      </c>
    </row>
    <row r="20" spans="1:11" x14ac:dyDescent="0.3">
      <c r="A20" s="3">
        <v>7924</v>
      </c>
      <c r="B20" s="3" t="s">
        <v>14</v>
      </c>
      <c r="C20" s="4">
        <v>45409</v>
      </c>
      <c r="D20" s="3" t="s">
        <v>15</v>
      </c>
      <c r="E20" s="3" t="s">
        <v>37</v>
      </c>
      <c r="F20" s="5">
        <v>5</v>
      </c>
      <c r="G20" s="6">
        <v>18.649999999999999</v>
      </c>
      <c r="H20" s="6">
        <v>93.25</v>
      </c>
      <c r="I20" s="6">
        <v>18.649999999999999</v>
      </c>
      <c r="J20" s="6">
        <v>74.599999999999994</v>
      </c>
      <c r="K20" s="5">
        <v>78</v>
      </c>
    </row>
    <row r="21" spans="1:11" x14ac:dyDescent="0.3">
      <c r="A21" s="3">
        <v>5552</v>
      </c>
      <c r="B21" s="3" t="s">
        <v>14</v>
      </c>
      <c r="C21" s="4">
        <v>45265</v>
      </c>
      <c r="D21" s="3" t="s">
        <v>38</v>
      </c>
      <c r="E21" s="3" t="s">
        <v>39</v>
      </c>
      <c r="F21" s="5">
        <v>5</v>
      </c>
      <c r="G21" s="6">
        <v>10.39</v>
      </c>
      <c r="H21" s="6">
        <v>51.95</v>
      </c>
      <c r="I21" s="6">
        <v>7.79</v>
      </c>
      <c r="J21" s="6">
        <v>44.16</v>
      </c>
      <c r="K21" s="5">
        <v>9</v>
      </c>
    </row>
    <row r="22" spans="1:11" x14ac:dyDescent="0.3">
      <c r="A22" s="3">
        <v>4527</v>
      </c>
      <c r="B22" s="3" t="s">
        <v>30</v>
      </c>
      <c r="C22" s="4">
        <v>45738</v>
      </c>
      <c r="D22" s="3" t="s">
        <v>17</v>
      </c>
      <c r="E22" s="3" t="s">
        <v>40</v>
      </c>
      <c r="F22" s="5">
        <v>2</v>
      </c>
      <c r="G22" s="6">
        <v>26.45</v>
      </c>
      <c r="H22" s="6">
        <v>52.9</v>
      </c>
      <c r="I22" s="6">
        <v>3.93</v>
      </c>
      <c r="J22" s="6">
        <v>48.97</v>
      </c>
      <c r="K22" s="5">
        <v>484</v>
      </c>
    </row>
    <row r="23" spans="1:11" x14ac:dyDescent="0.3">
      <c r="A23" s="3">
        <v>6514</v>
      </c>
      <c r="B23" s="3" t="s">
        <v>11</v>
      </c>
      <c r="C23" s="4">
        <v>45224</v>
      </c>
      <c r="D23" s="3" t="s">
        <v>38</v>
      </c>
      <c r="E23" s="3" t="s">
        <v>41</v>
      </c>
      <c r="F23" s="5">
        <v>2</v>
      </c>
      <c r="G23" s="6">
        <v>20.12</v>
      </c>
      <c r="H23" s="6">
        <v>40.24</v>
      </c>
      <c r="I23" s="6">
        <v>6.04</v>
      </c>
      <c r="J23" s="6">
        <v>34.200000000000003</v>
      </c>
      <c r="K23" s="5">
        <v>484</v>
      </c>
    </row>
    <row r="24" spans="1:11" x14ac:dyDescent="0.3">
      <c r="A24" s="3">
        <v>2519</v>
      </c>
      <c r="B24" s="3" t="s">
        <v>14</v>
      </c>
      <c r="C24" s="4">
        <v>45440</v>
      </c>
      <c r="D24" s="3" t="s">
        <v>28</v>
      </c>
      <c r="E24" s="3" t="s">
        <v>16</v>
      </c>
      <c r="F24" s="5">
        <v>2</v>
      </c>
      <c r="G24" s="6">
        <v>27.93</v>
      </c>
      <c r="H24" s="6">
        <v>55.86</v>
      </c>
      <c r="I24" s="6">
        <v>0</v>
      </c>
      <c r="J24" s="6">
        <v>55.86</v>
      </c>
      <c r="K24" s="5">
        <v>386</v>
      </c>
    </row>
    <row r="25" spans="1:11" x14ac:dyDescent="0.3">
      <c r="A25" s="3">
        <v>2584</v>
      </c>
      <c r="B25" s="3" t="s">
        <v>30</v>
      </c>
      <c r="C25" s="4">
        <v>45423</v>
      </c>
      <c r="D25" s="3" t="s">
        <v>20</v>
      </c>
      <c r="E25" s="3" t="s">
        <v>23</v>
      </c>
      <c r="F25" s="5">
        <v>4</v>
      </c>
      <c r="G25" s="6">
        <v>27.08</v>
      </c>
      <c r="H25" s="6">
        <v>108.32</v>
      </c>
      <c r="I25" s="6">
        <v>21.66</v>
      </c>
      <c r="J25" s="6">
        <v>86.66</v>
      </c>
      <c r="K25" s="5">
        <v>231</v>
      </c>
    </row>
    <row r="26" spans="1:11" x14ac:dyDescent="0.3">
      <c r="A26" s="3">
        <v>6635</v>
      </c>
      <c r="B26" s="3" t="s">
        <v>42</v>
      </c>
      <c r="C26" s="4">
        <v>45613</v>
      </c>
      <c r="D26" s="3" t="s">
        <v>15</v>
      </c>
      <c r="E26" s="3" t="s">
        <v>21</v>
      </c>
      <c r="F26" s="5">
        <v>1</v>
      </c>
      <c r="G26" s="6">
        <v>18.05</v>
      </c>
      <c r="H26" s="6">
        <v>18.05</v>
      </c>
      <c r="I26" s="6">
        <v>1.28</v>
      </c>
      <c r="J26" s="6">
        <v>16.77</v>
      </c>
      <c r="K26" s="5">
        <v>117</v>
      </c>
    </row>
    <row r="27" spans="1:11" x14ac:dyDescent="0.3">
      <c r="A27" s="3">
        <v>5333</v>
      </c>
      <c r="B27" s="3" t="s">
        <v>31</v>
      </c>
      <c r="C27" s="4">
        <v>45771</v>
      </c>
      <c r="D27" s="3" t="s">
        <v>17</v>
      </c>
      <c r="E27" s="3" t="s">
        <v>43</v>
      </c>
      <c r="F27" s="5">
        <v>1</v>
      </c>
      <c r="G27" s="6">
        <v>25.92</v>
      </c>
      <c r="H27" s="6">
        <v>25.92</v>
      </c>
      <c r="I27" s="6">
        <v>3.89</v>
      </c>
      <c r="J27" s="6">
        <v>22.03</v>
      </c>
      <c r="K27" s="5">
        <v>36</v>
      </c>
    </row>
    <row r="28" spans="1:11" x14ac:dyDescent="0.3">
      <c r="A28" s="3">
        <v>1711</v>
      </c>
      <c r="B28" s="3" t="s">
        <v>26</v>
      </c>
      <c r="C28" s="4">
        <v>45711</v>
      </c>
      <c r="D28" s="3" t="s">
        <v>17</v>
      </c>
      <c r="E28" s="3" t="s">
        <v>18</v>
      </c>
      <c r="F28" s="5">
        <v>2</v>
      </c>
      <c r="G28" s="6">
        <v>21.97</v>
      </c>
      <c r="H28" s="6">
        <v>43.94</v>
      </c>
      <c r="I28" s="6">
        <v>8.7899999999999991</v>
      </c>
      <c r="J28" s="6">
        <v>35.15</v>
      </c>
      <c r="K28" s="5">
        <v>451</v>
      </c>
    </row>
    <row r="29" spans="1:11" x14ac:dyDescent="0.3">
      <c r="A29" s="3">
        <v>8527</v>
      </c>
      <c r="B29" s="3" t="s">
        <v>26</v>
      </c>
      <c r="C29" s="4">
        <v>45561</v>
      </c>
      <c r="D29" s="3" t="s">
        <v>20</v>
      </c>
      <c r="E29" s="3" t="s">
        <v>44</v>
      </c>
      <c r="F29" s="5">
        <v>1</v>
      </c>
      <c r="G29" s="6">
        <v>3.8</v>
      </c>
      <c r="H29" s="6">
        <v>3.8</v>
      </c>
      <c r="I29" s="6">
        <v>0.38</v>
      </c>
      <c r="J29" s="6">
        <v>3.42</v>
      </c>
      <c r="K29" s="5">
        <v>220</v>
      </c>
    </row>
    <row r="30" spans="1:11" x14ac:dyDescent="0.3">
      <c r="A30" s="3">
        <v>3045</v>
      </c>
      <c r="B30" s="3" t="s">
        <v>24</v>
      </c>
      <c r="C30" s="4">
        <v>45861</v>
      </c>
      <c r="D30" s="3" t="s">
        <v>45</v>
      </c>
      <c r="E30" s="3" t="s">
        <v>40</v>
      </c>
      <c r="F30" s="5">
        <v>1</v>
      </c>
      <c r="G30" s="6">
        <v>2.75</v>
      </c>
      <c r="H30" s="6">
        <v>2.75</v>
      </c>
      <c r="I30" s="6">
        <v>1.99</v>
      </c>
      <c r="J30" s="6">
        <v>0.76</v>
      </c>
      <c r="K30" s="5">
        <v>372</v>
      </c>
    </row>
    <row r="31" spans="1:11" x14ac:dyDescent="0.3">
      <c r="A31" s="3">
        <v>7201</v>
      </c>
      <c r="B31" s="3" t="s">
        <v>42</v>
      </c>
      <c r="C31" s="4">
        <v>45206</v>
      </c>
      <c r="D31" s="3" t="s">
        <v>38</v>
      </c>
      <c r="E31" s="3" t="s">
        <v>33</v>
      </c>
      <c r="F31" s="5">
        <v>2</v>
      </c>
      <c r="G31" s="6">
        <v>13.22</v>
      </c>
      <c r="H31" s="6">
        <v>26.44</v>
      </c>
      <c r="I31" s="6">
        <v>5.29</v>
      </c>
      <c r="J31" s="6">
        <v>21.15</v>
      </c>
      <c r="K31" s="5">
        <v>142</v>
      </c>
    </row>
    <row r="32" spans="1:11" x14ac:dyDescent="0.3">
      <c r="A32" s="3">
        <v>5803</v>
      </c>
      <c r="B32" s="3" t="s">
        <v>11</v>
      </c>
      <c r="C32" s="4">
        <v>45789</v>
      </c>
      <c r="D32" s="3" t="s">
        <v>45</v>
      </c>
      <c r="E32" s="3" t="s">
        <v>18</v>
      </c>
      <c r="F32" s="5">
        <v>1</v>
      </c>
      <c r="G32" s="6">
        <v>2.46</v>
      </c>
      <c r="H32" s="6">
        <v>2.46</v>
      </c>
      <c r="I32" s="6">
        <v>4.71</v>
      </c>
      <c r="J32" s="6">
        <v>-2.25</v>
      </c>
      <c r="K32" s="5">
        <v>276</v>
      </c>
    </row>
    <row r="33" spans="1:11" x14ac:dyDescent="0.3">
      <c r="A33" s="3">
        <v>6925</v>
      </c>
      <c r="B33" s="3" t="s">
        <v>42</v>
      </c>
      <c r="C33" s="4">
        <v>45593</v>
      </c>
      <c r="D33" s="3" t="s">
        <v>34</v>
      </c>
      <c r="E33" s="3" t="s">
        <v>16</v>
      </c>
      <c r="F33" s="5">
        <v>4</v>
      </c>
      <c r="G33" s="6">
        <v>14.95</v>
      </c>
      <c r="H33" s="6">
        <v>59.8</v>
      </c>
      <c r="I33" s="6">
        <v>1.66</v>
      </c>
      <c r="J33" s="6">
        <v>58.14</v>
      </c>
      <c r="K33" s="5">
        <v>442</v>
      </c>
    </row>
    <row r="34" spans="1:11" x14ac:dyDescent="0.3">
      <c r="A34" s="3">
        <v>4150</v>
      </c>
      <c r="B34" s="3" t="s">
        <v>31</v>
      </c>
      <c r="C34" s="4">
        <v>45692</v>
      </c>
      <c r="D34" s="3" t="s">
        <v>20</v>
      </c>
      <c r="E34" s="3" t="s">
        <v>13</v>
      </c>
      <c r="F34" s="5">
        <v>4</v>
      </c>
      <c r="G34" s="6">
        <v>9.26</v>
      </c>
      <c r="H34" s="6">
        <v>37.04</v>
      </c>
      <c r="I34" s="6">
        <v>7.41</v>
      </c>
      <c r="J34" s="6">
        <v>29.63</v>
      </c>
      <c r="K34" s="5">
        <v>356</v>
      </c>
    </row>
    <row r="35" spans="1:11" x14ac:dyDescent="0.3">
      <c r="A35" s="3">
        <v>2139</v>
      </c>
      <c r="B35" s="3" t="s">
        <v>42</v>
      </c>
      <c r="C35" s="4">
        <v>45180</v>
      </c>
      <c r="D35" s="3" t="s">
        <v>35</v>
      </c>
      <c r="E35" s="3" t="s">
        <v>44</v>
      </c>
      <c r="F35" s="5">
        <v>1</v>
      </c>
      <c r="G35" s="6">
        <v>17.79</v>
      </c>
      <c r="H35" s="6">
        <v>17.79</v>
      </c>
      <c r="I35" s="6">
        <v>0</v>
      </c>
      <c r="J35" s="6">
        <v>17.79</v>
      </c>
      <c r="K35" s="5">
        <v>277</v>
      </c>
    </row>
    <row r="36" spans="1:11" x14ac:dyDescent="0.3">
      <c r="A36" s="3">
        <v>4733</v>
      </c>
      <c r="B36" s="3" t="s">
        <v>36</v>
      </c>
      <c r="C36" s="4">
        <v>45745</v>
      </c>
      <c r="D36" s="3" t="s">
        <v>12</v>
      </c>
      <c r="E36" s="3" t="s">
        <v>40</v>
      </c>
      <c r="F36" s="5">
        <v>5</v>
      </c>
      <c r="G36" s="6">
        <v>14.82</v>
      </c>
      <c r="H36" s="6">
        <v>74.099999999999994</v>
      </c>
      <c r="I36" s="6">
        <v>4.84</v>
      </c>
      <c r="J36" s="6">
        <v>69.260000000000005</v>
      </c>
      <c r="K36" s="5">
        <v>470</v>
      </c>
    </row>
    <row r="37" spans="1:11" x14ac:dyDescent="0.3">
      <c r="A37" s="3">
        <v>5741</v>
      </c>
      <c r="B37" s="3" t="s">
        <v>11</v>
      </c>
      <c r="C37" s="4">
        <v>45206</v>
      </c>
      <c r="D37" s="3" t="s">
        <v>34</v>
      </c>
      <c r="E37" s="3" t="s">
        <v>43</v>
      </c>
      <c r="F37" s="5">
        <v>5</v>
      </c>
      <c r="G37" s="6">
        <v>2.96</v>
      </c>
      <c r="H37" s="6">
        <v>14.8</v>
      </c>
      <c r="I37" s="6">
        <v>1.48</v>
      </c>
      <c r="J37" s="6">
        <v>13.32</v>
      </c>
      <c r="K37" s="5">
        <v>441</v>
      </c>
    </row>
    <row r="38" spans="1:11" x14ac:dyDescent="0.3">
      <c r="A38" s="3">
        <v>4814</v>
      </c>
      <c r="B38" s="3" t="s">
        <v>11</v>
      </c>
      <c r="C38" s="4">
        <v>45818</v>
      </c>
      <c r="D38" s="3" t="s">
        <v>28</v>
      </c>
      <c r="E38" s="3" t="s">
        <v>25</v>
      </c>
      <c r="F38" s="5">
        <v>5</v>
      </c>
      <c r="G38" s="6">
        <v>18.23</v>
      </c>
      <c r="H38" s="6">
        <v>91.15</v>
      </c>
      <c r="I38" s="6">
        <v>9.1199999999999992</v>
      </c>
      <c r="J38" s="6">
        <v>82.03</v>
      </c>
      <c r="K38" s="5">
        <v>317</v>
      </c>
    </row>
    <row r="39" spans="1:11" x14ac:dyDescent="0.3">
      <c r="A39" s="3">
        <v>2654</v>
      </c>
      <c r="B39" s="3" t="s">
        <v>14</v>
      </c>
      <c r="C39" s="4">
        <v>45440</v>
      </c>
      <c r="D39" s="3" t="s">
        <v>22</v>
      </c>
      <c r="E39" s="3" t="s">
        <v>13</v>
      </c>
      <c r="F39" s="5">
        <v>2</v>
      </c>
      <c r="G39" s="6">
        <v>20.41</v>
      </c>
      <c r="H39" s="6">
        <v>40.82</v>
      </c>
      <c r="I39" s="6">
        <v>6.12</v>
      </c>
      <c r="J39" s="6">
        <v>34.700000000000003</v>
      </c>
      <c r="K39" s="5">
        <v>160</v>
      </c>
    </row>
    <row r="40" spans="1:11" x14ac:dyDescent="0.3">
      <c r="A40" s="3">
        <v>5554</v>
      </c>
      <c r="B40" s="3" t="s">
        <v>24</v>
      </c>
      <c r="C40" s="4">
        <v>45497</v>
      </c>
      <c r="D40" s="3" t="s">
        <v>34</v>
      </c>
      <c r="E40" s="3" t="s">
        <v>37</v>
      </c>
      <c r="F40" s="5">
        <v>4</v>
      </c>
      <c r="G40" s="6">
        <v>10.16</v>
      </c>
      <c r="H40" s="6">
        <v>40.64</v>
      </c>
      <c r="I40" s="6">
        <v>2.83</v>
      </c>
      <c r="J40" s="6">
        <v>37.81</v>
      </c>
      <c r="K40" s="5">
        <v>384</v>
      </c>
    </row>
    <row r="41" spans="1:11" x14ac:dyDescent="0.3">
      <c r="A41" s="3">
        <v>6977</v>
      </c>
      <c r="B41" s="3" t="s">
        <v>11</v>
      </c>
      <c r="C41" s="4">
        <v>45271</v>
      </c>
      <c r="D41" s="3" t="s">
        <v>15</v>
      </c>
      <c r="E41" s="3" t="s">
        <v>18</v>
      </c>
      <c r="F41" s="5">
        <v>2</v>
      </c>
      <c r="G41" s="6">
        <v>15.66</v>
      </c>
      <c r="H41" s="6">
        <v>31.32</v>
      </c>
      <c r="I41" s="6">
        <v>4.5199999999999996</v>
      </c>
      <c r="J41" s="6">
        <v>26.8</v>
      </c>
      <c r="K41" s="5">
        <v>67</v>
      </c>
    </row>
    <row r="42" spans="1:11" x14ac:dyDescent="0.3">
      <c r="A42" s="3">
        <v>7065</v>
      </c>
      <c r="B42" s="3" t="s">
        <v>36</v>
      </c>
      <c r="C42" s="4">
        <v>45420</v>
      </c>
      <c r="D42" s="3" t="s">
        <v>35</v>
      </c>
      <c r="E42" s="3" t="s">
        <v>29</v>
      </c>
      <c r="F42" s="5">
        <v>4</v>
      </c>
      <c r="G42" s="6">
        <v>25.17</v>
      </c>
      <c r="H42" s="6">
        <v>100.68</v>
      </c>
      <c r="I42" s="6">
        <v>4.9400000000000004</v>
      </c>
      <c r="J42" s="6">
        <v>95.74</v>
      </c>
      <c r="K42" s="5">
        <v>360</v>
      </c>
    </row>
    <row r="43" spans="1:11" x14ac:dyDescent="0.3">
      <c r="A43" s="3">
        <v>4432</v>
      </c>
      <c r="B43" s="3" t="s">
        <v>14</v>
      </c>
      <c r="C43" s="4">
        <v>45665</v>
      </c>
      <c r="D43" s="3" t="s">
        <v>12</v>
      </c>
      <c r="E43" s="3" t="s">
        <v>18</v>
      </c>
      <c r="F43" s="5">
        <v>3</v>
      </c>
      <c r="G43" s="6">
        <v>28.01</v>
      </c>
      <c r="H43" s="6">
        <v>84.03</v>
      </c>
      <c r="I43" s="6">
        <v>12.6</v>
      </c>
      <c r="J43" s="6">
        <v>71.430000000000007</v>
      </c>
      <c r="K43" s="5">
        <v>53</v>
      </c>
    </row>
    <row r="44" spans="1:11" x14ac:dyDescent="0.3">
      <c r="A44" s="3">
        <v>5374</v>
      </c>
      <c r="B44" s="3" t="s">
        <v>11</v>
      </c>
      <c r="C44" s="4">
        <v>45690</v>
      </c>
      <c r="D44" s="3" t="s">
        <v>15</v>
      </c>
      <c r="E44" s="3" t="s">
        <v>18</v>
      </c>
      <c r="F44" s="5">
        <v>2</v>
      </c>
      <c r="G44" s="6">
        <v>8.89</v>
      </c>
      <c r="H44" s="6">
        <v>17.78</v>
      </c>
      <c r="I44" s="6">
        <v>0</v>
      </c>
      <c r="J44" s="6">
        <v>17.78</v>
      </c>
      <c r="K44" s="5">
        <v>309</v>
      </c>
    </row>
    <row r="45" spans="1:11" x14ac:dyDescent="0.3">
      <c r="A45" s="3">
        <v>2169</v>
      </c>
      <c r="B45" s="3" t="s">
        <v>36</v>
      </c>
      <c r="C45" s="4">
        <v>45618</v>
      </c>
      <c r="D45" s="3" t="s">
        <v>17</v>
      </c>
      <c r="E45" s="3" t="s">
        <v>13</v>
      </c>
      <c r="F45" s="5">
        <v>5</v>
      </c>
      <c r="G45" s="6">
        <v>15.16</v>
      </c>
      <c r="H45" s="6">
        <v>75.8</v>
      </c>
      <c r="I45" s="6">
        <v>3.54</v>
      </c>
      <c r="J45" s="6">
        <v>72.260000000000005</v>
      </c>
      <c r="K45" s="5">
        <v>463</v>
      </c>
    </row>
    <row r="46" spans="1:11" x14ac:dyDescent="0.3">
      <c r="A46" s="3">
        <v>3803</v>
      </c>
      <c r="B46" s="3" t="s">
        <v>30</v>
      </c>
      <c r="C46" s="4">
        <v>45559</v>
      </c>
      <c r="D46" s="3" t="s">
        <v>12</v>
      </c>
      <c r="E46" s="3" t="s">
        <v>39</v>
      </c>
      <c r="F46" s="5">
        <v>3</v>
      </c>
      <c r="G46" s="6">
        <v>23.35</v>
      </c>
      <c r="H46" s="6">
        <v>70.05</v>
      </c>
      <c r="I46" s="6">
        <v>14.01</v>
      </c>
      <c r="J46" s="6">
        <v>56.04</v>
      </c>
      <c r="K46" s="5">
        <v>326</v>
      </c>
    </row>
    <row r="47" spans="1:11" x14ac:dyDescent="0.3">
      <c r="A47" s="3">
        <v>5010</v>
      </c>
      <c r="B47" s="3" t="s">
        <v>26</v>
      </c>
      <c r="C47" s="4">
        <v>45271</v>
      </c>
      <c r="D47" s="3" t="s">
        <v>38</v>
      </c>
      <c r="E47" s="3" t="s">
        <v>16</v>
      </c>
      <c r="F47" s="5">
        <v>5</v>
      </c>
      <c r="G47" s="6">
        <v>1.27</v>
      </c>
      <c r="H47" s="6">
        <v>6.35</v>
      </c>
      <c r="I47" s="6">
        <v>1.1399999999999999</v>
      </c>
      <c r="J47" s="6">
        <v>5.21</v>
      </c>
      <c r="K47" s="5">
        <v>38</v>
      </c>
    </row>
    <row r="48" spans="1:11" x14ac:dyDescent="0.3">
      <c r="A48" s="3">
        <v>8573</v>
      </c>
      <c r="B48" s="3" t="s">
        <v>36</v>
      </c>
      <c r="C48" s="4">
        <v>45439</v>
      </c>
      <c r="D48" s="3" t="s">
        <v>28</v>
      </c>
      <c r="E48" s="3" t="s">
        <v>18</v>
      </c>
      <c r="F48" s="5">
        <v>2</v>
      </c>
      <c r="G48" s="6">
        <v>13.45</v>
      </c>
      <c r="H48" s="6">
        <v>26.9</v>
      </c>
      <c r="I48" s="6">
        <v>4.03</v>
      </c>
      <c r="J48" s="6">
        <v>22.87</v>
      </c>
      <c r="K48" s="5">
        <v>21</v>
      </c>
    </row>
    <row r="49" spans="1:11" x14ac:dyDescent="0.3">
      <c r="A49" s="3">
        <v>5422</v>
      </c>
      <c r="B49" s="3" t="s">
        <v>31</v>
      </c>
      <c r="C49" s="4">
        <v>45863</v>
      </c>
      <c r="D49" s="3" t="s">
        <v>22</v>
      </c>
      <c r="E49" s="3" t="s">
        <v>44</v>
      </c>
      <c r="F49" s="5">
        <v>2</v>
      </c>
      <c r="G49" s="6">
        <v>20.329999999999998</v>
      </c>
      <c r="H49" s="6">
        <v>40.659999999999997</v>
      </c>
      <c r="I49" s="6">
        <v>4</v>
      </c>
      <c r="J49" s="6">
        <v>36.659999999999997</v>
      </c>
      <c r="K49" s="5">
        <v>181</v>
      </c>
    </row>
    <row r="50" spans="1:11" x14ac:dyDescent="0.3">
      <c r="A50" s="3">
        <v>4598</v>
      </c>
      <c r="B50" s="3" t="s">
        <v>42</v>
      </c>
      <c r="C50" s="4">
        <v>45676</v>
      </c>
      <c r="D50" s="3" t="s">
        <v>34</v>
      </c>
      <c r="E50" s="3" t="s">
        <v>29</v>
      </c>
      <c r="F50" s="5">
        <v>4</v>
      </c>
      <c r="G50" s="6">
        <v>1.71</v>
      </c>
      <c r="H50" s="6">
        <v>6.84</v>
      </c>
      <c r="I50" s="6">
        <v>0.68</v>
      </c>
      <c r="J50" s="6">
        <v>6.16</v>
      </c>
      <c r="K50" s="5">
        <v>377</v>
      </c>
    </row>
    <row r="51" spans="1:11" x14ac:dyDescent="0.3">
      <c r="A51" s="3">
        <v>6313</v>
      </c>
      <c r="B51" s="3" t="s">
        <v>42</v>
      </c>
      <c r="C51" s="4">
        <v>45799</v>
      </c>
      <c r="D51" s="3" t="s">
        <v>35</v>
      </c>
      <c r="E51" s="3" t="s">
        <v>29</v>
      </c>
      <c r="F51" s="5">
        <v>1</v>
      </c>
      <c r="G51" s="6">
        <v>12.08</v>
      </c>
      <c r="H51" s="6">
        <v>12.08</v>
      </c>
      <c r="I51" s="6">
        <v>2.42</v>
      </c>
      <c r="J51" s="6">
        <v>9.66</v>
      </c>
      <c r="K51" s="5">
        <v>19</v>
      </c>
    </row>
    <row r="52" spans="1:11" x14ac:dyDescent="0.3">
      <c r="A52" s="3">
        <v>1916</v>
      </c>
      <c r="B52" s="3" t="s">
        <v>42</v>
      </c>
      <c r="C52" s="4">
        <v>45322</v>
      </c>
      <c r="D52" s="3" t="s">
        <v>45</v>
      </c>
      <c r="E52" s="3" t="s">
        <v>23</v>
      </c>
      <c r="F52" s="5">
        <v>3</v>
      </c>
      <c r="G52" s="6">
        <v>24.79</v>
      </c>
      <c r="H52" s="6">
        <v>74.37</v>
      </c>
      <c r="I52" s="6">
        <v>14.87</v>
      </c>
      <c r="J52" s="6">
        <v>59.5</v>
      </c>
      <c r="K52" s="5">
        <v>446</v>
      </c>
    </row>
    <row r="53" spans="1:11" x14ac:dyDescent="0.3">
      <c r="A53" s="3">
        <v>1525</v>
      </c>
      <c r="B53" s="3" t="s">
        <v>31</v>
      </c>
      <c r="C53" s="4">
        <v>45770</v>
      </c>
      <c r="D53" s="3" t="s">
        <v>27</v>
      </c>
      <c r="E53" s="3" t="s">
        <v>44</v>
      </c>
      <c r="F53" s="5">
        <v>4</v>
      </c>
      <c r="G53" s="6">
        <v>10.51</v>
      </c>
      <c r="H53" s="6">
        <v>42.04</v>
      </c>
      <c r="I53" s="6">
        <v>6.31</v>
      </c>
      <c r="J53" s="6">
        <v>35.729999999999997</v>
      </c>
      <c r="K53" s="5">
        <v>442</v>
      </c>
    </row>
    <row r="54" spans="1:11" x14ac:dyDescent="0.3">
      <c r="A54" s="3">
        <v>6168</v>
      </c>
      <c r="B54" s="3" t="s">
        <v>36</v>
      </c>
      <c r="C54" s="4">
        <v>45456</v>
      </c>
      <c r="D54" s="3" t="s">
        <v>27</v>
      </c>
      <c r="E54" s="3" t="s">
        <v>46</v>
      </c>
      <c r="F54" s="5">
        <v>4</v>
      </c>
      <c r="G54" s="6">
        <v>20.7</v>
      </c>
      <c r="H54" s="6">
        <v>82.8</v>
      </c>
      <c r="I54" s="6">
        <v>1.46</v>
      </c>
      <c r="J54" s="6">
        <v>81.34</v>
      </c>
      <c r="K54" s="5">
        <v>431</v>
      </c>
    </row>
    <row r="55" spans="1:11" x14ac:dyDescent="0.3">
      <c r="A55" s="3">
        <v>5386</v>
      </c>
      <c r="B55" s="3" t="s">
        <v>30</v>
      </c>
      <c r="C55" s="4">
        <v>45196</v>
      </c>
      <c r="D55" s="3" t="s">
        <v>34</v>
      </c>
      <c r="E55" s="3" t="s">
        <v>13</v>
      </c>
      <c r="F55" s="5">
        <v>1</v>
      </c>
      <c r="G55" s="6">
        <v>4.13</v>
      </c>
      <c r="H55" s="6">
        <v>4.13</v>
      </c>
      <c r="I55" s="6">
        <v>0</v>
      </c>
      <c r="J55" s="6">
        <v>4.13</v>
      </c>
      <c r="K55" s="5">
        <v>222</v>
      </c>
    </row>
    <row r="56" spans="1:11" x14ac:dyDescent="0.3">
      <c r="A56" s="3">
        <v>4456</v>
      </c>
      <c r="B56" s="3" t="s">
        <v>36</v>
      </c>
      <c r="C56" s="4">
        <v>45854</v>
      </c>
      <c r="D56" s="3" t="s">
        <v>20</v>
      </c>
      <c r="E56" s="3" t="s">
        <v>46</v>
      </c>
      <c r="F56" s="5">
        <v>1</v>
      </c>
      <c r="G56" s="6">
        <v>12.16</v>
      </c>
      <c r="H56" s="6">
        <v>12.16</v>
      </c>
      <c r="I56" s="6">
        <v>1.82</v>
      </c>
      <c r="J56" s="6">
        <v>10.34</v>
      </c>
      <c r="K56" s="5">
        <v>295</v>
      </c>
    </row>
    <row r="57" spans="1:11" x14ac:dyDescent="0.3">
      <c r="A57" s="3">
        <v>6155</v>
      </c>
      <c r="B57" s="3" t="s">
        <v>31</v>
      </c>
      <c r="C57" s="4">
        <v>45310</v>
      </c>
      <c r="D57" s="3" t="s">
        <v>20</v>
      </c>
      <c r="E57" s="3" t="s">
        <v>39</v>
      </c>
      <c r="F57" s="5">
        <v>5</v>
      </c>
      <c r="G57" s="6">
        <v>27.83</v>
      </c>
      <c r="H57" s="6">
        <v>139.15</v>
      </c>
      <c r="I57" s="6">
        <v>20.87</v>
      </c>
      <c r="J57" s="6">
        <v>118.28</v>
      </c>
      <c r="K57" s="5">
        <v>275</v>
      </c>
    </row>
    <row r="58" spans="1:11" x14ac:dyDescent="0.3">
      <c r="A58" s="3">
        <v>9179</v>
      </c>
      <c r="B58" s="3" t="s">
        <v>24</v>
      </c>
      <c r="C58" s="4">
        <v>45452</v>
      </c>
      <c r="D58" s="3" t="s">
        <v>15</v>
      </c>
      <c r="E58" s="3" t="s">
        <v>21</v>
      </c>
      <c r="F58" s="5">
        <v>5</v>
      </c>
      <c r="G58" s="6">
        <v>10.09</v>
      </c>
      <c r="H58" s="6">
        <v>50.45</v>
      </c>
      <c r="I58" s="6">
        <v>0</v>
      </c>
      <c r="J58" s="6">
        <v>50.45</v>
      </c>
      <c r="K58" s="5">
        <v>434</v>
      </c>
    </row>
    <row r="59" spans="1:11" x14ac:dyDescent="0.3">
      <c r="A59" s="3">
        <v>8517</v>
      </c>
      <c r="B59" s="3" t="s">
        <v>30</v>
      </c>
      <c r="C59" s="4">
        <v>45255</v>
      </c>
      <c r="D59" s="3" t="s">
        <v>38</v>
      </c>
      <c r="E59" s="3" t="s">
        <v>37</v>
      </c>
      <c r="F59" s="5">
        <v>4</v>
      </c>
      <c r="G59" s="6">
        <v>10.45</v>
      </c>
      <c r="H59" s="6">
        <v>41.8</v>
      </c>
      <c r="I59" s="6">
        <v>1.51</v>
      </c>
      <c r="J59" s="6">
        <v>40.29</v>
      </c>
      <c r="K59" s="5">
        <v>356</v>
      </c>
    </row>
    <row r="60" spans="1:11" x14ac:dyDescent="0.3">
      <c r="A60" s="3">
        <v>5339</v>
      </c>
      <c r="B60" s="3" t="s">
        <v>24</v>
      </c>
      <c r="C60" s="4">
        <v>45253</v>
      </c>
      <c r="D60" s="3" t="s">
        <v>27</v>
      </c>
      <c r="E60" s="3" t="s">
        <v>32</v>
      </c>
      <c r="F60" s="5">
        <v>2</v>
      </c>
      <c r="G60" s="6">
        <v>18.84</v>
      </c>
      <c r="H60" s="6">
        <v>37.68</v>
      </c>
      <c r="I60" s="6">
        <v>4.33</v>
      </c>
      <c r="J60" s="6">
        <v>33.35</v>
      </c>
      <c r="K60" s="5">
        <v>154</v>
      </c>
    </row>
    <row r="61" spans="1:11" x14ac:dyDescent="0.3">
      <c r="A61" s="3">
        <v>5040</v>
      </c>
      <c r="B61" s="3" t="s">
        <v>30</v>
      </c>
      <c r="C61" s="4">
        <v>45723</v>
      </c>
      <c r="D61" s="3" t="s">
        <v>35</v>
      </c>
      <c r="E61" s="3" t="s">
        <v>44</v>
      </c>
      <c r="F61" s="5">
        <v>4</v>
      </c>
      <c r="G61" s="6">
        <v>23.78</v>
      </c>
      <c r="H61" s="6">
        <v>95.12</v>
      </c>
      <c r="I61" s="6">
        <v>9.51</v>
      </c>
      <c r="J61" s="6">
        <v>85.61</v>
      </c>
      <c r="K61" s="5">
        <v>310</v>
      </c>
    </row>
    <row r="62" spans="1:11" x14ac:dyDescent="0.3">
      <c r="A62" s="3">
        <v>9830</v>
      </c>
      <c r="B62" s="3" t="s">
        <v>26</v>
      </c>
      <c r="C62" s="4">
        <v>45349</v>
      </c>
      <c r="D62" s="3" t="s">
        <v>45</v>
      </c>
      <c r="E62" s="3" t="s">
        <v>44</v>
      </c>
      <c r="F62" s="5">
        <v>5</v>
      </c>
      <c r="G62" s="6">
        <v>14.71</v>
      </c>
      <c r="H62" s="6">
        <v>73.55</v>
      </c>
      <c r="I62" s="6">
        <v>0</v>
      </c>
      <c r="J62" s="6">
        <v>73.55</v>
      </c>
      <c r="K62" s="5">
        <v>461</v>
      </c>
    </row>
    <row r="63" spans="1:11" x14ac:dyDescent="0.3">
      <c r="A63" s="3">
        <v>8019</v>
      </c>
      <c r="B63" s="3" t="s">
        <v>11</v>
      </c>
      <c r="C63" s="4">
        <v>45842</v>
      </c>
      <c r="D63" s="3" t="s">
        <v>35</v>
      </c>
      <c r="E63" s="3" t="s">
        <v>46</v>
      </c>
      <c r="F63" s="5">
        <v>5</v>
      </c>
      <c r="G63" s="6">
        <v>10.71</v>
      </c>
      <c r="H63" s="6">
        <v>53.55</v>
      </c>
      <c r="I63" s="6">
        <v>0</v>
      </c>
      <c r="J63" s="6">
        <v>53.55</v>
      </c>
      <c r="K63" s="5">
        <v>419</v>
      </c>
    </row>
    <row r="64" spans="1:11" x14ac:dyDescent="0.3">
      <c r="A64" s="3">
        <v>7543</v>
      </c>
      <c r="B64" s="3" t="s">
        <v>30</v>
      </c>
      <c r="C64" s="4">
        <v>45426</v>
      </c>
      <c r="D64" s="3" t="s">
        <v>17</v>
      </c>
      <c r="E64" s="3" t="s">
        <v>44</v>
      </c>
      <c r="F64" s="5">
        <v>2</v>
      </c>
      <c r="G64" s="6">
        <v>1.7</v>
      </c>
      <c r="H64" s="6">
        <v>3.4</v>
      </c>
      <c r="I64" s="6">
        <v>4.4000000000000004</v>
      </c>
      <c r="J64" s="6">
        <v>-1</v>
      </c>
      <c r="K64" s="5">
        <v>125</v>
      </c>
    </row>
    <row r="65" spans="1:11" x14ac:dyDescent="0.3">
      <c r="A65" s="3">
        <v>4593</v>
      </c>
      <c r="B65" s="3" t="s">
        <v>11</v>
      </c>
      <c r="C65" s="4">
        <v>45252</v>
      </c>
      <c r="D65" s="3" t="s">
        <v>45</v>
      </c>
      <c r="E65" s="3" t="s">
        <v>16</v>
      </c>
      <c r="F65" s="5">
        <v>5</v>
      </c>
      <c r="G65" s="6">
        <v>6.63</v>
      </c>
      <c r="H65" s="6">
        <v>33.15</v>
      </c>
      <c r="I65" s="6">
        <v>3.31</v>
      </c>
      <c r="J65" s="6">
        <v>29.84</v>
      </c>
      <c r="K65" s="5">
        <v>356</v>
      </c>
    </row>
    <row r="66" spans="1:11" x14ac:dyDescent="0.3">
      <c r="A66" s="3">
        <v>9348</v>
      </c>
      <c r="B66" s="3" t="s">
        <v>24</v>
      </c>
      <c r="C66" s="4">
        <v>45528</v>
      </c>
      <c r="D66" s="3" t="s">
        <v>17</v>
      </c>
      <c r="E66" s="3" t="s">
        <v>41</v>
      </c>
      <c r="F66" s="5">
        <v>1</v>
      </c>
      <c r="G66" s="6">
        <v>26.88</v>
      </c>
      <c r="H66" s="6">
        <v>26.88</v>
      </c>
      <c r="I66" s="6">
        <v>2.69</v>
      </c>
      <c r="J66" s="6">
        <v>24.19</v>
      </c>
      <c r="K66" s="5">
        <v>440</v>
      </c>
    </row>
    <row r="67" spans="1:11" x14ac:dyDescent="0.3">
      <c r="A67" s="3">
        <v>2489</v>
      </c>
      <c r="B67" s="3" t="s">
        <v>42</v>
      </c>
      <c r="C67" s="4">
        <v>45732</v>
      </c>
      <c r="D67" s="3" t="s">
        <v>34</v>
      </c>
      <c r="E67" s="3" t="s">
        <v>46</v>
      </c>
      <c r="F67" s="5">
        <v>4</v>
      </c>
      <c r="G67" s="6">
        <v>2.4500000000000002</v>
      </c>
      <c r="H67" s="6">
        <v>9.8000000000000007</v>
      </c>
      <c r="I67" s="6">
        <v>0.98</v>
      </c>
      <c r="J67" s="6">
        <v>8.82</v>
      </c>
      <c r="K67" s="5">
        <v>127</v>
      </c>
    </row>
    <row r="68" spans="1:11" x14ac:dyDescent="0.3">
      <c r="A68" s="3">
        <v>1771</v>
      </c>
      <c r="B68" s="3" t="s">
        <v>19</v>
      </c>
      <c r="C68" s="4">
        <v>45813</v>
      </c>
      <c r="D68" s="3" t="s">
        <v>45</v>
      </c>
      <c r="E68" s="3" t="s">
        <v>46</v>
      </c>
      <c r="F68" s="5">
        <v>5</v>
      </c>
      <c r="G68" s="6">
        <v>18.260000000000002</v>
      </c>
      <c r="H68" s="6">
        <v>91.3</v>
      </c>
      <c r="I68" s="6">
        <v>4.26</v>
      </c>
      <c r="J68" s="6">
        <v>87.04</v>
      </c>
      <c r="K68" s="5">
        <v>486</v>
      </c>
    </row>
    <row r="69" spans="1:11" x14ac:dyDescent="0.3">
      <c r="A69" s="3">
        <v>2796</v>
      </c>
      <c r="B69" s="3" t="s">
        <v>14</v>
      </c>
      <c r="C69" s="4">
        <v>45263</v>
      </c>
      <c r="D69" s="3" t="s">
        <v>20</v>
      </c>
      <c r="E69" s="3" t="s">
        <v>18</v>
      </c>
      <c r="F69" s="5">
        <v>4</v>
      </c>
      <c r="G69" s="6">
        <v>27.01</v>
      </c>
      <c r="H69" s="6">
        <v>108.04</v>
      </c>
      <c r="I69" s="6">
        <v>10.8</v>
      </c>
      <c r="J69" s="6">
        <v>97.24</v>
      </c>
      <c r="K69" s="5">
        <v>380</v>
      </c>
    </row>
    <row r="70" spans="1:11" x14ac:dyDescent="0.3">
      <c r="A70" s="3">
        <v>3621</v>
      </c>
      <c r="B70" s="3" t="s">
        <v>30</v>
      </c>
      <c r="C70" s="4">
        <v>45760</v>
      </c>
      <c r="D70" s="3" t="s">
        <v>17</v>
      </c>
      <c r="E70" s="3" t="s">
        <v>13</v>
      </c>
      <c r="F70" s="5">
        <v>5</v>
      </c>
      <c r="G70" s="6">
        <v>15.04</v>
      </c>
      <c r="H70" s="6">
        <v>75.2</v>
      </c>
      <c r="I70" s="6">
        <v>7.52</v>
      </c>
      <c r="J70" s="6">
        <v>67.680000000000007</v>
      </c>
      <c r="K70" s="5">
        <v>122</v>
      </c>
    </row>
    <row r="71" spans="1:11" x14ac:dyDescent="0.3">
      <c r="A71" s="3">
        <v>7916</v>
      </c>
      <c r="B71" s="3" t="s">
        <v>11</v>
      </c>
      <c r="C71" s="4">
        <v>45608</v>
      </c>
      <c r="D71" s="3" t="s">
        <v>35</v>
      </c>
      <c r="E71" s="3" t="s">
        <v>25</v>
      </c>
      <c r="F71" s="5">
        <v>3</v>
      </c>
      <c r="G71" s="6">
        <v>10.73</v>
      </c>
      <c r="H71" s="6">
        <v>32.19</v>
      </c>
      <c r="I71" s="6">
        <v>6.44</v>
      </c>
      <c r="J71" s="6">
        <v>25.75</v>
      </c>
      <c r="K71" s="5">
        <v>457</v>
      </c>
    </row>
    <row r="72" spans="1:11" x14ac:dyDescent="0.3">
      <c r="A72" s="3">
        <v>2040</v>
      </c>
      <c r="B72" s="3" t="s">
        <v>19</v>
      </c>
      <c r="C72" s="4">
        <v>45443</v>
      </c>
      <c r="D72" s="3" t="s">
        <v>17</v>
      </c>
      <c r="E72" s="3" t="s">
        <v>32</v>
      </c>
      <c r="F72" s="5">
        <v>2</v>
      </c>
      <c r="G72" s="6">
        <v>21.48</v>
      </c>
      <c r="H72" s="6">
        <v>42.96</v>
      </c>
      <c r="I72" s="6">
        <v>4.3</v>
      </c>
      <c r="J72" s="6">
        <v>38.659999999999997</v>
      </c>
      <c r="K72" s="5">
        <v>32</v>
      </c>
    </row>
    <row r="73" spans="1:11" x14ac:dyDescent="0.3">
      <c r="A73" s="3">
        <v>7252</v>
      </c>
      <c r="B73" s="3" t="s">
        <v>36</v>
      </c>
      <c r="C73" s="4">
        <v>45607</v>
      </c>
      <c r="D73" s="3" t="s">
        <v>38</v>
      </c>
      <c r="E73" s="3" t="s">
        <v>33</v>
      </c>
      <c r="F73" s="5">
        <v>4</v>
      </c>
      <c r="G73" s="6">
        <v>2.8</v>
      </c>
      <c r="H73" s="6">
        <v>11.2</v>
      </c>
      <c r="I73" s="6">
        <v>1.1200000000000001</v>
      </c>
      <c r="J73" s="6">
        <v>10.08</v>
      </c>
      <c r="K73" s="5">
        <v>426</v>
      </c>
    </row>
    <row r="74" spans="1:11" x14ac:dyDescent="0.3">
      <c r="A74" s="3">
        <v>8668</v>
      </c>
      <c r="B74" s="3" t="s">
        <v>31</v>
      </c>
      <c r="C74" s="4">
        <v>45555</v>
      </c>
      <c r="D74" s="3" t="s">
        <v>28</v>
      </c>
      <c r="E74" s="3" t="s">
        <v>32</v>
      </c>
      <c r="F74" s="5">
        <v>4</v>
      </c>
      <c r="G74" s="6">
        <v>1.1599999999999999</v>
      </c>
      <c r="H74" s="6">
        <v>4.6399999999999997</v>
      </c>
      <c r="I74" s="6">
        <v>0.46</v>
      </c>
      <c r="J74" s="6">
        <v>4.18</v>
      </c>
      <c r="K74" s="5">
        <v>180</v>
      </c>
    </row>
    <row r="75" spans="1:11" x14ac:dyDescent="0.3">
      <c r="A75" s="3">
        <v>5119</v>
      </c>
      <c r="B75" s="3" t="s">
        <v>24</v>
      </c>
      <c r="C75" s="4">
        <v>45574</v>
      </c>
      <c r="D75" s="3" t="s">
        <v>38</v>
      </c>
      <c r="E75" s="3" t="s">
        <v>18</v>
      </c>
      <c r="F75" s="5">
        <v>5</v>
      </c>
      <c r="G75" s="6">
        <v>27.03</v>
      </c>
      <c r="H75" s="6">
        <v>135.15</v>
      </c>
      <c r="I75" s="6">
        <v>20.27</v>
      </c>
      <c r="J75" s="6">
        <v>114.88</v>
      </c>
      <c r="K75" s="5">
        <v>249</v>
      </c>
    </row>
    <row r="76" spans="1:11" x14ac:dyDescent="0.3">
      <c r="A76" s="3">
        <v>1188</v>
      </c>
      <c r="B76" s="3" t="s">
        <v>24</v>
      </c>
      <c r="C76" s="4">
        <v>45673</v>
      </c>
      <c r="D76" s="3" t="s">
        <v>45</v>
      </c>
      <c r="E76" s="3" t="s">
        <v>39</v>
      </c>
      <c r="F76" s="5">
        <v>4</v>
      </c>
      <c r="G76" s="6">
        <v>10.74</v>
      </c>
      <c r="H76" s="6">
        <v>42.96</v>
      </c>
      <c r="I76" s="6">
        <v>0</v>
      </c>
      <c r="J76" s="6">
        <v>42.96</v>
      </c>
      <c r="K76" s="5">
        <v>347</v>
      </c>
    </row>
    <row r="77" spans="1:11" x14ac:dyDescent="0.3">
      <c r="A77" s="3">
        <v>2876</v>
      </c>
      <c r="B77" s="3" t="s">
        <v>19</v>
      </c>
      <c r="C77" s="4">
        <v>45674</v>
      </c>
      <c r="D77" s="3" t="s">
        <v>45</v>
      </c>
      <c r="E77" s="3" t="s">
        <v>41</v>
      </c>
      <c r="F77" s="5">
        <v>5</v>
      </c>
      <c r="G77" s="6">
        <v>16.48</v>
      </c>
      <c r="H77" s="6">
        <v>82.4</v>
      </c>
      <c r="I77" s="6">
        <v>3.26</v>
      </c>
      <c r="J77" s="6">
        <v>79.14</v>
      </c>
      <c r="K77" s="5">
        <v>464</v>
      </c>
    </row>
    <row r="78" spans="1:11" x14ac:dyDescent="0.3">
      <c r="A78" s="3">
        <v>9797</v>
      </c>
      <c r="B78" s="3" t="s">
        <v>31</v>
      </c>
      <c r="C78" s="4">
        <v>45728</v>
      </c>
      <c r="D78" s="3" t="s">
        <v>15</v>
      </c>
      <c r="E78" s="3" t="s">
        <v>16</v>
      </c>
      <c r="F78" s="5">
        <v>2</v>
      </c>
      <c r="G78" s="6">
        <v>26.13</v>
      </c>
      <c r="H78" s="6">
        <v>52.26</v>
      </c>
      <c r="I78" s="6">
        <v>7.84</v>
      </c>
      <c r="J78" s="6">
        <v>44.42</v>
      </c>
      <c r="K78" s="5">
        <v>93</v>
      </c>
    </row>
    <row r="79" spans="1:11" x14ac:dyDescent="0.3">
      <c r="A79" s="3">
        <v>5371</v>
      </c>
      <c r="B79" s="3" t="s">
        <v>24</v>
      </c>
      <c r="C79" s="4">
        <v>45741</v>
      </c>
      <c r="D79" s="3" t="s">
        <v>22</v>
      </c>
      <c r="E79" s="3" t="s">
        <v>44</v>
      </c>
      <c r="F79" s="5">
        <v>4</v>
      </c>
      <c r="G79" s="6">
        <v>10.47</v>
      </c>
      <c r="H79" s="6">
        <v>41.88</v>
      </c>
      <c r="I79" s="6">
        <v>6.28</v>
      </c>
      <c r="J79" s="6">
        <v>35.6</v>
      </c>
      <c r="K79" s="5">
        <v>389</v>
      </c>
    </row>
    <row r="80" spans="1:11" x14ac:dyDescent="0.3">
      <c r="A80" s="3">
        <v>6573</v>
      </c>
      <c r="B80" s="3" t="s">
        <v>24</v>
      </c>
      <c r="C80" s="4">
        <v>45231</v>
      </c>
      <c r="D80" s="3" t="s">
        <v>35</v>
      </c>
      <c r="E80" s="3" t="s">
        <v>43</v>
      </c>
      <c r="F80" s="5">
        <v>4</v>
      </c>
      <c r="G80" s="6">
        <v>1.55</v>
      </c>
      <c r="H80" s="6">
        <v>6.2</v>
      </c>
      <c r="I80" s="6">
        <v>0.93</v>
      </c>
      <c r="J80" s="6">
        <v>5.27</v>
      </c>
      <c r="K80" s="5">
        <v>276</v>
      </c>
    </row>
    <row r="81" spans="1:11" x14ac:dyDescent="0.3">
      <c r="A81" s="3">
        <v>5808</v>
      </c>
      <c r="B81" s="3" t="s">
        <v>42</v>
      </c>
      <c r="C81" s="4">
        <v>45482</v>
      </c>
      <c r="D81" s="3" t="s">
        <v>27</v>
      </c>
      <c r="E81" s="3" t="s">
        <v>43</v>
      </c>
      <c r="F81" s="5">
        <v>1</v>
      </c>
      <c r="G81" s="6">
        <v>22.86</v>
      </c>
      <c r="H81" s="6">
        <v>22.86</v>
      </c>
      <c r="I81" s="6">
        <v>4.57</v>
      </c>
      <c r="J81" s="6">
        <v>18.29</v>
      </c>
      <c r="K81" s="5">
        <v>486</v>
      </c>
    </row>
    <row r="82" spans="1:11" x14ac:dyDescent="0.3">
      <c r="A82" s="3">
        <v>3591</v>
      </c>
      <c r="B82" s="3" t="s">
        <v>31</v>
      </c>
      <c r="C82" s="4">
        <v>45497</v>
      </c>
      <c r="D82" s="3" t="s">
        <v>28</v>
      </c>
      <c r="E82" s="3" t="s">
        <v>41</v>
      </c>
      <c r="F82" s="5">
        <v>2</v>
      </c>
      <c r="G82" s="6">
        <v>4.6500000000000004</v>
      </c>
      <c r="H82" s="6">
        <v>9.3000000000000007</v>
      </c>
      <c r="I82" s="6">
        <v>4.79</v>
      </c>
      <c r="J82" s="6">
        <v>4.51</v>
      </c>
      <c r="K82" s="5">
        <v>342</v>
      </c>
    </row>
    <row r="83" spans="1:11" x14ac:dyDescent="0.3">
      <c r="A83" s="3">
        <v>1053</v>
      </c>
      <c r="B83" s="3" t="s">
        <v>26</v>
      </c>
      <c r="C83" s="4">
        <v>45705</v>
      </c>
      <c r="D83" s="3" t="s">
        <v>35</v>
      </c>
      <c r="E83" s="3" t="s">
        <v>23</v>
      </c>
      <c r="F83" s="5">
        <v>2</v>
      </c>
      <c r="G83" s="6">
        <v>18.559999999999999</v>
      </c>
      <c r="H83" s="6">
        <v>37.119999999999997</v>
      </c>
      <c r="I83" s="6">
        <v>7.42</v>
      </c>
      <c r="J83" s="6">
        <v>29.7</v>
      </c>
      <c r="K83" s="5">
        <v>493</v>
      </c>
    </row>
    <row r="84" spans="1:11" x14ac:dyDescent="0.3">
      <c r="A84" s="3">
        <v>5315</v>
      </c>
      <c r="B84" s="3" t="s">
        <v>30</v>
      </c>
      <c r="C84" s="4">
        <v>45533</v>
      </c>
      <c r="D84" s="3" t="s">
        <v>15</v>
      </c>
      <c r="E84" s="3" t="s">
        <v>39</v>
      </c>
      <c r="F84" s="5">
        <v>3</v>
      </c>
      <c r="G84" s="6">
        <v>17.690000000000001</v>
      </c>
      <c r="H84" s="6">
        <v>53.07</v>
      </c>
      <c r="I84" s="6">
        <v>5.31</v>
      </c>
      <c r="J84" s="6">
        <v>47.76</v>
      </c>
      <c r="K84" s="5">
        <v>464</v>
      </c>
    </row>
    <row r="85" spans="1:11" x14ac:dyDescent="0.3">
      <c r="A85" s="3">
        <v>3927</v>
      </c>
      <c r="B85" s="3" t="s">
        <v>42</v>
      </c>
      <c r="C85" s="4">
        <v>45539</v>
      </c>
      <c r="D85" s="3" t="s">
        <v>15</v>
      </c>
      <c r="E85" s="3" t="s">
        <v>25</v>
      </c>
      <c r="F85" s="5">
        <v>1</v>
      </c>
      <c r="G85" s="6">
        <v>21.21</v>
      </c>
      <c r="H85" s="6">
        <v>21.21</v>
      </c>
      <c r="I85" s="6">
        <v>4.13</v>
      </c>
      <c r="J85" s="6">
        <v>17.079999999999998</v>
      </c>
      <c r="K85" s="5">
        <v>154</v>
      </c>
    </row>
    <row r="86" spans="1:11" x14ac:dyDescent="0.3">
      <c r="A86" s="3">
        <v>2743</v>
      </c>
      <c r="B86" s="3" t="s">
        <v>36</v>
      </c>
      <c r="C86" s="4">
        <v>45821</v>
      </c>
      <c r="D86" s="3" t="s">
        <v>38</v>
      </c>
      <c r="E86" s="3" t="s">
        <v>16</v>
      </c>
      <c r="F86" s="5">
        <v>3</v>
      </c>
      <c r="G86" s="6">
        <v>2.99</v>
      </c>
      <c r="H86" s="6">
        <v>8.9700000000000006</v>
      </c>
      <c r="I86" s="6">
        <v>4.4000000000000004</v>
      </c>
      <c r="J86" s="6">
        <v>4.57</v>
      </c>
      <c r="K86" s="5">
        <v>331</v>
      </c>
    </row>
    <row r="87" spans="1:11" x14ac:dyDescent="0.3">
      <c r="A87" s="3">
        <v>5889</v>
      </c>
      <c r="B87" s="3" t="s">
        <v>26</v>
      </c>
      <c r="C87" s="4">
        <v>45798</v>
      </c>
      <c r="D87" s="3" t="s">
        <v>15</v>
      </c>
      <c r="E87" s="3" t="s">
        <v>16</v>
      </c>
      <c r="F87" s="5">
        <v>3</v>
      </c>
      <c r="G87" s="6">
        <v>19.420000000000002</v>
      </c>
      <c r="H87" s="6">
        <v>58.26</v>
      </c>
      <c r="I87" s="6">
        <v>0</v>
      </c>
      <c r="J87" s="6">
        <v>58.26</v>
      </c>
      <c r="K87" s="5">
        <v>424</v>
      </c>
    </row>
    <row r="88" spans="1:11" x14ac:dyDescent="0.3">
      <c r="A88" s="3">
        <v>9317</v>
      </c>
      <c r="B88" s="3" t="s">
        <v>19</v>
      </c>
      <c r="C88" s="4">
        <v>45618</v>
      </c>
      <c r="D88" s="3" t="s">
        <v>20</v>
      </c>
      <c r="E88" s="3" t="s">
        <v>29</v>
      </c>
      <c r="F88" s="5">
        <v>5</v>
      </c>
      <c r="G88" s="6">
        <v>28.99</v>
      </c>
      <c r="H88" s="6">
        <v>144.94999999999999</v>
      </c>
      <c r="I88" s="6">
        <v>14.49</v>
      </c>
      <c r="J88" s="6">
        <v>130.46</v>
      </c>
      <c r="K88" s="5">
        <v>138</v>
      </c>
    </row>
    <row r="89" spans="1:11" x14ac:dyDescent="0.3">
      <c r="A89" s="3">
        <v>4258</v>
      </c>
      <c r="B89" s="3" t="s">
        <v>24</v>
      </c>
      <c r="C89" s="4">
        <v>45263</v>
      </c>
      <c r="D89" s="3" t="s">
        <v>28</v>
      </c>
      <c r="E89" s="3" t="s">
        <v>13</v>
      </c>
      <c r="F89" s="5">
        <v>3</v>
      </c>
      <c r="G89" s="6">
        <v>25.69</v>
      </c>
      <c r="H89" s="6">
        <v>77.069999999999993</v>
      </c>
      <c r="I89" s="6">
        <v>11.56</v>
      </c>
      <c r="J89" s="6">
        <v>65.510000000000005</v>
      </c>
      <c r="K89" s="5">
        <v>425</v>
      </c>
    </row>
    <row r="90" spans="1:11" x14ac:dyDescent="0.3">
      <c r="A90" s="3">
        <v>7126</v>
      </c>
      <c r="B90" s="3" t="s">
        <v>26</v>
      </c>
      <c r="C90" s="4">
        <v>45737</v>
      </c>
      <c r="D90" s="3" t="s">
        <v>17</v>
      </c>
      <c r="E90" s="3" t="s">
        <v>33</v>
      </c>
      <c r="F90" s="5">
        <v>5</v>
      </c>
      <c r="G90" s="6">
        <v>18.690000000000001</v>
      </c>
      <c r="H90" s="6">
        <v>93.45</v>
      </c>
      <c r="I90" s="6">
        <v>2.98</v>
      </c>
      <c r="J90" s="6">
        <v>90.47</v>
      </c>
      <c r="K90" s="5">
        <v>194</v>
      </c>
    </row>
    <row r="91" spans="1:11" x14ac:dyDescent="0.3">
      <c r="A91" s="3">
        <v>3646</v>
      </c>
      <c r="B91" s="3" t="s">
        <v>36</v>
      </c>
      <c r="C91" s="4">
        <v>45563</v>
      </c>
      <c r="D91" s="3" t="s">
        <v>34</v>
      </c>
      <c r="E91" s="3" t="s">
        <v>47</v>
      </c>
      <c r="F91" s="5">
        <v>2</v>
      </c>
      <c r="G91" s="6">
        <v>11.28</v>
      </c>
      <c r="H91" s="6">
        <v>22.56</v>
      </c>
      <c r="I91" s="6">
        <v>3.38</v>
      </c>
      <c r="J91" s="6">
        <v>19.18</v>
      </c>
      <c r="K91" s="5">
        <v>132</v>
      </c>
    </row>
    <row r="92" spans="1:11" x14ac:dyDescent="0.3">
      <c r="A92" s="3">
        <v>9689</v>
      </c>
      <c r="B92" s="3" t="s">
        <v>30</v>
      </c>
      <c r="C92" s="4">
        <v>45858</v>
      </c>
      <c r="D92" s="3" t="s">
        <v>38</v>
      </c>
      <c r="E92" s="3" t="s">
        <v>39</v>
      </c>
      <c r="F92" s="5">
        <v>5</v>
      </c>
      <c r="G92" s="6">
        <v>28.48</v>
      </c>
      <c r="H92" s="6">
        <v>142.4</v>
      </c>
      <c r="I92" s="6">
        <v>0</v>
      </c>
      <c r="J92" s="6">
        <v>142.4</v>
      </c>
      <c r="K92" s="5">
        <v>43</v>
      </c>
    </row>
    <row r="93" spans="1:11" x14ac:dyDescent="0.3">
      <c r="A93" s="3">
        <v>1009</v>
      </c>
      <c r="B93" s="3" t="s">
        <v>24</v>
      </c>
      <c r="C93" s="4">
        <v>45610</v>
      </c>
      <c r="D93" s="3" t="s">
        <v>45</v>
      </c>
      <c r="E93" s="3" t="s">
        <v>18</v>
      </c>
      <c r="F93" s="5">
        <v>2</v>
      </c>
      <c r="G93" s="6">
        <v>21.02</v>
      </c>
      <c r="H93" s="6">
        <v>42.04</v>
      </c>
      <c r="I93" s="6">
        <v>4.2</v>
      </c>
      <c r="J93" s="6">
        <v>37.840000000000003</v>
      </c>
      <c r="K93" s="5">
        <v>330</v>
      </c>
    </row>
    <row r="94" spans="1:11" x14ac:dyDescent="0.3">
      <c r="A94" s="3">
        <v>6310</v>
      </c>
      <c r="B94" s="3" t="s">
        <v>31</v>
      </c>
      <c r="C94" s="4">
        <v>45524</v>
      </c>
      <c r="D94" s="3" t="s">
        <v>15</v>
      </c>
      <c r="E94" s="3" t="s">
        <v>37</v>
      </c>
      <c r="F94" s="5">
        <v>2</v>
      </c>
      <c r="G94" s="6">
        <v>12.72</v>
      </c>
      <c r="H94" s="6">
        <v>25.44</v>
      </c>
      <c r="I94" s="6">
        <v>0</v>
      </c>
      <c r="J94" s="6">
        <v>25.44</v>
      </c>
      <c r="K94" s="5">
        <v>124</v>
      </c>
    </row>
    <row r="95" spans="1:11" x14ac:dyDescent="0.3">
      <c r="A95" s="3">
        <v>1319</v>
      </c>
      <c r="B95" s="3" t="s">
        <v>36</v>
      </c>
      <c r="C95" s="4">
        <v>45231</v>
      </c>
      <c r="D95" s="3" t="s">
        <v>45</v>
      </c>
      <c r="E95" s="3" t="s">
        <v>18</v>
      </c>
      <c r="F95" s="5">
        <v>5</v>
      </c>
      <c r="G95" s="6">
        <v>10.96</v>
      </c>
      <c r="H95" s="6">
        <v>54.8</v>
      </c>
      <c r="I95" s="6">
        <v>8.2200000000000006</v>
      </c>
      <c r="J95" s="6">
        <v>46.58</v>
      </c>
      <c r="K95" s="5">
        <v>381</v>
      </c>
    </row>
    <row r="96" spans="1:11" x14ac:dyDescent="0.3">
      <c r="A96" s="3">
        <v>6947</v>
      </c>
      <c r="B96" s="3" t="s">
        <v>26</v>
      </c>
      <c r="C96" s="4">
        <v>45827</v>
      </c>
      <c r="D96" s="3" t="s">
        <v>35</v>
      </c>
      <c r="E96" s="3" t="s">
        <v>37</v>
      </c>
      <c r="F96" s="5">
        <v>3</v>
      </c>
      <c r="G96" s="6">
        <v>7.68</v>
      </c>
      <c r="H96" s="6">
        <v>23.04</v>
      </c>
      <c r="I96" s="6">
        <v>3.46</v>
      </c>
      <c r="J96" s="6">
        <v>19.579999999999998</v>
      </c>
      <c r="K96" s="5">
        <v>369</v>
      </c>
    </row>
    <row r="97" spans="1:11" x14ac:dyDescent="0.3">
      <c r="A97" s="3">
        <v>6038</v>
      </c>
      <c r="B97" s="3" t="s">
        <v>11</v>
      </c>
      <c r="C97" s="4">
        <v>45330</v>
      </c>
      <c r="D97" s="3" t="s">
        <v>38</v>
      </c>
      <c r="E97" s="3" t="s">
        <v>29</v>
      </c>
      <c r="F97" s="5">
        <v>2</v>
      </c>
      <c r="G97" s="6">
        <v>7.27</v>
      </c>
      <c r="H97" s="6">
        <v>14.54</v>
      </c>
      <c r="I97" s="6">
        <v>0</v>
      </c>
      <c r="J97" s="6">
        <v>14.54</v>
      </c>
      <c r="K97" s="5">
        <v>247</v>
      </c>
    </row>
    <row r="98" spans="1:11" x14ac:dyDescent="0.3">
      <c r="A98" s="3">
        <v>1949</v>
      </c>
      <c r="B98" s="3" t="s">
        <v>14</v>
      </c>
      <c r="C98" s="4">
        <v>45332</v>
      </c>
      <c r="D98" s="3" t="s">
        <v>28</v>
      </c>
      <c r="E98" s="3" t="s">
        <v>37</v>
      </c>
      <c r="F98" s="5">
        <v>1</v>
      </c>
      <c r="G98" s="6">
        <v>25.14</v>
      </c>
      <c r="H98" s="6">
        <v>25.14</v>
      </c>
      <c r="I98" s="6">
        <v>3.77</v>
      </c>
      <c r="J98" s="6">
        <v>21.37</v>
      </c>
      <c r="K98" s="5">
        <v>151</v>
      </c>
    </row>
    <row r="99" spans="1:11" x14ac:dyDescent="0.3">
      <c r="A99" s="3">
        <v>2290</v>
      </c>
      <c r="B99" s="3" t="s">
        <v>19</v>
      </c>
      <c r="C99" s="4">
        <v>45211</v>
      </c>
      <c r="D99" s="3" t="s">
        <v>35</v>
      </c>
      <c r="E99" s="3" t="s">
        <v>39</v>
      </c>
      <c r="F99" s="5">
        <v>5</v>
      </c>
      <c r="G99" s="6">
        <v>4.66</v>
      </c>
      <c r="H99" s="6">
        <v>23.3</v>
      </c>
      <c r="I99" s="6">
        <v>2.17</v>
      </c>
      <c r="J99" s="6">
        <v>21.13</v>
      </c>
      <c r="K99" s="5">
        <v>23</v>
      </c>
    </row>
    <row r="100" spans="1:11" x14ac:dyDescent="0.3">
      <c r="A100" s="3">
        <v>8962</v>
      </c>
      <c r="B100" s="3" t="s">
        <v>19</v>
      </c>
      <c r="C100" s="4">
        <v>45778</v>
      </c>
      <c r="D100" s="3" t="s">
        <v>27</v>
      </c>
      <c r="E100" s="3" t="s">
        <v>47</v>
      </c>
      <c r="F100" s="5">
        <v>1</v>
      </c>
      <c r="G100" s="6">
        <v>26.3</v>
      </c>
      <c r="H100" s="6">
        <v>26.3</v>
      </c>
      <c r="I100" s="6">
        <v>2.63</v>
      </c>
      <c r="J100" s="6">
        <v>23.67</v>
      </c>
      <c r="K100" s="5">
        <v>293</v>
      </c>
    </row>
    <row r="101" spans="1:11" x14ac:dyDescent="0.3">
      <c r="A101" s="3">
        <v>2133</v>
      </c>
      <c r="B101" s="3" t="s">
        <v>26</v>
      </c>
      <c r="C101" s="4">
        <v>45735</v>
      </c>
      <c r="D101" s="3" t="s">
        <v>45</v>
      </c>
      <c r="E101" s="3" t="s">
        <v>21</v>
      </c>
      <c r="F101" s="5">
        <v>2</v>
      </c>
      <c r="G101" s="6">
        <v>28.99</v>
      </c>
      <c r="H101" s="6">
        <v>57.98</v>
      </c>
      <c r="I101" s="6">
        <v>4.29</v>
      </c>
      <c r="J101" s="6">
        <v>53.69</v>
      </c>
      <c r="K101" s="5">
        <v>129</v>
      </c>
    </row>
    <row r="102" spans="1:11" x14ac:dyDescent="0.3">
      <c r="A102" s="3">
        <v>9727</v>
      </c>
      <c r="B102" s="3" t="s">
        <v>24</v>
      </c>
      <c r="C102" s="4">
        <v>45739</v>
      </c>
      <c r="D102" s="3" t="s">
        <v>45</v>
      </c>
      <c r="E102" s="3" t="s">
        <v>43</v>
      </c>
      <c r="F102" s="5">
        <v>5</v>
      </c>
      <c r="G102" s="6">
        <v>19.239999999999998</v>
      </c>
      <c r="H102" s="6">
        <v>96.2</v>
      </c>
      <c r="I102" s="6">
        <v>19.239999999999998</v>
      </c>
      <c r="J102" s="6">
        <v>76.959999999999994</v>
      </c>
      <c r="K102" s="5">
        <v>27</v>
      </c>
    </row>
    <row r="103" spans="1:11" x14ac:dyDescent="0.3">
      <c r="A103" s="3">
        <v>3060</v>
      </c>
      <c r="B103" s="3" t="s">
        <v>30</v>
      </c>
      <c r="C103" s="4">
        <v>45244</v>
      </c>
      <c r="D103" s="3" t="s">
        <v>15</v>
      </c>
      <c r="E103" s="3" t="s">
        <v>25</v>
      </c>
      <c r="F103" s="5">
        <v>1</v>
      </c>
      <c r="G103" s="6">
        <v>17.170000000000002</v>
      </c>
      <c r="H103" s="6">
        <v>17.170000000000002</v>
      </c>
      <c r="I103" s="6">
        <v>2.52</v>
      </c>
      <c r="J103" s="6">
        <v>14.65</v>
      </c>
      <c r="K103" s="5">
        <v>213</v>
      </c>
    </row>
    <row r="104" spans="1:11" x14ac:dyDescent="0.3">
      <c r="A104" s="3">
        <v>8787</v>
      </c>
      <c r="B104" s="3" t="s">
        <v>26</v>
      </c>
      <c r="C104" s="4">
        <v>45572</v>
      </c>
      <c r="D104" s="3" t="s">
        <v>35</v>
      </c>
      <c r="E104" s="3" t="s">
        <v>16</v>
      </c>
      <c r="F104" s="5">
        <v>3</v>
      </c>
      <c r="G104" s="6">
        <v>17.48</v>
      </c>
      <c r="H104" s="6">
        <v>52.44</v>
      </c>
      <c r="I104" s="6">
        <v>10.49</v>
      </c>
      <c r="J104" s="6">
        <v>41.95</v>
      </c>
      <c r="K104" s="5">
        <v>30</v>
      </c>
    </row>
    <row r="105" spans="1:11" x14ac:dyDescent="0.3">
      <c r="A105" s="3">
        <v>3705</v>
      </c>
      <c r="B105" s="3" t="s">
        <v>42</v>
      </c>
      <c r="C105" s="4">
        <v>45350</v>
      </c>
      <c r="D105" s="3" t="s">
        <v>35</v>
      </c>
      <c r="E105" s="3" t="s">
        <v>43</v>
      </c>
      <c r="F105" s="5">
        <v>2</v>
      </c>
      <c r="G105" s="6">
        <v>7.95</v>
      </c>
      <c r="H105" s="6">
        <v>15.9</v>
      </c>
      <c r="I105" s="6">
        <v>3.18</v>
      </c>
      <c r="J105" s="6">
        <v>12.72</v>
      </c>
      <c r="K105" s="5">
        <v>282</v>
      </c>
    </row>
    <row r="106" spans="1:11" x14ac:dyDescent="0.3">
      <c r="A106" s="3">
        <v>9645</v>
      </c>
      <c r="B106" s="3" t="s">
        <v>31</v>
      </c>
      <c r="C106" s="4">
        <v>45822</v>
      </c>
      <c r="D106" s="3" t="s">
        <v>20</v>
      </c>
      <c r="E106" s="3" t="s">
        <v>33</v>
      </c>
      <c r="F106" s="5">
        <v>5</v>
      </c>
      <c r="G106" s="6">
        <v>14.62</v>
      </c>
      <c r="H106" s="6">
        <v>73.099999999999994</v>
      </c>
      <c r="I106" s="6">
        <v>10.96</v>
      </c>
      <c r="J106" s="6">
        <v>62.14</v>
      </c>
      <c r="K106" s="5">
        <v>16</v>
      </c>
    </row>
    <row r="107" spans="1:11" x14ac:dyDescent="0.3">
      <c r="A107" s="3">
        <v>7932</v>
      </c>
      <c r="B107" s="3" t="s">
        <v>30</v>
      </c>
      <c r="C107" s="4">
        <v>45309</v>
      </c>
      <c r="D107" s="3" t="s">
        <v>45</v>
      </c>
      <c r="E107" s="3" t="s">
        <v>43</v>
      </c>
      <c r="F107" s="5">
        <v>2</v>
      </c>
      <c r="G107" s="6">
        <v>27.78</v>
      </c>
      <c r="H107" s="6">
        <v>55.56</v>
      </c>
      <c r="I107" s="6">
        <v>5.56</v>
      </c>
      <c r="J107" s="6">
        <v>50</v>
      </c>
      <c r="K107" s="5">
        <v>403</v>
      </c>
    </row>
    <row r="108" spans="1:11" x14ac:dyDescent="0.3">
      <c r="A108" s="3">
        <v>9835</v>
      </c>
      <c r="B108" s="3" t="s">
        <v>11</v>
      </c>
      <c r="C108" s="4">
        <v>45731</v>
      </c>
      <c r="D108" s="3" t="s">
        <v>38</v>
      </c>
      <c r="E108" s="3" t="s">
        <v>25</v>
      </c>
      <c r="F108" s="5">
        <v>2</v>
      </c>
      <c r="G108" s="6">
        <v>27.33</v>
      </c>
      <c r="H108" s="6">
        <v>54.66</v>
      </c>
      <c r="I108" s="6">
        <v>1.24</v>
      </c>
      <c r="J108" s="6">
        <v>53.42</v>
      </c>
      <c r="K108" s="5">
        <v>423</v>
      </c>
    </row>
    <row r="109" spans="1:11" x14ac:dyDescent="0.3">
      <c r="A109" s="3">
        <v>4295</v>
      </c>
      <c r="B109" s="3" t="s">
        <v>30</v>
      </c>
      <c r="C109" s="4">
        <v>45698</v>
      </c>
      <c r="D109" s="3" t="s">
        <v>28</v>
      </c>
      <c r="E109" s="3" t="s">
        <v>37</v>
      </c>
      <c r="F109" s="5">
        <v>4</v>
      </c>
      <c r="G109" s="6">
        <v>4.5999999999999996</v>
      </c>
      <c r="H109" s="6">
        <v>18.399999999999999</v>
      </c>
      <c r="I109" s="6">
        <v>0</v>
      </c>
      <c r="J109" s="6">
        <v>18.399999999999999</v>
      </c>
      <c r="K109" s="5">
        <v>352</v>
      </c>
    </row>
    <row r="110" spans="1:11" x14ac:dyDescent="0.3">
      <c r="A110" s="3">
        <v>6107</v>
      </c>
      <c r="B110" s="3" t="s">
        <v>24</v>
      </c>
      <c r="C110" s="4">
        <v>45454</v>
      </c>
      <c r="D110" s="3" t="s">
        <v>35</v>
      </c>
      <c r="E110" s="3" t="s">
        <v>46</v>
      </c>
      <c r="F110" s="5">
        <v>5</v>
      </c>
      <c r="G110" s="6">
        <v>15.31</v>
      </c>
      <c r="H110" s="6">
        <v>76.55</v>
      </c>
      <c r="I110" s="6">
        <v>7.66</v>
      </c>
      <c r="J110" s="6">
        <v>68.89</v>
      </c>
      <c r="K110" s="5">
        <v>41</v>
      </c>
    </row>
    <row r="111" spans="1:11" x14ac:dyDescent="0.3">
      <c r="A111" s="3">
        <v>7118</v>
      </c>
      <c r="B111" s="3" t="s">
        <v>36</v>
      </c>
      <c r="C111" s="4">
        <v>45485</v>
      </c>
      <c r="D111" s="3" t="s">
        <v>28</v>
      </c>
      <c r="E111" s="3" t="s">
        <v>13</v>
      </c>
      <c r="F111" s="5">
        <v>1</v>
      </c>
      <c r="G111" s="6">
        <v>3.64</v>
      </c>
      <c r="H111" s="6">
        <v>3.64</v>
      </c>
      <c r="I111" s="6">
        <v>0</v>
      </c>
      <c r="J111" s="6">
        <v>3.64</v>
      </c>
      <c r="K111" s="5">
        <v>492</v>
      </c>
    </row>
    <row r="112" spans="1:11" x14ac:dyDescent="0.3">
      <c r="A112" s="3">
        <v>9479</v>
      </c>
      <c r="B112" s="3" t="s">
        <v>30</v>
      </c>
      <c r="C112" s="4">
        <v>45495</v>
      </c>
      <c r="D112" s="3" t="s">
        <v>28</v>
      </c>
      <c r="E112" s="3" t="s">
        <v>40</v>
      </c>
      <c r="F112" s="5">
        <v>2</v>
      </c>
      <c r="G112" s="6">
        <v>14.63</v>
      </c>
      <c r="H112" s="6">
        <v>29.26</v>
      </c>
      <c r="I112" s="6">
        <v>4.3899999999999997</v>
      </c>
      <c r="J112" s="6">
        <v>24.87</v>
      </c>
      <c r="K112" s="5">
        <v>333</v>
      </c>
    </row>
    <row r="113" spans="1:11" x14ac:dyDescent="0.3">
      <c r="A113" s="3">
        <v>2982</v>
      </c>
      <c r="B113" s="3" t="s">
        <v>19</v>
      </c>
      <c r="C113" s="4">
        <v>45337</v>
      </c>
      <c r="D113" s="3" t="s">
        <v>28</v>
      </c>
      <c r="E113" s="3" t="s">
        <v>16</v>
      </c>
      <c r="F113" s="5">
        <v>4</v>
      </c>
      <c r="G113" s="6">
        <v>29.09</v>
      </c>
      <c r="H113" s="6">
        <v>116.36</v>
      </c>
      <c r="I113" s="6">
        <v>11.64</v>
      </c>
      <c r="J113" s="6">
        <v>104.72</v>
      </c>
      <c r="K113" s="5">
        <v>240</v>
      </c>
    </row>
    <row r="114" spans="1:11" x14ac:dyDescent="0.3">
      <c r="A114" s="3">
        <v>4681</v>
      </c>
      <c r="B114" s="3" t="s">
        <v>36</v>
      </c>
      <c r="C114" s="4">
        <v>45194</v>
      </c>
      <c r="D114" s="3" t="s">
        <v>22</v>
      </c>
      <c r="E114" s="3" t="s">
        <v>48</v>
      </c>
      <c r="F114" s="5">
        <v>2</v>
      </c>
      <c r="G114" s="6">
        <v>10.55</v>
      </c>
      <c r="H114" s="6">
        <v>21.1</v>
      </c>
      <c r="I114" s="6">
        <v>3.17</v>
      </c>
      <c r="J114" s="6">
        <v>17.93</v>
      </c>
      <c r="K114" s="5">
        <v>355</v>
      </c>
    </row>
    <row r="115" spans="1:11" x14ac:dyDescent="0.3">
      <c r="A115" s="3">
        <v>6539</v>
      </c>
      <c r="B115" s="3" t="s">
        <v>24</v>
      </c>
      <c r="C115" s="4">
        <v>45161</v>
      </c>
      <c r="D115" s="3" t="s">
        <v>38</v>
      </c>
      <c r="E115" s="3" t="s">
        <v>40</v>
      </c>
      <c r="F115" s="5">
        <v>4</v>
      </c>
      <c r="G115" s="6">
        <v>3.54</v>
      </c>
      <c r="H115" s="6">
        <v>14.16</v>
      </c>
      <c r="I115" s="6">
        <v>4.88</v>
      </c>
      <c r="J115" s="6">
        <v>9.2799999999999994</v>
      </c>
      <c r="K115" s="5">
        <v>129</v>
      </c>
    </row>
    <row r="116" spans="1:11" x14ac:dyDescent="0.3">
      <c r="A116" s="3">
        <v>4770</v>
      </c>
      <c r="B116" s="3" t="s">
        <v>24</v>
      </c>
      <c r="C116" s="4">
        <v>45602</v>
      </c>
      <c r="D116" s="3" t="s">
        <v>38</v>
      </c>
      <c r="E116" s="3" t="s">
        <v>39</v>
      </c>
      <c r="F116" s="5">
        <v>5</v>
      </c>
      <c r="G116" s="6">
        <v>14.39</v>
      </c>
      <c r="H116" s="6">
        <v>71.95</v>
      </c>
      <c r="I116" s="6">
        <v>2.4500000000000002</v>
      </c>
      <c r="J116" s="6">
        <v>69.5</v>
      </c>
      <c r="K116" s="5">
        <v>27</v>
      </c>
    </row>
    <row r="117" spans="1:11" x14ac:dyDescent="0.3">
      <c r="A117" s="3">
        <v>4608</v>
      </c>
      <c r="B117" s="3" t="s">
        <v>26</v>
      </c>
      <c r="C117" s="4">
        <v>45150</v>
      </c>
      <c r="D117" s="3" t="s">
        <v>27</v>
      </c>
      <c r="E117" s="3" t="s">
        <v>33</v>
      </c>
      <c r="F117" s="5">
        <v>1</v>
      </c>
      <c r="G117" s="6">
        <v>6.89</v>
      </c>
      <c r="H117" s="6">
        <v>6.89</v>
      </c>
      <c r="I117" s="6">
        <v>1.03</v>
      </c>
      <c r="J117" s="6">
        <v>5.86</v>
      </c>
      <c r="K117" s="5">
        <v>281</v>
      </c>
    </row>
    <row r="118" spans="1:11" x14ac:dyDescent="0.3">
      <c r="A118" s="3">
        <v>2163</v>
      </c>
      <c r="B118" s="3" t="s">
        <v>26</v>
      </c>
      <c r="C118" s="4">
        <v>45694</v>
      </c>
      <c r="D118" s="3" t="s">
        <v>45</v>
      </c>
      <c r="E118" s="3" t="s">
        <v>48</v>
      </c>
      <c r="F118" s="5">
        <v>1</v>
      </c>
      <c r="G118" s="6">
        <v>29.21</v>
      </c>
      <c r="H118" s="6">
        <v>29.21</v>
      </c>
      <c r="I118" s="6">
        <v>0</v>
      </c>
      <c r="J118" s="6">
        <v>29.21</v>
      </c>
      <c r="K118" s="5">
        <v>311</v>
      </c>
    </row>
    <row r="119" spans="1:11" x14ac:dyDescent="0.3">
      <c r="A119" s="3">
        <v>1964</v>
      </c>
      <c r="B119" s="3" t="s">
        <v>19</v>
      </c>
      <c r="C119" s="4">
        <v>45322</v>
      </c>
      <c r="D119" s="3" t="s">
        <v>35</v>
      </c>
      <c r="E119" s="3" t="s">
        <v>18</v>
      </c>
      <c r="F119" s="5">
        <v>1</v>
      </c>
      <c r="G119" s="6">
        <v>17.010000000000002</v>
      </c>
      <c r="H119" s="6">
        <v>17.010000000000002</v>
      </c>
      <c r="I119" s="6">
        <v>2.85</v>
      </c>
      <c r="J119" s="6">
        <v>14.16</v>
      </c>
      <c r="K119" s="5">
        <v>47</v>
      </c>
    </row>
    <row r="120" spans="1:11" x14ac:dyDescent="0.3">
      <c r="A120" s="3">
        <v>2104</v>
      </c>
      <c r="B120" s="3" t="s">
        <v>11</v>
      </c>
      <c r="C120" s="4">
        <v>45848</v>
      </c>
      <c r="D120" s="3" t="s">
        <v>27</v>
      </c>
      <c r="E120" s="3" t="s">
        <v>41</v>
      </c>
      <c r="F120" s="5">
        <v>4</v>
      </c>
      <c r="G120" s="6">
        <v>28.04</v>
      </c>
      <c r="H120" s="6">
        <v>112.16</v>
      </c>
      <c r="I120" s="6">
        <v>11.22</v>
      </c>
      <c r="J120" s="6">
        <v>100.94</v>
      </c>
      <c r="K120" s="5">
        <v>149</v>
      </c>
    </row>
    <row r="121" spans="1:11" x14ac:dyDescent="0.3">
      <c r="A121" s="3">
        <v>1514</v>
      </c>
      <c r="B121" s="3" t="s">
        <v>26</v>
      </c>
      <c r="C121" s="4">
        <v>45812</v>
      </c>
      <c r="D121" s="3" t="s">
        <v>45</v>
      </c>
      <c r="E121" s="3" t="s">
        <v>25</v>
      </c>
      <c r="F121" s="5">
        <v>4</v>
      </c>
      <c r="G121" s="6">
        <v>16.98</v>
      </c>
      <c r="H121" s="6">
        <v>67.92</v>
      </c>
      <c r="I121" s="6">
        <v>3.03</v>
      </c>
      <c r="J121" s="6">
        <v>64.89</v>
      </c>
      <c r="K121" s="5">
        <v>196</v>
      </c>
    </row>
    <row r="122" spans="1:11" x14ac:dyDescent="0.3">
      <c r="A122" s="3">
        <v>6413</v>
      </c>
      <c r="B122" s="3" t="s">
        <v>19</v>
      </c>
      <c r="C122" s="4">
        <v>45200</v>
      </c>
      <c r="D122" s="3" t="s">
        <v>15</v>
      </c>
      <c r="E122" s="3" t="s">
        <v>13</v>
      </c>
      <c r="F122" s="5">
        <v>4</v>
      </c>
      <c r="G122" s="6">
        <v>10.85</v>
      </c>
      <c r="H122" s="6">
        <v>43.4</v>
      </c>
      <c r="I122" s="6">
        <v>2.13</v>
      </c>
      <c r="J122" s="6">
        <v>41.27</v>
      </c>
      <c r="K122" s="5">
        <v>403</v>
      </c>
    </row>
    <row r="123" spans="1:11" x14ac:dyDescent="0.3">
      <c r="A123" s="3">
        <v>9423</v>
      </c>
      <c r="B123" s="3" t="s">
        <v>30</v>
      </c>
      <c r="C123" s="4">
        <v>45329</v>
      </c>
      <c r="D123" s="3" t="s">
        <v>28</v>
      </c>
      <c r="E123" s="3" t="s">
        <v>47</v>
      </c>
      <c r="F123" s="5">
        <v>2</v>
      </c>
      <c r="G123" s="6">
        <v>13.94</v>
      </c>
      <c r="H123" s="6">
        <v>27.88</v>
      </c>
      <c r="I123" s="6">
        <v>4.18</v>
      </c>
      <c r="J123" s="6">
        <v>23.7</v>
      </c>
      <c r="K123" s="5">
        <v>247</v>
      </c>
    </row>
    <row r="124" spans="1:11" x14ac:dyDescent="0.3">
      <c r="A124" s="3">
        <v>5562</v>
      </c>
      <c r="B124" s="3" t="s">
        <v>14</v>
      </c>
      <c r="C124" s="4">
        <v>45664</v>
      </c>
      <c r="D124" s="3" t="s">
        <v>38</v>
      </c>
      <c r="E124" s="3" t="s">
        <v>32</v>
      </c>
      <c r="F124" s="5">
        <v>4</v>
      </c>
      <c r="G124" s="6">
        <v>28.04</v>
      </c>
      <c r="H124" s="6">
        <v>112.16</v>
      </c>
      <c r="I124" s="6">
        <v>0</v>
      </c>
      <c r="J124" s="6">
        <v>112.16</v>
      </c>
      <c r="K124" s="5">
        <v>445</v>
      </c>
    </row>
    <row r="125" spans="1:11" x14ac:dyDescent="0.3">
      <c r="A125" s="3">
        <v>8953</v>
      </c>
      <c r="B125" s="3" t="s">
        <v>42</v>
      </c>
      <c r="C125" s="4">
        <v>45311</v>
      </c>
      <c r="D125" s="3" t="s">
        <v>28</v>
      </c>
      <c r="E125" s="3" t="s">
        <v>32</v>
      </c>
      <c r="F125" s="5">
        <v>2</v>
      </c>
      <c r="G125" s="6">
        <v>25.81</v>
      </c>
      <c r="H125" s="6">
        <v>51.62</v>
      </c>
      <c r="I125" s="6">
        <v>7.74</v>
      </c>
      <c r="J125" s="6">
        <v>43.88</v>
      </c>
      <c r="K125" s="5">
        <v>210</v>
      </c>
    </row>
    <row r="126" spans="1:11" x14ac:dyDescent="0.3">
      <c r="A126" s="3">
        <v>9834</v>
      </c>
      <c r="B126" s="3" t="s">
        <v>26</v>
      </c>
      <c r="C126" s="4">
        <v>45247</v>
      </c>
      <c r="D126" s="3" t="s">
        <v>20</v>
      </c>
      <c r="E126" s="3" t="s">
        <v>32</v>
      </c>
      <c r="F126" s="5">
        <v>2</v>
      </c>
      <c r="G126" s="6">
        <v>15.35</v>
      </c>
      <c r="H126" s="6">
        <v>30.7</v>
      </c>
      <c r="I126" s="6">
        <v>4.8600000000000003</v>
      </c>
      <c r="J126" s="6">
        <v>25.84</v>
      </c>
      <c r="K126" s="5">
        <v>18</v>
      </c>
    </row>
    <row r="127" spans="1:11" x14ac:dyDescent="0.3">
      <c r="A127" s="3">
        <v>8744</v>
      </c>
      <c r="B127" s="3" t="s">
        <v>36</v>
      </c>
      <c r="C127" s="4">
        <v>45333</v>
      </c>
      <c r="D127" s="3" t="s">
        <v>15</v>
      </c>
      <c r="E127" s="3" t="s">
        <v>33</v>
      </c>
      <c r="F127" s="5">
        <v>1</v>
      </c>
      <c r="G127" s="6">
        <v>16.239999999999998</v>
      </c>
      <c r="H127" s="6">
        <v>16.239999999999998</v>
      </c>
      <c r="I127" s="6">
        <v>0</v>
      </c>
      <c r="J127" s="6">
        <v>16.239999999999998</v>
      </c>
      <c r="K127" s="5">
        <v>233</v>
      </c>
    </row>
    <row r="128" spans="1:11" x14ac:dyDescent="0.3">
      <c r="A128" s="3">
        <v>8749</v>
      </c>
      <c r="B128" s="3" t="s">
        <v>19</v>
      </c>
      <c r="C128" s="4">
        <v>45772</v>
      </c>
      <c r="D128" s="3" t="s">
        <v>20</v>
      </c>
      <c r="E128" s="3" t="s">
        <v>41</v>
      </c>
      <c r="F128" s="5">
        <v>1</v>
      </c>
      <c r="G128" s="6">
        <v>14.61</v>
      </c>
      <c r="H128" s="6">
        <v>14.61</v>
      </c>
      <c r="I128" s="6">
        <v>2.19</v>
      </c>
      <c r="J128" s="6">
        <v>12.42</v>
      </c>
      <c r="K128" s="5">
        <v>496</v>
      </c>
    </row>
    <row r="129" spans="1:11" x14ac:dyDescent="0.3">
      <c r="A129" s="3">
        <v>7669</v>
      </c>
      <c r="B129" s="3" t="s">
        <v>24</v>
      </c>
      <c r="C129" s="4">
        <v>45292</v>
      </c>
      <c r="D129" s="3" t="s">
        <v>27</v>
      </c>
      <c r="E129" s="3" t="s">
        <v>43</v>
      </c>
      <c r="F129" s="5">
        <v>3</v>
      </c>
      <c r="G129" s="6">
        <v>25.71</v>
      </c>
      <c r="H129" s="6">
        <v>77.13</v>
      </c>
      <c r="I129" s="6">
        <v>11.57</v>
      </c>
      <c r="J129" s="6">
        <v>65.56</v>
      </c>
      <c r="K129" s="5">
        <v>439</v>
      </c>
    </row>
    <row r="130" spans="1:11" x14ac:dyDescent="0.3">
      <c r="A130" s="3">
        <v>2545</v>
      </c>
      <c r="B130" s="3" t="s">
        <v>26</v>
      </c>
      <c r="C130" s="4">
        <v>45220</v>
      </c>
      <c r="D130" s="3" t="s">
        <v>38</v>
      </c>
      <c r="E130" s="3" t="s">
        <v>40</v>
      </c>
      <c r="F130" s="5">
        <v>5</v>
      </c>
      <c r="G130" s="6">
        <v>2.97</v>
      </c>
      <c r="H130" s="6">
        <v>14.85</v>
      </c>
      <c r="I130" s="6">
        <v>2.97</v>
      </c>
      <c r="J130" s="6">
        <v>11.88</v>
      </c>
      <c r="K130" s="5">
        <v>323</v>
      </c>
    </row>
    <row r="131" spans="1:11" x14ac:dyDescent="0.3">
      <c r="A131" s="3">
        <v>8062</v>
      </c>
      <c r="B131" s="3" t="s">
        <v>11</v>
      </c>
      <c r="C131" s="4">
        <v>45420</v>
      </c>
      <c r="D131" s="3" t="s">
        <v>20</v>
      </c>
      <c r="E131" s="3" t="s">
        <v>48</v>
      </c>
      <c r="F131" s="5">
        <v>1</v>
      </c>
      <c r="G131" s="6">
        <v>13.86</v>
      </c>
      <c r="H131" s="6">
        <v>13.86</v>
      </c>
      <c r="I131" s="6">
        <v>1.18</v>
      </c>
      <c r="J131" s="6">
        <v>12.68</v>
      </c>
      <c r="K131" s="5">
        <v>355</v>
      </c>
    </row>
    <row r="132" spans="1:11" x14ac:dyDescent="0.3">
      <c r="A132" s="3">
        <v>7939</v>
      </c>
      <c r="B132" s="3" t="s">
        <v>31</v>
      </c>
      <c r="C132" s="4">
        <v>45464</v>
      </c>
      <c r="D132" s="3" t="s">
        <v>35</v>
      </c>
      <c r="E132" s="3" t="s">
        <v>23</v>
      </c>
      <c r="F132" s="5">
        <v>3</v>
      </c>
      <c r="G132" s="6">
        <v>13.48</v>
      </c>
      <c r="H132" s="6">
        <v>40.44</v>
      </c>
      <c r="I132" s="6">
        <v>3.73</v>
      </c>
      <c r="J132" s="6">
        <v>36.71</v>
      </c>
      <c r="K132" s="5">
        <v>125</v>
      </c>
    </row>
    <row r="133" spans="1:11" x14ac:dyDescent="0.3">
      <c r="A133" s="3">
        <v>8651</v>
      </c>
      <c r="B133" s="3" t="s">
        <v>19</v>
      </c>
      <c r="C133" s="4">
        <v>45815</v>
      </c>
      <c r="D133" s="3" t="s">
        <v>34</v>
      </c>
      <c r="E133" s="3" t="s">
        <v>29</v>
      </c>
      <c r="F133" s="5">
        <v>1</v>
      </c>
      <c r="G133" s="6">
        <v>18.670000000000002</v>
      </c>
      <c r="H133" s="6">
        <v>18.670000000000002</v>
      </c>
      <c r="I133" s="6">
        <v>1.87</v>
      </c>
      <c r="J133" s="6">
        <v>16.8</v>
      </c>
      <c r="K133" s="5">
        <v>195</v>
      </c>
    </row>
    <row r="134" spans="1:11" x14ac:dyDescent="0.3">
      <c r="A134" s="3">
        <v>1887</v>
      </c>
      <c r="B134" s="3" t="s">
        <v>19</v>
      </c>
      <c r="C134" s="4">
        <v>45668</v>
      </c>
      <c r="D134" s="3" t="s">
        <v>17</v>
      </c>
      <c r="E134" s="3" t="s">
        <v>33</v>
      </c>
      <c r="F134" s="5">
        <v>3</v>
      </c>
      <c r="G134" s="6">
        <v>14.32</v>
      </c>
      <c r="H134" s="6">
        <v>42.96</v>
      </c>
      <c r="I134" s="6">
        <v>4.3</v>
      </c>
      <c r="J134" s="6">
        <v>38.659999999999997</v>
      </c>
      <c r="K134" s="5">
        <v>341</v>
      </c>
    </row>
    <row r="135" spans="1:11" x14ac:dyDescent="0.3">
      <c r="A135" s="3">
        <v>2612</v>
      </c>
      <c r="B135" s="3" t="s">
        <v>30</v>
      </c>
      <c r="C135" s="4">
        <v>45192</v>
      </c>
      <c r="D135" s="3" t="s">
        <v>27</v>
      </c>
      <c r="E135" s="3" t="s">
        <v>18</v>
      </c>
      <c r="F135" s="5">
        <v>2</v>
      </c>
      <c r="G135" s="6">
        <v>3.13</v>
      </c>
      <c r="H135" s="6">
        <v>6.26</v>
      </c>
      <c r="I135" s="6">
        <v>2.2000000000000002</v>
      </c>
      <c r="J135" s="6">
        <v>4.0599999999999996</v>
      </c>
      <c r="K135" s="5">
        <v>483</v>
      </c>
    </row>
    <row r="136" spans="1:11" x14ac:dyDescent="0.3">
      <c r="A136" s="3">
        <v>7596</v>
      </c>
      <c r="B136" s="3" t="s">
        <v>24</v>
      </c>
      <c r="C136" s="4">
        <v>45710</v>
      </c>
      <c r="D136" s="3" t="s">
        <v>35</v>
      </c>
      <c r="E136" s="3" t="s">
        <v>33</v>
      </c>
      <c r="F136" s="5">
        <v>3</v>
      </c>
      <c r="G136" s="6">
        <v>6.77</v>
      </c>
      <c r="H136" s="6">
        <v>20.309999999999999</v>
      </c>
      <c r="I136" s="6">
        <v>1.95</v>
      </c>
      <c r="J136" s="6">
        <v>18.36</v>
      </c>
      <c r="K136" s="5">
        <v>196</v>
      </c>
    </row>
    <row r="137" spans="1:11" x14ac:dyDescent="0.3">
      <c r="A137" s="3">
        <v>6559</v>
      </c>
      <c r="B137" s="3" t="s">
        <v>36</v>
      </c>
      <c r="C137" s="4">
        <v>45766</v>
      </c>
      <c r="D137" s="3" t="s">
        <v>28</v>
      </c>
      <c r="E137" s="3" t="s">
        <v>37</v>
      </c>
      <c r="F137" s="5">
        <v>3</v>
      </c>
      <c r="G137" s="6">
        <v>1.63</v>
      </c>
      <c r="H137" s="6">
        <v>4.8899999999999997</v>
      </c>
      <c r="I137" s="6">
        <v>0.73</v>
      </c>
      <c r="J137" s="6">
        <v>4.16</v>
      </c>
      <c r="K137" s="5">
        <v>424</v>
      </c>
    </row>
    <row r="138" spans="1:11" x14ac:dyDescent="0.3">
      <c r="A138" s="3">
        <v>2790</v>
      </c>
      <c r="B138" s="3" t="s">
        <v>31</v>
      </c>
      <c r="C138" s="4">
        <v>45338</v>
      </c>
      <c r="D138" s="3" t="s">
        <v>28</v>
      </c>
      <c r="E138" s="3" t="s">
        <v>40</v>
      </c>
      <c r="F138" s="5">
        <v>5</v>
      </c>
      <c r="G138" s="6">
        <v>22.6</v>
      </c>
      <c r="H138" s="6">
        <v>113</v>
      </c>
      <c r="I138" s="6">
        <v>22.6</v>
      </c>
      <c r="J138" s="6">
        <v>90.4</v>
      </c>
      <c r="K138" s="5">
        <v>426</v>
      </c>
    </row>
    <row r="139" spans="1:11" x14ac:dyDescent="0.3">
      <c r="A139" s="3">
        <v>4139</v>
      </c>
      <c r="B139" s="3" t="s">
        <v>36</v>
      </c>
      <c r="C139" s="4">
        <v>45292</v>
      </c>
      <c r="D139" s="3" t="s">
        <v>17</v>
      </c>
      <c r="E139" s="3" t="s">
        <v>44</v>
      </c>
      <c r="F139" s="5">
        <v>5</v>
      </c>
      <c r="G139" s="6">
        <v>8.26</v>
      </c>
      <c r="H139" s="6">
        <v>41.3</v>
      </c>
      <c r="I139" s="6">
        <v>0</v>
      </c>
      <c r="J139" s="6">
        <v>41.3</v>
      </c>
      <c r="K139" s="5">
        <v>386</v>
      </c>
    </row>
    <row r="140" spans="1:11" x14ac:dyDescent="0.3">
      <c r="A140" s="3">
        <v>9786</v>
      </c>
      <c r="B140" s="3" t="s">
        <v>11</v>
      </c>
      <c r="C140" s="4">
        <v>45493</v>
      </c>
      <c r="D140" s="3" t="s">
        <v>27</v>
      </c>
      <c r="E140" s="3" t="s">
        <v>40</v>
      </c>
      <c r="F140" s="5">
        <v>3</v>
      </c>
      <c r="G140" s="6">
        <v>23.86</v>
      </c>
      <c r="H140" s="6">
        <v>71.58</v>
      </c>
      <c r="I140" s="6">
        <v>0</v>
      </c>
      <c r="J140" s="6">
        <v>71.58</v>
      </c>
      <c r="K140" s="5">
        <v>17</v>
      </c>
    </row>
    <row r="141" spans="1:11" x14ac:dyDescent="0.3">
      <c r="A141" s="3">
        <v>3296</v>
      </c>
      <c r="B141" s="3" t="s">
        <v>19</v>
      </c>
      <c r="C141" s="4">
        <v>45472</v>
      </c>
      <c r="D141" s="3" t="s">
        <v>15</v>
      </c>
      <c r="E141" s="3" t="s">
        <v>37</v>
      </c>
      <c r="F141" s="5">
        <v>3</v>
      </c>
      <c r="G141" s="6">
        <v>22.67</v>
      </c>
      <c r="H141" s="6">
        <v>68.010000000000005</v>
      </c>
      <c r="I141" s="6">
        <v>13.6</v>
      </c>
      <c r="J141" s="6">
        <v>54.41</v>
      </c>
      <c r="K141" s="5">
        <v>89</v>
      </c>
    </row>
    <row r="142" spans="1:11" x14ac:dyDescent="0.3">
      <c r="A142" s="3">
        <v>4006</v>
      </c>
      <c r="B142" s="3" t="s">
        <v>14</v>
      </c>
      <c r="C142" s="4">
        <v>45361</v>
      </c>
      <c r="D142" s="3" t="s">
        <v>22</v>
      </c>
      <c r="E142" s="3" t="s">
        <v>46</v>
      </c>
      <c r="F142" s="5">
        <v>5</v>
      </c>
      <c r="G142" s="6">
        <v>27.48</v>
      </c>
      <c r="H142" s="6">
        <v>137.4</v>
      </c>
      <c r="I142" s="6">
        <v>20.61</v>
      </c>
      <c r="J142" s="6">
        <v>116.79</v>
      </c>
      <c r="K142" s="5">
        <v>425</v>
      </c>
    </row>
    <row r="143" spans="1:11" x14ac:dyDescent="0.3">
      <c r="A143" s="3">
        <v>8579</v>
      </c>
      <c r="B143" s="3" t="s">
        <v>26</v>
      </c>
      <c r="C143" s="4">
        <v>45339</v>
      </c>
      <c r="D143" s="3" t="s">
        <v>35</v>
      </c>
      <c r="E143" s="3" t="s">
        <v>21</v>
      </c>
      <c r="F143" s="5">
        <v>1</v>
      </c>
      <c r="G143" s="6">
        <v>14.57</v>
      </c>
      <c r="H143" s="6">
        <v>14.57</v>
      </c>
      <c r="I143" s="6">
        <v>2.91</v>
      </c>
      <c r="J143" s="6">
        <v>11.66</v>
      </c>
      <c r="K143" s="5">
        <v>38</v>
      </c>
    </row>
    <row r="144" spans="1:11" x14ac:dyDescent="0.3">
      <c r="A144" s="3">
        <v>2235</v>
      </c>
      <c r="B144" s="3" t="s">
        <v>24</v>
      </c>
      <c r="C144" s="4">
        <v>45489</v>
      </c>
      <c r="D144" s="3" t="s">
        <v>38</v>
      </c>
      <c r="E144" s="3" t="s">
        <v>23</v>
      </c>
      <c r="F144" s="5">
        <v>1</v>
      </c>
      <c r="G144" s="6">
        <v>23.92</v>
      </c>
      <c r="H144" s="6">
        <v>23.92</v>
      </c>
      <c r="I144" s="6">
        <v>1.49</v>
      </c>
      <c r="J144" s="6">
        <v>22.43</v>
      </c>
      <c r="K144" s="5">
        <v>7</v>
      </c>
    </row>
    <row r="145" spans="1:11" x14ac:dyDescent="0.3">
      <c r="A145" s="3">
        <v>2604</v>
      </c>
      <c r="B145" s="3" t="s">
        <v>36</v>
      </c>
      <c r="C145" s="4">
        <v>45184</v>
      </c>
      <c r="D145" s="3" t="s">
        <v>27</v>
      </c>
      <c r="E145" s="3" t="s">
        <v>13</v>
      </c>
      <c r="F145" s="5">
        <v>5</v>
      </c>
      <c r="G145" s="6">
        <v>12.04</v>
      </c>
      <c r="H145" s="6">
        <v>60.2</v>
      </c>
      <c r="I145" s="6">
        <v>3.7</v>
      </c>
      <c r="J145" s="6">
        <v>56.5</v>
      </c>
      <c r="K145" s="5">
        <v>326</v>
      </c>
    </row>
    <row r="146" spans="1:11" x14ac:dyDescent="0.3">
      <c r="A146" s="3">
        <v>9856</v>
      </c>
      <c r="B146" s="3" t="s">
        <v>26</v>
      </c>
      <c r="C146" s="4">
        <v>45794</v>
      </c>
      <c r="D146" s="3" t="s">
        <v>12</v>
      </c>
      <c r="E146" s="3" t="s">
        <v>18</v>
      </c>
      <c r="F146" s="5">
        <v>3</v>
      </c>
      <c r="G146" s="6">
        <v>27.53</v>
      </c>
      <c r="H146" s="6">
        <v>82.59</v>
      </c>
      <c r="I146" s="6">
        <v>0</v>
      </c>
      <c r="J146" s="6">
        <v>82.59</v>
      </c>
      <c r="K146" s="5">
        <v>113</v>
      </c>
    </row>
    <row r="147" spans="1:11" x14ac:dyDescent="0.3">
      <c r="A147" s="3">
        <v>1241</v>
      </c>
      <c r="B147" s="3" t="s">
        <v>26</v>
      </c>
      <c r="C147" s="4">
        <v>45217</v>
      </c>
      <c r="D147" s="3" t="s">
        <v>35</v>
      </c>
      <c r="E147" s="3" t="s">
        <v>16</v>
      </c>
      <c r="F147" s="5">
        <v>1</v>
      </c>
      <c r="G147" s="6">
        <v>5.04</v>
      </c>
      <c r="H147" s="6">
        <v>5.04</v>
      </c>
      <c r="I147" s="6">
        <v>0.76</v>
      </c>
      <c r="J147" s="6">
        <v>4.28</v>
      </c>
      <c r="K147" s="5">
        <v>484</v>
      </c>
    </row>
    <row r="148" spans="1:11" x14ac:dyDescent="0.3">
      <c r="A148" s="3">
        <v>4872</v>
      </c>
      <c r="B148" s="3" t="s">
        <v>26</v>
      </c>
      <c r="C148" s="4">
        <v>45274</v>
      </c>
      <c r="D148" s="3" t="s">
        <v>15</v>
      </c>
      <c r="E148" s="3" t="s">
        <v>48</v>
      </c>
      <c r="F148" s="5">
        <v>2</v>
      </c>
      <c r="G148" s="6">
        <v>26.72</v>
      </c>
      <c r="H148" s="6">
        <v>53.44</v>
      </c>
      <c r="I148" s="6">
        <v>5.34</v>
      </c>
      <c r="J148" s="6">
        <v>48.1</v>
      </c>
      <c r="K148" s="5">
        <v>69</v>
      </c>
    </row>
    <row r="149" spans="1:11" x14ac:dyDescent="0.3">
      <c r="A149" s="3">
        <v>7658</v>
      </c>
      <c r="B149" s="3" t="s">
        <v>36</v>
      </c>
      <c r="C149" s="4">
        <v>45522</v>
      </c>
      <c r="D149" s="3" t="s">
        <v>27</v>
      </c>
      <c r="E149" s="3" t="s">
        <v>18</v>
      </c>
      <c r="F149" s="5">
        <v>4</v>
      </c>
      <c r="G149" s="6">
        <v>18.02</v>
      </c>
      <c r="H149" s="6">
        <v>72.08</v>
      </c>
      <c r="I149" s="6">
        <v>7.21</v>
      </c>
      <c r="J149" s="6">
        <v>64.87</v>
      </c>
      <c r="K149" s="5">
        <v>372</v>
      </c>
    </row>
    <row r="150" spans="1:11" x14ac:dyDescent="0.3">
      <c r="A150" s="3">
        <v>8886</v>
      </c>
      <c r="B150" s="3" t="s">
        <v>11</v>
      </c>
      <c r="C150" s="4">
        <v>45311</v>
      </c>
      <c r="D150" s="3" t="s">
        <v>45</v>
      </c>
      <c r="E150" s="3" t="s">
        <v>16</v>
      </c>
      <c r="F150" s="5">
        <v>3</v>
      </c>
      <c r="G150" s="6">
        <v>1.94</v>
      </c>
      <c r="H150" s="6">
        <v>5.82</v>
      </c>
      <c r="I150" s="6">
        <v>0.57999999999999996</v>
      </c>
      <c r="J150" s="6">
        <v>5.24</v>
      </c>
      <c r="K150" s="5">
        <v>189</v>
      </c>
    </row>
    <row r="151" spans="1:11" x14ac:dyDescent="0.3">
      <c r="A151" s="3">
        <v>7570</v>
      </c>
      <c r="B151" s="3" t="s">
        <v>26</v>
      </c>
      <c r="C151" s="4">
        <v>45845</v>
      </c>
      <c r="D151" s="3" t="s">
        <v>17</v>
      </c>
      <c r="E151" s="3" t="s">
        <v>23</v>
      </c>
      <c r="F151" s="5">
        <v>1</v>
      </c>
      <c r="G151" s="6">
        <v>29.44</v>
      </c>
      <c r="H151" s="6">
        <v>29.44</v>
      </c>
      <c r="I151" s="6">
        <v>2.59</v>
      </c>
      <c r="J151" s="6">
        <v>26.85</v>
      </c>
      <c r="K151" s="5">
        <v>188</v>
      </c>
    </row>
    <row r="152" spans="1:11" x14ac:dyDescent="0.3">
      <c r="A152" s="3">
        <v>1960</v>
      </c>
      <c r="B152" s="3" t="s">
        <v>42</v>
      </c>
      <c r="C152" s="4">
        <v>45272</v>
      </c>
      <c r="D152" s="3" t="s">
        <v>15</v>
      </c>
      <c r="E152" s="3" t="s">
        <v>33</v>
      </c>
      <c r="F152" s="5">
        <v>1</v>
      </c>
      <c r="G152" s="6">
        <v>20.21</v>
      </c>
      <c r="H152" s="6">
        <v>20.21</v>
      </c>
      <c r="I152" s="6">
        <v>4.1500000000000004</v>
      </c>
      <c r="J152" s="6">
        <v>16.059999999999999</v>
      </c>
      <c r="K152" s="5">
        <v>328</v>
      </c>
    </row>
    <row r="153" spans="1:11" x14ac:dyDescent="0.3">
      <c r="A153" s="3">
        <v>7209</v>
      </c>
      <c r="B153" s="3" t="s">
        <v>42</v>
      </c>
      <c r="C153" s="4">
        <v>45146</v>
      </c>
      <c r="D153" s="3" t="s">
        <v>34</v>
      </c>
      <c r="E153" s="3" t="s">
        <v>44</v>
      </c>
      <c r="F153" s="5">
        <v>1</v>
      </c>
      <c r="G153" s="6">
        <v>25.05</v>
      </c>
      <c r="H153" s="6">
        <v>25.05</v>
      </c>
      <c r="I153" s="6">
        <v>1.86</v>
      </c>
      <c r="J153" s="6">
        <v>23.19</v>
      </c>
      <c r="K153" s="5">
        <v>283</v>
      </c>
    </row>
    <row r="154" spans="1:11" x14ac:dyDescent="0.3">
      <c r="A154" s="3">
        <v>7396</v>
      </c>
      <c r="B154" s="3" t="s">
        <v>42</v>
      </c>
      <c r="C154" s="4">
        <v>45350</v>
      </c>
      <c r="D154" s="3" t="s">
        <v>22</v>
      </c>
      <c r="E154" s="3" t="s">
        <v>41</v>
      </c>
      <c r="F154" s="5">
        <v>5</v>
      </c>
      <c r="G154" s="6">
        <v>1.07</v>
      </c>
      <c r="H154" s="6">
        <v>5.35</v>
      </c>
      <c r="I154" s="6">
        <v>1.07</v>
      </c>
      <c r="J154" s="6">
        <v>4.28</v>
      </c>
      <c r="K154" s="5">
        <v>439</v>
      </c>
    </row>
    <row r="155" spans="1:11" x14ac:dyDescent="0.3">
      <c r="A155" s="3">
        <v>8454</v>
      </c>
      <c r="B155" s="3" t="s">
        <v>14</v>
      </c>
      <c r="C155" s="4">
        <v>45366</v>
      </c>
      <c r="D155" s="3" t="s">
        <v>35</v>
      </c>
      <c r="E155" s="3" t="s">
        <v>29</v>
      </c>
      <c r="F155" s="5">
        <v>1</v>
      </c>
      <c r="G155" s="6">
        <v>20.16</v>
      </c>
      <c r="H155" s="6">
        <v>20.16</v>
      </c>
      <c r="I155" s="6">
        <v>2.4300000000000002</v>
      </c>
      <c r="J155" s="6">
        <v>17.73</v>
      </c>
      <c r="K155" s="5">
        <v>13</v>
      </c>
    </row>
    <row r="156" spans="1:11" x14ac:dyDescent="0.3">
      <c r="A156" s="3">
        <v>7930</v>
      </c>
      <c r="B156" s="3" t="s">
        <v>42</v>
      </c>
      <c r="C156" s="4">
        <v>45686</v>
      </c>
      <c r="D156" s="3" t="s">
        <v>28</v>
      </c>
      <c r="E156" s="3" t="s">
        <v>21</v>
      </c>
      <c r="F156" s="5">
        <v>1</v>
      </c>
      <c r="G156" s="6">
        <v>6.04</v>
      </c>
      <c r="H156" s="6">
        <v>6.04</v>
      </c>
      <c r="I156" s="6">
        <v>0</v>
      </c>
      <c r="J156" s="6">
        <v>6.04</v>
      </c>
      <c r="K156" s="5">
        <v>26</v>
      </c>
    </row>
    <row r="157" spans="1:11" x14ac:dyDescent="0.3">
      <c r="A157" s="3">
        <v>8973</v>
      </c>
      <c r="B157" s="3" t="s">
        <v>24</v>
      </c>
      <c r="C157" s="4">
        <v>45265</v>
      </c>
      <c r="D157" s="3" t="s">
        <v>38</v>
      </c>
      <c r="E157" s="3" t="s">
        <v>48</v>
      </c>
      <c r="F157" s="5">
        <v>1</v>
      </c>
      <c r="G157" s="6">
        <v>14.8</v>
      </c>
      <c r="H157" s="6">
        <v>14.8</v>
      </c>
      <c r="I157" s="6">
        <v>3.37</v>
      </c>
      <c r="J157" s="6">
        <v>11.43</v>
      </c>
      <c r="K157" s="5">
        <v>398</v>
      </c>
    </row>
    <row r="158" spans="1:11" x14ac:dyDescent="0.3">
      <c r="A158" s="3">
        <v>4111</v>
      </c>
      <c r="B158" s="3" t="s">
        <v>26</v>
      </c>
      <c r="C158" s="4">
        <v>45375</v>
      </c>
      <c r="D158" s="3" t="s">
        <v>38</v>
      </c>
      <c r="E158" s="3" t="s">
        <v>25</v>
      </c>
      <c r="F158" s="5">
        <v>5</v>
      </c>
      <c r="G158" s="6">
        <v>2.25</v>
      </c>
      <c r="H158" s="6">
        <v>11.25</v>
      </c>
      <c r="I158" s="6">
        <v>1.1200000000000001</v>
      </c>
      <c r="J158" s="6">
        <v>10.130000000000001</v>
      </c>
      <c r="K158" s="5">
        <v>401</v>
      </c>
    </row>
    <row r="159" spans="1:11" x14ac:dyDescent="0.3">
      <c r="A159" s="3">
        <v>4566</v>
      </c>
      <c r="B159" s="3" t="s">
        <v>31</v>
      </c>
      <c r="C159" s="4">
        <v>45190</v>
      </c>
      <c r="D159" s="3" t="s">
        <v>12</v>
      </c>
      <c r="E159" s="3" t="s">
        <v>47</v>
      </c>
      <c r="F159" s="5">
        <v>4</v>
      </c>
      <c r="G159" s="6">
        <v>13.35</v>
      </c>
      <c r="H159" s="6">
        <v>53.4</v>
      </c>
      <c r="I159" s="6">
        <v>0</v>
      </c>
      <c r="J159" s="6">
        <v>53.4</v>
      </c>
      <c r="K159" s="5">
        <v>55</v>
      </c>
    </row>
    <row r="160" spans="1:11" x14ac:dyDescent="0.3">
      <c r="A160" s="3">
        <v>9883</v>
      </c>
      <c r="B160" s="3" t="s">
        <v>26</v>
      </c>
      <c r="C160" s="4">
        <v>45192</v>
      </c>
      <c r="D160" s="3" t="s">
        <v>15</v>
      </c>
      <c r="E160" s="3" t="s">
        <v>43</v>
      </c>
      <c r="F160" s="5">
        <v>3</v>
      </c>
      <c r="G160" s="6">
        <v>18.63</v>
      </c>
      <c r="H160" s="6">
        <v>55.89</v>
      </c>
      <c r="I160" s="6">
        <v>8.3800000000000008</v>
      </c>
      <c r="J160" s="6">
        <v>47.51</v>
      </c>
      <c r="K160" s="5">
        <v>33</v>
      </c>
    </row>
    <row r="161" spans="1:11" x14ac:dyDescent="0.3">
      <c r="A161" s="3">
        <v>6138</v>
      </c>
      <c r="B161" s="3" t="s">
        <v>14</v>
      </c>
      <c r="C161" s="4">
        <v>45189</v>
      </c>
      <c r="D161" s="3" t="s">
        <v>22</v>
      </c>
      <c r="E161" s="3" t="s">
        <v>32</v>
      </c>
      <c r="F161" s="5">
        <v>5</v>
      </c>
      <c r="G161" s="6">
        <v>16.38</v>
      </c>
      <c r="H161" s="6">
        <v>81.900000000000006</v>
      </c>
      <c r="I161" s="6">
        <v>4.17</v>
      </c>
      <c r="J161" s="6">
        <v>77.73</v>
      </c>
      <c r="K161" s="5">
        <v>232</v>
      </c>
    </row>
    <row r="162" spans="1:11" x14ac:dyDescent="0.3">
      <c r="A162" s="3">
        <v>1821</v>
      </c>
      <c r="B162" s="3" t="s">
        <v>11</v>
      </c>
      <c r="C162" s="4">
        <v>45598</v>
      </c>
      <c r="D162" s="3" t="s">
        <v>27</v>
      </c>
      <c r="E162" s="3" t="s">
        <v>18</v>
      </c>
      <c r="F162" s="5">
        <v>2</v>
      </c>
      <c r="G162" s="6">
        <v>13.46</v>
      </c>
      <c r="H162" s="6">
        <v>26.92</v>
      </c>
      <c r="I162" s="6">
        <v>2.69</v>
      </c>
      <c r="J162" s="6">
        <v>24.23</v>
      </c>
      <c r="K162" s="5">
        <v>454</v>
      </c>
    </row>
    <row r="163" spans="1:11" x14ac:dyDescent="0.3">
      <c r="A163" s="3">
        <v>8811</v>
      </c>
      <c r="B163" s="3" t="s">
        <v>36</v>
      </c>
      <c r="C163" s="4">
        <v>45535</v>
      </c>
      <c r="D163" s="3" t="s">
        <v>45</v>
      </c>
      <c r="E163" s="3" t="s">
        <v>32</v>
      </c>
      <c r="F163" s="5">
        <v>4</v>
      </c>
      <c r="G163" s="6">
        <v>22.15</v>
      </c>
      <c r="H163" s="6">
        <v>88.6</v>
      </c>
      <c r="I163" s="6">
        <v>13.29</v>
      </c>
      <c r="J163" s="6">
        <v>75.31</v>
      </c>
      <c r="K163" s="5">
        <v>160</v>
      </c>
    </row>
    <row r="164" spans="1:11" x14ac:dyDescent="0.3">
      <c r="A164" s="3">
        <v>9701</v>
      </c>
      <c r="B164" s="3" t="s">
        <v>30</v>
      </c>
      <c r="C164" s="4">
        <v>45267</v>
      </c>
      <c r="D164" s="3" t="s">
        <v>22</v>
      </c>
      <c r="E164" s="3" t="s">
        <v>41</v>
      </c>
      <c r="F164" s="5">
        <v>4</v>
      </c>
      <c r="G164" s="6">
        <v>2.94</v>
      </c>
      <c r="H164" s="6">
        <v>11.76</v>
      </c>
      <c r="I164" s="6">
        <v>2.73</v>
      </c>
      <c r="J164" s="6">
        <v>9.0299999999999994</v>
      </c>
      <c r="K164" s="5">
        <v>425</v>
      </c>
    </row>
    <row r="165" spans="1:11" x14ac:dyDescent="0.3">
      <c r="A165" s="3">
        <v>1931</v>
      </c>
      <c r="B165" s="3" t="s">
        <v>36</v>
      </c>
      <c r="C165" s="4">
        <v>45539</v>
      </c>
      <c r="D165" s="3" t="s">
        <v>34</v>
      </c>
      <c r="E165" s="3" t="s">
        <v>18</v>
      </c>
      <c r="F165" s="5">
        <v>1</v>
      </c>
      <c r="G165" s="6">
        <v>18</v>
      </c>
      <c r="H165" s="6">
        <v>18</v>
      </c>
      <c r="I165" s="6">
        <v>0</v>
      </c>
      <c r="J165" s="6">
        <v>18</v>
      </c>
      <c r="K165" s="5">
        <v>287</v>
      </c>
    </row>
    <row r="166" spans="1:11" x14ac:dyDescent="0.3">
      <c r="A166" s="3">
        <v>2312</v>
      </c>
      <c r="B166" s="3" t="s">
        <v>11</v>
      </c>
      <c r="C166" s="4">
        <v>45806</v>
      </c>
      <c r="D166" s="3" t="s">
        <v>20</v>
      </c>
      <c r="E166" s="3" t="s">
        <v>23</v>
      </c>
      <c r="F166" s="5">
        <v>4</v>
      </c>
      <c r="G166" s="6">
        <v>26.16</v>
      </c>
      <c r="H166" s="6">
        <v>104.64</v>
      </c>
      <c r="I166" s="6">
        <v>15.7</v>
      </c>
      <c r="J166" s="6">
        <v>88.94</v>
      </c>
      <c r="K166" s="5">
        <v>369</v>
      </c>
    </row>
    <row r="167" spans="1:11" x14ac:dyDescent="0.3">
      <c r="A167" s="3">
        <v>4044</v>
      </c>
      <c r="B167" s="3" t="s">
        <v>30</v>
      </c>
      <c r="C167" s="4">
        <v>45198</v>
      </c>
      <c r="D167" s="3" t="s">
        <v>22</v>
      </c>
      <c r="E167" s="3" t="s">
        <v>48</v>
      </c>
      <c r="F167" s="5">
        <v>5</v>
      </c>
      <c r="G167" s="6">
        <v>15.7</v>
      </c>
      <c r="H167" s="6">
        <v>78.5</v>
      </c>
      <c r="I167" s="6">
        <v>15.7</v>
      </c>
      <c r="J167" s="6">
        <v>62.8</v>
      </c>
      <c r="K167" s="5">
        <v>79</v>
      </c>
    </row>
    <row r="168" spans="1:11" x14ac:dyDescent="0.3">
      <c r="A168" s="3">
        <v>2113</v>
      </c>
      <c r="B168" s="3" t="s">
        <v>11</v>
      </c>
      <c r="C168" s="4">
        <v>45669</v>
      </c>
      <c r="D168" s="3" t="s">
        <v>22</v>
      </c>
      <c r="E168" s="3" t="s">
        <v>18</v>
      </c>
      <c r="F168" s="5">
        <v>3</v>
      </c>
      <c r="G168" s="6">
        <v>4.32</v>
      </c>
      <c r="H168" s="6">
        <v>12.96</v>
      </c>
      <c r="I168" s="6">
        <v>1.3</v>
      </c>
      <c r="J168" s="6">
        <v>11.66</v>
      </c>
      <c r="K168" s="5">
        <v>142</v>
      </c>
    </row>
    <row r="169" spans="1:11" x14ac:dyDescent="0.3">
      <c r="A169" s="3">
        <v>4853</v>
      </c>
      <c r="B169" s="3" t="s">
        <v>14</v>
      </c>
      <c r="C169" s="4">
        <v>45458</v>
      </c>
      <c r="D169" s="3" t="s">
        <v>28</v>
      </c>
      <c r="E169" s="3" t="s">
        <v>18</v>
      </c>
      <c r="F169" s="5">
        <v>1</v>
      </c>
      <c r="G169" s="6">
        <v>18.649999999999999</v>
      </c>
      <c r="H169" s="6">
        <v>18.649999999999999</v>
      </c>
      <c r="I169" s="6">
        <v>1.72</v>
      </c>
      <c r="J169" s="6">
        <v>16.93</v>
      </c>
      <c r="K169" s="5">
        <v>336</v>
      </c>
    </row>
    <row r="170" spans="1:11" x14ac:dyDescent="0.3">
      <c r="A170" s="3">
        <v>2964</v>
      </c>
      <c r="B170" s="3" t="s">
        <v>30</v>
      </c>
      <c r="C170" s="4">
        <v>45836</v>
      </c>
      <c r="D170" s="3" t="s">
        <v>22</v>
      </c>
      <c r="E170" s="3" t="s">
        <v>23</v>
      </c>
      <c r="F170" s="5">
        <v>1</v>
      </c>
      <c r="G170" s="6">
        <v>6.25</v>
      </c>
      <c r="H170" s="6">
        <v>6.25</v>
      </c>
      <c r="I170" s="6">
        <v>1.57</v>
      </c>
      <c r="J170" s="6">
        <v>4.68</v>
      </c>
      <c r="K170" s="5">
        <v>73</v>
      </c>
    </row>
    <row r="171" spans="1:11" x14ac:dyDescent="0.3">
      <c r="A171" s="3">
        <v>5033</v>
      </c>
      <c r="B171" s="3" t="s">
        <v>31</v>
      </c>
      <c r="C171" s="4">
        <v>45594</v>
      </c>
      <c r="D171" s="3" t="s">
        <v>15</v>
      </c>
      <c r="E171" s="3" t="s">
        <v>46</v>
      </c>
      <c r="F171" s="5">
        <v>2</v>
      </c>
      <c r="G171" s="6">
        <v>11.9</v>
      </c>
      <c r="H171" s="6">
        <v>23.8</v>
      </c>
      <c r="I171" s="6">
        <v>4.76</v>
      </c>
      <c r="J171" s="6">
        <v>19.04</v>
      </c>
      <c r="K171" s="5">
        <v>232</v>
      </c>
    </row>
    <row r="172" spans="1:11" x14ac:dyDescent="0.3">
      <c r="A172" s="3">
        <v>1651</v>
      </c>
      <c r="B172" s="3" t="s">
        <v>36</v>
      </c>
      <c r="C172" s="4">
        <v>45626</v>
      </c>
      <c r="D172" s="3" t="s">
        <v>35</v>
      </c>
      <c r="E172" s="3" t="s">
        <v>21</v>
      </c>
      <c r="F172" s="5">
        <v>5</v>
      </c>
      <c r="G172" s="6">
        <v>18.28</v>
      </c>
      <c r="H172" s="6">
        <v>91.4</v>
      </c>
      <c r="I172" s="6">
        <v>18.28</v>
      </c>
      <c r="J172" s="6">
        <v>73.12</v>
      </c>
      <c r="K172" s="5">
        <v>452</v>
      </c>
    </row>
    <row r="173" spans="1:11" x14ac:dyDescent="0.3">
      <c r="A173" s="3">
        <v>2343</v>
      </c>
      <c r="B173" s="3" t="s">
        <v>19</v>
      </c>
      <c r="C173" s="4">
        <v>45470</v>
      </c>
      <c r="D173" s="3" t="s">
        <v>28</v>
      </c>
      <c r="E173" s="3" t="s">
        <v>40</v>
      </c>
      <c r="F173" s="5">
        <v>1</v>
      </c>
      <c r="G173" s="6">
        <v>8.8800000000000008</v>
      </c>
      <c r="H173" s="6">
        <v>8.8800000000000008</v>
      </c>
      <c r="I173" s="6">
        <v>0.89</v>
      </c>
      <c r="J173" s="6">
        <v>7.99</v>
      </c>
      <c r="K173" s="5">
        <v>338</v>
      </c>
    </row>
    <row r="174" spans="1:11" x14ac:dyDescent="0.3">
      <c r="A174" s="3">
        <v>9565</v>
      </c>
      <c r="B174" s="3" t="s">
        <v>26</v>
      </c>
      <c r="C174" s="4">
        <v>45390</v>
      </c>
      <c r="D174" s="3" t="s">
        <v>20</v>
      </c>
      <c r="E174" s="3" t="s">
        <v>13</v>
      </c>
      <c r="F174" s="5">
        <v>2</v>
      </c>
      <c r="G174" s="6">
        <v>22.88</v>
      </c>
      <c r="H174" s="6">
        <v>45.76</v>
      </c>
      <c r="I174" s="6">
        <v>4.58</v>
      </c>
      <c r="J174" s="6">
        <v>41.18</v>
      </c>
      <c r="K174" s="5">
        <v>58</v>
      </c>
    </row>
    <row r="175" spans="1:11" x14ac:dyDescent="0.3">
      <c r="A175" s="3">
        <v>5272</v>
      </c>
      <c r="B175" s="3" t="s">
        <v>11</v>
      </c>
      <c r="C175" s="4">
        <v>45303</v>
      </c>
      <c r="D175" s="3" t="s">
        <v>35</v>
      </c>
      <c r="E175" s="3" t="s">
        <v>47</v>
      </c>
      <c r="F175" s="5">
        <v>5</v>
      </c>
      <c r="G175" s="6">
        <v>20.34</v>
      </c>
      <c r="H175" s="6">
        <v>101.7</v>
      </c>
      <c r="I175" s="6">
        <v>10.17</v>
      </c>
      <c r="J175" s="6">
        <v>91.53</v>
      </c>
      <c r="K175" s="5">
        <v>23</v>
      </c>
    </row>
    <row r="176" spans="1:11" x14ac:dyDescent="0.3">
      <c r="A176" s="3">
        <v>6147</v>
      </c>
      <c r="B176" s="3" t="s">
        <v>31</v>
      </c>
      <c r="C176" s="4">
        <v>45330</v>
      </c>
      <c r="D176" s="3" t="s">
        <v>12</v>
      </c>
      <c r="E176" s="3" t="s">
        <v>44</v>
      </c>
      <c r="F176" s="5">
        <v>3</v>
      </c>
      <c r="G176" s="6">
        <v>28.4</v>
      </c>
      <c r="H176" s="6">
        <v>85.2</v>
      </c>
      <c r="I176" s="6">
        <v>12.78</v>
      </c>
      <c r="J176" s="6">
        <v>72.42</v>
      </c>
      <c r="K176" s="5">
        <v>392</v>
      </c>
    </row>
    <row r="177" spans="1:11" x14ac:dyDescent="0.3">
      <c r="A177" s="3">
        <v>5351</v>
      </c>
      <c r="B177" s="3" t="s">
        <v>30</v>
      </c>
      <c r="C177" s="4">
        <v>45452</v>
      </c>
      <c r="D177" s="3" t="s">
        <v>22</v>
      </c>
      <c r="E177" s="3" t="s">
        <v>48</v>
      </c>
      <c r="F177" s="5">
        <v>1</v>
      </c>
      <c r="G177" s="6">
        <v>15.41</v>
      </c>
      <c r="H177" s="6">
        <v>15.41</v>
      </c>
      <c r="I177" s="6">
        <v>3.08</v>
      </c>
      <c r="J177" s="6">
        <v>12.33</v>
      </c>
      <c r="K177" s="5">
        <v>220</v>
      </c>
    </row>
    <row r="178" spans="1:11" x14ac:dyDescent="0.3">
      <c r="A178" s="3">
        <v>3144</v>
      </c>
      <c r="B178" s="3" t="s">
        <v>24</v>
      </c>
      <c r="C178" s="4">
        <v>45666</v>
      </c>
      <c r="D178" s="3" t="s">
        <v>38</v>
      </c>
      <c r="E178" s="3" t="s">
        <v>25</v>
      </c>
      <c r="F178" s="5">
        <v>5</v>
      </c>
      <c r="G178" s="6">
        <v>17.190000000000001</v>
      </c>
      <c r="H178" s="6">
        <v>85.95</v>
      </c>
      <c r="I178" s="6">
        <v>2.59</v>
      </c>
      <c r="J178" s="6">
        <v>83.36</v>
      </c>
      <c r="K178" s="5">
        <v>342</v>
      </c>
    </row>
    <row r="179" spans="1:11" x14ac:dyDescent="0.3">
      <c r="A179" s="3">
        <v>5915</v>
      </c>
      <c r="B179" s="3" t="s">
        <v>31</v>
      </c>
      <c r="C179" s="4">
        <v>45500</v>
      </c>
      <c r="D179" s="3" t="s">
        <v>20</v>
      </c>
      <c r="E179" s="3" t="s">
        <v>39</v>
      </c>
      <c r="F179" s="5">
        <v>4</v>
      </c>
      <c r="G179" s="6">
        <v>27.7</v>
      </c>
      <c r="H179" s="6">
        <v>110.8</v>
      </c>
      <c r="I179" s="6">
        <v>2.72</v>
      </c>
      <c r="J179" s="6">
        <v>108.08</v>
      </c>
      <c r="K179" s="5">
        <v>441</v>
      </c>
    </row>
    <row r="180" spans="1:11" x14ac:dyDescent="0.3">
      <c r="A180" s="3">
        <v>6180</v>
      </c>
      <c r="B180" s="3" t="s">
        <v>24</v>
      </c>
      <c r="C180" s="4">
        <v>45866</v>
      </c>
      <c r="D180" s="3" t="s">
        <v>27</v>
      </c>
      <c r="E180" s="3" t="s">
        <v>16</v>
      </c>
      <c r="F180" s="5">
        <v>3</v>
      </c>
      <c r="G180" s="6">
        <v>4.33</v>
      </c>
      <c r="H180" s="6">
        <v>12.99</v>
      </c>
      <c r="I180" s="6">
        <v>2.6</v>
      </c>
      <c r="J180" s="6">
        <v>10.39</v>
      </c>
      <c r="K180" s="5">
        <v>10</v>
      </c>
    </row>
    <row r="181" spans="1:11" x14ac:dyDescent="0.3">
      <c r="A181" s="3">
        <v>2188</v>
      </c>
      <c r="B181" s="3" t="s">
        <v>26</v>
      </c>
      <c r="C181" s="4">
        <v>45152</v>
      </c>
      <c r="D181" s="3" t="s">
        <v>22</v>
      </c>
      <c r="E181" s="3" t="s">
        <v>43</v>
      </c>
      <c r="F181" s="5">
        <v>4</v>
      </c>
      <c r="G181" s="6">
        <v>25.48</v>
      </c>
      <c r="H181" s="6">
        <v>101.92</v>
      </c>
      <c r="I181" s="6">
        <v>2.6</v>
      </c>
      <c r="J181" s="6">
        <v>99.32</v>
      </c>
      <c r="K181" s="5">
        <v>124</v>
      </c>
    </row>
    <row r="182" spans="1:11" x14ac:dyDescent="0.3">
      <c r="A182" s="3">
        <v>8508</v>
      </c>
      <c r="B182" s="3" t="s">
        <v>11</v>
      </c>
      <c r="C182" s="4">
        <v>45627</v>
      </c>
      <c r="D182" s="3" t="s">
        <v>20</v>
      </c>
      <c r="E182" s="3" t="s">
        <v>37</v>
      </c>
      <c r="F182" s="5">
        <v>3</v>
      </c>
      <c r="G182" s="6">
        <v>7.42</v>
      </c>
      <c r="H182" s="6">
        <v>22.26</v>
      </c>
      <c r="I182" s="6">
        <v>3.04</v>
      </c>
      <c r="J182" s="6">
        <v>19.22</v>
      </c>
      <c r="K182" s="5">
        <v>398</v>
      </c>
    </row>
    <row r="183" spans="1:11" x14ac:dyDescent="0.3">
      <c r="A183" s="3">
        <v>2638</v>
      </c>
      <c r="B183" s="3" t="s">
        <v>11</v>
      </c>
      <c r="C183" s="4">
        <v>45201</v>
      </c>
      <c r="D183" s="3" t="s">
        <v>38</v>
      </c>
      <c r="E183" s="3" t="s">
        <v>46</v>
      </c>
      <c r="F183" s="5">
        <v>2</v>
      </c>
      <c r="G183" s="6">
        <v>27.26</v>
      </c>
      <c r="H183" s="6">
        <v>54.52</v>
      </c>
      <c r="I183" s="6">
        <v>0</v>
      </c>
      <c r="J183" s="6">
        <v>54.52</v>
      </c>
      <c r="K183" s="5">
        <v>178</v>
      </c>
    </row>
    <row r="184" spans="1:11" x14ac:dyDescent="0.3">
      <c r="A184" s="3">
        <v>9808</v>
      </c>
      <c r="B184" s="3" t="s">
        <v>19</v>
      </c>
      <c r="C184" s="4">
        <v>45310</v>
      </c>
      <c r="D184" s="3" t="s">
        <v>17</v>
      </c>
      <c r="E184" s="3" t="s">
        <v>48</v>
      </c>
      <c r="F184" s="5">
        <v>2</v>
      </c>
      <c r="G184" s="6">
        <v>8.41</v>
      </c>
      <c r="H184" s="6">
        <v>16.82</v>
      </c>
      <c r="I184" s="6">
        <v>0</v>
      </c>
      <c r="J184" s="6">
        <v>16.82</v>
      </c>
      <c r="K184" s="5">
        <v>88</v>
      </c>
    </row>
    <row r="185" spans="1:11" x14ac:dyDescent="0.3">
      <c r="A185" s="3">
        <v>9288</v>
      </c>
      <c r="B185" s="3" t="s">
        <v>11</v>
      </c>
      <c r="C185" s="4">
        <v>45350</v>
      </c>
      <c r="D185" s="3" t="s">
        <v>34</v>
      </c>
      <c r="E185" s="3" t="s">
        <v>47</v>
      </c>
      <c r="F185" s="5">
        <v>4</v>
      </c>
      <c r="G185" s="6">
        <v>22.87</v>
      </c>
      <c r="H185" s="6">
        <v>91.48</v>
      </c>
      <c r="I185" s="6">
        <v>0</v>
      </c>
      <c r="J185" s="6">
        <v>91.48</v>
      </c>
      <c r="K185" s="5">
        <v>389</v>
      </c>
    </row>
    <row r="186" spans="1:11" x14ac:dyDescent="0.3">
      <c r="A186" s="3">
        <v>3170</v>
      </c>
      <c r="B186" s="3" t="s">
        <v>36</v>
      </c>
      <c r="C186" s="4">
        <v>45869</v>
      </c>
      <c r="D186" s="3" t="s">
        <v>27</v>
      </c>
      <c r="E186" s="3" t="s">
        <v>21</v>
      </c>
      <c r="F186" s="5">
        <v>2</v>
      </c>
      <c r="G186" s="6">
        <v>13.74</v>
      </c>
      <c r="H186" s="6">
        <v>27.48</v>
      </c>
      <c r="I186" s="6">
        <v>0</v>
      </c>
      <c r="J186" s="6">
        <v>27.48</v>
      </c>
      <c r="K186" s="5">
        <v>240</v>
      </c>
    </row>
    <row r="187" spans="1:11" x14ac:dyDescent="0.3">
      <c r="A187" s="3">
        <v>6718</v>
      </c>
      <c r="B187" s="3" t="s">
        <v>30</v>
      </c>
      <c r="C187" s="4">
        <v>45829</v>
      </c>
      <c r="D187" s="3" t="s">
        <v>35</v>
      </c>
      <c r="E187" s="3" t="s">
        <v>40</v>
      </c>
      <c r="F187" s="5">
        <v>3</v>
      </c>
      <c r="G187" s="6">
        <v>15.7</v>
      </c>
      <c r="H187" s="6">
        <v>47.1</v>
      </c>
      <c r="I187" s="6">
        <v>4.71</v>
      </c>
      <c r="J187" s="6">
        <v>42.39</v>
      </c>
      <c r="K187" s="5">
        <v>158</v>
      </c>
    </row>
    <row r="188" spans="1:11" x14ac:dyDescent="0.3">
      <c r="A188" s="3">
        <v>2127</v>
      </c>
      <c r="B188" s="3" t="s">
        <v>31</v>
      </c>
      <c r="C188" s="4">
        <v>45827</v>
      </c>
      <c r="D188" s="3" t="s">
        <v>12</v>
      </c>
      <c r="E188" s="3" t="s">
        <v>23</v>
      </c>
      <c r="F188" s="5">
        <v>3</v>
      </c>
      <c r="G188" s="6">
        <v>3.22</v>
      </c>
      <c r="H188" s="6">
        <v>9.66</v>
      </c>
      <c r="I188" s="6">
        <v>3.38</v>
      </c>
      <c r="J188" s="6">
        <v>6.28</v>
      </c>
      <c r="K188" s="5">
        <v>442</v>
      </c>
    </row>
    <row r="189" spans="1:11" x14ac:dyDescent="0.3">
      <c r="A189" s="3">
        <v>5002</v>
      </c>
      <c r="B189" s="3" t="s">
        <v>24</v>
      </c>
      <c r="C189" s="4">
        <v>45432</v>
      </c>
      <c r="D189" s="3" t="s">
        <v>45</v>
      </c>
      <c r="E189" s="3" t="s">
        <v>18</v>
      </c>
      <c r="F189" s="5">
        <v>1</v>
      </c>
      <c r="G189" s="6">
        <v>14.03</v>
      </c>
      <c r="H189" s="6">
        <v>14.03</v>
      </c>
      <c r="I189" s="6">
        <v>2.1</v>
      </c>
      <c r="J189" s="6">
        <v>11.93</v>
      </c>
      <c r="K189" s="5">
        <v>414</v>
      </c>
    </row>
    <row r="190" spans="1:11" x14ac:dyDescent="0.3">
      <c r="A190" s="3">
        <v>5669</v>
      </c>
      <c r="B190" s="3" t="s">
        <v>26</v>
      </c>
      <c r="C190" s="4">
        <v>45267</v>
      </c>
      <c r="D190" s="3" t="s">
        <v>38</v>
      </c>
      <c r="E190" s="3" t="s">
        <v>41</v>
      </c>
      <c r="F190" s="5">
        <v>1</v>
      </c>
      <c r="G190" s="6">
        <v>14.06</v>
      </c>
      <c r="H190" s="6">
        <v>14.06</v>
      </c>
      <c r="I190" s="6">
        <v>0</v>
      </c>
      <c r="J190" s="6">
        <v>14.06</v>
      </c>
      <c r="K190" s="5">
        <v>415</v>
      </c>
    </row>
    <row r="191" spans="1:11" x14ac:dyDescent="0.3">
      <c r="A191" s="3">
        <v>8179</v>
      </c>
      <c r="B191" s="3" t="s">
        <v>11</v>
      </c>
      <c r="C191" s="4">
        <v>45792</v>
      </c>
      <c r="D191" s="3" t="s">
        <v>38</v>
      </c>
      <c r="E191" s="3" t="s">
        <v>29</v>
      </c>
      <c r="F191" s="5">
        <v>1</v>
      </c>
      <c r="G191" s="6">
        <v>8.17</v>
      </c>
      <c r="H191" s="6">
        <v>8.17</v>
      </c>
      <c r="I191" s="6">
        <v>3.09</v>
      </c>
      <c r="J191" s="6">
        <v>5.08</v>
      </c>
      <c r="K191" s="5">
        <v>224</v>
      </c>
    </row>
    <row r="192" spans="1:11" x14ac:dyDescent="0.3">
      <c r="A192" s="3">
        <v>9900</v>
      </c>
      <c r="B192" s="3" t="s">
        <v>19</v>
      </c>
      <c r="C192" s="4">
        <v>45691</v>
      </c>
      <c r="D192" s="3" t="s">
        <v>22</v>
      </c>
      <c r="E192" s="3" t="s">
        <v>23</v>
      </c>
      <c r="F192" s="5">
        <v>3</v>
      </c>
      <c r="G192" s="6">
        <v>12.23</v>
      </c>
      <c r="H192" s="6">
        <v>36.69</v>
      </c>
      <c r="I192" s="6">
        <v>0</v>
      </c>
      <c r="J192" s="6">
        <v>36.69</v>
      </c>
      <c r="K192" s="5">
        <v>396</v>
      </c>
    </row>
    <row r="193" spans="1:11" x14ac:dyDescent="0.3">
      <c r="A193" s="3">
        <v>5956</v>
      </c>
      <c r="B193" s="3" t="s">
        <v>31</v>
      </c>
      <c r="C193" s="4">
        <v>45620</v>
      </c>
      <c r="D193" s="3" t="s">
        <v>27</v>
      </c>
      <c r="E193" s="3" t="s">
        <v>21</v>
      </c>
      <c r="F193" s="5">
        <v>1</v>
      </c>
      <c r="G193" s="6">
        <v>10.55</v>
      </c>
      <c r="H193" s="6">
        <v>10.55</v>
      </c>
      <c r="I193" s="6">
        <v>1.58</v>
      </c>
      <c r="J193" s="6">
        <v>8.9700000000000006</v>
      </c>
      <c r="K193" s="5">
        <v>285</v>
      </c>
    </row>
    <row r="194" spans="1:11" x14ac:dyDescent="0.3">
      <c r="A194" s="3">
        <v>9666</v>
      </c>
      <c r="B194" s="3" t="s">
        <v>30</v>
      </c>
      <c r="C194" s="4">
        <v>45151</v>
      </c>
      <c r="D194" s="3" t="s">
        <v>27</v>
      </c>
      <c r="E194" s="3" t="s">
        <v>41</v>
      </c>
      <c r="F194" s="5">
        <v>3</v>
      </c>
      <c r="G194" s="6">
        <v>3.35</v>
      </c>
      <c r="H194" s="6">
        <v>10.050000000000001</v>
      </c>
      <c r="I194" s="6">
        <v>1.51</v>
      </c>
      <c r="J194" s="6">
        <v>8.5399999999999991</v>
      </c>
      <c r="K194" s="5">
        <v>339</v>
      </c>
    </row>
    <row r="195" spans="1:11" x14ac:dyDescent="0.3">
      <c r="A195" s="3">
        <v>5905</v>
      </c>
      <c r="B195" s="3" t="s">
        <v>30</v>
      </c>
      <c r="C195" s="4">
        <v>45868</v>
      </c>
      <c r="D195" s="3" t="s">
        <v>27</v>
      </c>
      <c r="E195" s="3" t="s">
        <v>32</v>
      </c>
      <c r="F195" s="5">
        <v>2</v>
      </c>
      <c r="G195" s="6">
        <v>18.25</v>
      </c>
      <c r="H195" s="6">
        <v>36.5</v>
      </c>
      <c r="I195" s="6">
        <v>5.47</v>
      </c>
      <c r="J195" s="6">
        <v>31.03</v>
      </c>
      <c r="K195" s="5">
        <v>480</v>
      </c>
    </row>
    <row r="196" spans="1:11" x14ac:dyDescent="0.3">
      <c r="A196" s="3">
        <v>2697</v>
      </c>
      <c r="B196" s="3" t="s">
        <v>14</v>
      </c>
      <c r="C196" s="4">
        <v>45874</v>
      </c>
      <c r="D196" s="3" t="s">
        <v>20</v>
      </c>
      <c r="E196" s="3" t="s">
        <v>21</v>
      </c>
      <c r="F196" s="5">
        <v>2</v>
      </c>
      <c r="G196" s="6">
        <v>20.420000000000002</v>
      </c>
      <c r="H196" s="6">
        <v>40.840000000000003</v>
      </c>
      <c r="I196" s="6">
        <v>0</v>
      </c>
      <c r="J196" s="6">
        <v>40.840000000000003</v>
      </c>
      <c r="K196" s="5">
        <v>424</v>
      </c>
    </row>
    <row r="197" spans="1:11" x14ac:dyDescent="0.3">
      <c r="A197" s="3">
        <v>3200</v>
      </c>
      <c r="B197" s="3" t="s">
        <v>24</v>
      </c>
      <c r="C197" s="4">
        <v>45350</v>
      </c>
      <c r="D197" s="3" t="s">
        <v>38</v>
      </c>
      <c r="E197" s="3" t="s">
        <v>23</v>
      </c>
      <c r="F197" s="5">
        <v>1</v>
      </c>
      <c r="G197" s="6">
        <v>11.51</v>
      </c>
      <c r="H197" s="6">
        <v>11.51</v>
      </c>
      <c r="I197" s="6">
        <v>1.73</v>
      </c>
      <c r="J197" s="6">
        <v>9.7799999999999994</v>
      </c>
      <c r="K197" s="5">
        <v>92</v>
      </c>
    </row>
    <row r="198" spans="1:11" x14ac:dyDescent="0.3">
      <c r="A198" s="3">
        <v>2891</v>
      </c>
      <c r="B198" s="3" t="s">
        <v>26</v>
      </c>
      <c r="C198" s="4">
        <v>45836</v>
      </c>
      <c r="D198" s="3" t="s">
        <v>17</v>
      </c>
      <c r="E198" s="3" t="s">
        <v>25</v>
      </c>
      <c r="F198" s="5">
        <v>2</v>
      </c>
      <c r="G198" s="6">
        <v>5.48</v>
      </c>
      <c r="H198" s="6">
        <v>10.96</v>
      </c>
      <c r="I198" s="6">
        <v>4.08</v>
      </c>
      <c r="J198" s="6">
        <v>6.88</v>
      </c>
      <c r="K198" s="5">
        <v>151</v>
      </c>
    </row>
    <row r="199" spans="1:11" x14ac:dyDescent="0.3">
      <c r="A199" s="3">
        <v>2753</v>
      </c>
      <c r="B199" s="3" t="s">
        <v>14</v>
      </c>
      <c r="C199" s="4">
        <v>45721</v>
      </c>
      <c r="D199" s="3" t="s">
        <v>12</v>
      </c>
      <c r="E199" s="3" t="s">
        <v>21</v>
      </c>
      <c r="F199" s="5">
        <v>5</v>
      </c>
      <c r="G199" s="6">
        <v>4.79</v>
      </c>
      <c r="H199" s="6">
        <v>23.95</v>
      </c>
      <c r="I199" s="6">
        <v>4.79</v>
      </c>
      <c r="J199" s="6">
        <v>19.16</v>
      </c>
      <c r="K199" s="5">
        <v>192</v>
      </c>
    </row>
    <row r="200" spans="1:11" x14ac:dyDescent="0.3">
      <c r="A200" s="3">
        <v>3546</v>
      </c>
      <c r="B200" s="3" t="s">
        <v>19</v>
      </c>
      <c r="C200" s="4">
        <v>45356</v>
      </c>
      <c r="D200" s="3" t="s">
        <v>28</v>
      </c>
      <c r="E200" s="3" t="s">
        <v>29</v>
      </c>
      <c r="F200" s="5">
        <v>4</v>
      </c>
      <c r="G200" s="6">
        <v>2.2599999999999998</v>
      </c>
      <c r="H200" s="6">
        <v>9.0399999999999991</v>
      </c>
      <c r="I200" s="6">
        <v>0.9</v>
      </c>
      <c r="J200" s="6">
        <v>8.14</v>
      </c>
      <c r="K200" s="5">
        <v>186</v>
      </c>
    </row>
    <row r="201" spans="1:11" x14ac:dyDescent="0.3">
      <c r="A201" s="3">
        <v>5616</v>
      </c>
      <c r="B201" s="3" t="s">
        <v>30</v>
      </c>
      <c r="C201" s="4">
        <v>45614</v>
      </c>
      <c r="D201" s="3" t="s">
        <v>45</v>
      </c>
      <c r="E201" s="3" t="s">
        <v>25</v>
      </c>
      <c r="F201" s="5">
        <v>5</v>
      </c>
      <c r="G201" s="6">
        <v>7.93</v>
      </c>
      <c r="H201" s="6">
        <v>39.65</v>
      </c>
      <c r="I201" s="6">
        <v>7.93</v>
      </c>
      <c r="J201" s="6">
        <v>31.72</v>
      </c>
      <c r="K201" s="5">
        <v>494</v>
      </c>
    </row>
    <row r="202" spans="1:11" x14ac:dyDescent="0.3">
      <c r="A202" s="3">
        <v>4450</v>
      </c>
      <c r="B202" s="3" t="s">
        <v>36</v>
      </c>
      <c r="C202" s="4">
        <v>45702</v>
      </c>
      <c r="D202" s="3" t="s">
        <v>27</v>
      </c>
      <c r="E202" s="3" t="s">
        <v>33</v>
      </c>
      <c r="F202" s="5">
        <v>4</v>
      </c>
      <c r="G202" s="6">
        <v>23.3</v>
      </c>
      <c r="H202" s="6">
        <v>93.2</v>
      </c>
      <c r="I202" s="6">
        <v>3.11</v>
      </c>
      <c r="J202" s="6">
        <v>90.09</v>
      </c>
      <c r="K202" s="5">
        <v>398</v>
      </c>
    </row>
    <row r="203" spans="1:11" x14ac:dyDescent="0.3">
      <c r="A203" s="3">
        <v>6617</v>
      </c>
      <c r="B203" s="3" t="s">
        <v>19</v>
      </c>
      <c r="C203" s="4">
        <v>45303</v>
      </c>
      <c r="D203" s="3" t="s">
        <v>17</v>
      </c>
      <c r="E203" s="3" t="s">
        <v>41</v>
      </c>
      <c r="F203" s="5">
        <v>3</v>
      </c>
      <c r="G203" s="6">
        <v>2.5</v>
      </c>
      <c r="H203" s="6">
        <v>7.5</v>
      </c>
      <c r="I203" s="6">
        <v>4.74</v>
      </c>
      <c r="J203" s="6">
        <v>2.76</v>
      </c>
      <c r="K203" s="5">
        <v>246</v>
      </c>
    </row>
    <row r="204" spans="1:11" x14ac:dyDescent="0.3">
      <c r="A204" s="3">
        <v>5325</v>
      </c>
      <c r="B204" s="3" t="s">
        <v>14</v>
      </c>
      <c r="C204" s="4">
        <v>45537</v>
      </c>
      <c r="D204" s="3" t="s">
        <v>15</v>
      </c>
      <c r="E204" s="3" t="s">
        <v>37</v>
      </c>
      <c r="F204" s="5">
        <v>1</v>
      </c>
      <c r="G204" s="6">
        <v>23.12</v>
      </c>
      <c r="H204" s="6">
        <v>23.12</v>
      </c>
      <c r="I204" s="6">
        <v>1.59</v>
      </c>
      <c r="J204" s="6">
        <v>21.53</v>
      </c>
      <c r="K204" s="5">
        <v>139</v>
      </c>
    </row>
    <row r="205" spans="1:11" x14ac:dyDescent="0.3">
      <c r="A205" s="3">
        <v>9004</v>
      </c>
      <c r="B205" s="3" t="s">
        <v>24</v>
      </c>
      <c r="C205" s="4">
        <v>45340</v>
      </c>
      <c r="D205" s="3" t="s">
        <v>15</v>
      </c>
      <c r="E205" s="3" t="s">
        <v>25</v>
      </c>
      <c r="F205" s="5">
        <v>4</v>
      </c>
      <c r="G205" s="6">
        <v>26.64</v>
      </c>
      <c r="H205" s="6">
        <v>106.56</v>
      </c>
      <c r="I205" s="6">
        <v>10.66</v>
      </c>
      <c r="J205" s="6">
        <v>95.9</v>
      </c>
      <c r="K205" s="5">
        <v>476</v>
      </c>
    </row>
    <row r="206" spans="1:11" x14ac:dyDescent="0.3">
      <c r="A206" s="3">
        <v>1832</v>
      </c>
      <c r="B206" s="3" t="s">
        <v>31</v>
      </c>
      <c r="C206" s="4">
        <v>45216</v>
      </c>
      <c r="D206" s="3" t="s">
        <v>20</v>
      </c>
      <c r="E206" s="3" t="s">
        <v>46</v>
      </c>
      <c r="F206" s="5">
        <v>3</v>
      </c>
      <c r="G206" s="6">
        <v>7.83</v>
      </c>
      <c r="H206" s="6">
        <v>23.49</v>
      </c>
      <c r="I206" s="6">
        <v>4.7</v>
      </c>
      <c r="J206" s="6">
        <v>18.79</v>
      </c>
      <c r="K206" s="5">
        <v>41</v>
      </c>
    </row>
    <row r="207" spans="1:11" x14ac:dyDescent="0.3">
      <c r="A207" s="3">
        <v>7939</v>
      </c>
      <c r="B207" s="3" t="s">
        <v>31</v>
      </c>
      <c r="C207" s="4">
        <v>45789</v>
      </c>
      <c r="D207" s="3" t="s">
        <v>22</v>
      </c>
      <c r="E207" s="3" t="s">
        <v>48</v>
      </c>
      <c r="F207" s="5">
        <v>3</v>
      </c>
      <c r="G207" s="6">
        <v>23.94</v>
      </c>
      <c r="H207" s="6">
        <v>71.819999999999993</v>
      </c>
      <c r="I207" s="6">
        <v>10.77</v>
      </c>
      <c r="J207" s="6">
        <v>61.05</v>
      </c>
      <c r="K207" s="5">
        <v>70</v>
      </c>
    </row>
    <row r="208" spans="1:11" x14ac:dyDescent="0.3">
      <c r="A208" s="3">
        <v>5533</v>
      </c>
      <c r="B208" s="3" t="s">
        <v>26</v>
      </c>
      <c r="C208" s="4">
        <v>45179</v>
      </c>
      <c r="D208" s="3" t="s">
        <v>34</v>
      </c>
      <c r="E208" s="3" t="s">
        <v>47</v>
      </c>
      <c r="F208" s="5">
        <v>4</v>
      </c>
      <c r="G208" s="6">
        <v>18.84</v>
      </c>
      <c r="H208" s="6">
        <v>75.36</v>
      </c>
      <c r="I208" s="6">
        <v>2.02</v>
      </c>
      <c r="J208" s="6">
        <v>73.34</v>
      </c>
      <c r="K208" s="5">
        <v>463</v>
      </c>
    </row>
    <row r="209" spans="1:11" x14ac:dyDescent="0.3">
      <c r="A209" s="3">
        <v>1058</v>
      </c>
      <c r="B209" s="3" t="s">
        <v>19</v>
      </c>
      <c r="C209" s="4">
        <v>45404</v>
      </c>
      <c r="D209" s="3" t="s">
        <v>38</v>
      </c>
      <c r="E209" s="3" t="s">
        <v>46</v>
      </c>
      <c r="F209" s="5">
        <v>4</v>
      </c>
      <c r="G209" s="6">
        <v>4.21</v>
      </c>
      <c r="H209" s="6">
        <v>16.84</v>
      </c>
      <c r="I209" s="6">
        <v>2.5299999999999998</v>
      </c>
      <c r="J209" s="6">
        <v>14.31</v>
      </c>
      <c r="K209" s="5">
        <v>147</v>
      </c>
    </row>
    <row r="210" spans="1:11" x14ac:dyDescent="0.3">
      <c r="A210" s="3">
        <v>3143</v>
      </c>
      <c r="B210" s="3" t="s">
        <v>11</v>
      </c>
      <c r="C210" s="4">
        <v>45639</v>
      </c>
      <c r="D210" s="3" t="s">
        <v>12</v>
      </c>
      <c r="E210" s="3" t="s">
        <v>25</v>
      </c>
      <c r="F210" s="5">
        <v>4</v>
      </c>
      <c r="G210" s="6">
        <v>19.52</v>
      </c>
      <c r="H210" s="6">
        <v>78.08</v>
      </c>
      <c r="I210" s="6">
        <v>1.44</v>
      </c>
      <c r="J210" s="6">
        <v>76.64</v>
      </c>
      <c r="K210" s="5">
        <v>318</v>
      </c>
    </row>
    <row r="211" spans="1:11" x14ac:dyDescent="0.3">
      <c r="A211" s="3">
        <v>5291</v>
      </c>
      <c r="B211" s="3" t="s">
        <v>26</v>
      </c>
      <c r="C211" s="4">
        <v>45270</v>
      </c>
      <c r="D211" s="3" t="s">
        <v>28</v>
      </c>
      <c r="E211" s="3" t="s">
        <v>18</v>
      </c>
      <c r="F211" s="5">
        <v>1</v>
      </c>
      <c r="G211" s="6">
        <v>19.32</v>
      </c>
      <c r="H211" s="6">
        <v>19.32</v>
      </c>
      <c r="I211" s="6">
        <v>0</v>
      </c>
      <c r="J211" s="6">
        <v>19.32</v>
      </c>
      <c r="K211" s="5">
        <v>294</v>
      </c>
    </row>
    <row r="212" spans="1:11" x14ac:dyDescent="0.3">
      <c r="A212" s="3">
        <v>8239</v>
      </c>
      <c r="B212" s="3" t="s">
        <v>19</v>
      </c>
      <c r="C212" s="4">
        <v>45573</v>
      </c>
      <c r="D212" s="3" t="s">
        <v>35</v>
      </c>
      <c r="E212" s="3" t="s">
        <v>16</v>
      </c>
      <c r="F212" s="5">
        <v>1</v>
      </c>
      <c r="G212" s="6">
        <v>18.82</v>
      </c>
      <c r="H212" s="6">
        <v>18.82</v>
      </c>
      <c r="I212" s="6">
        <v>3.76</v>
      </c>
      <c r="J212" s="6">
        <v>15.06</v>
      </c>
      <c r="K212" s="5">
        <v>123</v>
      </c>
    </row>
    <row r="213" spans="1:11" x14ac:dyDescent="0.3">
      <c r="A213" s="3">
        <v>8007</v>
      </c>
      <c r="B213" s="3" t="s">
        <v>11</v>
      </c>
      <c r="C213" s="4">
        <v>45580</v>
      </c>
      <c r="D213" s="3" t="s">
        <v>38</v>
      </c>
      <c r="E213" s="3" t="s">
        <v>23</v>
      </c>
      <c r="F213" s="5">
        <v>1</v>
      </c>
      <c r="G213" s="6">
        <v>28.64</v>
      </c>
      <c r="H213" s="6">
        <v>28.64</v>
      </c>
      <c r="I213" s="6">
        <v>2.86</v>
      </c>
      <c r="J213" s="6">
        <v>25.78</v>
      </c>
      <c r="K213" s="5">
        <v>278</v>
      </c>
    </row>
    <row r="214" spans="1:11" x14ac:dyDescent="0.3">
      <c r="A214" s="3">
        <v>1158</v>
      </c>
      <c r="B214" s="3" t="s">
        <v>26</v>
      </c>
      <c r="C214" s="4">
        <v>45231</v>
      </c>
      <c r="D214" s="3" t="s">
        <v>12</v>
      </c>
      <c r="E214" s="3" t="s">
        <v>32</v>
      </c>
      <c r="F214" s="5">
        <v>3</v>
      </c>
      <c r="G214" s="6">
        <v>8.35</v>
      </c>
      <c r="H214" s="6">
        <v>25.05</v>
      </c>
      <c r="I214" s="6">
        <v>2.38</v>
      </c>
      <c r="J214" s="6">
        <v>22.67</v>
      </c>
      <c r="K214" s="5">
        <v>8</v>
      </c>
    </row>
    <row r="215" spans="1:11" x14ac:dyDescent="0.3">
      <c r="A215" s="3">
        <v>2232</v>
      </c>
      <c r="B215" s="3" t="s">
        <v>11</v>
      </c>
      <c r="C215" s="4">
        <v>45830</v>
      </c>
      <c r="D215" s="3" t="s">
        <v>28</v>
      </c>
      <c r="E215" s="3" t="s">
        <v>21</v>
      </c>
      <c r="F215" s="5">
        <v>2</v>
      </c>
      <c r="G215" s="6">
        <v>2.2799999999999998</v>
      </c>
      <c r="H215" s="6">
        <v>4.5599999999999996</v>
      </c>
      <c r="I215" s="6">
        <v>0</v>
      </c>
      <c r="J215" s="6">
        <v>4.5599999999999996</v>
      </c>
      <c r="K215" s="5">
        <v>279</v>
      </c>
    </row>
    <row r="216" spans="1:11" x14ac:dyDescent="0.3">
      <c r="A216" s="3">
        <v>3442</v>
      </c>
      <c r="B216" s="3" t="s">
        <v>19</v>
      </c>
      <c r="C216" s="4">
        <v>45568</v>
      </c>
      <c r="D216" s="3" t="s">
        <v>27</v>
      </c>
      <c r="E216" s="3" t="s">
        <v>33</v>
      </c>
      <c r="F216" s="5">
        <v>4</v>
      </c>
      <c r="G216" s="6">
        <v>19.309999999999999</v>
      </c>
      <c r="H216" s="6">
        <v>77.239999999999995</v>
      </c>
      <c r="I216" s="6">
        <v>3.86</v>
      </c>
      <c r="J216" s="6">
        <v>73.38</v>
      </c>
      <c r="K216" s="5">
        <v>415</v>
      </c>
    </row>
    <row r="217" spans="1:11" x14ac:dyDescent="0.3">
      <c r="A217" s="3">
        <v>1590</v>
      </c>
      <c r="B217" s="3" t="s">
        <v>26</v>
      </c>
      <c r="C217" s="4">
        <v>45793</v>
      </c>
      <c r="D217" s="3" t="s">
        <v>12</v>
      </c>
      <c r="E217" s="3" t="s">
        <v>37</v>
      </c>
      <c r="F217" s="5">
        <v>2</v>
      </c>
      <c r="G217" s="6">
        <v>2.2599999999999998</v>
      </c>
      <c r="H217" s="6">
        <v>4.5199999999999996</v>
      </c>
      <c r="I217" s="6">
        <v>0.68</v>
      </c>
      <c r="J217" s="6">
        <v>3.84</v>
      </c>
      <c r="K217" s="5">
        <v>102</v>
      </c>
    </row>
    <row r="218" spans="1:11" x14ac:dyDescent="0.3">
      <c r="A218" s="3">
        <v>7049</v>
      </c>
      <c r="B218" s="3" t="s">
        <v>30</v>
      </c>
      <c r="C218" s="4">
        <v>45597</v>
      </c>
      <c r="D218" s="3" t="s">
        <v>38</v>
      </c>
      <c r="E218" s="3" t="s">
        <v>32</v>
      </c>
      <c r="F218" s="5">
        <v>5</v>
      </c>
      <c r="G218" s="6">
        <v>14.72</v>
      </c>
      <c r="H218" s="6">
        <v>73.599999999999994</v>
      </c>
      <c r="I218" s="6">
        <v>11.04</v>
      </c>
      <c r="J218" s="6">
        <v>62.56</v>
      </c>
      <c r="K218" s="5">
        <v>18</v>
      </c>
    </row>
    <row r="219" spans="1:11" x14ac:dyDescent="0.3">
      <c r="A219" s="3">
        <v>3426</v>
      </c>
      <c r="B219" s="3" t="s">
        <v>36</v>
      </c>
      <c r="C219" s="4">
        <v>45478</v>
      </c>
      <c r="D219" s="3" t="s">
        <v>12</v>
      </c>
      <c r="E219" s="3" t="s">
        <v>21</v>
      </c>
      <c r="F219" s="5">
        <v>3</v>
      </c>
      <c r="G219" s="6">
        <v>4.5999999999999996</v>
      </c>
      <c r="H219" s="6">
        <v>13.8</v>
      </c>
      <c r="I219" s="6">
        <v>1.38</v>
      </c>
      <c r="J219" s="6">
        <v>12.42</v>
      </c>
      <c r="K219" s="5">
        <v>188</v>
      </c>
    </row>
    <row r="220" spans="1:11" x14ac:dyDescent="0.3">
      <c r="A220" s="3">
        <v>3088</v>
      </c>
      <c r="B220" s="3" t="s">
        <v>26</v>
      </c>
      <c r="C220" s="4">
        <v>45177</v>
      </c>
      <c r="D220" s="3" t="s">
        <v>20</v>
      </c>
      <c r="E220" s="3" t="s">
        <v>21</v>
      </c>
      <c r="F220" s="5">
        <v>2</v>
      </c>
      <c r="G220" s="6">
        <v>15.38</v>
      </c>
      <c r="H220" s="6">
        <v>30.76</v>
      </c>
      <c r="I220" s="6">
        <v>2.0699999999999998</v>
      </c>
      <c r="J220" s="6">
        <v>28.69</v>
      </c>
      <c r="K220" s="5">
        <v>254</v>
      </c>
    </row>
    <row r="221" spans="1:11" x14ac:dyDescent="0.3">
      <c r="A221" s="3">
        <v>6050</v>
      </c>
      <c r="B221" s="3" t="s">
        <v>11</v>
      </c>
      <c r="C221" s="4">
        <v>45428</v>
      </c>
      <c r="D221" s="3" t="s">
        <v>20</v>
      </c>
      <c r="E221" s="3" t="s">
        <v>43</v>
      </c>
      <c r="F221" s="5">
        <v>4</v>
      </c>
      <c r="G221" s="6">
        <v>18.46</v>
      </c>
      <c r="H221" s="6">
        <v>73.84</v>
      </c>
      <c r="I221" s="6">
        <v>2.1800000000000002</v>
      </c>
      <c r="J221" s="6">
        <v>71.66</v>
      </c>
      <c r="K221" s="5">
        <v>421</v>
      </c>
    </row>
    <row r="222" spans="1:11" x14ac:dyDescent="0.3">
      <c r="A222" s="3">
        <v>1653</v>
      </c>
      <c r="B222" s="3" t="s">
        <v>11</v>
      </c>
      <c r="C222" s="4">
        <v>45843</v>
      </c>
      <c r="D222" s="3" t="s">
        <v>15</v>
      </c>
      <c r="E222" s="3" t="s">
        <v>21</v>
      </c>
      <c r="F222" s="5">
        <v>3</v>
      </c>
      <c r="G222" s="6">
        <v>9.8800000000000008</v>
      </c>
      <c r="H222" s="6">
        <v>29.64</v>
      </c>
      <c r="I222" s="6">
        <v>5.93</v>
      </c>
      <c r="J222" s="6">
        <v>23.71</v>
      </c>
      <c r="K222" s="5">
        <v>308</v>
      </c>
    </row>
    <row r="223" spans="1:11" x14ac:dyDescent="0.3">
      <c r="A223" s="3">
        <v>6862</v>
      </c>
      <c r="B223" s="3" t="s">
        <v>26</v>
      </c>
      <c r="C223" s="4">
        <v>45308</v>
      </c>
      <c r="D223" s="3" t="s">
        <v>22</v>
      </c>
      <c r="E223" s="3" t="s">
        <v>33</v>
      </c>
      <c r="F223" s="5">
        <v>1</v>
      </c>
      <c r="G223" s="6">
        <v>22.07</v>
      </c>
      <c r="H223" s="6">
        <v>22.07</v>
      </c>
      <c r="I223" s="6">
        <v>4.99</v>
      </c>
      <c r="J223" s="6">
        <v>17.079999999999998</v>
      </c>
      <c r="K223" s="5">
        <v>466</v>
      </c>
    </row>
    <row r="224" spans="1:11" x14ac:dyDescent="0.3">
      <c r="A224" s="3">
        <v>5088</v>
      </c>
      <c r="B224" s="3" t="s">
        <v>30</v>
      </c>
      <c r="C224" s="4">
        <v>45663</v>
      </c>
      <c r="D224" s="3" t="s">
        <v>27</v>
      </c>
      <c r="E224" s="3" t="s">
        <v>40</v>
      </c>
      <c r="F224" s="5">
        <v>1</v>
      </c>
      <c r="G224" s="6">
        <v>20.45</v>
      </c>
      <c r="H224" s="6">
        <v>20.45</v>
      </c>
      <c r="I224" s="6">
        <v>4.2</v>
      </c>
      <c r="J224" s="6">
        <v>16.25</v>
      </c>
      <c r="K224" s="5">
        <v>207</v>
      </c>
    </row>
    <row r="225" spans="1:11" x14ac:dyDescent="0.3">
      <c r="A225" s="3">
        <v>2684</v>
      </c>
      <c r="B225" s="3" t="s">
        <v>19</v>
      </c>
      <c r="C225" s="4">
        <v>45419</v>
      </c>
      <c r="D225" s="3" t="s">
        <v>12</v>
      </c>
      <c r="E225" s="3" t="s">
        <v>41</v>
      </c>
      <c r="F225" s="5">
        <v>5</v>
      </c>
      <c r="G225" s="6">
        <v>20.65</v>
      </c>
      <c r="H225" s="6">
        <v>103.25</v>
      </c>
      <c r="I225" s="6">
        <v>20.65</v>
      </c>
      <c r="J225" s="6">
        <v>82.6</v>
      </c>
      <c r="K225" s="5">
        <v>224</v>
      </c>
    </row>
    <row r="226" spans="1:11" x14ac:dyDescent="0.3">
      <c r="A226" s="3">
        <v>7658</v>
      </c>
      <c r="B226" s="3" t="s">
        <v>11</v>
      </c>
      <c r="C226" s="4">
        <v>45627</v>
      </c>
      <c r="D226" s="3" t="s">
        <v>17</v>
      </c>
      <c r="E226" s="3" t="s">
        <v>23</v>
      </c>
      <c r="F226" s="5">
        <v>3</v>
      </c>
      <c r="G226" s="6">
        <v>12.09</v>
      </c>
      <c r="H226" s="6">
        <v>36.270000000000003</v>
      </c>
      <c r="I226" s="6">
        <v>1.61</v>
      </c>
      <c r="J226" s="6">
        <v>34.659999999999997</v>
      </c>
      <c r="K226" s="5">
        <v>290</v>
      </c>
    </row>
    <row r="227" spans="1:11" x14ac:dyDescent="0.3">
      <c r="A227" s="3">
        <v>3532</v>
      </c>
      <c r="B227" s="3" t="s">
        <v>26</v>
      </c>
      <c r="C227" s="4">
        <v>45864</v>
      </c>
      <c r="D227" s="3" t="s">
        <v>22</v>
      </c>
      <c r="E227" s="3" t="s">
        <v>23</v>
      </c>
      <c r="F227" s="5">
        <v>4</v>
      </c>
      <c r="G227" s="6">
        <v>23.12</v>
      </c>
      <c r="H227" s="6">
        <v>92.48</v>
      </c>
      <c r="I227" s="6">
        <v>2.4700000000000002</v>
      </c>
      <c r="J227" s="6">
        <v>90.01</v>
      </c>
      <c r="K227" s="5">
        <v>293</v>
      </c>
    </row>
    <row r="228" spans="1:11" x14ac:dyDescent="0.3">
      <c r="A228" s="3">
        <v>4878</v>
      </c>
      <c r="B228" s="3" t="s">
        <v>36</v>
      </c>
      <c r="C228" s="4">
        <v>45816</v>
      </c>
      <c r="D228" s="3" t="s">
        <v>27</v>
      </c>
      <c r="E228" s="3" t="s">
        <v>13</v>
      </c>
      <c r="F228" s="5">
        <v>2</v>
      </c>
      <c r="G228" s="6">
        <v>28.85</v>
      </c>
      <c r="H228" s="6">
        <v>57.7</v>
      </c>
      <c r="I228" s="6">
        <v>5.77</v>
      </c>
      <c r="J228" s="6">
        <v>51.93</v>
      </c>
      <c r="K228" s="5">
        <v>13</v>
      </c>
    </row>
    <row r="229" spans="1:11" x14ac:dyDescent="0.3">
      <c r="A229" s="3">
        <v>3662</v>
      </c>
      <c r="B229" s="3" t="s">
        <v>14</v>
      </c>
      <c r="C229" s="4">
        <v>45766</v>
      </c>
      <c r="D229" s="3" t="s">
        <v>20</v>
      </c>
      <c r="E229" s="3" t="s">
        <v>18</v>
      </c>
      <c r="F229" s="5">
        <v>1</v>
      </c>
      <c r="G229" s="6">
        <v>8.58</v>
      </c>
      <c r="H229" s="6">
        <v>8.58</v>
      </c>
      <c r="I229" s="6">
        <v>1.72</v>
      </c>
      <c r="J229" s="6">
        <v>6.86</v>
      </c>
      <c r="K229" s="5">
        <v>133</v>
      </c>
    </row>
    <row r="230" spans="1:11" x14ac:dyDescent="0.3">
      <c r="A230" s="3">
        <v>3900</v>
      </c>
      <c r="B230" s="3" t="s">
        <v>30</v>
      </c>
      <c r="C230" s="4">
        <v>45829</v>
      </c>
      <c r="D230" s="3" t="s">
        <v>45</v>
      </c>
      <c r="E230" s="3" t="s">
        <v>44</v>
      </c>
      <c r="F230" s="5">
        <v>1</v>
      </c>
      <c r="G230" s="6">
        <v>4.93</v>
      </c>
      <c r="H230" s="6">
        <v>4.93</v>
      </c>
      <c r="I230" s="6">
        <v>0.99</v>
      </c>
      <c r="J230" s="6">
        <v>3.94</v>
      </c>
      <c r="K230" s="5">
        <v>37</v>
      </c>
    </row>
    <row r="231" spans="1:11" x14ac:dyDescent="0.3">
      <c r="A231" s="3">
        <v>7755</v>
      </c>
      <c r="B231" s="3" t="s">
        <v>26</v>
      </c>
      <c r="C231" s="4">
        <v>45164</v>
      </c>
      <c r="D231" s="3" t="s">
        <v>15</v>
      </c>
      <c r="E231" s="3" t="s">
        <v>21</v>
      </c>
      <c r="F231" s="5">
        <v>3</v>
      </c>
      <c r="G231" s="6">
        <v>21.57</v>
      </c>
      <c r="H231" s="6">
        <v>64.709999999999994</v>
      </c>
      <c r="I231" s="6">
        <v>9.7100000000000009</v>
      </c>
      <c r="J231" s="6">
        <v>55</v>
      </c>
      <c r="K231" s="5">
        <v>281</v>
      </c>
    </row>
    <row r="232" spans="1:11" x14ac:dyDescent="0.3">
      <c r="A232" s="3">
        <v>3938</v>
      </c>
      <c r="B232" s="3" t="s">
        <v>19</v>
      </c>
      <c r="C232" s="4">
        <v>45717</v>
      </c>
      <c r="D232" s="3" t="s">
        <v>27</v>
      </c>
      <c r="E232" s="3" t="s">
        <v>29</v>
      </c>
      <c r="F232" s="5">
        <v>3</v>
      </c>
      <c r="G232" s="6">
        <v>15.74</v>
      </c>
      <c r="H232" s="6">
        <v>47.22</v>
      </c>
      <c r="I232" s="6">
        <v>9.44</v>
      </c>
      <c r="J232" s="6">
        <v>37.78</v>
      </c>
      <c r="K232" s="5">
        <v>62</v>
      </c>
    </row>
    <row r="233" spans="1:11" x14ac:dyDescent="0.3">
      <c r="A233" s="3">
        <v>6442</v>
      </c>
      <c r="B233" s="3" t="s">
        <v>42</v>
      </c>
      <c r="C233" s="4">
        <v>45752</v>
      </c>
      <c r="D233" s="3" t="s">
        <v>45</v>
      </c>
      <c r="E233" s="3" t="s">
        <v>39</v>
      </c>
      <c r="F233" s="5">
        <v>3</v>
      </c>
      <c r="G233" s="6">
        <v>17.059999999999999</v>
      </c>
      <c r="H233" s="6">
        <v>51.18</v>
      </c>
      <c r="I233" s="6">
        <v>1.52</v>
      </c>
      <c r="J233" s="6">
        <v>49.66</v>
      </c>
      <c r="K233" s="5">
        <v>188</v>
      </c>
    </row>
    <row r="234" spans="1:11" x14ac:dyDescent="0.3">
      <c r="A234" s="3">
        <v>7745</v>
      </c>
      <c r="B234" s="3" t="s">
        <v>11</v>
      </c>
      <c r="C234" s="4">
        <v>45768</v>
      </c>
      <c r="D234" s="3" t="s">
        <v>15</v>
      </c>
      <c r="E234" s="3" t="s">
        <v>37</v>
      </c>
      <c r="F234" s="5">
        <v>4</v>
      </c>
      <c r="G234" s="6">
        <v>29.98</v>
      </c>
      <c r="H234" s="6">
        <v>119.92</v>
      </c>
      <c r="I234" s="6">
        <v>2.64</v>
      </c>
      <c r="J234" s="6">
        <v>117.28</v>
      </c>
      <c r="K234" s="5">
        <v>368</v>
      </c>
    </row>
    <row r="235" spans="1:11" x14ac:dyDescent="0.3">
      <c r="A235" s="3">
        <v>5065</v>
      </c>
      <c r="B235" s="3" t="s">
        <v>24</v>
      </c>
      <c r="C235" s="4">
        <v>45352</v>
      </c>
      <c r="D235" s="3" t="s">
        <v>28</v>
      </c>
      <c r="E235" s="3" t="s">
        <v>43</v>
      </c>
      <c r="F235" s="5">
        <v>2</v>
      </c>
      <c r="G235" s="6">
        <v>29.19</v>
      </c>
      <c r="H235" s="6">
        <v>58.38</v>
      </c>
      <c r="I235" s="6">
        <v>5.84</v>
      </c>
      <c r="J235" s="6">
        <v>52.54</v>
      </c>
      <c r="K235" s="5">
        <v>328</v>
      </c>
    </row>
    <row r="236" spans="1:11" x14ac:dyDescent="0.3">
      <c r="A236" s="3">
        <v>3608</v>
      </c>
      <c r="B236" s="3" t="s">
        <v>26</v>
      </c>
      <c r="C236" s="4">
        <v>45756</v>
      </c>
      <c r="D236" s="3" t="s">
        <v>27</v>
      </c>
      <c r="E236" s="3" t="s">
        <v>46</v>
      </c>
      <c r="F236" s="5">
        <v>3</v>
      </c>
      <c r="G236" s="6">
        <v>4.71</v>
      </c>
      <c r="H236" s="6">
        <v>14.13</v>
      </c>
      <c r="I236" s="6">
        <v>2.83</v>
      </c>
      <c r="J236" s="6">
        <v>11.3</v>
      </c>
      <c r="K236" s="5">
        <v>424</v>
      </c>
    </row>
    <row r="237" spans="1:11" x14ac:dyDescent="0.3">
      <c r="A237" s="3">
        <v>2771</v>
      </c>
      <c r="B237" s="3" t="s">
        <v>24</v>
      </c>
      <c r="C237" s="4">
        <v>45442</v>
      </c>
      <c r="D237" s="3" t="s">
        <v>38</v>
      </c>
      <c r="E237" s="3" t="s">
        <v>40</v>
      </c>
      <c r="F237" s="5">
        <v>1</v>
      </c>
      <c r="G237" s="6">
        <v>16.010000000000002</v>
      </c>
      <c r="H237" s="6">
        <v>16.010000000000002</v>
      </c>
      <c r="I237" s="6">
        <v>3.2</v>
      </c>
      <c r="J237" s="6">
        <v>12.81</v>
      </c>
      <c r="K237" s="5">
        <v>155</v>
      </c>
    </row>
    <row r="238" spans="1:11" x14ac:dyDescent="0.3">
      <c r="A238" s="3">
        <v>1634</v>
      </c>
      <c r="B238" s="3" t="s">
        <v>36</v>
      </c>
      <c r="C238" s="4">
        <v>45811</v>
      </c>
      <c r="D238" s="3" t="s">
        <v>17</v>
      </c>
      <c r="E238" s="3" t="s">
        <v>23</v>
      </c>
      <c r="F238" s="5">
        <v>5</v>
      </c>
      <c r="G238" s="6">
        <v>26.94</v>
      </c>
      <c r="H238" s="6">
        <v>134.69999999999999</v>
      </c>
      <c r="I238" s="6">
        <v>20.2</v>
      </c>
      <c r="J238" s="6">
        <v>114.5</v>
      </c>
      <c r="K238" s="5">
        <v>433</v>
      </c>
    </row>
    <row r="239" spans="1:11" x14ac:dyDescent="0.3">
      <c r="A239" s="3">
        <v>8711</v>
      </c>
      <c r="B239" s="3" t="s">
        <v>42</v>
      </c>
      <c r="C239" s="4">
        <v>45317</v>
      </c>
      <c r="D239" s="3" t="s">
        <v>27</v>
      </c>
      <c r="E239" s="3" t="s">
        <v>18</v>
      </c>
      <c r="F239" s="5">
        <v>3</v>
      </c>
      <c r="G239" s="6">
        <v>4.62</v>
      </c>
      <c r="H239" s="6">
        <v>13.86</v>
      </c>
      <c r="I239" s="6">
        <v>3.56</v>
      </c>
      <c r="J239" s="6">
        <v>10.3</v>
      </c>
      <c r="K239" s="5">
        <v>155</v>
      </c>
    </row>
    <row r="240" spans="1:11" x14ac:dyDescent="0.3">
      <c r="A240" s="3">
        <v>4269</v>
      </c>
      <c r="B240" s="3" t="s">
        <v>19</v>
      </c>
      <c r="C240" s="4">
        <v>45779</v>
      </c>
      <c r="D240" s="3" t="s">
        <v>34</v>
      </c>
      <c r="E240" s="3" t="s">
        <v>21</v>
      </c>
      <c r="F240" s="5">
        <v>5</v>
      </c>
      <c r="G240" s="6">
        <v>2.1800000000000002</v>
      </c>
      <c r="H240" s="6">
        <v>10.9</v>
      </c>
      <c r="I240" s="6">
        <v>1.18</v>
      </c>
      <c r="J240" s="6">
        <v>9.7200000000000006</v>
      </c>
      <c r="K240" s="5">
        <v>442</v>
      </c>
    </row>
    <row r="241" spans="1:11" x14ac:dyDescent="0.3">
      <c r="A241" s="3">
        <v>8541</v>
      </c>
      <c r="B241" s="3" t="s">
        <v>30</v>
      </c>
      <c r="C241" s="4">
        <v>45416</v>
      </c>
      <c r="D241" s="3" t="s">
        <v>27</v>
      </c>
      <c r="E241" s="3" t="s">
        <v>44</v>
      </c>
      <c r="F241" s="5">
        <v>5</v>
      </c>
      <c r="G241" s="6">
        <v>13.07</v>
      </c>
      <c r="H241" s="6">
        <v>65.349999999999994</v>
      </c>
      <c r="I241" s="6">
        <v>6.54</v>
      </c>
      <c r="J241" s="6">
        <v>58.81</v>
      </c>
      <c r="K241" s="5">
        <v>327</v>
      </c>
    </row>
    <row r="242" spans="1:11" x14ac:dyDescent="0.3">
      <c r="A242" s="3">
        <v>6000</v>
      </c>
      <c r="B242" s="3" t="s">
        <v>14</v>
      </c>
      <c r="C242" s="4">
        <v>45782</v>
      </c>
      <c r="D242" s="3" t="s">
        <v>35</v>
      </c>
      <c r="E242" s="3" t="s">
        <v>37</v>
      </c>
      <c r="F242" s="5">
        <v>4</v>
      </c>
      <c r="G242" s="6">
        <v>8.09</v>
      </c>
      <c r="H242" s="6">
        <v>32.36</v>
      </c>
      <c r="I242" s="6">
        <v>4.8499999999999996</v>
      </c>
      <c r="J242" s="6">
        <v>27.51</v>
      </c>
      <c r="K242" s="5">
        <v>413</v>
      </c>
    </row>
    <row r="243" spans="1:11" x14ac:dyDescent="0.3">
      <c r="A243" s="3">
        <v>4728</v>
      </c>
      <c r="B243" s="3" t="s">
        <v>26</v>
      </c>
      <c r="C243" s="4">
        <v>45318</v>
      </c>
      <c r="D243" s="3" t="s">
        <v>15</v>
      </c>
      <c r="E243" s="3" t="s">
        <v>40</v>
      </c>
      <c r="F243" s="5">
        <v>2</v>
      </c>
      <c r="G243" s="6">
        <v>13.74</v>
      </c>
      <c r="H243" s="6">
        <v>27.48</v>
      </c>
      <c r="I243" s="6">
        <v>5.5</v>
      </c>
      <c r="J243" s="6">
        <v>21.98</v>
      </c>
      <c r="K243" s="5">
        <v>247</v>
      </c>
    </row>
    <row r="244" spans="1:11" x14ac:dyDescent="0.3">
      <c r="A244" s="3">
        <v>1387</v>
      </c>
      <c r="B244" s="3" t="s">
        <v>36</v>
      </c>
      <c r="C244" s="4">
        <v>45657</v>
      </c>
      <c r="D244" s="3" t="s">
        <v>28</v>
      </c>
      <c r="E244" s="3" t="s">
        <v>41</v>
      </c>
      <c r="F244" s="5">
        <v>3</v>
      </c>
      <c r="G244" s="6">
        <v>25.97</v>
      </c>
      <c r="H244" s="6">
        <v>77.91</v>
      </c>
      <c r="I244" s="6">
        <v>7.79</v>
      </c>
      <c r="J244" s="6">
        <v>70.12</v>
      </c>
      <c r="K244" s="5">
        <v>163</v>
      </c>
    </row>
    <row r="245" spans="1:11" x14ac:dyDescent="0.3">
      <c r="A245" s="3">
        <v>4164</v>
      </c>
      <c r="B245" s="3" t="s">
        <v>19</v>
      </c>
      <c r="C245" s="4">
        <v>45454</v>
      </c>
      <c r="D245" s="3" t="s">
        <v>22</v>
      </c>
      <c r="E245" s="3" t="s">
        <v>46</v>
      </c>
      <c r="F245" s="5">
        <v>5</v>
      </c>
      <c r="G245" s="6">
        <v>4.07</v>
      </c>
      <c r="H245" s="6">
        <v>20.350000000000001</v>
      </c>
      <c r="I245" s="6">
        <v>2.0699999999999998</v>
      </c>
      <c r="J245" s="6">
        <v>18.28</v>
      </c>
      <c r="K245" s="5">
        <v>123</v>
      </c>
    </row>
    <row r="246" spans="1:11" x14ac:dyDescent="0.3">
      <c r="A246" s="3">
        <v>6378</v>
      </c>
      <c r="B246" s="3" t="s">
        <v>42</v>
      </c>
      <c r="C246" s="4">
        <v>45361</v>
      </c>
      <c r="D246" s="3" t="s">
        <v>34</v>
      </c>
      <c r="E246" s="3" t="s">
        <v>48</v>
      </c>
      <c r="F246" s="5">
        <v>1</v>
      </c>
      <c r="G246" s="6">
        <v>9.41</v>
      </c>
      <c r="H246" s="6">
        <v>9.41</v>
      </c>
      <c r="I246" s="6">
        <v>1.88</v>
      </c>
      <c r="J246" s="6">
        <v>7.53</v>
      </c>
      <c r="K246" s="5">
        <v>196</v>
      </c>
    </row>
    <row r="247" spans="1:11" x14ac:dyDescent="0.3">
      <c r="A247" s="3">
        <v>2137</v>
      </c>
      <c r="B247" s="3" t="s">
        <v>19</v>
      </c>
      <c r="C247" s="4">
        <v>45745</v>
      </c>
      <c r="D247" s="3" t="s">
        <v>22</v>
      </c>
      <c r="E247" s="3" t="s">
        <v>21</v>
      </c>
      <c r="F247" s="5">
        <v>2</v>
      </c>
      <c r="G247" s="6">
        <v>23.12</v>
      </c>
      <c r="H247" s="6">
        <v>46.24</v>
      </c>
      <c r="I247" s="6">
        <v>4.62</v>
      </c>
      <c r="J247" s="6">
        <v>41.62</v>
      </c>
      <c r="K247" s="5">
        <v>255</v>
      </c>
    </row>
    <row r="248" spans="1:11" x14ac:dyDescent="0.3">
      <c r="A248" s="3">
        <v>5573</v>
      </c>
      <c r="B248" s="3" t="s">
        <v>30</v>
      </c>
      <c r="C248" s="4">
        <v>45417</v>
      </c>
      <c r="D248" s="3" t="s">
        <v>45</v>
      </c>
      <c r="E248" s="3" t="s">
        <v>39</v>
      </c>
      <c r="F248" s="5">
        <v>1</v>
      </c>
      <c r="G248" s="6">
        <v>28.4</v>
      </c>
      <c r="H248" s="6">
        <v>28.4</v>
      </c>
      <c r="I248" s="6">
        <v>5.68</v>
      </c>
      <c r="J248" s="6">
        <v>22.72</v>
      </c>
      <c r="K248" s="5">
        <v>258</v>
      </c>
    </row>
    <row r="249" spans="1:11" x14ac:dyDescent="0.3">
      <c r="A249" s="3">
        <v>9346</v>
      </c>
      <c r="B249" s="3" t="s">
        <v>42</v>
      </c>
      <c r="C249" s="4">
        <v>45455</v>
      </c>
      <c r="D249" s="3" t="s">
        <v>28</v>
      </c>
      <c r="E249" s="3" t="s">
        <v>23</v>
      </c>
      <c r="F249" s="5">
        <v>1</v>
      </c>
      <c r="G249" s="6">
        <v>2.46</v>
      </c>
      <c r="H249" s="6">
        <v>2.46</v>
      </c>
      <c r="I249" s="6">
        <v>0.37</v>
      </c>
      <c r="J249" s="6">
        <v>2.09</v>
      </c>
      <c r="K249" s="5">
        <v>253</v>
      </c>
    </row>
    <row r="250" spans="1:11" x14ac:dyDescent="0.3">
      <c r="A250" s="3">
        <v>9785</v>
      </c>
      <c r="B250" s="3" t="s">
        <v>14</v>
      </c>
      <c r="C250" s="4">
        <v>45402</v>
      </c>
      <c r="D250" s="3" t="s">
        <v>12</v>
      </c>
      <c r="E250" s="3" t="s">
        <v>48</v>
      </c>
      <c r="F250" s="5">
        <v>4</v>
      </c>
      <c r="G250" s="6">
        <v>4.87</v>
      </c>
      <c r="H250" s="6">
        <v>19.48</v>
      </c>
      <c r="I250" s="6">
        <v>1.95</v>
      </c>
      <c r="J250" s="6">
        <v>17.53</v>
      </c>
      <c r="K250" s="5">
        <v>135</v>
      </c>
    </row>
    <row r="251" spans="1:11" x14ac:dyDescent="0.3">
      <c r="A251" s="3">
        <v>1452</v>
      </c>
      <c r="B251" s="3" t="s">
        <v>36</v>
      </c>
      <c r="C251" s="4">
        <v>45234</v>
      </c>
      <c r="D251" s="3" t="s">
        <v>12</v>
      </c>
      <c r="E251" s="3" t="s">
        <v>32</v>
      </c>
      <c r="F251" s="5">
        <v>1</v>
      </c>
      <c r="G251" s="6">
        <v>17.53</v>
      </c>
      <c r="H251" s="6">
        <v>17.53</v>
      </c>
      <c r="I251" s="6">
        <v>2.15</v>
      </c>
      <c r="J251" s="6">
        <v>15.38</v>
      </c>
      <c r="K251" s="5">
        <v>99</v>
      </c>
    </row>
    <row r="252" spans="1:11" x14ac:dyDescent="0.3">
      <c r="A252" s="3">
        <v>5279</v>
      </c>
      <c r="B252" s="3" t="s">
        <v>24</v>
      </c>
      <c r="C252" s="4">
        <v>45283</v>
      </c>
      <c r="D252" s="3" t="s">
        <v>38</v>
      </c>
      <c r="E252" s="3" t="s">
        <v>33</v>
      </c>
      <c r="F252" s="5">
        <v>5</v>
      </c>
      <c r="G252" s="6">
        <v>9.1</v>
      </c>
      <c r="H252" s="6">
        <v>45.5</v>
      </c>
      <c r="I252" s="6">
        <v>9.1</v>
      </c>
      <c r="J252" s="6">
        <v>36.4</v>
      </c>
      <c r="K252" s="5">
        <v>319</v>
      </c>
    </row>
    <row r="253" spans="1:11" x14ac:dyDescent="0.3">
      <c r="A253" s="3">
        <v>5349</v>
      </c>
      <c r="B253" s="3" t="s">
        <v>11</v>
      </c>
      <c r="C253" s="4">
        <v>45174</v>
      </c>
      <c r="D253" s="3" t="s">
        <v>20</v>
      </c>
      <c r="E253" s="3" t="s">
        <v>23</v>
      </c>
      <c r="F253" s="5">
        <v>3</v>
      </c>
      <c r="G253" s="6">
        <v>17.170000000000002</v>
      </c>
      <c r="H253" s="6">
        <v>51.51</v>
      </c>
      <c r="I253" s="6">
        <v>10.3</v>
      </c>
      <c r="J253" s="6">
        <v>41.21</v>
      </c>
      <c r="K253" s="5">
        <v>187</v>
      </c>
    </row>
    <row r="254" spans="1:11" x14ac:dyDescent="0.3">
      <c r="A254" s="3">
        <v>2776</v>
      </c>
      <c r="B254" s="3" t="s">
        <v>14</v>
      </c>
      <c r="C254" s="4">
        <v>45608</v>
      </c>
      <c r="D254" s="3" t="s">
        <v>20</v>
      </c>
      <c r="E254" s="3" t="s">
        <v>46</v>
      </c>
      <c r="F254" s="5">
        <v>1</v>
      </c>
      <c r="G254" s="6">
        <v>2.2999999999999998</v>
      </c>
      <c r="H254" s="6">
        <v>2.2999999999999998</v>
      </c>
      <c r="I254" s="6">
        <v>0.23</v>
      </c>
      <c r="J254" s="6">
        <v>2.0699999999999998</v>
      </c>
      <c r="K254" s="5">
        <v>70</v>
      </c>
    </row>
    <row r="255" spans="1:11" x14ac:dyDescent="0.3">
      <c r="A255" s="3">
        <v>8119</v>
      </c>
      <c r="B255" s="3" t="s">
        <v>14</v>
      </c>
      <c r="C255" s="4">
        <v>45413</v>
      </c>
      <c r="D255" s="3" t="s">
        <v>45</v>
      </c>
      <c r="E255" s="3" t="s">
        <v>41</v>
      </c>
      <c r="F255" s="5">
        <v>5</v>
      </c>
      <c r="G255" s="6">
        <v>26.89</v>
      </c>
      <c r="H255" s="6">
        <v>134.44999999999999</v>
      </c>
      <c r="I255" s="6">
        <v>2.27</v>
      </c>
      <c r="J255" s="6">
        <v>132.18</v>
      </c>
      <c r="K255" s="5">
        <v>71</v>
      </c>
    </row>
    <row r="256" spans="1:11" x14ac:dyDescent="0.3">
      <c r="A256" s="3">
        <v>6139</v>
      </c>
      <c r="B256" s="3" t="s">
        <v>24</v>
      </c>
      <c r="C256" s="4">
        <v>45483</v>
      </c>
      <c r="D256" s="3" t="s">
        <v>28</v>
      </c>
      <c r="E256" s="3" t="s">
        <v>37</v>
      </c>
      <c r="F256" s="5">
        <v>5</v>
      </c>
      <c r="G256" s="6">
        <v>10.74</v>
      </c>
      <c r="H256" s="6">
        <v>53.7</v>
      </c>
      <c r="I256" s="6">
        <v>0</v>
      </c>
      <c r="J256" s="6">
        <v>53.7</v>
      </c>
      <c r="K256" s="5">
        <v>424</v>
      </c>
    </row>
    <row r="257" spans="1:11" x14ac:dyDescent="0.3">
      <c r="A257" s="3">
        <v>9379</v>
      </c>
      <c r="B257" s="3" t="s">
        <v>30</v>
      </c>
      <c r="C257" s="4">
        <v>45234</v>
      </c>
      <c r="D257" s="3" t="s">
        <v>45</v>
      </c>
      <c r="E257" s="3" t="s">
        <v>39</v>
      </c>
      <c r="F257" s="5">
        <v>3</v>
      </c>
      <c r="G257" s="6">
        <v>10.6</v>
      </c>
      <c r="H257" s="6">
        <v>31.8</v>
      </c>
      <c r="I257" s="6">
        <v>2.23</v>
      </c>
      <c r="J257" s="6">
        <v>29.57</v>
      </c>
      <c r="K257" s="5">
        <v>56</v>
      </c>
    </row>
    <row r="258" spans="1:11" x14ac:dyDescent="0.3">
      <c r="A258" s="3">
        <v>7311</v>
      </c>
      <c r="B258" s="3" t="s">
        <v>31</v>
      </c>
      <c r="C258" s="4">
        <v>45843</v>
      </c>
      <c r="D258" s="3" t="s">
        <v>28</v>
      </c>
      <c r="E258" s="3" t="s">
        <v>47</v>
      </c>
      <c r="F258" s="5">
        <v>3</v>
      </c>
      <c r="G258" s="6">
        <v>29.04</v>
      </c>
      <c r="H258" s="6">
        <v>87.12</v>
      </c>
      <c r="I258" s="6">
        <v>0</v>
      </c>
      <c r="J258" s="6">
        <v>87.12</v>
      </c>
      <c r="K258" s="5">
        <v>400</v>
      </c>
    </row>
    <row r="259" spans="1:11" x14ac:dyDescent="0.3">
      <c r="A259" s="3">
        <v>4114</v>
      </c>
      <c r="B259" s="3" t="s">
        <v>31</v>
      </c>
      <c r="C259" s="4">
        <v>45342</v>
      </c>
      <c r="D259" s="3" t="s">
        <v>28</v>
      </c>
      <c r="E259" s="3" t="s">
        <v>47</v>
      </c>
      <c r="F259" s="5">
        <v>2</v>
      </c>
      <c r="G259" s="6">
        <v>16.190000000000001</v>
      </c>
      <c r="H259" s="6">
        <v>32.380000000000003</v>
      </c>
      <c r="I259" s="6">
        <v>6.48</v>
      </c>
      <c r="J259" s="6">
        <v>25.9</v>
      </c>
      <c r="K259" s="5">
        <v>369</v>
      </c>
    </row>
    <row r="260" spans="1:11" x14ac:dyDescent="0.3">
      <c r="A260" s="3">
        <v>1727</v>
      </c>
      <c r="B260" s="3" t="s">
        <v>42</v>
      </c>
      <c r="C260" s="4">
        <v>45695</v>
      </c>
      <c r="D260" s="3" t="s">
        <v>12</v>
      </c>
      <c r="E260" s="3" t="s">
        <v>48</v>
      </c>
      <c r="F260" s="5">
        <v>2</v>
      </c>
      <c r="G260" s="6">
        <v>1.54</v>
      </c>
      <c r="H260" s="6">
        <v>3.08</v>
      </c>
      <c r="I260" s="6">
        <v>0.62</v>
      </c>
      <c r="J260" s="6">
        <v>2.46</v>
      </c>
      <c r="K260" s="5">
        <v>160</v>
      </c>
    </row>
    <row r="261" spans="1:11" x14ac:dyDescent="0.3">
      <c r="A261" s="3">
        <v>8144</v>
      </c>
      <c r="B261" s="3" t="s">
        <v>24</v>
      </c>
      <c r="C261" s="4">
        <v>45146</v>
      </c>
      <c r="D261" s="3" t="s">
        <v>17</v>
      </c>
      <c r="E261" s="3" t="s">
        <v>16</v>
      </c>
      <c r="F261" s="5">
        <v>5</v>
      </c>
      <c r="G261" s="6">
        <v>23.46</v>
      </c>
      <c r="H261" s="6">
        <v>117.3</v>
      </c>
      <c r="I261" s="6">
        <v>0</v>
      </c>
      <c r="J261" s="6">
        <v>117.3</v>
      </c>
      <c r="K261" s="5">
        <v>471</v>
      </c>
    </row>
    <row r="262" spans="1:11" x14ac:dyDescent="0.3">
      <c r="A262" s="3">
        <v>9518</v>
      </c>
      <c r="B262" s="3" t="s">
        <v>31</v>
      </c>
      <c r="C262" s="4">
        <v>45863</v>
      </c>
      <c r="D262" s="3" t="s">
        <v>34</v>
      </c>
      <c r="E262" s="3" t="s">
        <v>46</v>
      </c>
      <c r="F262" s="5">
        <v>2</v>
      </c>
      <c r="G262" s="6">
        <v>17.260000000000002</v>
      </c>
      <c r="H262" s="6">
        <v>34.520000000000003</v>
      </c>
      <c r="I262" s="6">
        <v>2.5099999999999998</v>
      </c>
      <c r="J262" s="6">
        <v>32.01</v>
      </c>
      <c r="K262" s="5">
        <v>339</v>
      </c>
    </row>
    <row r="263" spans="1:11" x14ac:dyDescent="0.3">
      <c r="A263" s="3">
        <v>9821</v>
      </c>
      <c r="B263" s="3" t="s">
        <v>19</v>
      </c>
      <c r="C263" s="4">
        <v>45678</v>
      </c>
      <c r="D263" s="3" t="s">
        <v>45</v>
      </c>
      <c r="E263" s="3" t="s">
        <v>18</v>
      </c>
      <c r="F263" s="5">
        <v>3</v>
      </c>
      <c r="G263" s="6">
        <v>16.829999999999998</v>
      </c>
      <c r="H263" s="6">
        <v>50.49</v>
      </c>
      <c r="I263" s="6">
        <v>2.94</v>
      </c>
      <c r="J263" s="6">
        <v>47.55</v>
      </c>
      <c r="K263" s="5">
        <v>346</v>
      </c>
    </row>
    <row r="264" spans="1:11" x14ac:dyDescent="0.3">
      <c r="A264" s="3">
        <v>4228</v>
      </c>
      <c r="B264" s="3" t="s">
        <v>42</v>
      </c>
      <c r="C264" s="4">
        <v>45427</v>
      </c>
      <c r="D264" s="3" t="s">
        <v>35</v>
      </c>
      <c r="E264" s="3" t="s">
        <v>18</v>
      </c>
      <c r="F264" s="5">
        <v>3</v>
      </c>
      <c r="G264" s="6">
        <v>7.51</v>
      </c>
      <c r="H264" s="6">
        <v>22.53</v>
      </c>
      <c r="I264" s="6">
        <v>3.38</v>
      </c>
      <c r="J264" s="6">
        <v>19.149999999999999</v>
      </c>
      <c r="K264" s="5">
        <v>498</v>
      </c>
    </row>
    <row r="265" spans="1:11" x14ac:dyDescent="0.3">
      <c r="A265" s="3">
        <v>8066</v>
      </c>
      <c r="B265" s="3" t="s">
        <v>42</v>
      </c>
      <c r="C265" s="4">
        <v>45199</v>
      </c>
      <c r="D265" s="3" t="s">
        <v>45</v>
      </c>
      <c r="E265" s="3" t="s">
        <v>21</v>
      </c>
      <c r="F265" s="5">
        <v>4</v>
      </c>
      <c r="G265" s="6">
        <v>11.11</v>
      </c>
      <c r="H265" s="6">
        <v>44.44</v>
      </c>
      <c r="I265" s="6">
        <v>6.67</v>
      </c>
      <c r="J265" s="6">
        <v>37.770000000000003</v>
      </c>
      <c r="K265" s="5">
        <v>478</v>
      </c>
    </row>
    <row r="266" spans="1:11" x14ac:dyDescent="0.3">
      <c r="A266" s="3">
        <v>6409</v>
      </c>
      <c r="B266" s="3" t="s">
        <v>11</v>
      </c>
      <c r="C266" s="4">
        <v>45629</v>
      </c>
      <c r="D266" s="3" t="s">
        <v>28</v>
      </c>
      <c r="E266" s="3" t="s">
        <v>18</v>
      </c>
      <c r="F266" s="5">
        <v>4</v>
      </c>
      <c r="G266" s="6">
        <v>26.97</v>
      </c>
      <c r="H266" s="6">
        <v>107.88</v>
      </c>
      <c r="I266" s="6">
        <v>21.58</v>
      </c>
      <c r="J266" s="6">
        <v>86.3</v>
      </c>
      <c r="K266" s="5">
        <v>202</v>
      </c>
    </row>
    <row r="267" spans="1:11" x14ac:dyDescent="0.3">
      <c r="A267" s="3">
        <v>6143</v>
      </c>
      <c r="B267" s="3" t="s">
        <v>30</v>
      </c>
      <c r="C267" s="4">
        <v>45660</v>
      </c>
      <c r="D267" s="3" t="s">
        <v>12</v>
      </c>
      <c r="E267" s="3" t="s">
        <v>37</v>
      </c>
      <c r="F267" s="5">
        <v>1</v>
      </c>
      <c r="G267" s="6">
        <v>11.03</v>
      </c>
      <c r="H267" s="6">
        <v>11.03</v>
      </c>
      <c r="I267" s="6">
        <v>0</v>
      </c>
      <c r="J267" s="6">
        <v>11.03</v>
      </c>
      <c r="K267" s="5">
        <v>226</v>
      </c>
    </row>
    <row r="268" spans="1:11" x14ac:dyDescent="0.3">
      <c r="A268" s="3">
        <v>3041</v>
      </c>
      <c r="B268" s="3" t="s">
        <v>26</v>
      </c>
      <c r="C268" s="4">
        <v>45704</v>
      </c>
      <c r="D268" s="3" t="s">
        <v>17</v>
      </c>
      <c r="E268" s="3" t="s">
        <v>44</v>
      </c>
      <c r="F268" s="5">
        <v>5</v>
      </c>
      <c r="G268" s="6">
        <v>8.85</v>
      </c>
      <c r="H268" s="6">
        <v>44.25</v>
      </c>
      <c r="I268" s="6">
        <v>8.85</v>
      </c>
      <c r="J268" s="6">
        <v>35.4</v>
      </c>
      <c r="K268" s="5">
        <v>287</v>
      </c>
    </row>
    <row r="269" spans="1:11" x14ac:dyDescent="0.3">
      <c r="A269" s="3">
        <v>5920</v>
      </c>
      <c r="B269" s="3" t="s">
        <v>11</v>
      </c>
      <c r="C269" s="4">
        <v>45538</v>
      </c>
      <c r="D269" s="3" t="s">
        <v>28</v>
      </c>
      <c r="E269" s="3" t="s">
        <v>25</v>
      </c>
      <c r="F269" s="5">
        <v>2</v>
      </c>
      <c r="G269" s="6">
        <v>2.46</v>
      </c>
      <c r="H269" s="6">
        <v>4.92</v>
      </c>
      <c r="I269" s="6">
        <v>0</v>
      </c>
      <c r="J269" s="6">
        <v>4.92</v>
      </c>
      <c r="K269" s="5">
        <v>463</v>
      </c>
    </row>
    <row r="270" spans="1:11" x14ac:dyDescent="0.3">
      <c r="A270" s="3">
        <v>6067</v>
      </c>
      <c r="B270" s="3" t="s">
        <v>42</v>
      </c>
      <c r="C270" s="4">
        <v>45662</v>
      </c>
      <c r="D270" s="3" t="s">
        <v>12</v>
      </c>
      <c r="E270" s="3" t="s">
        <v>48</v>
      </c>
      <c r="F270" s="5">
        <v>4</v>
      </c>
      <c r="G270" s="6">
        <v>10.57</v>
      </c>
      <c r="H270" s="6">
        <v>42.28</v>
      </c>
      <c r="I270" s="6">
        <v>0</v>
      </c>
      <c r="J270" s="6">
        <v>42.28</v>
      </c>
      <c r="K270" s="5">
        <v>241</v>
      </c>
    </row>
    <row r="271" spans="1:11" x14ac:dyDescent="0.3">
      <c r="A271" s="3">
        <v>7691</v>
      </c>
      <c r="B271" s="3" t="s">
        <v>19</v>
      </c>
      <c r="C271" s="4">
        <v>45398</v>
      </c>
      <c r="D271" s="3" t="s">
        <v>12</v>
      </c>
      <c r="E271" s="3" t="s">
        <v>18</v>
      </c>
      <c r="F271" s="5">
        <v>2</v>
      </c>
      <c r="G271" s="6">
        <v>12.79</v>
      </c>
      <c r="H271" s="6">
        <v>25.58</v>
      </c>
      <c r="I271" s="6">
        <v>2.56</v>
      </c>
      <c r="J271" s="6">
        <v>23.02</v>
      </c>
      <c r="K271" s="5">
        <v>478</v>
      </c>
    </row>
    <row r="272" spans="1:11" x14ac:dyDescent="0.3">
      <c r="A272" s="3">
        <v>7592</v>
      </c>
      <c r="B272" s="3" t="s">
        <v>42</v>
      </c>
      <c r="C272" s="4">
        <v>45686</v>
      </c>
      <c r="D272" s="3" t="s">
        <v>35</v>
      </c>
      <c r="E272" s="3" t="s">
        <v>21</v>
      </c>
      <c r="F272" s="5">
        <v>3</v>
      </c>
      <c r="G272" s="6">
        <v>19.72</v>
      </c>
      <c r="H272" s="6">
        <v>59.16</v>
      </c>
      <c r="I272" s="6">
        <v>0</v>
      </c>
      <c r="J272" s="6">
        <v>59.16</v>
      </c>
      <c r="K272" s="5">
        <v>464</v>
      </c>
    </row>
    <row r="273" spans="1:11" x14ac:dyDescent="0.3">
      <c r="A273" s="3">
        <v>5844</v>
      </c>
      <c r="B273" s="3" t="s">
        <v>42</v>
      </c>
      <c r="C273" s="4">
        <v>45575</v>
      </c>
      <c r="D273" s="3" t="s">
        <v>38</v>
      </c>
      <c r="E273" s="3" t="s">
        <v>40</v>
      </c>
      <c r="F273" s="5">
        <v>2</v>
      </c>
      <c r="G273" s="6">
        <v>13.11</v>
      </c>
      <c r="H273" s="6">
        <v>26.22</v>
      </c>
      <c r="I273" s="6">
        <v>4.99</v>
      </c>
      <c r="J273" s="6">
        <v>21.23</v>
      </c>
      <c r="K273" s="5">
        <v>428</v>
      </c>
    </row>
    <row r="274" spans="1:11" x14ac:dyDescent="0.3">
      <c r="A274" s="3">
        <v>3085</v>
      </c>
      <c r="B274" s="3" t="s">
        <v>24</v>
      </c>
      <c r="C274" s="4">
        <v>45294</v>
      </c>
      <c r="D274" s="3" t="s">
        <v>45</v>
      </c>
      <c r="E274" s="3" t="s">
        <v>29</v>
      </c>
      <c r="F274" s="5">
        <v>3</v>
      </c>
      <c r="G274" s="6">
        <v>26.42</v>
      </c>
      <c r="H274" s="6">
        <v>79.260000000000005</v>
      </c>
      <c r="I274" s="6">
        <v>3.41</v>
      </c>
      <c r="J274" s="6">
        <v>75.849999999999994</v>
      </c>
      <c r="K274" s="5">
        <v>4</v>
      </c>
    </row>
    <row r="275" spans="1:11" x14ac:dyDescent="0.3">
      <c r="A275" s="3">
        <v>7888</v>
      </c>
      <c r="B275" s="3" t="s">
        <v>36</v>
      </c>
      <c r="C275" s="4">
        <v>45661</v>
      </c>
      <c r="D275" s="3" t="s">
        <v>35</v>
      </c>
      <c r="E275" s="3" t="s">
        <v>33</v>
      </c>
      <c r="F275" s="5">
        <v>5</v>
      </c>
      <c r="G275" s="6">
        <v>16.2</v>
      </c>
      <c r="H275" s="6">
        <v>81</v>
      </c>
      <c r="I275" s="6">
        <v>2.87</v>
      </c>
      <c r="J275" s="6">
        <v>78.13</v>
      </c>
      <c r="K275" s="5">
        <v>455</v>
      </c>
    </row>
    <row r="276" spans="1:11" x14ac:dyDescent="0.3">
      <c r="A276" s="3">
        <v>7211</v>
      </c>
      <c r="B276" s="3" t="s">
        <v>42</v>
      </c>
      <c r="C276" s="4">
        <v>45671</v>
      </c>
      <c r="D276" s="3" t="s">
        <v>15</v>
      </c>
      <c r="E276" s="3" t="s">
        <v>21</v>
      </c>
      <c r="F276" s="5">
        <v>2</v>
      </c>
      <c r="G276" s="6">
        <v>22.19</v>
      </c>
      <c r="H276" s="6">
        <v>44.38</v>
      </c>
      <c r="I276" s="6">
        <v>0</v>
      </c>
      <c r="J276" s="6">
        <v>44.38</v>
      </c>
      <c r="K276" s="5">
        <v>331</v>
      </c>
    </row>
    <row r="277" spans="1:11" x14ac:dyDescent="0.3">
      <c r="A277" s="3">
        <v>3851</v>
      </c>
      <c r="B277" s="3" t="s">
        <v>19</v>
      </c>
      <c r="C277" s="4">
        <v>45623</v>
      </c>
      <c r="D277" s="3" t="s">
        <v>12</v>
      </c>
      <c r="E277" s="3" t="s">
        <v>21</v>
      </c>
      <c r="F277" s="5">
        <v>3</v>
      </c>
      <c r="G277" s="6">
        <v>17.46</v>
      </c>
      <c r="H277" s="6">
        <v>52.38</v>
      </c>
      <c r="I277" s="6">
        <v>10.48</v>
      </c>
      <c r="J277" s="6">
        <v>41.9</v>
      </c>
      <c r="K277" s="5">
        <v>387</v>
      </c>
    </row>
    <row r="278" spans="1:11" x14ac:dyDescent="0.3">
      <c r="A278" s="3">
        <v>5930</v>
      </c>
      <c r="B278" s="3" t="s">
        <v>24</v>
      </c>
      <c r="C278" s="4">
        <v>45460</v>
      </c>
      <c r="D278" s="3" t="s">
        <v>20</v>
      </c>
      <c r="E278" s="3" t="s">
        <v>46</v>
      </c>
      <c r="F278" s="5">
        <v>3</v>
      </c>
      <c r="G278" s="6">
        <v>3.51</v>
      </c>
      <c r="H278" s="6">
        <v>10.53</v>
      </c>
      <c r="I278" s="6">
        <v>2.11</v>
      </c>
      <c r="J278" s="6">
        <v>8.42</v>
      </c>
      <c r="K278" s="5">
        <v>342</v>
      </c>
    </row>
    <row r="279" spans="1:11" x14ac:dyDescent="0.3">
      <c r="A279" s="3">
        <v>9977</v>
      </c>
      <c r="B279" s="3" t="s">
        <v>19</v>
      </c>
      <c r="C279" s="4">
        <v>45792</v>
      </c>
      <c r="D279" s="3" t="s">
        <v>45</v>
      </c>
      <c r="E279" s="3" t="s">
        <v>21</v>
      </c>
      <c r="F279" s="5">
        <v>2</v>
      </c>
      <c r="G279" s="6">
        <v>1.19</v>
      </c>
      <c r="H279" s="6">
        <v>2.38</v>
      </c>
      <c r="I279" s="6">
        <v>0.24</v>
      </c>
      <c r="J279" s="6">
        <v>2.14</v>
      </c>
      <c r="K279" s="5">
        <v>196</v>
      </c>
    </row>
    <row r="280" spans="1:11" x14ac:dyDescent="0.3">
      <c r="A280" s="3">
        <v>1006</v>
      </c>
      <c r="B280" s="3" t="s">
        <v>30</v>
      </c>
      <c r="C280" s="4">
        <v>45381</v>
      </c>
      <c r="D280" s="3" t="s">
        <v>22</v>
      </c>
      <c r="E280" s="3" t="s">
        <v>37</v>
      </c>
      <c r="F280" s="5">
        <v>5</v>
      </c>
      <c r="G280" s="6">
        <v>21.95</v>
      </c>
      <c r="H280" s="6">
        <v>109.75</v>
      </c>
      <c r="I280" s="6">
        <v>0</v>
      </c>
      <c r="J280" s="6">
        <v>109.75</v>
      </c>
      <c r="K280" s="5">
        <v>5</v>
      </c>
    </row>
    <row r="281" spans="1:11" x14ac:dyDescent="0.3">
      <c r="A281" s="3">
        <v>5700</v>
      </c>
      <c r="B281" s="3" t="s">
        <v>36</v>
      </c>
      <c r="C281" s="4">
        <v>45308</v>
      </c>
      <c r="D281" s="3" t="s">
        <v>17</v>
      </c>
      <c r="E281" s="3" t="s">
        <v>40</v>
      </c>
      <c r="F281" s="5">
        <v>1</v>
      </c>
      <c r="G281" s="6">
        <v>14.49</v>
      </c>
      <c r="H281" s="6">
        <v>14.49</v>
      </c>
      <c r="I281" s="6">
        <v>0</v>
      </c>
      <c r="J281" s="6">
        <v>14.49</v>
      </c>
      <c r="K281" s="5">
        <v>81</v>
      </c>
    </row>
    <row r="282" spans="1:11" x14ac:dyDescent="0.3">
      <c r="A282" s="3">
        <v>8043</v>
      </c>
      <c r="B282" s="3" t="s">
        <v>14</v>
      </c>
      <c r="C282" s="4">
        <v>45755</v>
      </c>
      <c r="D282" s="3" t="s">
        <v>35</v>
      </c>
      <c r="E282" s="3" t="s">
        <v>48</v>
      </c>
      <c r="F282" s="5">
        <v>3</v>
      </c>
      <c r="G282" s="6">
        <v>11.65</v>
      </c>
      <c r="H282" s="6">
        <v>34.950000000000003</v>
      </c>
      <c r="I282" s="6">
        <v>6.99</v>
      </c>
      <c r="J282" s="6">
        <v>27.96</v>
      </c>
      <c r="K282" s="5">
        <v>113</v>
      </c>
    </row>
    <row r="283" spans="1:11" x14ac:dyDescent="0.3">
      <c r="A283" s="3">
        <v>6279</v>
      </c>
      <c r="B283" s="3" t="s">
        <v>26</v>
      </c>
      <c r="C283" s="4">
        <v>45506</v>
      </c>
      <c r="D283" s="3" t="s">
        <v>34</v>
      </c>
      <c r="E283" s="3" t="s">
        <v>33</v>
      </c>
      <c r="F283" s="5">
        <v>5</v>
      </c>
      <c r="G283" s="6">
        <v>11.83</v>
      </c>
      <c r="H283" s="6">
        <v>59.15</v>
      </c>
      <c r="I283" s="6">
        <v>4.21</v>
      </c>
      <c r="J283" s="6">
        <v>54.94</v>
      </c>
      <c r="K283" s="5">
        <v>359</v>
      </c>
    </row>
    <row r="284" spans="1:11" x14ac:dyDescent="0.3">
      <c r="A284" s="3">
        <v>8238</v>
      </c>
      <c r="B284" s="3" t="s">
        <v>42</v>
      </c>
      <c r="C284" s="4">
        <v>45488</v>
      </c>
      <c r="D284" s="3" t="s">
        <v>17</v>
      </c>
      <c r="E284" s="3" t="s">
        <v>43</v>
      </c>
      <c r="F284" s="5">
        <v>5</v>
      </c>
      <c r="G284" s="6">
        <v>13.95</v>
      </c>
      <c r="H284" s="6">
        <v>69.75</v>
      </c>
      <c r="I284" s="6">
        <v>4.67</v>
      </c>
      <c r="J284" s="6">
        <v>65.08</v>
      </c>
      <c r="K284" s="5">
        <v>360</v>
      </c>
    </row>
    <row r="285" spans="1:11" x14ac:dyDescent="0.3">
      <c r="A285" s="3">
        <v>4501</v>
      </c>
      <c r="B285" s="3" t="s">
        <v>11</v>
      </c>
      <c r="C285" s="4">
        <v>45542</v>
      </c>
      <c r="D285" s="3" t="s">
        <v>12</v>
      </c>
      <c r="E285" s="3" t="s">
        <v>18</v>
      </c>
      <c r="F285" s="5">
        <v>5</v>
      </c>
      <c r="G285" s="6">
        <v>6.85</v>
      </c>
      <c r="H285" s="6">
        <v>34.25</v>
      </c>
      <c r="I285" s="6">
        <v>6.85</v>
      </c>
      <c r="J285" s="6">
        <v>27.4</v>
      </c>
      <c r="K285" s="5">
        <v>274</v>
      </c>
    </row>
    <row r="286" spans="1:11" x14ac:dyDescent="0.3">
      <c r="A286" s="3">
        <v>8752</v>
      </c>
      <c r="B286" s="3" t="s">
        <v>36</v>
      </c>
      <c r="C286" s="4">
        <v>45761</v>
      </c>
      <c r="D286" s="3" t="s">
        <v>38</v>
      </c>
      <c r="E286" s="3" t="s">
        <v>33</v>
      </c>
      <c r="F286" s="5">
        <v>1</v>
      </c>
      <c r="G286" s="6">
        <v>20.72</v>
      </c>
      <c r="H286" s="6">
        <v>20.72</v>
      </c>
      <c r="I286" s="6">
        <v>4.5999999999999996</v>
      </c>
      <c r="J286" s="6">
        <v>16.12</v>
      </c>
      <c r="K286" s="5">
        <v>367</v>
      </c>
    </row>
    <row r="287" spans="1:11" x14ac:dyDescent="0.3">
      <c r="A287" s="3">
        <v>3780</v>
      </c>
      <c r="B287" s="3" t="s">
        <v>26</v>
      </c>
      <c r="C287" s="4">
        <v>45656</v>
      </c>
      <c r="D287" s="3" t="s">
        <v>12</v>
      </c>
      <c r="E287" s="3" t="s">
        <v>33</v>
      </c>
      <c r="F287" s="5">
        <v>2</v>
      </c>
      <c r="G287" s="6">
        <v>15.87</v>
      </c>
      <c r="H287" s="6">
        <v>31.74</v>
      </c>
      <c r="I287" s="6">
        <v>2.85</v>
      </c>
      <c r="J287" s="6">
        <v>28.89</v>
      </c>
      <c r="K287" s="5">
        <v>233</v>
      </c>
    </row>
    <row r="288" spans="1:11" x14ac:dyDescent="0.3">
      <c r="A288" s="3">
        <v>2389</v>
      </c>
      <c r="B288" s="3" t="s">
        <v>30</v>
      </c>
      <c r="C288" s="4">
        <v>45365</v>
      </c>
      <c r="D288" s="3" t="s">
        <v>12</v>
      </c>
      <c r="E288" s="3" t="s">
        <v>32</v>
      </c>
      <c r="F288" s="5">
        <v>3</v>
      </c>
      <c r="G288" s="6">
        <v>24.67</v>
      </c>
      <c r="H288" s="6">
        <v>74.010000000000005</v>
      </c>
      <c r="I288" s="6">
        <v>1.29</v>
      </c>
      <c r="J288" s="6">
        <v>72.72</v>
      </c>
      <c r="K288" s="5">
        <v>381</v>
      </c>
    </row>
    <row r="289" spans="1:11" x14ac:dyDescent="0.3">
      <c r="A289" s="3">
        <v>9445</v>
      </c>
      <c r="B289" s="3"/>
      <c r="C289" s="4">
        <v>45660</v>
      </c>
      <c r="D289" s="3" t="s">
        <v>22</v>
      </c>
      <c r="E289" s="3" t="s">
        <v>43</v>
      </c>
      <c r="F289" s="5">
        <v>5</v>
      </c>
      <c r="G289" s="6">
        <v>29.82</v>
      </c>
      <c r="H289" s="6">
        <v>149.1</v>
      </c>
      <c r="I289" s="6">
        <v>14.91</v>
      </c>
      <c r="J289" s="6">
        <v>134.19</v>
      </c>
      <c r="K289" s="5">
        <v>478</v>
      </c>
    </row>
    <row r="290" spans="1:11" x14ac:dyDescent="0.3">
      <c r="A290" s="3">
        <v>6491</v>
      </c>
      <c r="B290" s="3" t="s">
        <v>31</v>
      </c>
      <c r="C290" s="4">
        <v>45217</v>
      </c>
      <c r="D290" s="3" t="s">
        <v>35</v>
      </c>
      <c r="E290" s="3" t="s">
        <v>16</v>
      </c>
      <c r="F290" s="5">
        <v>2</v>
      </c>
      <c r="G290" s="6">
        <v>23.29</v>
      </c>
      <c r="H290" s="6">
        <v>46.58</v>
      </c>
      <c r="I290" s="6">
        <v>6.99</v>
      </c>
      <c r="J290" s="6">
        <v>39.590000000000003</v>
      </c>
      <c r="K290" s="5">
        <v>392</v>
      </c>
    </row>
    <row r="291" spans="1:11" x14ac:dyDescent="0.3">
      <c r="A291" s="3">
        <v>4848</v>
      </c>
      <c r="B291" s="3" t="s">
        <v>24</v>
      </c>
      <c r="C291" s="4">
        <v>45667</v>
      </c>
      <c r="D291" s="3" t="s">
        <v>45</v>
      </c>
      <c r="E291" s="3" t="s">
        <v>32</v>
      </c>
      <c r="F291" s="5">
        <v>4</v>
      </c>
      <c r="G291" s="6">
        <v>3.32</v>
      </c>
      <c r="H291" s="6">
        <v>13.28</v>
      </c>
      <c r="I291" s="6">
        <v>0</v>
      </c>
      <c r="J291" s="6">
        <v>13.28</v>
      </c>
      <c r="K291" s="5">
        <v>493</v>
      </c>
    </row>
    <row r="292" spans="1:11" x14ac:dyDescent="0.3">
      <c r="A292" s="3">
        <v>6085</v>
      </c>
      <c r="B292" s="3" t="s">
        <v>36</v>
      </c>
      <c r="C292" s="4">
        <v>45319</v>
      </c>
      <c r="D292" s="3" t="s">
        <v>15</v>
      </c>
      <c r="E292" s="3" t="s">
        <v>29</v>
      </c>
      <c r="F292" s="5">
        <v>5</v>
      </c>
      <c r="G292" s="6">
        <v>12.39</v>
      </c>
      <c r="H292" s="6">
        <v>61.95</v>
      </c>
      <c r="I292" s="6">
        <v>4.0199999999999996</v>
      </c>
      <c r="J292" s="6">
        <v>57.93</v>
      </c>
      <c r="K292" s="5">
        <v>65</v>
      </c>
    </row>
    <row r="293" spans="1:11" x14ac:dyDescent="0.3">
      <c r="A293" s="3">
        <v>4262</v>
      </c>
      <c r="B293" s="3" t="s">
        <v>30</v>
      </c>
      <c r="C293" s="4">
        <v>45259</v>
      </c>
      <c r="D293" s="3" t="s">
        <v>45</v>
      </c>
      <c r="E293" s="3" t="s">
        <v>18</v>
      </c>
      <c r="F293" s="5">
        <v>4</v>
      </c>
      <c r="G293" s="6">
        <v>16.420000000000002</v>
      </c>
      <c r="H293" s="6">
        <v>65.680000000000007</v>
      </c>
      <c r="I293" s="6">
        <v>13.14</v>
      </c>
      <c r="J293" s="6">
        <v>52.54</v>
      </c>
      <c r="K293" s="5">
        <v>421</v>
      </c>
    </row>
    <row r="294" spans="1:11" x14ac:dyDescent="0.3">
      <c r="A294" s="3">
        <v>1400</v>
      </c>
      <c r="B294" s="3" t="s">
        <v>26</v>
      </c>
      <c r="C294" s="4">
        <v>45180</v>
      </c>
      <c r="D294" s="3" t="s">
        <v>22</v>
      </c>
      <c r="E294" s="3" t="s">
        <v>41</v>
      </c>
      <c r="F294" s="5">
        <v>3</v>
      </c>
      <c r="G294" s="6">
        <v>6.46</v>
      </c>
      <c r="H294" s="6">
        <v>19.38</v>
      </c>
      <c r="I294" s="6">
        <v>4.24</v>
      </c>
      <c r="J294" s="6">
        <v>15.14</v>
      </c>
      <c r="K294" s="5">
        <v>448</v>
      </c>
    </row>
    <row r="295" spans="1:11" x14ac:dyDescent="0.3">
      <c r="A295" s="3">
        <v>5011</v>
      </c>
      <c r="B295" s="3" t="s">
        <v>24</v>
      </c>
      <c r="C295" s="4">
        <v>45514</v>
      </c>
      <c r="D295" s="3" t="s">
        <v>28</v>
      </c>
      <c r="E295" s="3" t="s">
        <v>39</v>
      </c>
      <c r="F295" s="5">
        <v>2</v>
      </c>
      <c r="G295" s="6">
        <v>6.97</v>
      </c>
      <c r="H295" s="6">
        <v>13.94</v>
      </c>
      <c r="I295" s="6">
        <v>1.39</v>
      </c>
      <c r="J295" s="6">
        <v>12.55</v>
      </c>
      <c r="K295" s="5">
        <v>51</v>
      </c>
    </row>
    <row r="296" spans="1:11" x14ac:dyDescent="0.3">
      <c r="A296" s="3">
        <v>2193</v>
      </c>
      <c r="B296" s="3" t="s">
        <v>31</v>
      </c>
      <c r="C296" s="4">
        <v>45498</v>
      </c>
      <c r="D296" s="3" t="s">
        <v>17</v>
      </c>
      <c r="E296" s="3" t="s">
        <v>40</v>
      </c>
      <c r="F296" s="5">
        <v>4</v>
      </c>
      <c r="G296" s="6">
        <v>13.72</v>
      </c>
      <c r="H296" s="6">
        <v>54.88</v>
      </c>
      <c r="I296" s="6">
        <v>1.56</v>
      </c>
      <c r="J296" s="6">
        <v>53.32</v>
      </c>
      <c r="K296" s="5">
        <v>276</v>
      </c>
    </row>
    <row r="297" spans="1:11" x14ac:dyDescent="0.3">
      <c r="A297" s="3">
        <v>7790</v>
      </c>
      <c r="B297" s="3" t="s">
        <v>30</v>
      </c>
      <c r="C297" s="4">
        <v>45833</v>
      </c>
      <c r="D297" s="3" t="s">
        <v>17</v>
      </c>
      <c r="E297" s="3" t="s">
        <v>21</v>
      </c>
      <c r="F297" s="5">
        <v>5</v>
      </c>
      <c r="G297" s="6">
        <v>18.329999999999998</v>
      </c>
      <c r="H297" s="6">
        <v>91.65</v>
      </c>
      <c r="I297" s="6">
        <v>18.329999999999998</v>
      </c>
      <c r="J297" s="6">
        <v>73.319999999999993</v>
      </c>
      <c r="K297" s="5">
        <v>344</v>
      </c>
    </row>
    <row r="298" spans="1:11" x14ac:dyDescent="0.3">
      <c r="A298" s="3">
        <v>4185</v>
      </c>
      <c r="B298" s="3" t="s">
        <v>30</v>
      </c>
      <c r="C298" s="4">
        <v>45702</v>
      </c>
      <c r="D298" s="3" t="s">
        <v>34</v>
      </c>
      <c r="E298" s="3" t="s">
        <v>46</v>
      </c>
      <c r="F298" s="5">
        <v>2</v>
      </c>
      <c r="G298" s="6">
        <v>12.98</v>
      </c>
      <c r="H298" s="6">
        <v>25.96</v>
      </c>
      <c r="I298" s="6">
        <v>4.79</v>
      </c>
      <c r="J298" s="6">
        <v>21.17</v>
      </c>
      <c r="K298" s="5">
        <v>140</v>
      </c>
    </row>
    <row r="299" spans="1:11" x14ac:dyDescent="0.3">
      <c r="A299" s="3">
        <v>7291</v>
      </c>
      <c r="B299" s="3" t="s">
        <v>19</v>
      </c>
      <c r="C299" s="4">
        <v>45528</v>
      </c>
      <c r="D299" s="3" t="s">
        <v>27</v>
      </c>
      <c r="E299" s="3" t="s">
        <v>16</v>
      </c>
      <c r="F299" s="5">
        <v>5</v>
      </c>
      <c r="G299" s="6">
        <v>15.36</v>
      </c>
      <c r="H299" s="6">
        <v>76.8</v>
      </c>
      <c r="I299" s="6">
        <v>0</v>
      </c>
      <c r="J299" s="6">
        <v>76.8</v>
      </c>
      <c r="K299" s="5">
        <v>497</v>
      </c>
    </row>
    <row r="300" spans="1:11" x14ac:dyDescent="0.3">
      <c r="A300" s="3">
        <v>7547</v>
      </c>
      <c r="B300" s="3" t="s">
        <v>24</v>
      </c>
      <c r="C300" s="4">
        <v>45334</v>
      </c>
      <c r="D300" s="3" t="s">
        <v>38</v>
      </c>
      <c r="E300" s="3" t="s">
        <v>21</v>
      </c>
      <c r="F300" s="5">
        <v>4</v>
      </c>
      <c r="G300" s="6">
        <v>12.83</v>
      </c>
      <c r="H300" s="6">
        <v>51.32</v>
      </c>
      <c r="I300" s="6">
        <v>10.26</v>
      </c>
      <c r="J300" s="6">
        <v>41.06</v>
      </c>
      <c r="K300" s="5">
        <v>153</v>
      </c>
    </row>
    <row r="301" spans="1:11" x14ac:dyDescent="0.3">
      <c r="A301" s="3">
        <v>3417</v>
      </c>
      <c r="B301" s="3" t="s">
        <v>14</v>
      </c>
      <c r="C301" s="4">
        <v>45654</v>
      </c>
      <c r="D301" s="3" t="s">
        <v>45</v>
      </c>
      <c r="E301" s="3" t="s">
        <v>25</v>
      </c>
      <c r="F301" s="5">
        <v>2</v>
      </c>
      <c r="G301" s="6">
        <v>9.7100000000000009</v>
      </c>
      <c r="H301" s="6">
        <v>19.420000000000002</v>
      </c>
      <c r="I301" s="6">
        <v>1.94</v>
      </c>
      <c r="J301" s="6">
        <v>17.48</v>
      </c>
      <c r="K301" s="5">
        <v>362</v>
      </c>
    </row>
    <row r="302" spans="1:11" x14ac:dyDescent="0.3">
      <c r="A302" s="3">
        <v>1090</v>
      </c>
      <c r="B302" s="3" t="s">
        <v>31</v>
      </c>
      <c r="C302" s="4">
        <v>45838</v>
      </c>
      <c r="D302" s="3" t="s">
        <v>38</v>
      </c>
      <c r="E302" s="3" t="s">
        <v>16</v>
      </c>
      <c r="F302" s="5">
        <v>4</v>
      </c>
      <c r="G302" s="6">
        <v>17.149999999999999</v>
      </c>
      <c r="H302" s="6">
        <v>68.599999999999994</v>
      </c>
      <c r="I302" s="6">
        <v>13.72</v>
      </c>
      <c r="J302" s="6">
        <v>54.88</v>
      </c>
      <c r="K302" s="5">
        <v>68</v>
      </c>
    </row>
    <row r="303" spans="1:11" x14ac:dyDescent="0.3">
      <c r="A303" s="3">
        <v>2746</v>
      </c>
      <c r="B303" s="3" t="s">
        <v>30</v>
      </c>
      <c r="C303" s="4">
        <v>45749</v>
      </c>
      <c r="D303" s="3" t="s">
        <v>17</v>
      </c>
      <c r="E303" s="3" t="s">
        <v>21</v>
      </c>
      <c r="F303" s="5">
        <v>1</v>
      </c>
      <c r="G303" s="6">
        <v>27.73</v>
      </c>
      <c r="H303" s="6">
        <v>27.73</v>
      </c>
      <c r="I303" s="6">
        <v>3.14</v>
      </c>
      <c r="J303" s="6">
        <v>24.59</v>
      </c>
      <c r="K303" s="5">
        <v>433</v>
      </c>
    </row>
    <row r="304" spans="1:11" x14ac:dyDescent="0.3">
      <c r="A304" s="3">
        <v>7965</v>
      </c>
      <c r="B304" s="3" t="s">
        <v>42</v>
      </c>
      <c r="C304" s="4">
        <v>45314</v>
      </c>
      <c r="D304" s="3" t="s">
        <v>12</v>
      </c>
      <c r="E304" s="3" t="s">
        <v>13</v>
      </c>
      <c r="F304" s="5">
        <v>4</v>
      </c>
      <c r="G304" s="6">
        <v>20.53</v>
      </c>
      <c r="H304" s="6">
        <v>82.12</v>
      </c>
      <c r="I304" s="6">
        <v>1.75</v>
      </c>
      <c r="J304" s="6">
        <v>80.37</v>
      </c>
      <c r="K304" s="5">
        <v>308</v>
      </c>
    </row>
    <row r="305" spans="1:11" x14ac:dyDescent="0.3">
      <c r="A305" s="3">
        <v>3881</v>
      </c>
      <c r="B305" s="3" t="s">
        <v>14</v>
      </c>
      <c r="C305" s="4">
        <v>45769</v>
      </c>
      <c r="D305" s="3" t="s">
        <v>17</v>
      </c>
      <c r="E305" s="3" t="s">
        <v>47</v>
      </c>
      <c r="F305" s="5">
        <v>2</v>
      </c>
      <c r="G305" s="6">
        <v>26.2</v>
      </c>
      <c r="H305" s="6">
        <v>52.4</v>
      </c>
      <c r="I305" s="6">
        <v>1.85</v>
      </c>
      <c r="J305" s="6">
        <v>50.55</v>
      </c>
      <c r="K305" s="5">
        <v>170</v>
      </c>
    </row>
    <row r="306" spans="1:11" x14ac:dyDescent="0.3">
      <c r="A306" s="3">
        <v>9486</v>
      </c>
      <c r="B306" s="3" t="s">
        <v>42</v>
      </c>
      <c r="C306" s="4">
        <v>45505</v>
      </c>
      <c r="D306" s="3" t="s">
        <v>15</v>
      </c>
      <c r="E306" s="3" t="s">
        <v>47</v>
      </c>
      <c r="F306" s="5">
        <v>2</v>
      </c>
      <c r="G306" s="6">
        <v>21.16</v>
      </c>
      <c r="H306" s="6">
        <v>42.32</v>
      </c>
      <c r="I306" s="6">
        <v>4.2300000000000004</v>
      </c>
      <c r="J306" s="6">
        <v>38.090000000000003</v>
      </c>
      <c r="K306" s="5">
        <v>360</v>
      </c>
    </row>
    <row r="307" spans="1:11" x14ac:dyDescent="0.3">
      <c r="A307" s="3">
        <v>1822</v>
      </c>
      <c r="B307" s="3" t="s">
        <v>42</v>
      </c>
      <c r="C307" s="4">
        <v>45577</v>
      </c>
      <c r="D307" s="3" t="s">
        <v>38</v>
      </c>
      <c r="E307" s="3" t="s">
        <v>21</v>
      </c>
      <c r="F307" s="5">
        <v>3</v>
      </c>
      <c r="G307" s="6">
        <v>12.03</v>
      </c>
      <c r="H307" s="6">
        <v>36.090000000000003</v>
      </c>
      <c r="I307" s="6">
        <v>5.41</v>
      </c>
      <c r="J307" s="6">
        <v>30.68</v>
      </c>
      <c r="K307" s="5">
        <v>273</v>
      </c>
    </row>
    <row r="308" spans="1:11" x14ac:dyDescent="0.3">
      <c r="A308" s="3">
        <v>5082</v>
      </c>
      <c r="B308" s="3" t="s">
        <v>30</v>
      </c>
      <c r="C308" s="4">
        <v>45857</v>
      </c>
      <c r="D308" s="3" t="s">
        <v>22</v>
      </c>
      <c r="E308" s="3" t="s">
        <v>46</v>
      </c>
      <c r="F308" s="5">
        <v>4</v>
      </c>
      <c r="G308" s="6">
        <v>14.5</v>
      </c>
      <c r="H308" s="6">
        <v>58</v>
      </c>
      <c r="I308" s="6">
        <v>8.6999999999999993</v>
      </c>
      <c r="J308" s="6">
        <v>49.3</v>
      </c>
      <c r="K308" s="5">
        <v>411</v>
      </c>
    </row>
    <row r="309" spans="1:11" x14ac:dyDescent="0.3">
      <c r="A309" s="3">
        <v>2988</v>
      </c>
      <c r="B309" s="3" t="s">
        <v>42</v>
      </c>
      <c r="C309" s="4">
        <v>45499</v>
      </c>
      <c r="D309" s="3" t="s">
        <v>22</v>
      </c>
      <c r="E309" s="3" t="s">
        <v>21</v>
      </c>
      <c r="F309" s="5">
        <v>4</v>
      </c>
      <c r="G309" s="6">
        <v>2.3199999999999998</v>
      </c>
      <c r="H309" s="6">
        <v>9.2799999999999994</v>
      </c>
      <c r="I309" s="6">
        <v>0</v>
      </c>
      <c r="J309" s="6">
        <v>9.2799999999999994</v>
      </c>
      <c r="K309" s="5">
        <v>442</v>
      </c>
    </row>
    <row r="310" spans="1:11" x14ac:dyDescent="0.3">
      <c r="A310" s="3">
        <v>3184</v>
      </c>
      <c r="B310" s="3" t="s">
        <v>19</v>
      </c>
      <c r="C310" s="4">
        <v>45767</v>
      </c>
      <c r="D310" s="3" t="s">
        <v>12</v>
      </c>
      <c r="E310" s="3" t="s">
        <v>13</v>
      </c>
      <c r="F310" s="5">
        <v>5</v>
      </c>
      <c r="G310" s="6">
        <v>28.1</v>
      </c>
      <c r="H310" s="6">
        <v>140.5</v>
      </c>
      <c r="I310" s="6">
        <v>21.07</v>
      </c>
      <c r="J310" s="6">
        <v>119.43</v>
      </c>
      <c r="K310" s="5">
        <v>296</v>
      </c>
    </row>
    <row r="311" spans="1:11" x14ac:dyDescent="0.3">
      <c r="A311" s="3">
        <v>8612</v>
      </c>
      <c r="B311" s="3" t="s">
        <v>19</v>
      </c>
      <c r="C311" s="4">
        <v>45663</v>
      </c>
      <c r="D311" s="3" t="s">
        <v>17</v>
      </c>
      <c r="E311" s="3" t="s">
        <v>21</v>
      </c>
      <c r="F311" s="5">
        <v>2</v>
      </c>
      <c r="G311" s="6">
        <v>12.01</v>
      </c>
      <c r="H311" s="6">
        <v>24.02</v>
      </c>
      <c r="I311" s="6">
        <v>2.4</v>
      </c>
      <c r="J311" s="6">
        <v>21.62</v>
      </c>
      <c r="K311" s="5">
        <v>426</v>
      </c>
    </row>
    <row r="312" spans="1:11" x14ac:dyDescent="0.3">
      <c r="A312" s="3">
        <v>9702</v>
      </c>
      <c r="B312" s="3" t="s">
        <v>14</v>
      </c>
      <c r="C312" s="4">
        <v>45579</v>
      </c>
      <c r="D312" s="3" t="s">
        <v>27</v>
      </c>
      <c r="E312" s="3" t="s">
        <v>21</v>
      </c>
      <c r="F312" s="5">
        <v>3</v>
      </c>
      <c r="G312" s="6">
        <v>23.13</v>
      </c>
      <c r="H312" s="6">
        <v>69.39</v>
      </c>
      <c r="I312" s="6">
        <v>6.94</v>
      </c>
      <c r="J312" s="6">
        <v>62.45</v>
      </c>
      <c r="K312" s="5">
        <v>250</v>
      </c>
    </row>
    <row r="313" spans="1:11" x14ac:dyDescent="0.3">
      <c r="A313" s="3">
        <v>6198</v>
      </c>
      <c r="B313" s="3" t="s">
        <v>19</v>
      </c>
      <c r="C313" s="4">
        <v>45731</v>
      </c>
      <c r="D313" s="3" t="s">
        <v>22</v>
      </c>
      <c r="E313" s="3" t="s">
        <v>29</v>
      </c>
      <c r="F313" s="5">
        <v>2</v>
      </c>
      <c r="G313" s="6">
        <v>21.88</v>
      </c>
      <c r="H313" s="6">
        <v>43.76</v>
      </c>
      <c r="I313" s="6">
        <v>4.96</v>
      </c>
      <c r="J313" s="6">
        <v>38.799999999999997</v>
      </c>
      <c r="K313" s="5">
        <v>250</v>
      </c>
    </row>
    <row r="314" spans="1:11" x14ac:dyDescent="0.3">
      <c r="A314" s="3">
        <v>8251</v>
      </c>
      <c r="B314" s="3" t="s">
        <v>31</v>
      </c>
      <c r="C314" s="4">
        <v>45620</v>
      </c>
      <c r="D314" s="3" t="s">
        <v>38</v>
      </c>
      <c r="E314" s="3" t="s">
        <v>40</v>
      </c>
      <c r="F314" s="5">
        <v>1</v>
      </c>
      <c r="G314" s="6">
        <v>28.4</v>
      </c>
      <c r="H314" s="6">
        <v>28.4</v>
      </c>
      <c r="I314" s="6">
        <v>2.65</v>
      </c>
      <c r="J314" s="6">
        <v>25.75</v>
      </c>
      <c r="K314" s="5">
        <v>342</v>
      </c>
    </row>
    <row r="315" spans="1:11" x14ac:dyDescent="0.3">
      <c r="A315" s="3">
        <v>9270</v>
      </c>
      <c r="B315" s="3" t="s">
        <v>42</v>
      </c>
      <c r="C315" s="4">
        <v>45476</v>
      </c>
      <c r="D315" s="3" t="s">
        <v>15</v>
      </c>
      <c r="E315" s="3" t="s">
        <v>41</v>
      </c>
      <c r="F315" s="5">
        <v>1</v>
      </c>
      <c r="G315" s="6">
        <v>7.33</v>
      </c>
      <c r="H315" s="6">
        <v>7.33</v>
      </c>
      <c r="I315" s="6">
        <v>3.47</v>
      </c>
      <c r="J315" s="6">
        <v>3.86</v>
      </c>
      <c r="K315" s="5">
        <v>233</v>
      </c>
    </row>
    <row r="316" spans="1:11" x14ac:dyDescent="0.3">
      <c r="A316" s="3">
        <v>9976</v>
      </c>
      <c r="B316" s="3" t="s">
        <v>26</v>
      </c>
      <c r="C316" s="4">
        <v>45491</v>
      </c>
      <c r="D316" s="3" t="s">
        <v>27</v>
      </c>
      <c r="E316" s="3" t="s">
        <v>47</v>
      </c>
      <c r="F316" s="5">
        <v>1</v>
      </c>
      <c r="G316" s="6">
        <v>1.18</v>
      </c>
      <c r="H316" s="6">
        <v>1.18</v>
      </c>
      <c r="I316" s="6">
        <v>1.07</v>
      </c>
      <c r="J316" s="6">
        <v>0.11</v>
      </c>
      <c r="K316" s="5">
        <v>282</v>
      </c>
    </row>
    <row r="317" spans="1:11" x14ac:dyDescent="0.3">
      <c r="A317" s="3">
        <v>3607</v>
      </c>
      <c r="B317" s="3" t="s">
        <v>30</v>
      </c>
      <c r="C317" s="4">
        <v>45722</v>
      </c>
      <c r="D317" s="3" t="s">
        <v>38</v>
      </c>
      <c r="E317" s="3" t="s">
        <v>37</v>
      </c>
      <c r="F317" s="5">
        <v>1</v>
      </c>
      <c r="G317" s="6">
        <v>15.55</v>
      </c>
      <c r="H317" s="6">
        <v>15.55</v>
      </c>
      <c r="I317" s="6">
        <v>3.11</v>
      </c>
      <c r="J317" s="6">
        <v>12.44</v>
      </c>
      <c r="K317" s="5">
        <v>357</v>
      </c>
    </row>
    <row r="318" spans="1:11" x14ac:dyDescent="0.3">
      <c r="A318" s="3">
        <v>8777</v>
      </c>
      <c r="B318" s="3" t="s">
        <v>11</v>
      </c>
      <c r="C318" s="4">
        <v>45494</v>
      </c>
      <c r="D318" s="3" t="s">
        <v>15</v>
      </c>
      <c r="E318" s="3" t="s">
        <v>46</v>
      </c>
      <c r="F318" s="5">
        <v>2</v>
      </c>
      <c r="G318" s="6">
        <v>7.98</v>
      </c>
      <c r="H318" s="6">
        <v>15.96</v>
      </c>
      <c r="I318" s="6">
        <v>2.39</v>
      </c>
      <c r="J318" s="6">
        <v>13.57</v>
      </c>
      <c r="K318" s="5">
        <v>317</v>
      </c>
    </row>
    <row r="319" spans="1:11" x14ac:dyDescent="0.3">
      <c r="A319" s="3">
        <v>5246</v>
      </c>
      <c r="B319" s="3" t="s">
        <v>30</v>
      </c>
      <c r="C319" s="4">
        <v>45728</v>
      </c>
      <c r="D319" s="3" t="s">
        <v>20</v>
      </c>
      <c r="E319" s="3" t="s">
        <v>43</v>
      </c>
      <c r="F319" s="5">
        <v>3</v>
      </c>
      <c r="G319" s="6">
        <v>28.81</v>
      </c>
      <c r="H319" s="6">
        <v>86.43</v>
      </c>
      <c r="I319" s="6">
        <v>0</v>
      </c>
      <c r="J319" s="6">
        <v>86.43</v>
      </c>
      <c r="K319" s="5">
        <v>235</v>
      </c>
    </row>
    <row r="320" spans="1:11" x14ac:dyDescent="0.3">
      <c r="A320" s="3">
        <v>5050</v>
      </c>
      <c r="B320" s="3" t="s">
        <v>42</v>
      </c>
      <c r="C320" s="4">
        <v>45797</v>
      </c>
      <c r="D320" s="3" t="s">
        <v>35</v>
      </c>
      <c r="E320" s="3" t="s">
        <v>43</v>
      </c>
      <c r="F320" s="5">
        <v>1</v>
      </c>
      <c r="G320" s="6">
        <v>3.7</v>
      </c>
      <c r="H320" s="6">
        <v>3.7</v>
      </c>
      <c r="I320" s="6">
        <v>2.9</v>
      </c>
      <c r="J320" s="6">
        <v>0.8</v>
      </c>
      <c r="K320" s="5">
        <v>194</v>
      </c>
    </row>
    <row r="321" spans="1:11" x14ac:dyDescent="0.3">
      <c r="A321" s="3">
        <v>5543</v>
      </c>
      <c r="B321" s="3" t="s">
        <v>31</v>
      </c>
      <c r="C321" s="4">
        <v>45739</v>
      </c>
      <c r="D321" s="3" t="s">
        <v>34</v>
      </c>
      <c r="E321" s="3" t="s">
        <v>43</v>
      </c>
      <c r="F321" s="5">
        <v>4</v>
      </c>
      <c r="G321" s="6">
        <v>25.5</v>
      </c>
      <c r="H321" s="6">
        <v>102</v>
      </c>
      <c r="I321" s="6">
        <v>4.91</v>
      </c>
      <c r="J321" s="6">
        <v>97.09</v>
      </c>
      <c r="K321" s="5">
        <v>330</v>
      </c>
    </row>
    <row r="322" spans="1:11" x14ac:dyDescent="0.3">
      <c r="A322" s="3">
        <v>9540</v>
      </c>
      <c r="B322" s="3" t="s">
        <v>11</v>
      </c>
      <c r="C322" s="4">
        <v>45521</v>
      </c>
      <c r="D322" s="3" t="s">
        <v>38</v>
      </c>
      <c r="E322" s="3" t="s">
        <v>40</v>
      </c>
      <c r="F322" s="5">
        <v>2</v>
      </c>
      <c r="G322" s="6">
        <v>7.12</v>
      </c>
      <c r="H322" s="6">
        <v>14.24</v>
      </c>
      <c r="I322" s="6">
        <v>2.14</v>
      </c>
      <c r="J322" s="6">
        <v>12.1</v>
      </c>
      <c r="K322" s="5">
        <v>444</v>
      </c>
    </row>
    <row r="323" spans="1:11" x14ac:dyDescent="0.3">
      <c r="A323" s="3">
        <v>4919</v>
      </c>
      <c r="B323" s="3" t="s">
        <v>31</v>
      </c>
      <c r="C323" s="4">
        <v>45358</v>
      </c>
      <c r="D323" s="3" t="s">
        <v>15</v>
      </c>
      <c r="E323" s="3" t="s">
        <v>13</v>
      </c>
      <c r="F323" s="5">
        <v>5</v>
      </c>
      <c r="G323" s="6">
        <v>17.329999999999998</v>
      </c>
      <c r="H323" s="6">
        <v>86.65</v>
      </c>
      <c r="I323" s="6">
        <v>13</v>
      </c>
      <c r="J323" s="6">
        <v>73.650000000000006</v>
      </c>
      <c r="K323" s="5">
        <v>16</v>
      </c>
    </row>
    <row r="324" spans="1:11" x14ac:dyDescent="0.3">
      <c r="A324" s="3">
        <v>8206</v>
      </c>
      <c r="B324" s="3" t="s">
        <v>31</v>
      </c>
      <c r="C324" s="4">
        <v>45205</v>
      </c>
      <c r="D324" s="3" t="s">
        <v>17</v>
      </c>
      <c r="E324" s="3" t="s">
        <v>41</v>
      </c>
      <c r="F324" s="5">
        <v>4</v>
      </c>
      <c r="G324" s="6">
        <v>27.93</v>
      </c>
      <c r="H324" s="6">
        <v>111.72</v>
      </c>
      <c r="I324" s="6">
        <v>1.96</v>
      </c>
      <c r="J324" s="6">
        <v>109.76</v>
      </c>
      <c r="K324" s="5">
        <v>153</v>
      </c>
    </row>
    <row r="325" spans="1:11" x14ac:dyDescent="0.3">
      <c r="A325" s="3">
        <v>5681</v>
      </c>
      <c r="B325" s="3" t="s">
        <v>24</v>
      </c>
      <c r="C325" s="4">
        <v>45327</v>
      </c>
      <c r="D325" s="3" t="s">
        <v>27</v>
      </c>
      <c r="E325" s="3" t="s">
        <v>18</v>
      </c>
      <c r="F325" s="5">
        <v>3</v>
      </c>
      <c r="G325" s="6">
        <v>12.12</v>
      </c>
      <c r="H325" s="6">
        <v>36.36</v>
      </c>
      <c r="I325" s="6">
        <v>0</v>
      </c>
      <c r="J325" s="6">
        <v>36.36</v>
      </c>
      <c r="K325" s="5">
        <v>378</v>
      </c>
    </row>
    <row r="326" spans="1:11" x14ac:dyDescent="0.3">
      <c r="A326" s="3">
        <v>5451</v>
      </c>
      <c r="B326" s="3" t="s">
        <v>11</v>
      </c>
      <c r="C326" s="4">
        <v>45405</v>
      </c>
      <c r="D326" s="3" t="s">
        <v>38</v>
      </c>
      <c r="E326" s="3" t="s">
        <v>23</v>
      </c>
      <c r="F326" s="5">
        <v>1</v>
      </c>
      <c r="G326" s="6">
        <v>3.82</v>
      </c>
      <c r="H326" s="6">
        <v>3.82</v>
      </c>
      <c r="I326" s="6">
        <v>0.56999999999999995</v>
      </c>
      <c r="J326" s="6">
        <v>3.25</v>
      </c>
      <c r="K326" s="5">
        <v>118</v>
      </c>
    </row>
    <row r="327" spans="1:11" x14ac:dyDescent="0.3">
      <c r="A327" s="3">
        <v>6238</v>
      </c>
      <c r="B327" s="3" t="s">
        <v>24</v>
      </c>
      <c r="C327" s="4">
        <v>45838</v>
      </c>
      <c r="D327" s="3" t="s">
        <v>22</v>
      </c>
      <c r="E327" s="3" t="s">
        <v>39</v>
      </c>
      <c r="F327" s="5">
        <v>3</v>
      </c>
      <c r="G327" s="6">
        <v>23.71</v>
      </c>
      <c r="H327" s="6">
        <v>71.13</v>
      </c>
      <c r="I327" s="6">
        <v>14.23</v>
      </c>
      <c r="J327" s="6">
        <v>56.9</v>
      </c>
      <c r="K327" s="5">
        <v>230</v>
      </c>
    </row>
    <row r="328" spans="1:11" x14ac:dyDescent="0.3">
      <c r="A328" s="3">
        <v>9849</v>
      </c>
      <c r="B328" s="3" t="s">
        <v>36</v>
      </c>
      <c r="C328" s="4">
        <v>45207</v>
      </c>
      <c r="D328" s="3" t="s">
        <v>38</v>
      </c>
      <c r="E328" s="3" t="s">
        <v>32</v>
      </c>
      <c r="F328" s="5">
        <v>4</v>
      </c>
      <c r="G328" s="6">
        <v>6.38</v>
      </c>
      <c r="H328" s="6">
        <v>25.52</v>
      </c>
      <c r="I328" s="6">
        <v>4.09</v>
      </c>
      <c r="J328" s="6">
        <v>21.43</v>
      </c>
      <c r="K328" s="5">
        <v>299</v>
      </c>
    </row>
    <row r="329" spans="1:11" x14ac:dyDescent="0.3">
      <c r="A329" s="3">
        <v>3267</v>
      </c>
      <c r="B329" s="3" t="s">
        <v>30</v>
      </c>
      <c r="C329" s="4">
        <v>45262</v>
      </c>
      <c r="D329" s="3" t="s">
        <v>17</v>
      </c>
      <c r="E329" s="3" t="s">
        <v>43</v>
      </c>
      <c r="F329" s="5">
        <v>1</v>
      </c>
      <c r="G329" s="6">
        <v>8.76</v>
      </c>
      <c r="H329" s="6">
        <v>8.76</v>
      </c>
      <c r="I329" s="6">
        <v>0</v>
      </c>
      <c r="J329" s="6">
        <v>8.76</v>
      </c>
      <c r="K329" s="5">
        <v>194</v>
      </c>
    </row>
    <row r="330" spans="1:11" x14ac:dyDescent="0.3">
      <c r="A330" s="3">
        <v>4788</v>
      </c>
      <c r="B330" s="3" t="s">
        <v>24</v>
      </c>
      <c r="C330" s="4">
        <v>45442</v>
      </c>
      <c r="D330" s="3" t="s">
        <v>22</v>
      </c>
      <c r="E330" s="3" t="s">
        <v>23</v>
      </c>
      <c r="F330" s="5">
        <v>1</v>
      </c>
      <c r="G330" s="6">
        <v>3.64</v>
      </c>
      <c r="H330" s="6">
        <v>3.64</v>
      </c>
      <c r="I330" s="6">
        <v>0.36</v>
      </c>
      <c r="J330" s="6">
        <v>3.28</v>
      </c>
      <c r="K330" s="5">
        <v>482</v>
      </c>
    </row>
    <row r="331" spans="1:11" x14ac:dyDescent="0.3">
      <c r="A331" s="3">
        <v>3503</v>
      </c>
      <c r="B331" s="3" t="s">
        <v>36</v>
      </c>
      <c r="C331" s="4">
        <v>45693</v>
      </c>
      <c r="D331" s="3" t="s">
        <v>35</v>
      </c>
      <c r="E331" s="3" t="s">
        <v>48</v>
      </c>
      <c r="F331" s="5">
        <v>2</v>
      </c>
      <c r="G331" s="6">
        <v>3.52</v>
      </c>
      <c r="H331" s="6">
        <v>7.04</v>
      </c>
      <c r="I331" s="6">
        <v>3.22</v>
      </c>
      <c r="J331" s="6">
        <v>3.82</v>
      </c>
      <c r="K331" s="5">
        <v>220</v>
      </c>
    </row>
    <row r="332" spans="1:11" x14ac:dyDescent="0.3">
      <c r="A332" s="3">
        <v>4505</v>
      </c>
      <c r="B332" s="3" t="s">
        <v>24</v>
      </c>
      <c r="C332" s="4">
        <v>45194</v>
      </c>
      <c r="D332" s="3" t="s">
        <v>15</v>
      </c>
      <c r="E332" s="3" t="s">
        <v>39</v>
      </c>
      <c r="F332" s="5">
        <v>1</v>
      </c>
      <c r="G332" s="6">
        <v>11.25</v>
      </c>
      <c r="H332" s="6">
        <v>11.25</v>
      </c>
      <c r="I332" s="6">
        <v>1.1200000000000001</v>
      </c>
      <c r="J332" s="6">
        <v>10.130000000000001</v>
      </c>
      <c r="K332" s="5">
        <v>47</v>
      </c>
    </row>
    <row r="333" spans="1:11" x14ac:dyDescent="0.3">
      <c r="A333" s="3">
        <v>7797</v>
      </c>
      <c r="B333" s="3" t="s">
        <v>31</v>
      </c>
      <c r="C333" s="4">
        <v>45461</v>
      </c>
      <c r="D333" s="3" t="s">
        <v>35</v>
      </c>
      <c r="E333" s="3" t="s">
        <v>16</v>
      </c>
      <c r="F333" s="5">
        <v>4</v>
      </c>
      <c r="G333" s="6">
        <v>23.59</v>
      </c>
      <c r="H333" s="6">
        <v>94.36</v>
      </c>
      <c r="I333" s="6">
        <v>3.08</v>
      </c>
      <c r="J333" s="6">
        <v>91.28</v>
      </c>
      <c r="K333" s="5">
        <v>371</v>
      </c>
    </row>
    <row r="334" spans="1:11" x14ac:dyDescent="0.3">
      <c r="A334" s="3">
        <v>6421</v>
      </c>
      <c r="B334" s="3" t="s">
        <v>24</v>
      </c>
      <c r="C334" s="4">
        <v>45566</v>
      </c>
      <c r="D334" s="3" t="s">
        <v>34</v>
      </c>
      <c r="E334" s="3" t="s">
        <v>41</v>
      </c>
      <c r="F334" s="5">
        <v>3</v>
      </c>
      <c r="G334" s="6">
        <v>9.7200000000000006</v>
      </c>
      <c r="H334" s="6">
        <v>29.16</v>
      </c>
      <c r="I334" s="6">
        <v>1.67</v>
      </c>
      <c r="J334" s="6">
        <v>27.49</v>
      </c>
      <c r="K334" s="5">
        <v>252</v>
      </c>
    </row>
    <row r="335" spans="1:11" x14ac:dyDescent="0.3">
      <c r="A335" s="3">
        <v>8633</v>
      </c>
      <c r="B335" s="3" t="s">
        <v>30</v>
      </c>
      <c r="C335" s="4">
        <v>45467</v>
      </c>
      <c r="D335" s="3" t="s">
        <v>20</v>
      </c>
      <c r="E335" s="3" t="s">
        <v>37</v>
      </c>
      <c r="F335" s="5">
        <v>4</v>
      </c>
      <c r="G335" s="6">
        <v>23.69</v>
      </c>
      <c r="H335" s="6">
        <v>94.76</v>
      </c>
      <c r="I335" s="6">
        <v>18.95</v>
      </c>
      <c r="J335" s="6">
        <v>75.81</v>
      </c>
      <c r="K335" s="5">
        <v>184</v>
      </c>
    </row>
    <row r="336" spans="1:11" x14ac:dyDescent="0.3">
      <c r="A336" s="3">
        <v>2020</v>
      </c>
      <c r="B336" s="3" t="s">
        <v>26</v>
      </c>
      <c r="C336" s="4">
        <v>45305</v>
      </c>
      <c r="D336" s="3" t="s">
        <v>28</v>
      </c>
      <c r="E336" s="3" t="s">
        <v>44</v>
      </c>
      <c r="F336" s="5">
        <v>4</v>
      </c>
      <c r="G336" s="6">
        <v>4.09</v>
      </c>
      <c r="H336" s="6">
        <v>16.36</v>
      </c>
      <c r="I336" s="6">
        <v>1.64</v>
      </c>
      <c r="J336" s="6">
        <v>14.72</v>
      </c>
      <c r="K336" s="5">
        <v>155</v>
      </c>
    </row>
    <row r="337" spans="1:11" x14ac:dyDescent="0.3">
      <c r="A337" s="3">
        <v>7883</v>
      </c>
      <c r="B337" s="3" t="s">
        <v>36</v>
      </c>
      <c r="C337" s="4">
        <v>45447</v>
      </c>
      <c r="D337" s="3" t="s">
        <v>28</v>
      </c>
      <c r="E337" s="3" t="s">
        <v>32</v>
      </c>
      <c r="F337" s="5">
        <v>3</v>
      </c>
      <c r="G337" s="6">
        <v>13.76</v>
      </c>
      <c r="H337" s="6">
        <v>41.28</v>
      </c>
      <c r="I337" s="6">
        <v>6.19</v>
      </c>
      <c r="J337" s="6">
        <v>35.090000000000003</v>
      </c>
      <c r="K337" s="5">
        <v>220</v>
      </c>
    </row>
    <row r="338" spans="1:11" x14ac:dyDescent="0.3">
      <c r="A338" s="3">
        <v>1320</v>
      </c>
      <c r="B338" s="3" t="s">
        <v>36</v>
      </c>
      <c r="C338" s="4">
        <v>45810</v>
      </c>
      <c r="D338" s="3" t="s">
        <v>28</v>
      </c>
      <c r="E338" s="3" t="s">
        <v>44</v>
      </c>
      <c r="F338" s="5">
        <v>4</v>
      </c>
      <c r="G338" s="6">
        <v>10.1</v>
      </c>
      <c r="H338" s="6">
        <v>40.4</v>
      </c>
      <c r="I338" s="6">
        <v>6.06</v>
      </c>
      <c r="J338" s="6">
        <v>34.340000000000003</v>
      </c>
      <c r="K338" s="5">
        <v>493</v>
      </c>
    </row>
    <row r="339" spans="1:11" x14ac:dyDescent="0.3">
      <c r="A339" s="3">
        <v>7232</v>
      </c>
      <c r="B339" s="3" t="s">
        <v>30</v>
      </c>
      <c r="C339" s="4">
        <v>45515</v>
      </c>
      <c r="D339" s="3" t="s">
        <v>27</v>
      </c>
      <c r="E339" s="3" t="s">
        <v>47</v>
      </c>
      <c r="F339" s="5">
        <v>5</v>
      </c>
      <c r="G339" s="6">
        <v>23.67</v>
      </c>
      <c r="H339" s="6">
        <v>118.35</v>
      </c>
      <c r="I339" s="6">
        <v>17.75</v>
      </c>
      <c r="J339" s="6">
        <v>100.6</v>
      </c>
      <c r="K339" s="5">
        <v>166</v>
      </c>
    </row>
    <row r="340" spans="1:11" x14ac:dyDescent="0.3">
      <c r="A340" s="3">
        <v>1096</v>
      </c>
      <c r="B340" s="3" t="s">
        <v>24</v>
      </c>
      <c r="C340" s="4">
        <v>45418</v>
      </c>
      <c r="D340" s="3" t="s">
        <v>22</v>
      </c>
      <c r="E340" s="3" t="s">
        <v>48</v>
      </c>
      <c r="F340" s="5">
        <v>5</v>
      </c>
      <c r="G340" s="6">
        <v>6.78</v>
      </c>
      <c r="H340" s="6">
        <v>33.9</v>
      </c>
      <c r="I340" s="6">
        <v>0</v>
      </c>
      <c r="J340" s="6">
        <v>33.9</v>
      </c>
      <c r="K340" s="5">
        <v>279</v>
      </c>
    </row>
    <row r="341" spans="1:11" x14ac:dyDescent="0.3">
      <c r="A341" s="3">
        <v>5892</v>
      </c>
      <c r="B341" s="3" t="s">
        <v>14</v>
      </c>
      <c r="C341" s="4">
        <v>45730</v>
      </c>
      <c r="D341" s="3" t="s">
        <v>12</v>
      </c>
      <c r="E341" s="3" t="s">
        <v>33</v>
      </c>
      <c r="F341" s="5">
        <v>2</v>
      </c>
      <c r="G341" s="6">
        <v>13.71</v>
      </c>
      <c r="H341" s="6">
        <v>27.42</v>
      </c>
      <c r="I341" s="6">
        <v>2.74</v>
      </c>
      <c r="J341" s="6">
        <v>24.68</v>
      </c>
      <c r="K341" s="5">
        <v>149</v>
      </c>
    </row>
    <row r="342" spans="1:11" x14ac:dyDescent="0.3">
      <c r="A342" s="3">
        <v>7389</v>
      </c>
      <c r="B342" s="3" t="s">
        <v>26</v>
      </c>
      <c r="C342" s="4">
        <v>45807</v>
      </c>
      <c r="D342" s="3" t="s">
        <v>34</v>
      </c>
      <c r="E342" s="3" t="s">
        <v>37</v>
      </c>
      <c r="F342" s="5">
        <v>2</v>
      </c>
      <c r="G342" s="6">
        <v>8.32</v>
      </c>
      <c r="H342" s="6">
        <v>16.64</v>
      </c>
      <c r="I342" s="6">
        <v>1.66</v>
      </c>
      <c r="J342" s="6">
        <v>14.98</v>
      </c>
      <c r="K342" s="5">
        <v>78</v>
      </c>
    </row>
    <row r="343" spans="1:11" x14ac:dyDescent="0.3">
      <c r="A343" s="3">
        <v>7865</v>
      </c>
      <c r="B343" s="3" t="s">
        <v>11</v>
      </c>
      <c r="C343" s="4">
        <v>45563</v>
      </c>
      <c r="D343" s="3" t="s">
        <v>45</v>
      </c>
      <c r="E343" s="3" t="s">
        <v>47</v>
      </c>
      <c r="F343" s="5">
        <v>5</v>
      </c>
      <c r="G343" s="6">
        <v>12.61</v>
      </c>
      <c r="H343" s="6">
        <v>63.05</v>
      </c>
      <c r="I343" s="6">
        <v>1.1499999999999999</v>
      </c>
      <c r="J343" s="6">
        <v>61.9</v>
      </c>
      <c r="K343" s="5">
        <v>259</v>
      </c>
    </row>
    <row r="344" spans="1:11" x14ac:dyDescent="0.3">
      <c r="A344" s="3">
        <v>9947</v>
      </c>
      <c r="B344" s="3" t="s">
        <v>36</v>
      </c>
      <c r="C344" s="4">
        <v>45766</v>
      </c>
      <c r="D344" s="3" t="s">
        <v>38</v>
      </c>
      <c r="E344" s="3" t="s">
        <v>43</v>
      </c>
      <c r="F344" s="5">
        <v>1</v>
      </c>
      <c r="G344" s="6">
        <v>23.29</v>
      </c>
      <c r="H344" s="6">
        <v>23.29</v>
      </c>
      <c r="I344" s="6">
        <v>4.66</v>
      </c>
      <c r="J344" s="6">
        <v>18.63</v>
      </c>
      <c r="K344" s="5">
        <v>336</v>
      </c>
    </row>
    <row r="345" spans="1:11" x14ac:dyDescent="0.3">
      <c r="A345" s="3">
        <v>4613</v>
      </c>
      <c r="B345" s="3" t="s">
        <v>31</v>
      </c>
      <c r="C345" s="4">
        <v>45524</v>
      </c>
      <c r="D345" s="3" t="s">
        <v>28</v>
      </c>
      <c r="E345" s="3" t="s">
        <v>32</v>
      </c>
      <c r="F345" s="5">
        <v>3</v>
      </c>
      <c r="G345" s="6">
        <v>29</v>
      </c>
      <c r="H345" s="6">
        <v>87</v>
      </c>
      <c r="I345" s="6">
        <v>1.39</v>
      </c>
      <c r="J345" s="6">
        <v>85.61</v>
      </c>
      <c r="K345" s="5">
        <v>220</v>
      </c>
    </row>
    <row r="346" spans="1:11" x14ac:dyDescent="0.3">
      <c r="A346" s="3">
        <v>4595</v>
      </c>
      <c r="B346" s="3" t="s">
        <v>42</v>
      </c>
      <c r="C346" s="4">
        <v>45356</v>
      </c>
      <c r="D346" s="3" t="s">
        <v>38</v>
      </c>
      <c r="E346" s="3" t="s">
        <v>46</v>
      </c>
      <c r="F346" s="5">
        <v>5</v>
      </c>
      <c r="G346" s="6">
        <v>17.829999999999998</v>
      </c>
      <c r="H346" s="6">
        <v>89.15</v>
      </c>
      <c r="I346" s="6">
        <v>8.92</v>
      </c>
      <c r="J346" s="6">
        <v>80.23</v>
      </c>
      <c r="K346" s="5">
        <v>294</v>
      </c>
    </row>
    <row r="347" spans="1:11" x14ac:dyDescent="0.3">
      <c r="A347" s="3">
        <v>8140</v>
      </c>
      <c r="B347" s="3" t="s">
        <v>36</v>
      </c>
      <c r="C347" s="4">
        <v>45522</v>
      </c>
      <c r="D347" s="3" t="s">
        <v>20</v>
      </c>
      <c r="E347" s="3" t="s">
        <v>33</v>
      </c>
      <c r="F347" s="5">
        <v>5</v>
      </c>
      <c r="G347" s="6">
        <v>21.01</v>
      </c>
      <c r="H347" s="6">
        <v>105.05</v>
      </c>
      <c r="I347" s="6">
        <v>2.93</v>
      </c>
      <c r="J347" s="6">
        <v>102.12</v>
      </c>
      <c r="K347" s="5">
        <v>77</v>
      </c>
    </row>
    <row r="348" spans="1:11" x14ac:dyDescent="0.3">
      <c r="A348" s="3">
        <v>1475</v>
      </c>
      <c r="B348" s="3" t="s">
        <v>30</v>
      </c>
      <c r="C348" s="4">
        <v>45447</v>
      </c>
      <c r="D348" s="3" t="s">
        <v>20</v>
      </c>
      <c r="E348" s="3" t="s">
        <v>43</v>
      </c>
      <c r="F348" s="5">
        <v>1</v>
      </c>
      <c r="G348" s="6">
        <v>25.1</v>
      </c>
      <c r="H348" s="6">
        <v>25.1</v>
      </c>
      <c r="I348" s="6">
        <v>3.77</v>
      </c>
      <c r="J348" s="6">
        <v>21.33</v>
      </c>
      <c r="K348" s="5">
        <v>373</v>
      </c>
    </row>
    <row r="349" spans="1:11" x14ac:dyDescent="0.3">
      <c r="A349" s="3">
        <v>6507</v>
      </c>
      <c r="B349" s="3" t="s">
        <v>30</v>
      </c>
      <c r="C349" s="4">
        <v>45664</v>
      </c>
      <c r="D349" s="3" t="s">
        <v>22</v>
      </c>
      <c r="E349" s="3" t="s">
        <v>33</v>
      </c>
      <c r="F349" s="5">
        <v>2</v>
      </c>
      <c r="G349" s="6">
        <v>16.100000000000001</v>
      </c>
      <c r="H349" s="6">
        <v>32.200000000000003</v>
      </c>
      <c r="I349" s="6">
        <v>2.75</v>
      </c>
      <c r="J349" s="6">
        <v>29.45</v>
      </c>
      <c r="K349" s="5">
        <v>178</v>
      </c>
    </row>
    <row r="350" spans="1:11" x14ac:dyDescent="0.3">
      <c r="A350" s="3">
        <v>7624</v>
      </c>
      <c r="B350" s="3" t="s">
        <v>26</v>
      </c>
      <c r="C350" s="4">
        <v>45707</v>
      </c>
      <c r="D350" s="3" t="s">
        <v>22</v>
      </c>
      <c r="E350" s="3" t="s">
        <v>43</v>
      </c>
      <c r="F350" s="5">
        <v>3</v>
      </c>
      <c r="G350" s="6">
        <v>2.29</v>
      </c>
      <c r="H350" s="6">
        <v>6.87</v>
      </c>
      <c r="I350" s="6">
        <v>4.4000000000000004</v>
      </c>
      <c r="J350" s="6">
        <v>2.4700000000000002</v>
      </c>
      <c r="K350" s="5">
        <v>363</v>
      </c>
    </row>
    <row r="351" spans="1:11" x14ac:dyDescent="0.3">
      <c r="A351" s="3">
        <v>3704</v>
      </c>
      <c r="B351" s="3" t="s">
        <v>11</v>
      </c>
      <c r="C351" s="4">
        <v>45797</v>
      </c>
      <c r="D351" s="3" t="s">
        <v>27</v>
      </c>
      <c r="E351" s="3" t="s">
        <v>29</v>
      </c>
      <c r="F351" s="5">
        <v>2</v>
      </c>
      <c r="G351" s="6">
        <v>15.95</v>
      </c>
      <c r="H351" s="6">
        <v>31.9</v>
      </c>
      <c r="I351" s="6">
        <v>4.78</v>
      </c>
      <c r="J351" s="6">
        <v>27.12</v>
      </c>
      <c r="K351" s="5">
        <v>282</v>
      </c>
    </row>
    <row r="352" spans="1:11" x14ac:dyDescent="0.3">
      <c r="A352" s="3">
        <v>8657</v>
      </c>
      <c r="B352" s="3" t="s">
        <v>14</v>
      </c>
      <c r="C352" s="4">
        <v>45859</v>
      </c>
      <c r="D352" s="3" t="s">
        <v>20</v>
      </c>
      <c r="E352" s="3" t="s">
        <v>33</v>
      </c>
      <c r="F352" s="5">
        <v>2</v>
      </c>
      <c r="G352" s="6">
        <v>24.12</v>
      </c>
      <c r="H352" s="6">
        <v>48.24</v>
      </c>
      <c r="I352" s="6">
        <v>9.65</v>
      </c>
      <c r="J352" s="6">
        <v>38.590000000000003</v>
      </c>
      <c r="K352" s="5">
        <v>322</v>
      </c>
    </row>
    <row r="353" spans="1:11" x14ac:dyDescent="0.3">
      <c r="A353" s="3">
        <v>3091</v>
      </c>
      <c r="B353" s="3" t="s">
        <v>24</v>
      </c>
      <c r="C353" s="4">
        <v>45628</v>
      </c>
      <c r="D353" s="3" t="s">
        <v>20</v>
      </c>
      <c r="E353" s="3" t="s">
        <v>39</v>
      </c>
      <c r="F353" s="5">
        <v>5</v>
      </c>
      <c r="G353" s="6">
        <v>26.6</v>
      </c>
      <c r="H353" s="6">
        <v>133</v>
      </c>
      <c r="I353" s="6">
        <v>13.3</v>
      </c>
      <c r="J353" s="6">
        <v>119.7</v>
      </c>
      <c r="K353" s="5">
        <v>230</v>
      </c>
    </row>
    <row r="354" spans="1:11" x14ac:dyDescent="0.3">
      <c r="A354" s="3">
        <v>9751</v>
      </c>
      <c r="B354" s="3" t="s">
        <v>31</v>
      </c>
      <c r="C354" s="4">
        <v>45165</v>
      </c>
      <c r="D354" s="3" t="s">
        <v>17</v>
      </c>
      <c r="E354" s="3" t="s">
        <v>44</v>
      </c>
      <c r="F354" s="5">
        <v>3</v>
      </c>
      <c r="G354" s="6">
        <v>22.81</v>
      </c>
      <c r="H354" s="6">
        <v>68.430000000000007</v>
      </c>
      <c r="I354" s="6">
        <v>1.41</v>
      </c>
      <c r="J354" s="6">
        <v>67.02</v>
      </c>
      <c r="K354" s="5">
        <v>414</v>
      </c>
    </row>
    <row r="355" spans="1:11" x14ac:dyDescent="0.3">
      <c r="A355" s="3">
        <v>7455</v>
      </c>
      <c r="B355" s="3" t="s">
        <v>14</v>
      </c>
      <c r="C355" s="4">
        <v>45604</v>
      </c>
      <c r="D355" s="3" t="s">
        <v>34</v>
      </c>
      <c r="E355" s="3" t="s">
        <v>23</v>
      </c>
      <c r="F355" s="5">
        <v>3</v>
      </c>
      <c r="G355" s="6">
        <v>6.71</v>
      </c>
      <c r="H355" s="6">
        <v>20.13</v>
      </c>
      <c r="I355" s="6">
        <v>0</v>
      </c>
      <c r="J355" s="6">
        <v>20.13</v>
      </c>
      <c r="K355" s="5">
        <v>58</v>
      </c>
    </row>
    <row r="356" spans="1:11" x14ac:dyDescent="0.3">
      <c r="A356" s="3">
        <v>1444</v>
      </c>
      <c r="B356" s="3" t="s">
        <v>26</v>
      </c>
      <c r="C356" s="4">
        <v>45210</v>
      </c>
      <c r="D356" s="3" t="s">
        <v>38</v>
      </c>
      <c r="E356" s="3" t="s">
        <v>21</v>
      </c>
      <c r="F356" s="5">
        <v>5</v>
      </c>
      <c r="G356" s="6">
        <v>12.26</v>
      </c>
      <c r="H356" s="6">
        <v>61.3</v>
      </c>
      <c r="I356" s="6">
        <v>9.19</v>
      </c>
      <c r="J356" s="6">
        <v>52.11</v>
      </c>
      <c r="K356" s="5">
        <v>200</v>
      </c>
    </row>
    <row r="357" spans="1:11" x14ac:dyDescent="0.3">
      <c r="A357" s="3">
        <v>8022</v>
      </c>
      <c r="B357" s="3" t="s">
        <v>36</v>
      </c>
      <c r="C357" s="4">
        <v>45250</v>
      </c>
      <c r="D357" s="3" t="s">
        <v>45</v>
      </c>
      <c r="E357" s="3" t="s">
        <v>29</v>
      </c>
      <c r="F357" s="5">
        <v>3</v>
      </c>
      <c r="G357" s="6">
        <v>27.63</v>
      </c>
      <c r="H357" s="6">
        <v>82.89</v>
      </c>
      <c r="I357" s="6">
        <v>0</v>
      </c>
      <c r="J357" s="6">
        <v>82.89</v>
      </c>
      <c r="K357" s="5">
        <v>302</v>
      </c>
    </row>
    <row r="358" spans="1:11" x14ac:dyDescent="0.3">
      <c r="A358" s="3">
        <v>8564</v>
      </c>
      <c r="B358" s="3" t="s">
        <v>19</v>
      </c>
      <c r="C358" s="4">
        <v>45286</v>
      </c>
      <c r="D358" s="3" t="s">
        <v>22</v>
      </c>
      <c r="E358" s="3" t="s">
        <v>48</v>
      </c>
      <c r="F358" s="5">
        <v>2</v>
      </c>
      <c r="G358" s="6">
        <v>9.85</v>
      </c>
      <c r="H358" s="6">
        <v>19.7</v>
      </c>
      <c r="I358" s="6">
        <v>0</v>
      </c>
      <c r="J358" s="6">
        <v>19.7</v>
      </c>
      <c r="K358" s="5">
        <v>93</v>
      </c>
    </row>
    <row r="359" spans="1:11" x14ac:dyDescent="0.3">
      <c r="A359" s="3">
        <v>1823</v>
      </c>
      <c r="B359" s="3" t="s">
        <v>19</v>
      </c>
      <c r="C359" s="4">
        <v>45347</v>
      </c>
      <c r="D359" s="3" t="s">
        <v>38</v>
      </c>
      <c r="E359" s="3" t="s">
        <v>32</v>
      </c>
      <c r="F359" s="5">
        <v>4</v>
      </c>
      <c r="G359" s="6">
        <v>18.29</v>
      </c>
      <c r="H359" s="6">
        <v>73.16</v>
      </c>
      <c r="I359" s="6">
        <v>7.32</v>
      </c>
      <c r="J359" s="6">
        <v>65.84</v>
      </c>
      <c r="K359" s="5">
        <v>294</v>
      </c>
    </row>
    <row r="360" spans="1:11" x14ac:dyDescent="0.3">
      <c r="A360" s="3">
        <v>7211</v>
      </c>
      <c r="B360" s="3" t="s">
        <v>19</v>
      </c>
      <c r="C360" s="4">
        <v>45399</v>
      </c>
      <c r="D360" s="3" t="s">
        <v>45</v>
      </c>
      <c r="E360" s="3" t="s">
        <v>18</v>
      </c>
      <c r="F360" s="5">
        <v>2</v>
      </c>
      <c r="G360" s="6">
        <v>17.079999999999998</v>
      </c>
      <c r="H360" s="6">
        <v>34.159999999999997</v>
      </c>
      <c r="I360" s="6">
        <v>6.83</v>
      </c>
      <c r="J360" s="6">
        <v>27.33</v>
      </c>
      <c r="K360" s="5">
        <v>250</v>
      </c>
    </row>
    <row r="361" spans="1:11" x14ac:dyDescent="0.3">
      <c r="A361" s="3">
        <v>4467</v>
      </c>
      <c r="B361" s="3" t="s">
        <v>19</v>
      </c>
      <c r="C361" s="4">
        <v>45498</v>
      </c>
      <c r="D361" s="3" t="s">
        <v>22</v>
      </c>
      <c r="E361" s="3" t="s">
        <v>33</v>
      </c>
      <c r="F361" s="5">
        <v>5</v>
      </c>
      <c r="G361" s="6">
        <v>2.54</v>
      </c>
      <c r="H361" s="6">
        <v>12.7</v>
      </c>
      <c r="I361" s="6">
        <v>1.27</v>
      </c>
      <c r="J361" s="6">
        <v>11.43</v>
      </c>
      <c r="K361" s="5">
        <v>183</v>
      </c>
    </row>
    <row r="362" spans="1:11" x14ac:dyDescent="0.3">
      <c r="A362" s="3">
        <v>6355</v>
      </c>
      <c r="B362" s="3" t="s">
        <v>19</v>
      </c>
      <c r="C362" s="4">
        <v>45407</v>
      </c>
      <c r="D362" s="3" t="s">
        <v>17</v>
      </c>
      <c r="E362" s="3" t="s">
        <v>32</v>
      </c>
      <c r="F362" s="5">
        <v>5</v>
      </c>
      <c r="G362" s="6">
        <v>15.65</v>
      </c>
      <c r="H362" s="6">
        <v>78.25</v>
      </c>
      <c r="I362" s="6">
        <v>0</v>
      </c>
      <c r="J362" s="6">
        <v>78.25</v>
      </c>
      <c r="K362" s="5">
        <v>253</v>
      </c>
    </row>
    <row r="363" spans="1:11" x14ac:dyDescent="0.3">
      <c r="A363" s="3">
        <v>7211</v>
      </c>
      <c r="B363" s="3" t="s">
        <v>26</v>
      </c>
      <c r="C363" s="4">
        <v>45361</v>
      </c>
      <c r="D363" s="3" t="s">
        <v>20</v>
      </c>
      <c r="E363" s="3" t="s">
        <v>33</v>
      </c>
      <c r="F363" s="5">
        <v>4</v>
      </c>
      <c r="G363" s="6">
        <v>5.84</v>
      </c>
      <c r="H363" s="6">
        <v>23.36</v>
      </c>
      <c r="I363" s="6">
        <v>4.67</v>
      </c>
      <c r="J363" s="6">
        <v>18.690000000000001</v>
      </c>
      <c r="K363" s="5">
        <v>289</v>
      </c>
    </row>
    <row r="364" spans="1:11" x14ac:dyDescent="0.3">
      <c r="A364" s="3">
        <v>7906</v>
      </c>
      <c r="B364" s="3" t="s">
        <v>30</v>
      </c>
      <c r="C364" s="4">
        <v>45340</v>
      </c>
      <c r="D364" s="3" t="s">
        <v>12</v>
      </c>
      <c r="E364" s="3" t="s">
        <v>13</v>
      </c>
      <c r="F364" s="5">
        <v>2</v>
      </c>
      <c r="G364" s="6">
        <v>16.579999999999998</v>
      </c>
      <c r="H364" s="6">
        <v>33.159999999999997</v>
      </c>
      <c r="I364" s="6">
        <v>3.97</v>
      </c>
      <c r="J364" s="6">
        <v>29.19</v>
      </c>
      <c r="K364" s="5">
        <v>86</v>
      </c>
    </row>
    <row r="365" spans="1:11" x14ac:dyDescent="0.3">
      <c r="A365" s="3">
        <v>2341</v>
      </c>
      <c r="B365" s="3" t="s">
        <v>26</v>
      </c>
      <c r="C365" s="4">
        <v>45510</v>
      </c>
      <c r="D365" s="3" t="s">
        <v>38</v>
      </c>
      <c r="E365" s="3" t="s">
        <v>46</v>
      </c>
      <c r="F365" s="5">
        <v>1</v>
      </c>
      <c r="G365" s="6">
        <v>17.600000000000001</v>
      </c>
      <c r="H365" s="6">
        <v>17.600000000000001</v>
      </c>
      <c r="I365" s="6">
        <v>4.29</v>
      </c>
      <c r="J365" s="6">
        <v>13.31</v>
      </c>
      <c r="K365" s="5">
        <v>137</v>
      </c>
    </row>
    <row r="366" spans="1:11" x14ac:dyDescent="0.3">
      <c r="A366" s="3">
        <v>1317</v>
      </c>
      <c r="B366" s="3" t="s">
        <v>31</v>
      </c>
      <c r="C366" s="4">
        <v>45726</v>
      </c>
      <c r="D366" s="3" t="s">
        <v>45</v>
      </c>
      <c r="E366" s="3" t="s">
        <v>18</v>
      </c>
      <c r="F366" s="5">
        <v>2</v>
      </c>
      <c r="G366" s="6">
        <v>29.69</v>
      </c>
      <c r="H366" s="6">
        <v>59.38</v>
      </c>
      <c r="I366" s="6">
        <v>8.91</v>
      </c>
      <c r="J366" s="6">
        <v>50.47</v>
      </c>
      <c r="K366" s="5">
        <v>52</v>
      </c>
    </row>
    <row r="367" spans="1:11" x14ac:dyDescent="0.3">
      <c r="A367" s="3">
        <v>9837</v>
      </c>
      <c r="B367" s="3" t="s">
        <v>31</v>
      </c>
      <c r="C367" s="4">
        <v>45185</v>
      </c>
      <c r="D367" s="3" t="s">
        <v>45</v>
      </c>
      <c r="E367" s="3" t="s">
        <v>13</v>
      </c>
      <c r="F367" s="5">
        <v>3</v>
      </c>
      <c r="G367" s="6">
        <v>25.99</v>
      </c>
      <c r="H367" s="6">
        <v>77.97</v>
      </c>
      <c r="I367" s="6">
        <v>4.0999999999999996</v>
      </c>
      <c r="J367" s="6">
        <v>73.87</v>
      </c>
      <c r="K367" s="5">
        <v>44</v>
      </c>
    </row>
    <row r="368" spans="1:11" x14ac:dyDescent="0.3">
      <c r="A368" s="3">
        <v>6733</v>
      </c>
      <c r="B368" s="3" t="s">
        <v>42</v>
      </c>
      <c r="C368" s="4">
        <v>45319</v>
      </c>
      <c r="D368" s="3" t="s">
        <v>17</v>
      </c>
      <c r="E368" s="3" t="s">
        <v>23</v>
      </c>
      <c r="F368" s="5">
        <v>5</v>
      </c>
      <c r="G368" s="6">
        <v>19.34</v>
      </c>
      <c r="H368" s="6">
        <v>96.7</v>
      </c>
      <c r="I368" s="6">
        <v>19.34</v>
      </c>
      <c r="J368" s="6">
        <v>77.36</v>
      </c>
      <c r="K368" s="5">
        <v>84</v>
      </c>
    </row>
    <row r="369" spans="1:11" x14ac:dyDescent="0.3">
      <c r="A369" s="3">
        <v>2124</v>
      </c>
      <c r="B369" s="3" t="s">
        <v>42</v>
      </c>
      <c r="C369" s="4">
        <v>45751</v>
      </c>
      <c r="D369" s="3" t="s">
        <v>12</v>
      </c>
      <c r="E369" s="3" t="s">
        <v>23</v>
      </c>
      <c r="F369" s="5">
        <v>5</v>
      </c>
      <c r="G369" s="6">
        <v>9.14</v>
      </c>
      <c r="H369" s="6">
        <v>45.7</v>
      </c>
      <c r="I369" s="6">
        <v>6.86</v>
      </c>
      <c r="J369" s="6">
        <v>38.840000000000003</v>
      </c>
      <c r="K369" s="5">
        <v>275</v>
      </c>
    </row>
    <row r="370" spans="1:11" x14ac:dyDescent="0.3">
      <c r="A370" s="3">
        <v>1659</v>
      </c>
      <c r="B370" s="3" t="s">
        <v>30</v>
      </c>
      <c r="C370" s="4">
        <v>45730</v>
      </c>
      <c r="D370" s="3" t="s">
        <v>35</v>
      </c>
      <c r="E370" s="3" t="s">
        <v>13</v>
      </c>
      <c r="F370" s="5">
        <v>5</v>
      </c>
      <c r="G370" s="6">
        <v>29.57</v>
      </c>
      <c r="H370" s="6">
        <v>147.85</v>
      </c>
      <c r="I370" s="6">
        <v>29.57</v>
      </c>
      <c r="J370" s="6">
        <v>118.28</v>
      </c>
      <c r="K370" s="5">
        <v>347</v>
      </c>
    </row>
    <row r="371" spans="1:11" x14ac:dyDescent="0.3">
      <c r="A371" s="3">
        <v>1508</v>
      </c>
      <c r="B371" s="3" t="s">
        <v>24</v>
      </c>
      <c r="C371" s="4">
        <v>45337</v>
      </c>
      <c r="D371" s="3" t="s">
        <v>12</v>
      </c>
      <c r="E371" s="3" t="s">
        <v>13</v>
      </c>
      <c r="F371" s="5">
        <v>2</v>
      </c>
      <c r="G371" s="6">
        <v>21.33</v>
      </c>
      <c r="H371" s="6">
        <v>42.66</v>
      </c>
      <c r="I371" s="6">
        <v>8.5299999999999994</v>
      </c>
      <c r="J371" s="6">
        <v>34.130000000000003</v>
      </c>
      <c r="K371" s="5">
        <v>67</v>
      </c>
    </row>
    <row r="372" spans="1:11" x14ac:dyDescent="0.3">
      <c r="A372" s="3">
        <v>4266</v>
      </c>
      <c r="B372" s="3" t="s">
        <v>36</v>
      </c>
      <c r="C372" s="4">
        <v>45796</v>
      </c>
      <c r="D372" s="3" t="s">
        <v>17</v>
      </c>
      <c r="E372" s="3" t="s">
        <v>32</v>
      </c>
      <c r="F372" s="5">
        <v>4</v>
      </c>
      <c r="G372" s="6">
        <v>5.1100000000000003</v>
      </c>
      <c r="H372" s="6">
        <v>20.440000000000001</v>
      </c>
      <c r="I372" s="6">
        <v>0</v>
      </c>
      <c r="J372" s="6">
        <v>20.440000000000001</v>
      </c>
      <c r="K372" s="5">
        <v>323</v>
      </c>
    </row>
    <row r="373" spans="1:11" x14ac:dyDescent="0.3">
      <c r="A373" s="3">
        <v>1333</v>
      </c>
      <c r="B373" s="3" t="s">
        <v>24</v>
      </c>
      <c r="C373" s="4">
        <v>45627</v>
      </c>
      <c r="D373" s="3" t="s">
        <v>20</v>
      </c>
      <c r="E373" s="3" t="s">
        <v>33</v>
      </c>
      <c r="F373" s="5">
        <v>1</v>
      </c>
      <c r="G373" s="6">
        <v>19.37</v>
      </c>
      <c r="H373" s="6">
        <v>19.37</v>
      </c>
      <c r="I373" s="6">
        <v>1.94</v>
      </c>
      <c r="J373" s="6">
        <v>17.43</v>
      </c>
      <c r="K373" s="5">
        <v>450</v>
      </c>
    </row>
    <row r="374" spans="1:11" x14ac:dyDescent="0.3">
      <c r="A374" s="3">
        <v>3496</v>
      </c>
      <c r="B374" s="3" t="s">
        <v>14</v>
      </c>
      <c r="C374" s="4">
        <v>45330</v>
      </c>
      <c r="D374" s="3" t="s">
        <v>35</v>
      </c>
      <c r="E374" s="3" t="s">
        <v>23</v>
      </c>
      <c r="F374" s="5">
        <v>4</v>
      </c>
      <c r="G374" s="6">
        <v>28.55</v>
      </c>
      <c r="H374" s="6">
        <v>114.2</v>
      </c>
      <c r="I374" s="6">
        <v>0</v>
      </c>
      <c r="J374" s="6">
        <v>114.2</v>
      </c>
      <c r="K374" s="5">
        <v>167</v>
      </c>
    </row>
    <row r="375" spans="1:11" x14ac:dyDescent="0.3">
      <c r="A375" s="3">
        <v>3068</v>
      </c>
      <c r="B375" s="3" t="s">
        <v>11</v>
      </c>
      <c r="C375" s="4">
        <v>45512</v>
      </c>
      <c r="D375" s="3" t="s">
        <v>45</v>
      </c>
      <c r="E375" s="3" t="s">
        <v>23</v>
      </c>
      <c r="F375" s="5">
        <v>1</v>
      </c>
      <c r="G375" s="6">
        <v>24.06</v>
      </c>
      <c r="H375" s="6">
        <v>24.06</v>
      </c>
      <c r="I375" s="6">
        <v>2.41</v>
      </c>
      <c r="J375" s="6">
        <v>21.65</v>
      </c>
      <c r="K375" s="5">
        <v>203</v>
      </c>
    </row>
    <row r="376" spans="1:11" x14ac:dyDescent="0.3">
      <c r="A376" s="3">
        <v>2874</v>
      </c>
      <c r="B376" s="3" t="s">
        <v>42</v>
      </c>
      <c r="C376" s="4">
        <v>45583</v>
      </c>
      <c r="D376" s="3" t="s">
        <v>45</v>
      </c>
      <c r="E376" s="3" t="s">
        <v>13</v>
      </c>
      <c r="F376" s="5">
        <v>3</v>
      </c>
      <c r="G376" s="6">
        <v>25.01</v>
      </c>
      <c r="H376" s="6">
        <v>75.03</v>
      </c>
      <c r="I376" s="6">
        <v>4.41</v>
      </c>
      <c r="J376" s="6">
        <v>70.62</v>
      </c>
      <c r="K376" s="5">
        <v>172</v>
      </c>
    </row>
    <row r="377" spans="1:11" x14ac:dyDescent="0.3">
      <c r="A377" s="3">
        <v>4571</v>
      </c>
      <c r="B377" s="3" t="s">
        <v>36</v>
      </c>
      <c r="C377" s="4">
        <v>45506</v>
      </c>
      <c r="D377" s="3" t="s">
        <v>27</v>
      </c>
      <c r="E377" s="3" t="s">
        <v>40</v>
      </c>
      <c r="F377" s="5">
        <v>1</v>
      </c>
      <c r="G377" s="6">
        <v>3.88</v>
      </c>
      <c r="H377" s="6">
        <v>3.88</v>
      </c>
      <c r="I377" s="6">
        <v>1.5</v>
      </c>
      <c r="J377" s="6">
        <v>2.38</v>
      </c>
      <c r="K377" s="5">
        <v>401</v>
      </c>
    </row>
    <row r="378" spans="1:11" x14ac:dyDescent="0.3">
      <c r="A378" s="3">
        <v>5198</v>
      </c>
      <c r="B378" s="3" t="s">
        <v>19</v>
      </c>
      <c r="C378" s="4">
        <v>45740</v>
      </c>
      <c r="D378" s="3" t="s">
        <v>45</v>
      </c>
      <c r="E378" s="3" t="s">
        <v>33</v>
      </c>
      <c r="F378" s="5">
        <v>1</v>
      </c>
      <c r="G378" s="6">
        <v>29.75</v>
      </c>
      <c r="H378" s="6">
        <v>29.75</v>
      </c>
      <c r="I378" s="6">
        <v>0</v>
      </c>
      <c r="J378" s="6">
        <v>29.75</v>
      </c>
      <c r="K378" s="5">
        <v>219</v>
      </c>
    </row>
    <row r="379" spans="1:11" x14ac:dyDescent="0.3">
      <c r="A379" s="3">
        <v>7043</v>
      </c>
      <c r="B379" s="3" t="s">
        <v>19</v>
      </c>
      <c r="C379" s="4">
        <v>45275</v>
      </c>
      <c r="D379" s="3" t="s">
        <v>27</v>
      </c>
      <c r="E379" s="3" t="s">
        <v>37</v>
      </c>
      <c r="F379" s="5">
        <v>2</v>
      </c>
      <c r="G379" s="6">
        <v>26.35</v>
      </c>
      <c r="H379" s="6">
        <v>52.7</v>
      </c>
      <c r="I379" s="6">
        <v>3.62</v>
      </c>
      <c r="J379" s="6">
        <v>49.08</v>
      </c>
      <c r="K379" s="5">
        <v>448</v>
      </c>
    </row>
    <row r="380" spans="1:11" x14ac:dyDescent="0.3">
      <c r="A380" s="3">
        <v>2876</v>
      </c>
      <c r="B380" s="3" t="s">
        <v>30</v>
      </c>
      <c r="C380" s="4">
        <v>45749</v>
      </c>
      <c r="D380" s="3" t="s">
        <v>15</v>
      </c>
      <c r="E380" s="3" t="s">
        <v>23</v>
      </c>
      <c r="F380" s="5">
        <v>2</v>
      </c>
      <c r="G380" s="6">
        <v>2.4900000000000002</v>
      </c>
      <c r="H380" s="6">
        <v>4.9800000000000004</v>
      </c>
      <c r="I380" s="6">
        <v>0</v>
      </c>
      <c r="J380" s="6">
        <v>4.9800000000000004</v>
      </c>
      <c r="K380" s="5">
        <v>320</v>
      </c>
    </row>
    <row r="381" spans="1:11" x14ac:dyDescent="0.3">
      <c r="A381" s="3">
        <v>3683</v>
      </c>
      <c r="B381" s="3" t="s">
        <v>42</v>
      </c>
      <c r="C381" s="4">
        <v>45386</v>
      </c>
      <c r="D381" s="3" t="s">
        <v>20</v>
      </c>
      <c r="E381" s="3" t="s">
        <v>43</v>
      </c>
      <c r="F381" s="5">
        <v>1</v>
      </c>
      <c r="G381" s="6">
        <v>1.02</v>
      </c>
      <c r="H381" s="6">
        <v>1.02</v>
      </c>
      <c r="I381" s="6">
        <v>0.2</v>
      </c>
      <c r="J381" s="6">
        <v>0.82</v>
      </c>
      <c r="K381" s="5">
        <v>244</v>
      </c>
    </row>
    <row r="382" spans="1:11" x14ac:dyDescent="0.3">
      <c r="A382" s="3">
        <v>2771</v>
      </c>
      <c r="B382" s="3" t="s">
        <v>42</v>
      </c>
      <c r="C382" s="4">
        <v>45594</v>
      </c>
      <c r="D382" s="3" t="s">
        <v>38</v>
      </c>
      <c r="E382" s="3" t="s">
        <v>33</v>
      </c>
      <c r="F382" s="5">
        <v>1</v>
      </c>
      <c r="G382" s="6">
        <v>1.22</v>
      </c>
      <c r="H382" s="6">
        <v>1.22</v>
      </c>
      <c r="I382" s="6">
        <v>0.12</v>
      </c>
      <c r="J382" s="6">
        <v>1.1000000000000001</v>
      </c>
      <c r="K382" s="5">
        <v>175</v>
      </c>
    </row>
    <row r="383" spans="1:11" x14ac:dyDescent="0.3">
      <c r="A383" s="3">
        <v>1420</v>
      </c>
      <c r="B383" s="3" t="s">
        <v>19</v>
      </c>
      <c r="C383" s="4">
        <v>45866</v>
      </c>
      <c r="D383" s="3" t="s">
        <v>45</v>
      </c>
      <c r="E383" s="3" t="s">
        <v>43</v>
      </c>
      <c r="F383" s="5">
        <v>2</v>
      </c>
      <c r="G383" s="6">
        <v>12.1</v>
      </c>
      <c r="H383" s="6">
        <v>24.2</v>
      </c>
      <c r="I383" s="6">
        <v>2.25</v>
      </c>
      <c r="J383" s="6">
        <v>21.95</v>
      </c>
      <c r="K383" s="5">
        <v>374</v>
      </c>
    </row>
    <row r="384" spans="1:11" x14ac:dyDescent="0.3">
      <c r="A384" s="3">
        <v>6111</v>
      </c>
      <c r="B384" s="3" t="s">
        <v>30</v>
      </c>
      <c r="C384" s="4">
        <v>45592</v>
      </c>
      <c r="D384" s="3" t="s">
        <v>34</v>
      </c>
      <c r="E384" s="3" t="s">
        <v>32</v>
      </c>
      <c r="F384" s="5">
        <v>2</v>
      </c>
      <c r="G384" s="6">
        <v>19.600000000000001</v>
      </c>
      <c r="H384" s="6">
        <v>39.200000000000003</v>
      </c>
      <c r="I384" s="6">
        <v>3.12</v>
      </c>
      <c r="J384" s="6">
        <v>36.08</v>
      </c>
      <c r="K384" s="5">
        <v>346</v>
      </c>
    </row>
    <row r="385" spans="1:11" x14ac:dyDescent="0.3">
      <c r="A385" s="3">
        <v>7149</v>
      </c>
      <c r="B385" s="3" t="s">
        <v>31</v>
      </c>
      <c r="C385" s="4">
        <v>45453</v>
      </c>
      <c r="D385" s="3" t="s">
        <v>28</v>
      </c>
      <c r="E385" s="3" t="s">
        <v>29</v>
      </c>
      <c r="F385" s="5">
        <v>4</v>
      </c>
      <c r="G385" s="6">
        <v>11.17</v>
      </c>
      <c r="H385" s="6">
        <v>44.68</v>
      </c>
      <c r="I385" s="6">
        <v>4.47</v>
      </c>
      <c r="J385" s="6">
        <v>40.21</v>
      </c>
      <c r="K385" s="5">
        <v>109</v>
      </c>
    </row>
    <row r="386" spans="1:11" x14ac:dyDescent="0.3">
      <c r="A386" s="3">
        <v>4249</v>
      </c>
      <c r="B386" s="3" t="s">
        <v>26</v>
      </c>
      <c r="C386" s="4">
        <v>45204</v>
      </c>
      <c r="D386" s="3" t="s">
        <v>17</v>
      </c>
      <c r="E386" s="3" t="s">
        <v>43</v>
      </c>
      <c r="F386" s="5">
        <v>1</v>
      </c>
      <c r="G386" s="6">
        <v>5.05</v>
      </c>
      <c r="H386" s="6">
        <v>5.05</v>
      </c>
      <c r="I386" s="6">
        <v>0.76</v>
      </c>
      <c r="J386" s="6">
        <v>4.29</v>
      </c>
      <c r="K386" s="5">
        <v>63</v>
      </c>
    </row>
    <row r="387" spans="1:11" x14ac:dyDescent="0.3">
      <c r="A387" s="3">
        <v>4978</v>
      </c>
      <c r="B387" s="3" t="s">
        <v>24</v>
      </c>
      <c r="C387" s="4">
        <v>45224</v>
      </c>
      <c r="D387" s="3" t="s">
        <v>22</v>
      </c>
      <c r="E387" s="3" t="s">
        <v>41</v>
      </c>
      <c r="F387" s="5">
        <v>2</v>
      </c>
      <c r="G387" s="6">
        <v>9.02</v>
      </c>
      <c r="H387" s="6">
        <v>18.04</v>
      </c>
      <c r="I387" s="6">
        <v>3.4</v>
      </c>
      <c r="J387" s="6">
        <v>14.64</v>
      </c>
      <c r="K387" s="5">
        <v>43</v>
      </c>
    </row>
    <row r="388" spans="1:11" x14ac:dyDescent="0.3">
      <c r="A388" s="3">
        <v>5941</v>
      </c>
      <c r="B388" s="3" t="s">
        <v>30</v>
      </c>
      <c r="C388" s="4">
        <v>45805</v>
      </c>
      <c r="D388" s="3" t="s">
        <v>12</v>
      </c>
      <c r="E388" s="3" t="s">
        <v>37</v>
      </c>
      <c r="F388" s="5">
        <v>2</v>
      </c>
      <c r="G388" s="6">
        <v>16</v>
      </c>
      <c r="H388" s="6">
        <v>32</v>
      </c>
      <c r="I388" s="6">
        <v>0</v>
      </c>
      <c r="J388" s="6">
        <v>32</v>
      </c>
      <c r="K388" s="5">
        <v>260</v>
      </c>
    </row>
    <row r="389" spans="1:11" x14ac:dyDescent="0.3">
      <c r="A389" s="3">
        <v>2983</v>
      </c>
      <c r="B389" s="3"/>
      <c r="C389" s="4">
        <v>45763</v>
      </c>
      <c r="D389" s="3" t="s">
        <v>35</v>
      </c>
      <c r="E389" s="3" t="s">
        <v>40</v>
      </c>
      <c r="F389" s="5">
        <v>2</v>
      </c>
      <c r="G389" s="6">
        <v>15.34</v>
      </c>
      <c r="H389" s="6">
        <v>30.68</v>
      </c>
      <c r="I389" s="6">
        <v>3.07</v>
      </c>
      <c r="J389" s="6">
        <v>27.61</v>
      </c>
      <c r="K389" s="5">
        <v>57</v>
      </c>
    </row>
    <row r="390" spans="1:11" x14ac:dyDescent="0.3">
      <c r="A390" s="3">
        <v>1672</v>
      </c>
      <c r="B390" s="3" t="s">
        <v>11</v>
      </c>
      <c r="C390" s="4">
        <v>45414</v>
      </c>
      <c r="D390" s="3" t="s">
        <v>38</v>
      </c>
      <c r="E390" s="3" t="s">
        <v>39</v>
      </c>
      <c r="F390" s="5">
        <v>3</v>
      </c>
      <c r="G390" s="6">
        <v>28.07</v>
      </c>
      <c r="H390" s="6">
        <v>84.21</v>
      </c>
      <c r="I390" s="6">
        <v>2.68</v>
      </c>
      <c r="J390" s="6">
        <v>81.53</v>
      </c>
      <c r="K390" s="5">
        <v>67</v>
      </c>
    </row>
    <row r="391" spans="1:11" x14ac:dyDescent="0.3">
      <c r="A391" s="3">
        <v>9728</v>
      </c>
      <c r="B391" s="3" t="s">
        <v>14</v>
      </c>
      <c r="C391" s="4">
        <v>45477</v>
      </c>
      <c r="D391" s="3" t="s">
        <v>27</v>
      </c>
      <c r="E391" s="3" t="s">
        <v>29</v>
      </c>
      <c r="F391" s="5">
        <v>4</v>
      </c>
      <c r="G391" s="6">
        <v>28.67</v>
      </c>
      <c r="H391" s="6">
        <v>114.68</v>
      </c>
      <c r="I391" s="6">
        <v>3.35</v>
      </c>
      <c r="J391" s="6">
        <v>111.33</v>
      </c>
      <c r="K391" s="5">
        <v>394</v>
      </c>
    </row>
    <row r="392" spans="1:11" x14ac:dyDescent="0.3">
      <c r="A392" s="3">
        <v>7071</v>
      </c>
      <c r="B392" s="3" t="s">
        <v>31</v>
      </c>
      <c r="C392" s="4">
        <v>45198</v>
      </c>
      <c r="D392" s="3" t="s">
        <v>35</v>
      </c>
      <c r="E392" s="3" t="s">
        <v>44</v>
      </c>
      <c r="F392" s="5">
        <v>1</v>
      </c>
      <c r="G392" s="6">
        <v>27.74</v>
      </c>
      <c r="H392" s="6">
        <v>27.74</v>
      </c>
      <c r="I392" s="6">
        <v>2.15</v>
      </c>
      <c r="J392" s="6">
        <v>25.59</v>
      </c>
      <c r="K392" s="5">
        <v>485</v>
      </c>
    </row>
    <row r="393" spans="1:11" x14ac:dyDescent="0.3">
      <c r="A393" s="3">
        <v>9289</v>
      </c>
      <c r="B393" s="3"/>
      <c r="C393" s="4">
        <v>45647</v>
      </c>
      <c r="D393" s="3" t="s">
        <v>20</v>
      </c>
      <c r="E393" s="3" t="s">
        <v>16</v>
      </c>
      <c r="F393" s="5">
        <v>4</v>
      </c>
      <c r="G393" s="6">
        <v>3.38</v>
      </c>
      <c r="H393" s="6">
        <v>13.52</v>
      </c>
      <c r="I393" s="6">
        <v>2.0299999999999998</v>
      </c>
      <c r="J393" s="6">
        <v>11.49</v>
      </c>
      <c r="K393" s="5">
        <v>274</v>
      </c>
    </row>
    <row r="394" spans="1:11" x14ac:dyDescent="0.3">
      <c r="A394" s="3">
        <v>6590</v>
      </c>
      <c r="B394" s="3" t="s">
        <v>11</v>
      </c>
      <c r="C394" s="4">
        <v>45154</v>
      </c>
      <c r="D394" s="3" t="s">
        <v>35</v>
      </c>
      <c r="E394" s="3" t="s">
        <v>43</v>
      </c>
      <c r="F394" s="5">
        <v>5</v>
      </c>
      <c r="G394" s="6">
        <v>27.7</v>
      </c>
      <c r="H394" s="6">
        <v>138.5</v>
      </c>
      <c r="I394" s="6">
        <v>2.31</v>
      </c>
      <c r="J394" s="6">
        <v>136.19</v>
      </c>
      <c r="K394" s="5">
        <v>498</v>
      </c>
    </row>
    <row r="395" spans="1:11" x14ac:dyDescent="0.3">
      <c r="A395" s="3">
        <v>7882</v>
      </c>
      <c r="B395" s="3" t="s">
        <v>11</v>
      </c>
      <c r="C395" s="4">
        <v>45783</v>
      </c>
      <c r="D395" s="3" t="s">
        <v>35</v>
      </c>
      <c r="E395" s="3" t="s">
        <v>16</v>
      </c>
      <c r="F395" s="5">
        <v>2</v>
      </c>
      <c r="G395" s="6">
        <v>2.67</v>
      </c>
      <c r="H395" s="6">
        <v>5.34</v>
      </c>
      <c r="I395" s="6">
        <v>2.81</v>
      </c>
      <c r="J395" s="6">
        <v>2.5299999999999998</v>
      </c>
      <c r="K395" s="5">
        <v>44</v>
      </c>
    </row>
    <row r="396" spans="1:11" x14ac:dyDescent="0.3">
      <c r="A396" s="3">
        <v>9031</v>
      </c>
      <c r="B396" s="3" t="s">
        <v>31</v>
      </c>
      <c r="C396" s="4">
        <v>45226</v>
      </c>
      <c r="D396" s="3" t="s">
        <v>35</v>
      </c>
      <c r="E396" s="3" t="s">
        <v>29</v>
      </c>
      <c r="F396" s="5">
        <v>1</v>
      </c>
      <c r="G396" s="6">
        <v>1.36</v>
      </c>
      <c r="H396" s="6">
        <v>1.36</v>
      </c>
      <c r="I396" s="6">
        <v>0.27</v>
      </c>
      <c r="J396" s="6">
        <v>1.0900000000000001</v>
      </c>
      <c r="K396" s="5">
        <v>70</v>
      </c>
    </row>
    <row r="397" spans="1:11" x14ac:dyDescent="0.3">
      <c r="A397" s="3">
        <v>8102</v>
      </c>
      <c r="B397" s="3" t="s">
        <v>26</v>
      </c>
      <c r="C397" s="4">
        <v>45426</v>
      </c>
      <c r="D397" s="3" t="s">
        <v>22</v>
      </c>
      <c r="E397" s="3" t="s">
        <v>46</v>
      </c>
      <c r="F397" s="5">
        <v>5</v>
      </c>
      <c r="G397" s="6">
        <v>23.7</v>
      </c>
      <c r="H397" s="6">
        <v>118.5</v>
      </c>
      <c r="I397" s="6">
        <v>23.7</v>
      </c>
      <c r="J397" s="6">
        <v>94.8</v>
      </c>
      <c r="K397" s="5">
        <v>369</v>
      </c>
    </row>
    <row r="398" spans="1:11" x14ac:dyDescent="0.3">
      <c r="A398" s="3">
        <v>8532</v>
      </c>
      <c r="B398" s="3" t="s">
        <v>36</v>
      </c>
      <c r="C398" s="4">
        <v>45694</v>
      </c>
      <c r="D398" s="3" t="s">
        <v>34</v>
      </c>
      <c r="E398" s="3" t="s">
        <v>13</v>
      </c>
      <c r="F398" s="5">
        <v>1</v>
      </c>
      <c r="G398" s="6">
        <v>23.36</v>
      </c>
      <c r="H398" s="6">
        <v>23.36</v>
      </c>
      <c r="I398" s="6">
        <v>2.34</v>
      </c>
      <c r="J398" s="6">
        <v>21.02</v>
      </c>
      <c r="K398" s="5">
        <v>15</v>
      </c>
    </row>
    <row r="399" spans="1:11" x14ac:dyDescent="0.3">
      <c r="A399" s="3">
        <v>3506</v>
      </c>
      <c r="B399" s="3" t="s">
        <v>30</v>
      </c>
      <c r="C399" s="4">
        <v>45483</v>
      </c>
      <c r="D399" s="3" t="s">
        <v>38</v>
      </c>
      <c r="E399" s="3" t="s">
        <v>43</v>
      </c>
      <c r="F399" s="5">
        <v>3</v>
      </c>
      <c r="G399" s="6">
        <v>21.65</v>
      </c>
      <c r="H399" s="6">
        <v>64.95</v>
      </c>
      <c r="I399" s="6">
        <v>6.5</v>
      </c>
      <c r="J399" s="6">
        <v>58.45</v>
      </c>
      <c r="K399" s="5">
        <v>295</v>
      </c>
    </row>
    <row r="400" spans="1:11" x14ac:dyDescent="0.3">
      <c r="A400" s="3">
        <v>3885</v>
      </c>
      <c r="B400" s="3" t="s">
        <v>26</v>
      </c>
      <c r="C400" s="4">
        <v>45714</v>
      </c>
      <c r="D400" s="3" t="s">
        <v>38</v>
      </c>
      <c r="E400" s="3" t="s">
        <v>23</v>
      </c>
      <c r="F400" s="5">
        <v>1</v>
      </c>
      <c r="G400" s="6">
        <v>15.48</v>
      </c>
      <c r="H400" s="6">
        <v>15.48</v>
      </c>
      <c r="I400" s="6">
        <v>2.3199999999999998</v>
      </c>
      <c r="J400" s="6">
        <v>13.16</v>
      </c>
      <c r="K400" s="5">
        <v>290</v>
      </c>
    </row>
    <row r="401" spans="1:11" x14ac:dyDescent="0.3">
      <c r="A401" s="3">
        <v>9548</v>
      </c>
      <c r="B401" s="3" t="s">
        <v>19</v>
      </c>
      <c r="C401" s="4">
        <v>45650</v>
      </c>
      <c r="D401" s="3" t="s">
        <v>35</v>
      </c>
      <c r="E401" s="3" t="s">
        <v>48</v>
      </c>
      <c r="F401" s="5">
        <v>5</v>
      </c>
      <c r="G401" s="6">
        <v>20.54</v>
      </c>
      <c r="H401" s="6">
        <v>102.7</v>
      </c>
      <c r="I401" s="6">
        <v>0</v>
      </c>
      <c r="J401" s="6">
        <v>102.7</v>
      </c>
      <c r="K401" s="5">
        <v>59</v>
      </c>
    </row>
    <row r="402" spans="1:11" x14ac:dyDescent="0.3">
      <c r="A402" s="3">
        <v>5425</v>
      </c>
      <c r="B402" s="3" t="s">
        <v>14</v>
      </c>
      <c r="C402" s="4">
        <v>45623</v>
      </c>
      <c r="D402" s="3" t="s">
        <v>12</v>
      </c>
      <c r="E402" s="3" t="s">
        <v>40</v>
      </c>
      <c r="F402" s="5">
        <v>1</v>
      </c>
      <c r="G402" s="6">
        <v>8.08</v>
      </c>
      <c r="H402" s="6">
        <v>8.08</v>
      </c>
      <c r="I402" s="6">
        <v>0.81</v>
      </c>
      <c r="J402" s="6">
        <v>7.27</v>
      </c>
      <c r="K402" s="5">
        <v>241</v>
      </c>
    </row>
    <row r="403" spans="1:11" x14ac:dyDescent="0.3">
      <c r="A403" s="3">
        <v>9817</v>
      </c>
      <c r="B403" s="3" t="s">
        <v>19</v>
      </c>
      <c r="C403" s="4">
        <v>45746</v>
      </c>
      <c r="D403" s="3" t="s">
        <v>34</v>
      </c>
      <c r="E403" s="3" t="s">
        <v>40</v>
      </c>
      <c r="F403" s="5">
        <v>5</v>
      </c>
      <c r="G403" s="6">
        <v>24.28</v>
      </c>
      <c r="H403" s="6">
        <v>121.4</v>
      </c>
      <c r="I403" s="6">
        <v>24.28</v>
      </c>
      <c r="J403" s="6">
        <v>97.12</v>
      </c>
      <c r="K403" s="5">
        <v>365</v>
      </c>
    </row>
    <row r="404" spans="1:11" x14ac:dyDescent="0.3">
      <c r="A404" s="3">
        <v>8921</v>
      </c>
      <c r="B404" s="3" t="s">
        <v>36</v>
      </c>
      <c r="C404" s="4">
        <v>45506</v>
      </c>
      <c r="D404" s="3" t="s">
        <v>17</v>
      </c>
      <c r="E404" s="3" t="s">
        <v>16</v>
      </c>
      <c r="F404" s="5">
        <v>3</v>
      </c>
      <c r="G404" s="6">
        <v>8.86</v>
      </c>
      <c r="H404" s="6">
        <v>26.58</v>
      </c>
      <c r="I404" s="6">
        <v>3.01</v>
      </c>
      <c r="J404" s="6">
        <v>23.57</v>
      </c>
      <c r="K404" s="5">
        <v>39</v>
      </c>
    </row>
    <row r="405" spans="1:11" x14ac:dyDescent="0.3">
      <c r="A405" s="3">
        <v>8136</v>
      </c>
      <c r="B405" s="3" t="s">
        <v>31</v>
      </c>
      <c r="C405" s="4">
        <v>45786</v>
      </c>
      <c r="D405" s="3" t="s">
        <v>34</v>
      </c>
      <c r="E405" s="3" t="s">
        <v>25</v>
      </c>
      <c r="F405" s="5">
        <v>5</v>
      </c>
      <c r="G405" s="6">
        <v>29.45</v>
      </c>
      <c r="H405" s="6">
        <v>147.25</v>
      </c>
      <c r="I405" s="6">
        <v>4.51</v>
      </c>
      <c r="J405" s="6">
        <v>142.74</v>
      </c>
      <c r="K405" s="5">
        <v>488</v>
      </c>
    </row>
    <row r="406" spans="1:11" x14ac:dyDescent="0.3">
      <c r="A406" s="3">
        <v>5397</v>
      </c>
      <c r="B406" s="3" t="s">
        <v>30</v>
      </c>
      <c r="C406" s="4">
        <v>45395</v>
      </c>
      <c r="D406" s="3" t="s">
        <v>35</v>
      </c>
      <c r="E406" s="3" t="s">
        <v>21</v>
      </c>
      <c r="F406" s="5">
        <v>1</v>
      </c>
      <c r="G406" s="6">
        <v>17.03</v>
      </c>
      <c r="H406" s="6">
        <v>17.03</v>
      </c>
      <c r="I406" s="6">
        <v>3.41</v>
      </c>
      <c r="J406" s="6">
        <v>13.62</v>
      </c>
      <c r="K406" s="5">
        <v>4</v>
      </c>
    </row>
    <row r="407" spans="1:11" x14ac:dyDescent="0.3">
      <c r="A407" s="3">
        <v>5022</v>
      </c>
      <c r="B407" s="3" t="s">
        <v>30</v>
      </c>
      <c r="C407" s="4">
        <v>45790</v>
      </c>
      <c r="D407" s="3" t="s">
        <v>28</v>
      </c>
      <c r="E407" s="3" t="s">
        <v>37</v>
      </c>
      <c r="F407" s="5">
        <v>5</v>
      </c>
      <c r="G407" s="6">
        <v>8.02</v>
      </c>
      <c r="H407" s="6">
        <v>40.1</v>
      </c>
      <c r="I407" s="6">
        <v>8.02</v>
      </c>
      <c r="J407" s="6">
        <v>32.08</v>
      </c>
      <c r="K407" s="5">
        <v>188</v>
      </c>
    </row>
    <row r="408" spans="1:11" x14ac:dyDescent="0.3">
      <c r="A408" s="3">
        <v>2419</v>
      </c>
      <c r="B408" s="3" t="s">
        <v>14</v>
      </c>
      <c r="C408" s="4">
        <v>45361</v>
      </c>
      <c r="D408" s="3" t="s">
        <v>17</v>
      </c>
      <c r="E408" s="3" t="s">
        <v>41</v>
      </c>
      <c r="F408" s="5">
        <v>1</v>
      </c>
      <c r="G408" s="6">
        <v>28.03</v>
      </c>
      <c r="H408" s="6">
        <v>28.03</v>
      </c>
      <c r="I408" s="6">
        <v>2.39</v>
      </c>
      <c r="J408" s="6">
        <v>25.64</v>
      </c>
      <c r="K408" s="5">
        <v>12</v>
      </c>
    </row>
    <row r="409" spans="1:11" x14ac:dyDescent="0.3">
      <c r="A409" s="3">
        <v>8385</v>
      </c>
      <c r="B409" s="3" t="s">
        <v>31</v>
      </c>
      <c r="C409" s="4">
        <v>45334</v>
      </c>
      <c r="D409" s="3" t="s">
        <v>22</v>
      </c>
      <c r="E409" s="3" t="s">
        <v>39</v>
      </c>
      <c r="F409" s="5">
        <v>4</v>
      </c>
      <c r="G409" s="6">
        <v>25.61</v>
      </c>
      <c r="H409" s="6">
        <v>102.44</v>
      </c>
      <c r="I409" s="6">
        <v>1.82</v>
      </c>
      <c r="J409" s="6">
        <v>100.62</v>
      </c>
      <c r="K409" s="5">
        <v>372</v>
      </c>
    </row>
    <row r="410" spans="1:11" x14ac:dyDescent="0.3">
      <c r="A410" s="3">
        <v>8613</v>
      </c>
      <c r="B410" s="3" t="s">
        <v>42</v>
      </c>
      <c r="C410" s="4">
        <v>45587</v>
      </c>
      <c r="D410" s="3" t="s">
        <v>20</v>
      </c>
      <c r="E410" s="3" t="s">
        <v>47</v>
      </c>
      <c r="F410" s="5">
        <v>1</v>
      </c>
      <c r="G410" s="6">
        <v>29.19</v>
      </c>
      <c r="H410" s="6">
        <v>29.19</v>
      </c>
      <c r="I410" s="6">
        <v>1.18</v>
      </c>
      <c r="J410" s="6">
        <v>28.01</v>
      </c>
      <c r="K410" s="5">
        <v>72</v>
      </c>
    </row>
    <row r="411" spans="1:11" x14ac:dyDescent="0.3">
      <c r="A411" s="3">
        <v>7209</v>
      </c>
      <c r="B411" s="3" t="s">
        <v>42</v>
      </c>
      <c r="C411" s="4">
        <v>45406</v>
      </c>
      <c r="D411" s="3" t="s">
        <v>38</v>
      </c>
      <c r="E411" s="3" t="s">
        <v>16</v>
      </c>
      <c r="F411" s="5">
        <v>3</v>
      </c>
      <c r="G411" s="6">
        <v>14.29</v>
      </c>
      <c r="H411" s="6">
        <v>42.87</v>
      </c>
      <c r="I411" s="6">
        <v>1.38</v>
      </c>
      <c r="J411" s="6">
        <v>41.49</v>
      </c>
      <c r="K411" s="5">
        <v>382</v>
      </c>
    </row>
    <row r="412" spans="1:11" x14ac:dyDescent="0.3">
      <c r="A412" s="3">
        <v>1470</v>
      </c>
      <c r="B412" s="3" t="s">
        <v>19</v>
      </c>
      <c r="C412" s="4">
        <v>45528</v>
      </c>
      <c r="D412" s="3" t="s">
        <v>27</v>
      </c>
      <c r="E412" s="3" t="s">
        <v>32</v>
      </c>
      <c r="F412" s="5">
        <v>1</v>
      </c>
      <c r="G412" s="6">
        <v>18.149999999999999</v>
      </c>
      <c r="H412" s="6">
        <v>18.149999999999999</v>
      </c>
      <c r="I412" s="6">
        <v>0</v>
      </c>
      <c r="J412" s="6">
        <v>18.149999999999999</v>
      </c>
      <c r="K412" s="5">
        <v>31</v>
      </c>
    </row>
    <row r="413" spans="1:11" x14ac:dyDescent="0.3">
      <c r="A413" s="3">
        <v>6325</v>
      </c>
      <c r="B413" s="3" t="s">
        <v>19</v>
      </c>
      <c r="C413" s="4">
        <v>45286</v>
      </c>
      <c r="D413" s="3" t="s">
        <v>17</v>
      </c>
      <c r="E413" s="3" t="s">
        <v>37</v>
      </c>
      <c r="F413" s="5">
        <v>3</v>
      </c>
      <c r="G413" s="6">
        <v>25.67</v>
      </c>
      <c r="H413" s="6">
        <v>77.010000000000005</v>
      </c>
      <c r="I413" s="6">
        <v>0</v>
      </c>
      <c r="J413" s="6">
        <v>77.010000000000005</v>
      </c>
      <c r="K413" s="5">
        <v>474</v>
      </c>
    </row>
    <row r="414" spans="1:11" x14ac:dyDescent="0.3">
      <c r="A414" s="3">
        <v>8988</v>
      </c>
      <c r="B414" s="3" t="s">
        <v>36</v>
      </c>
      <c r="C414" s="4">
        <v>45309</v>
      </c>
      <c r="D414" s="3" t="s">
        <v>22</v>
      </c>
      <c r="E414" s="3" t="s">
        <v>33</v>
      </c>
      <c r="F414" s="5">
        <v>3</v>
      </c>
      <c r="G414" s="6">
        <v>7.76</v>
      </c>
      <c r="H414" s="6">
        <v>23.28</v>
      </c>
      <c r="I414" s="6">
        <v>4.66</v>
      </c>
      <c r="J414" s="6">
        <v>18.62</v>
      </c>
      <c r="K414" s="5">
        <v>483</v>
      </c>
    </row>
    <row r="415" spans="1:11" x14ac:dyDescent="0.3">
      <c r="A415" s="3">
        <v>6813</v>
      </c>
      <c r="B415" s="3" t="s">
        <v>11</v>
      </c>
      <c r="C415" s="4">
        <v>45764</v>
      </c>
      <c r="D415" s="3" t="s">
        <v>34</v>
      </c>
      <c r="E415" s="3" t="s">
        <v>48</v>
      </c>
      <c r="F415" s="5">
        <v>2</v>
      </c>
      <c r="G415" s="6">
        <v>14.03</v>
      </c>
      <c r="H415" s="6">
        <v>28.06</v>
      </c>
      <c r="I415" s="6">
        <v>3.14</v>
      </c>
      <c r="J415" s="6">
        <v>24.92</v>
      </c>
      <c r="K415" s="5">
        <v>160</v>
      </c>
    </row>
    <row r="416" spans="1:11" x14ac:dyDescent="0.3">
      <c r="A416" s="3">
        <v>5232</v>
      </c>
      <c r="B416" s="3" t="s">
        <v>42</v>
      </c>
      <c r="C416" s="4">
        <v>45409</v>
      </c>
      <c r="D416" s="3" t="s">
        <v>45</v>
      </c>
      <c r="E416" s="3" t="s">
        <v>37</v>
      </c>
      <c r="F416" s="5">
        <v>4</v>
      </c>
      <c r="G416" s="6">
        <v>8.68</v>
      </c>
      <c r="H416" s="6">
        <v>34.72</v>
      </c>
      <c r="I416" s="6">
        <v>6.94</v>
      </c>
      <c r="J416" s="6">
        <v>27.78</v>
      </c>
      <c r="K416" s="5">
        <v>61</v>
      </c>
    </row>
    <row r="417" spans="1:11" x14ac:dyDescent="0.3">
      <c r="A417" s="3">
        <v>5581</v>
      </c>
      <c r="B417" s="3" t="s">
        <v>30</v>
      </c>
      <c r="C417" s="4">
        <v>45828</v>
      </c>
      <c r="D417" s="3" t="s">
        <v>28</v>
      </c>
      <c r="E417" s="3" t="s">
        <v>40</v>
      </c>
      <c r="F417" s="5">
        <v>2</v>
      </c>
      <c r="G417" s="6">
        <v>25.23</v>
      </c>
      <c r="H417" s="6">
        <v>50.46</v>
      </c>
      <c r="I417" s="6">
        <v>3.84</v>
      </c>
      <c r="J417" s="6">
        <v>46.62</v>
      </c>
      <c r="K417" s="5">
        <v>167</v>
      </c>
    </row>
    <row r="418" spans="1:11" x14ac:dyDescent="0.3">
      <c r="A418" s="3">
        <v>5526</v>
      </c>
      <c r="B418" s="3" t="s">
        <v>36</v>
      </c>
      <c r="C418" s="4">
        <v>45576</v>
      </c>
      <c r="D418" s="3" t="s">
        <v>20</v>
      </c>
      <c r="E418" s="3" t="s">
        <v>46</v>
      </c>
      <c r="F418" s="5">
        <v>1</v>
      </c>
      <c r="G418" s="6">
        <v>20.63</v>
      </c>
      <c r="H418" s="6">
        <v>20.63</v>
      </c>
      <c r="I418" s="6">
        <v>4.8099999999999996</v>
      </c>
      <c r="J418" s="6">
        <v>15.82</v>
      </c>
      <c r="K418" s="5">
        <v>133</v>
      </c>
    </row>
    <row r="419" spans="1:11" x14ac:dyDescent="0.3">
      <c r="A419" s="3">
        <v>1166</v>
      </c>
      <c r="B419" s="3" t="s">
        <v>26</v>
      </c>
      <c r="C419" s="4">
        <v>45546</v>
      </c>
      <c r="D419" s="3" t="s">
        <v>38</v>
      </c>
      <c r="E419" s="3" t="s">
        <v>18</v>
      </c>
      <c r="F419" s="5">
        <v>2</v>
      </c>
      <c r="G419" s="6">
        <v>3.74</v>
      </c>
      <c r="H419" s="6">
        <v>7.48</v>
      </c>
      <c r="I419" s="6">
        <v>1.05</v>
      </c>
      <c r="J419" s="6">
        <v>6.43</v>
      </c>
      <c r="K419" s="5">
        <v>52</v>
      </c>
    </row>
    <row r="420" spans="1:11" x14ac:dyDescent="0.3">
      <c r="A420" s="3">
        <v>4130</v>
      </c>
      <c r="B420" s="3" t="s">
        <v>42</v>
      </c>
      <c r="C420" s="4">
        <v>45211</v>
      </c>
      <c r="D420" s="3" t="s">
        <v>34</v>
      </c>
      <c r="E420" s="3" t="s">
        <v>44</v>
      </c>
      <c r="F420" s="5">
        <v>4</v>
      </c>
      <c r="G420" s="6">
        <v>11.78</v>
      </c>
      <c r="H420" s="6">
        <v>47.12</v>
      </c>
      <c r="I420" s="6">
        <v>3.34</v>
      </c>
      <c r="J420" s="6">
        <v>43.78</v>
      </c>
      <c r="K420" s="5">
        <v>322</v>
      </c>
    </row>
    <row r="421" spans="1:11" x14ac:dyDescent="0.3">
      <c r="A421" s="3">
        <v>4954</v>
      </c>
      <c r="B421" s="3" t="s">
        <v>11</v>
      </c>
      <c r="C421" s="4">
        <v>45704</v>
      </c>
      <c r="D421" s="3" t="s">
        <v>12</v>
      </c>
      <c r="E421" s="3" t="s">
        <v>43</v>
      </c>
      <c r="F421" s="5">
        <v>2</v>
      </c>
      <c r="G421" s="6">
        <v>27.16</v>
      </c>
      <c r="H421" s="6">
        <v>54.32</v>
      </c>
      <c r="I421" s="6">
        <v>4.62</v>
      </c>
      <c r="J421" s="6">
        <v>49.7</v>
      </c>
      <c r="K421" s="5">
        <v>227</v>
      </c>
    </row>
    <row r="422" spans="1:11" x14ac:dyDescent="0.3">
      <c r="A422" s="3">
        <v>7658</v>
      </c>
      <c r="B422" s="3"/>
      <c r="C422" s="4">
        <v>45524</v>
      </c>
      <c r="D422" s="3" t="s">
        <v>15</v>
      </c>
      <c r="E422" s="3" t="s">
        <v>40</v>
      </c>
      <c r="F422" s="5">
        <v>4</v>
      </c>
      <c r="G422" s="6">
        <v>2.46</v>
      </c>
      <c r="H422" s="6">
        <v>9.84</v>
      </c>
      <c r="I422" s="6">
        <v>0</v>
      </c>
      <c r="J422" s="6">
        <v>9.84</v>
      </c>
      <c r="K422" s="5">
        <v>473</v>
      </c>
    </row>
    <row r="423" spans="1:11" x14ac:dyDescent="0.3">
      <c r="A423" s="3">
        <v>4937</v>
      </c>
      <c r="B423" s="3" t="s">
        <v>24</v>
      </c>
      <c r="C423" s="4">
        <v>45681</v>
      </c>
      <c r="D423" s="3" t="s">
        <v>45</v>
      </c>
      <c r="E423" s="3" t="s">
        <v>39</v>
      </c>
      <c r="F423" s="5">
        <v>4</v>
      </c>
      <c r="G423" s="6">
        <v>20.8</v>
      </c>
      <c r="H423" s="6">
        <v>83.2</v>
      </c>
      <c r="I423" s="6">
        <v>16.64</v>
      </c>
      <c r="J423" s="6">
        <v>66.56</v>
      </c>
      <c r="K423" s="5">
        <v>88</v>
      </c>
    </row>
    <row r="424" spans="1:11" x14ac:dyDescent="0.3">
      <c r="A424" s="3">
        <v>8800</v>
      </c>
      <c r="B424" s="3" t="s">
        <v>19</v>
      </c>
      <c r="C424" s="4">
        <v>45646</v>
      </c>
      <c r="D424" s="3" t="s">
        <v>35</v>
      </c>
      <c r="E424" s="3" t="s">
        <v>13</v>
      </c>
      <c r="F424" s="5">
        <v>4</v>
      </c>
      <c r="G424" s="6">
        <v>26.61</v>
      </c>
      <c r="H424" s="6">
        <v>106.44</v>
      </c>
      <c r="I424" s="6">
        <v>0</v>
      </c>
      <c r="J424" s="6">
        <v>106.44</v>
      </c>
      <c r="K424" s="5">
        <v>17</v>
      </c>
    </row>
    <row r="425" spans="1:11" x14ac:dyDescent="0.3">
      <c r="A425" s="3">
        <v>9041</v>
      </c>
      <c r="B425" s="3" t="s">
        <v>30</v>
      </c>
      <c r="C425" s="4">
        <v>45493</v>
      </c>
      <c r="D425" s="3" t="s">
        <v>45</v>
      </c>
      <c r="E425" s="3" t="s">
        <v>16</v>
      </c>
      <c r="F425" s="5">
        <v>5</v>
      </c>
      <c r="G425" s="6">
        <v>14.88</v>
      </c>
      <c r="H425" s="6">
        <v>74.400000000000006</v>
      </c>
      <c r="I425" s="6">
        <v>7.44</v>
      </c>
      <c r="J425" s="6">
        <v>66.959999999999994</v>
      </c>
      <c r="K425" s="5">
        <v>44</v>
      </c>
    </row>
    <row r="426" spans="1:11" x14ac:dyDescent="0.3">
      <c r="A426" s="3">
        <v>1282</v>
      </c>
      <c r="B426" s="3" t="s">
        <v>19</v>
      </c>
      <c r="C426" s="4">
        <v>45217</v>
      </c>
      <c r="D426" s="3" t="s">
        <v>20</v>
      </c>
      <c r="E426" s="3" t="s">
        <v>44</v>
      </c>
      <c r="F426" s="5">
        <v>5</v>
      </c>
      <c r="G426" s="6">
        <v>8.2200000000000006</v>
      </c>
      <c r="H426" s="6">
        <v>41.1</v>
      </c>
      <c r="I426" s="6">
        <v>4.1100000000000003</v>
      </c>
      <c r="J426" s="6">
        <v>36.99</v>
      </c>
      <c r="K426" s="5">
        <v>410</v>
      </c>
    </row>
    <row r="427" spans="1:11" x14ac:dyDescent="0.3">
      <c r="A427" s="3">
        <v>5820</v>
      </c>
      <c r="B427" s="3" t="s">
        <v>36</v>
      </c>
      <c r="C427" s="4">
        <v>45317</v>
      </c>
      <c r="D427" s="3" t="s">
        <v>45</v>
      </c>
      <c r="E427" s="3" t="s">
        <v>18</v>
      </c>
      <c r="F427" s="5">
        <v>4</v>
      </c>
      <c r="G427" s="6">
        <v>10.97</v>
      </c>
      <c r="H427" s="6">
        <v>43.88</v>
      </c>
      <c r="I427" s="6">
        <v>4.3899999999999997</v>
      </c>
      <c r="J427" s="6">
        <v>39.49</v>
      </c>
      <c r="K427" s="5">
        <v>289</v>
      </c>
    </row>
    <row r="428" spans="1:11" x14ac:dyDescent="0.3">
      <c r="A428" s="3">
        <v>7625</v>
      </c>
      <c r="B428" s="3" t="s">
        <v>30</v>
      </c>
      <c r="C428" s="4">
        <v>45682</v>
      </c>
      <c r="D428" s="3" t="s">
        <v>34</v>
      </c>
      <c r="E428" s="3" t="s">
        <v>39</v>
      </c>
      <c r="F428" s="5">
        <v>3</v>
      </c>
      <c r="G428" s="6">
        <v>18.309999999999999</v>
      </c>
      <c r="H428" s="6">
        <v>54.93</v>
      </c>
      <c r="I428" s="6">
        <v>4.2300000000000004</v>
      </c>
      <c r="J428" s="6">
        <v>50.7</v>
      </c>
      <c r="K428" s="5">
        <v>15</v>
      </c>
    </row>
    <row r="429" spans="1:11" x14ac:dyDescent="0.3">
      <c r="A429" s="3">
        <v>4986</v>
      </c>
      <c r="B429" s="3" t="s">
        <v>26</v>
      </c>
      <c r="C429" s="4">
        <v>45382</v>
      </c>
      <c r="D429" s="3" t="s">
        <v>38</v>
      </c>
      <c r="E429" s="3" t="s">
        <v>23</v>
      </c>
      <c r="F429" s="5">
        <v>5</v>
      </c>
      <c r="G429" s="6">
        <v>29.98</v>
      </c>
      <c r="H429" s="6">
        <v>149.9</v>
      </c>
      <c r="I429" s="6">
        <v>1.99</v>
      </c>
      <c r="J429" s="6">
        <v>147.91</v>
      </c>
      <c r="K429" s="5">
        <v>498</v>
      </c>
    </row>
    <row r="430" spans="1:11" x14ac:dyDescent="0.3">
      <c r="A430" s="3">
        <v>7046</v>
      </c>
      <c r="B430" s="3" t="s">
        <v>42</v>
      </c>
      <c r="C430" s="4">
        <v>45512</v>
      </c>
      <c r="D430" s="3" t="s">
        <v>35</v>
      </c>
      <c r="E430" s="3" t="s">
        <v>18</v>
      </c>
      <c r="F430" s="5">
        <v>1</v>
      </c>
      <c r="G430" s="6">
        <v>23.15</v>
      </c>
      <c r="H430" s="6">
        <v>23.15</v>
      </c>
      <c r="I430" s="6">
        <v>4.3899999999999997</v>
      </c>
      <c r="J430" s="6">
        <v>18.760000000000002</v>
      </c>
      <c r="K430" s="5">
        <v>485</v>
      </c>
    </row>
    <row r="431" spans="1:11" x14ac:dyDescent="0.3">
      <c r="A431" s="3">
        <v>9698</v>
      </c>
      <c r="B431" s="3" t="s">
        <v>24</v>
      </c>
      <c r="C431" s="4">
        <v>45412</v>
      </c>
      <c r="D431" s="3" t="s">
        <v>22</v>
      </c>
      <c r="E431" s="3" t="s">
        <v>29</v>
      </c>
      <c r="F431" s="5">
        <v>2</v>
      </c>
      <c r="G431" s="6">
        <v>7.85</v>
      </c>
      <c r="H431" s="6">
        <v>15.7</v>
      </c>
      <c r="I431" s="6">
        <v>1.1100000000000001</v>
      </c>
      <c r="J431" s="6">
        <v>14.59</v>
      </c>
      <c r="K431" s="5">
        <v>162</v>
      </c>
    </row>
    <row r="432" spans="1:11" x14ac:dyDescent="0.3">
      <c r="A432" s="3">
        <v>7971</v>
      </c>
      <c r="B432" s="3" t="s">
        <v>36</v>
      </c>
      <c r="C432" s="4">
        <v>45724</v>
      </c>
      <c r="D432" s="3" t="s">
        <v>28</v>
      </c>
      <c r="E432" s="3" t="s">
        <v>41</v>
      </c>
      <c r="F432" s="5">
        <v>5</v>
      </c>
      <c r="G432" s="6">
        <v>28.49</v>
      </c>
      <c r="H432" s="6">
        <v>142.44999999999999</v>
      </c>
      <c r="I432" s="6">
        <v>2.2400000000000002</v>
      </c>
      <c r="J432" s="6">
        <v>140.21</v>
      </c>
      <c r="K432" s="5">
        <v>428</v>
      </c>
    </row>
    <row r="433" spans="1:11" x14ac:dyDescent="0.3">
      <c r="A433" s="3">
        <v>6419</v>
      </c>
      <c r="B433" s="3" t="s">
        <v>26</v>
      </c>
      <c r="C433" s="4">
        <v>45418</v>
      </c>
      <c r="D433" s="3" t="s">
        <v>12</v>
      </c>
      <c r="E433" s="3" t="s">
        <v>43</v>
      </c>
      <c r="F433" s="5">
        <v>1</v>
      </c>
      <c r="G433" s="6">
        <v>7.74</v>
      </c>
      <c r="H433" s="6">
        <v>7.74</v>
      </c>
      <c r="I433" s="6">
        <v>2.91</v>
      </c>
      <c r="J433" s="6">
        <v>4.83</v>
      </c>
      <c r="K433" s="5">
        <v>112</v>
      </c>
    </row>
    <row r="434" spans="1:11" x14ac:dyDescent="0.3">
      <c r="A434" s="3">
        <v>8434</v>
      </c>
      <c r="B434" s="3" t="s">
        <v>36</v>
      </c>
      <c r="C434" s="4">
        <v>45355</v>
      </c>
      <c r="D434" s="3" t="s">
        <v>28</v>
      </c>
      <c r="E434" s="3" t="s">
        <v>44</v>
      </c>
      <c r="F434" s="5">
        <v>2</v>
      </c>
      <c r="G434" s="6">
        <v>10.87</v>
      </c>
      <c r="H434" s="6">
        <v>21.74</v>
      </c>
      <c r="I434" s="6">
        <v>1.0900000000000001</v>
      </c>
      <c r="J434" s="6">
        <v>20.65</v>
      </c>
      <c r="K434" s="5">
        <v>90</v>
      </c>
    </row>
    <row r="435" spans="1:11" x14ac:dyDescent="0.3">
      <c r="A435" s="3">
        <v>6023</v>
      </c>
      <c r="B435" s="3" t="s">
        <v>19</v>
      </c>
      <c r="C435" s="4">
        <v>45340</v>
      </c>
      <c r="D435" s="3" t="s">
        <v>15</v>
      </c>
      <c r="E435" s="3" t="s">
        <v>46</v>
      </c>
      <c r="F435" s="5">
        <v>3</v>
      </c>
      <c r="G435" s="6">
        <v>28.85</v>
      </c>
      <c r="H435" s="6">
        <v>86.55</v>
      </c>
      <c r="I435" s="6">
        <v>1.4</v>
      </c>
      <c r="J435" s="6">
        <v>85.15</v>
      </c>
      <c r="K435" s="5">
        <v>191</v>
      </c>
    </row>
    <row r="436" spans="1:11" x14ac:dyDescent="0.3">
      <c r="A436" s="3">
        <v>4777</v>
      </c>
      <c r="B436" s="3" t="s">
        <v>30</v>
      </c>
      <c r="C436" s="4">
        <v>45238</v>
      </c>
      <c r="D436" s="3" t="s">
        <v>22</v>
      </c>
      <c r="E436" s="3" t="s">
        <v>41</v>
      </c>
      <c r="F436" s="5">
        <v>2</v>
      </c>
      <c r="G436" s="6">
        <v>22.23</v>
      </c>
      <c r="H436" s="6">
        <v>44.46</v>
      </c>
      <c r="I436" s="6">
        <v>0</v>
      </c>
      <c r="J436" s="6">
        <v>44.46</v>
      </c>
      <c r="K436" s="5">
        <v>223</v>
      </c>
    </row>
    <row r="437" spans="1:11" x14ac:dyDescent="0.3">
      <c r="A437" s="3">
        <v>4155</v>
      </c>
      <c r="B437" s="3" t="s">
        <v>36</v>
      </c>
      <c r="C437" s="4">
        <v>45390</v>
      </c>
      <c r="D437" s="3" t="s">
        <v>34</v>
      </c>
      <c r="E437" s="3" t="s">
        <v>18</v>
      </c>
      <c r="F437" s="5">
        <v>5</v>
      </c>
      <c r="G437" s="6">
        <v>23.81</v>
      </c>
      <c r="H437" s="6">
        <v>119.05</v>
      </c>
      <c r="I437" s="6">
        <v>11.91</v>
      </c>
      <c r="J437" s="6">
        <v>107.14</v>
      </c>
      <c r="K437" s="5">
        <v>114</v>
      </c>
    </row>
    <row r="438" spans="1:11" x14ac:dyDescent="0.3">
      <c r="A438" s="3">
        <v>2958</v>
      </c>
      <c r="B438" s="3" t="s">
        <v>30</v>
      </c>
      <c r="C438" s="4">
        <v>45722</v>
      </c>
      <c r="D438" s="3" t="s">
        <v>35</v>
      </c>
      <c r="E438" s="3" t="s">
        <v>41</v>
      </c>
      <c r="F438" s="5">
        <v>2</v>
      </c>
      <c r="G438" s="6">
        <v>22.13</v>
      </c>
      <c r="H438" s="6">
        <v>44.26</v>
      </c>
      <c r="I438" s="6">
        <v>1.1299999999999999</v>
      </c>
      <c r="J438" s="6">
        <v>43.13</v>
      </c>
      <c r="K438" s="5">
        <v>485</v>
      </c>
    </row>
    <row r="439" spans="1:11" x14ac:dyDescent="0.3">
      <c r="A439" s="3">
        <v>9779</v>
      </c>
      <c r="B439" s="3" t="s">
        <v>36</v>
      </c>
      <c r="C439" s="4">
        <v>45737</v>
      </c>
      <c r="D439" s="3" t="s">
        <v>28</v>
      </c>
      <c r="E439" s="3" t="s">
        <v>25</v>
      </c>
      <c r="F439" s="5">
        <v>5</v>
      </c>
      <c r="G439" s="6">
        <v>4.01</v>
      </c>
      <c r="H439" s="6">
        <v>20.05</v>
      </c>
      <c r="I439" s="6">
        <v>3.01</v>
      </c>
      <c r="J439" s="6">
        <v>17.04</v>
      </c>
      <c r="K439" s="5">
        <v>254</v>
      </c>
    </row>
    <row r="440" spans="1:11" x14ac:dyDescent="0.3">
      <c r="A440" s="3">
        <v>4033</v>
      </c>
      <c r="B440" s="3" t="s">
        <v>11</v>
      </c>
      <c r="C440" s="4">
        <v>45293</v>
      </c>
      <c r="D440" s="3" t="s">
        <v>17</v>
      </c>
      <c r="E440" s="3" t="s">
        <v>23</v>
      </c>
      <c r="F440" s="5">
        <v>3</v>
      </c>
      <c r="G440" s="6">
        <v>5.86</v>
      </c>
      <c r="H440" s="6">
        <v>17.579999999999998</v>
      </c>
      <c r="I440" s="6">
        <v>0</v>
      </c>
      <c r="J440" s="6">
        <v>17.579999999999998</v>
      </c>
      <c r="K440" s="5">
        <v>453</v>
      </c>
    </row>
    <row r="441" spans="1:11" x14ac:dyDescent="0.3">
      <c r="A441" s="3">
        <v>4545</v>
      </c>
      <c r="B441" s="3" t="s">
        <v>36</v>
      </c>
      <c r="C441" s="4">
        <v>45718</v>
      </c>
      <c r="D441" s="3" t="s">
        <v>45</v>
      </c>
      <c r="E441" s="3" t="s">
        <v>39</v>
      </c>
      <c r="F441" s="5">
        <v>3</v>
      </c>
      <c r="G441" s="6">
        <v>7.07</v>
      </c>
      <c r="H441" s="6">
        <v>21.21</v>
      </c>
      <c r="I441" s="6">
        <v>3.18</v>
      </c>
      <c r="J441" s="6">
        <v>18.03</v>
      </c>
      <c r="K441" s="5">
        <v>354</v>
      </c>
    </row>
    <row r="442" spans="1:11" x14ac:dyDescent="0.3">
      <c r="A442" s="3">
        <v>8933</v>
      </c>
      <c r="B442" s="3" t="s">
        <v>30</v>
      </c>
      <c r="C442" s="4">
        <v>45359</v>
      </c>
      <c r="D442" s="3" t="s">
        <v>15</v>
      </c>
      <c r="E442" s="3" t="s">
        <v>39</v>
      </c>
      <c r="F442" s="5">
        <v>1</v>
      </c>
      <c r="G442" s="6">
        <v>12.18</v>
      </c>
      <c r="H442" s="6">
        <v>12.18</v>
      </c>
      <c r="I442" s="6">
        <v>2.44</v>
      </c>
      <c r="J442" s="6">
        <v>9.74</v>
      </c>
      <c r="K442" s="5">
        <v>375</v>
      </c>
    </row>
    <row r="443" spans="1:11" x14ac:dyDescent="0.3">
      <c r="A443" s="3">
        <v>9595</v>
      </c>
      <c r="B443" s="3" t="s">
        <v>24</v>
      </c>
      <c r="C443" s="4">
        <v>45608</v>
      </c>
      <c r="D443" s="3" t="s">
        <v>45</v>
      </c>
      <c r="E443" s="3" t="s">
        <v>32</v>
      </c>
      <c r="F443" s="5">
        <v>3</v>
      </c>
      <c r="G443" s="6">
        <v>16.82</v>
      </c>
      <c r="H443" s="6">
        <v>50.46</v>
      </c>
      <c r="I443" s="6">
        <v>3.6</v>
      </c>
      <c r="J443" s="6">
        <v>46.86</v>
      </c>
      <c r="K443" s="5">
        <v>51</v>
      </c>
    </row>
    <row r="444" spans="1:11" x14ac:dyDescent="0.3">
      <c r="A444" s="3">
        <v>5636</v>
      </c>
      <c r="B444" s="3" t="s">
        <v>42</v>
      </c>
      <c r="C444" s="4">
        <v>45223</v>
      </c>
      <c r="D444" s="3" t="s">
        <v>34</v>
      </c>
      <c r="E444" s="3" t="s">
        <v>33</v>
      </c>
      <c r="F444" s="5">
        <v>1</v>
      </c>
      <c r="G444" s="6">
        <v>24.17</v>
      </c>
      <c r="H444" s="6">
        <v>24.17</v>
      </c>
      <c r="I444" s="6">
        <v>2.27</v>
      </c>
      <c r="J444" s="6">
        <v>21.9</v>
      </c>
      <c r="K444" s="5">
        <v>17</v>
      </c>
    </row>
    <row r="445" spans="1:11" x14ac:dyDescent="0.3">
      <c r="A445" s="3">
        <v>4180</v>
      </c>
      <c r="B445" s="3" t="s">
        <v>11</v>
      </c>
      <c r="C445" s="4">
        <v>45375</v>
      </c>
      <c r="D445" s="3" t="s">
        <v>15</v>
      </c>
      <c r="E445" s="3" t="s">
        <v>21</v>
      </c>
      <c r="F445" s="5">
        <v>2</v>
      </c>
      <c r="G445" s="6">
        <v>26.74</v>
      </c>
      <c r="H445" s="6">
        <v>53.48</v>
      </c>
      <c r="I445" s="6">
        <v>4.7699999999999996</v>
      </c>
      <c r="J445" s="6">
        <v>48.71</v>
      </c>
      <c r="K445" s="5">
        <v>82</v>
      </c>
    </row>
    <row r="446" spans="1:11" x14ac:dyDescent="0.3">
      <c r="A446" s="3">
        <v>4727</v>
      </c>
      <c r="B446" s="3" t="s">
        <v>11</v>
      </c>
      <c r="C446" s="4">
        <v>45425</v>
      </c>
      <c r="D446" s="3" t="s">
        <v>22</v>
      </c>
      <c r="E446" s="3" t="s">
        <v>47</v>
      </c>
      <c r="F446" s="5">
        <v>1</v>
      </c>
      <c r="G446" s="6">
        <v>13.5</v>
      </c>
      <c r="H446" s="6">
        <v>13.5</v>
      </c>
      <c r="I446" s="6">
        <v>4.5599999999999996</v>
      </c>
      <c r="J446" s="6">
        <v>8.94</v>
      </c>
      <c r="K446" s="5">
        <v>334</v>
      </c>
    </row>
    <row r="447" spans="1:11" x14ac:dyDescent="0.3">
      <c r="A447" s="3">
        <v>3939</v>
      </c>
      <c r="B447" s="3" t="s">
        <v>19</v>
      </c>
      <c r="C447" s="4">
        <v>45379</v>
      </c>
      <c r="D447" s="3" t="s">
        <v>12</v>
      </c>
      <c r="E447" s="3" t="s">
        <v>48</v>
      </c>
      <c r="F447" s="5">
        <v>3</v>
      </c>
      <c r="G447" s="6">
        <v>6.95</v>
      </c>
      <c r="H447" s="6">
        <v>20.85</v>
      </c>
      <c r="I447" s="6">
        <v>0</v>
      </c>
      <c r="J447" s="6">
        <v>20.85</v>
      </c>
      <c r="K447" s="5">
        <v>97</v>
      </c>
    </row>
    <row r="448" spans="1:11" x14ac:dyDescent="0.3">
      <c r="A448" s="3">
        <v>1231</v>
      </c>
      <c r="B448" s="3" t="s">
        <v>14</v>
      </c>
      <c r="C448" s="4">
        <v>45694</v>
      </c>
      <c r="D448" s="3" t="s">
        <v>38</v>
      </c>
      <c r="E448" s="3" t="s">
        <v>13</v>
      </c>
      <c r="F448" s="5">
        <v>3</v>
      </c>
      <c r="G448" s="6">
        <v>9.61</v>
      </c>
      <c r="H448" s="6">
        <v>28.83</v>
      </c>
      <c r="I448" s="6">
        <v>2.88</v>
      </c>
      <c r="J448" s="6">
        <v>25.95</v>
      </c>
      <c r="K448" s="5">
        <v>49</v>
      </c>
    </row>
    <row r="449" spans="1:11" x14ac:dyDescent="0.3">
      <c r="A449" s="3">
        <v>9751</v>
      </c>
      <c r="B449" s="3" t="s">
        <v>14</v>
      </c>
      <c r="C449" s="4">
        <v>45243</v>
      </c>
      <c r="D449" s="3" t="s">
        <v>45</v>
      </c>
      <c r="E449" s="3" t="s">
        <v>41</v>
      </c>
      <c r="F449" s="5">
        <v>1</v>
      </c>
      <c r="G449" s="6">
        <v>11.45</v>
      </c>
      <c r="H449" s="6">
        <v>11.45</v>
      </c>
      <c r="I449" s="6">
        <v>1.72</v>
      </c>
      <c r="J449" s="6">
        <v>9.73</v>
      </c>
      <c r="K449" s="5">
        <v>218</v>
      </c>
    </row>
    <row r="450" spans="1:11" x14ac:dyDescent="0.3">
      <c r="A450" s="3">
        <v>5494</v>
      </c>
      <c r="B450" s="3" t="s">
        <v>26</v>
      </c>
      <c r="C450" s="4">
        <v>45180</v>
      </c>
      <c r="D450" s="3" t="s">
        <v>17</v>
      </c>
      <c r="E450" s="3" t="s">
        <v>48</v>
      </c>
      <c r="F450" s="5">
        <v>1</v>
      </c>
      <c r="G450" s="6">
        <v>6.99</v>
      </c>
      <c r="H450" s="6">
        <v>6.99</v>
      </c>
      <c r="I450" s="6">
        <v>2.89</v>
      </c>
      <c r="J450" s="6">
        <v>4.0999999999999996</v>
      </c>
      <c r="K450" s="5">
        <v>326</v>
      </c>
    </row>
    <row r="451" spans="1:11" x14ac:dyDescent="0.3">
      <c r="A451" s="3">
        <v>1893</v>
      </c>
      <c r="B451" s="3" t="s">
        <v>11</v>
      </c>
      <c r="C451" s="4">
        <v>45574</v>
      </c>
      <c r="D451" s="3" t="s">
        <v>35</v>
      </c>
      <c r="E451" s="3" t="s">
        <v>32</v>
      </c>
      <c r="F451" s="5">
        <v>4</v>
      </c>
      <c r="G451" s="6">
        <v>15.17</v>
      </c>
      <c r="H451" s="6">
        <v>60.68</v>
      </c>
      <c r="I451" s="6">
        <v>3.57</v>
      </c>
      <c r="J451" s="6">
        <v>57.11</v>
      </c>
      <c r="K451" s="5">
        <v>338</v>
      </c>
    </row>
    <row r="452" spans="1:11" x14ac:dyDescent="0.3">
      <c r="A452" s="3">
        <v>5786</v>
      </c>
      <c r="B452" s="3" t="s">
        <v>24</v>
      </c>
      <c r="C452" s="4">
        <v>45686</v>
      </c>
      <c r="D452" s="3" t="s">
        <v>34</v>
      </c>
      <c r="E452" s="3" t="s">
        <v>23</v>
      </c>
      <c r="F452" s="5">
        <v>4</v>
      </c>
      <c r="G452" s="6">
        <v>11.7</v>
      </c>
      <c r="H452" s="6">
        <v>46.8</v>
      </c>
      <c r="I452" s="6">
        <v>7.02</v>
      </c>
      <c r="J452" s="6">
        <v>39.78</v>
      </c>
      <c r="K452" s="5">
        <v>228</v>
      </c>
    </row>
    <row r="453" spans="1:11" x14ac:dyDescent="0.3">
      <c r="A453" s="3">
        <v>3068</v>
      </c>
      <c r="B453" s="3" t="s">
        <v>26</v>
      </c>
      <c r="C453" s="4">
        <v>45640</v>
      </c>
      <c r="D453" s="3" t="s">
        <v>45</v>
      </c>
      <c r="E453" s="3" t="s">
        <v>13</v>
      </c>
      <c r="F453" s="5">
        <v>2</v>
      </c>
      <c r="G453" s="6">
        <v>25.27</v>
      </c>
      <c r="H453" s="6">
        <v>50.54</v>
      </c>
      <c r="I453" s="6">
        <v>10.11</v>
      </c>
      <c r="J453" s="6">
        <v>40.43</v>
      </c>
      <c r="K453" s="5">
        <v>288</v>
      </c>
    </row>
    <row r="454" spans="1:11" x14ac:dyDescent="0.3">
      <c r="A454" s="3">
        <v>9042</v>
      </c>
      <c r="B454" s="3" t="s">
        <v>11</v>
      </c>
      <c r="C454" s="4">
        <v>45224</v>
      </c>
      <c r="D454" s="3" t="s">
        <v>15</v>
      </c>
      <c r="E454" s="3" t="s">
        <v>23</v>
      </c>
      <c r="F454" s="5">
        <v>5</v>
      </c>
      <c r="G454" s="6">
        <v>13</v>
      </c>
      <c r="H454" s="6">
        <v>65</v>
      </c>
      <c r="I454" s="6">
        <v>1.24</v>
      </c>
      <c r="J454" s="6">
        <v>63.76</v>
      </c>
      <c r="K454" s="5">
        <v>387</v>
      </c>
    </row>
    <row r="455" spans="1:11" x14ac:dyDescent="0.3">
      <c r="A455" s="3">
        <v>1200</v>
      </c>
      <c r="B455" s="3" t="s">
        <v>24</v>
      </c>
      <c r="C455" s="4">
        <v>45590</v>
      </c>
      <c r="D455" s="3" t="s">
        <v>38</v>
      </c>
      <c r="E455" s="3" t="s">
        <v>16</v>
      </c>
      <c r="F455" s="5">
        <v>5</v>
      </c>
      <c r="G455" s="6">
        <v>20.91</v>
      </c>
      <c r="H455" s="6">
        <v>104.55</v>
      </c>
      <c r="I455" s="6">
        <v>4.53</v>
      </c>
      <c r="J455" s="6">
        <v>100.02</v>
      </c>
      <c r="K455" s="5">
        <v>479</v>
      </c>
    </row>
    <row r="456" spans="1:11" x14ac:dyDescent="0.3">
      <c r="A456" s="3">
        <v>5658</v>
      </c>
      <c r="B456" s="3" t="s">
        <v>26</v>
      </c>
      <c r="C456" s="4">
        <v>45509</v>
      </c>
      <c r="D456" s="3" t="s">
        <v>35</v>
      </c>
      <c r="E456" s="3" t="s">
        <v>43</v>
      </c>
      <c r="F456" s="5">
        <v>4</v>
      </c>
      <c r="G456" s="6">
        <v>27.17</v>
      </c>
      <c r="H456" s="6">
        <v>108.68</v>
      </c>
      <c r="I456" s="6">
        <v>3.28</v>
      </c>
      <c r="J456" s="6">
        <v>105.4</v>
      </c>
      <c r="K456" s="5">
        <v>365</v>
      </c>
    </row>
    <row r="457" spans="1:11" x14ac:dyDescent="0.3">
      <c r="A457" s="3">
        <v>8843</v>
      </c>
      <c r="B457" s="3" t="s">
        <v>14</v>
      </c>
      <c r="C457" s="4">
        <v>45487</v>
      </c>
      <c r="D457" s="3" t="s">
        <v>28</v>
      </c>
      <c r="E457" s="3" t="s">
        <v>41</v>
      </c>
      <c r="F457" s="5">
        <v>1</v>
      </c>
      <c r="G457" s="6">
        <v>28.52</v>
      </c>
      <c r="H457" s="6">
        <v>28.52</v>
      </c>
      <c r="I457" s="6">
        <v>5.7</v>
      </c>
      <c r="J457" s="6">
        <v>22.82</v>
      </c>
      <c r="K457" s="5">
        <v>229</v>
      </c>
    </row>
    <row r="458" spans="1:11" x14ac:dyDescent="0.3">
      <c r="A458" s="3">
        <v>6582</v>
      </c>
      <c r="B458" s="3" t="s">
        <v>42</v>
      </c>
      <c r="C458" s="4">
        <v>45288</v>
      </c>
      <c r="D458" s="3" t="s">
        <v>17</v>
      </c>
      <c r="E458" s="3" t="s">
        <v>41</v>
      </c>
      <c r="F458" s="5">
        <v>1</v>
      </c>
      <c r="G458" s="6">
        <v>13.27</v>
      </c>
      <c r="H458" s="6">
        <v>13.27</v>
      </c>
      <c r="I458" s="6">
        <v>2.65</v>
      </c>
      <c r="J458" s="6">
        <v>10.62</v>
      </c>
      <c r="K458" s="5">
        <v>349</v>
      </c>
    </row>
    <row r="459" spans="1:11" x14ac:dyDescent="0.3">
      <c r="A459" s="3">
        <v>1841</v>
      </c>
      <c r="B459" s="3" t="s">
        <v>19</v>
      </c>
      <c r="C459" s="4">
        <v>45341</v>
      </c>
      <c r="D459" s="3" t="s">
        <v>28</v>
      </c>
      <c r="E459" s="3" t="s">
        <v>13</v>
      </c>
      <c r="F459" s="5">
        <v>3</v>
      </c>
      <c r="G459" s="6">
        <v>27.4</v>
      </c>
      <c r="H459" s="6">
        <v>82.2</v>
      </c>
      <c r="I459" s="6">
        <v>2.5499999999999998</v>
      </c>
      <c r="J459" s="6">
        <v>79.650000000000006</v>
      </c>
      <c r="K459" s="5">
        <v>468</v>
      </c>
    </row>
    <row r="460" spans="1:11" x14ac:dyDescent="0.3">
      <c r="A460" s="3">
        <v>8827</v>
      </c>
      <c r="B460" s="3" t="s">
        <v>24</v>
      </c>
      <c r="C460" s="4">
        <v>45233</v>
      </c>
      <c r="D460" s="3" t="s">
        <v>38</v>
      </c>
      <c r="E460" s="3" t="s">
        <v>21</v>
      </c>
      <c r="F460" s="5">
        <v>3</v>
      </c>
      <c r="G460" s="6">
        <v>16.059999999999999</v>
      </c>
      <c r="H460" s="6">
        <v>48.18</v>
      </c>
      <c r="I460" s="6">
        <v>0</v>
      </c>
      <c r="J460" s="6">
        <v>48.18</v>
      </c>
      <c r="K460" s="5">
        <v>469</v>
      </c>
    </row>
    <row r="461" spans="1:11" x14ac:dyDescent="0.3">
      <c r="A461" s="3">
        <v>2070</v>
      </c>
      <c r="B461" s="3" t="s">
        <v>14</v>
      </c>
      <c r="C461" s="4">
        <v>45456</v>
      </c>
      <c r="D461" s="3" t="s">
        <v>20</v>
      </c>
      <c r="E461" s="3" t="s">
        <v>48</v>
      </c>
      <c r="F461" s="5">
        <v>4</v>
      </c>
      <c r="G461" s="6">
        <v>5.33</v>
      </c>
      <c r="H461" s="6">
        <v>21.32</v>
      </c>
      <c r="I461" s="6">
        <v>3.25</v>
      </c>
      <c r="J461" s="6">
        <v>18.07</v>
      </c>
      <c r="K461" s="5">
        <v>290</v>
      </c>
    </row>
    <row r="462" spans="1:11" x14ac:dyDescent="0.3">
      <c r="A462" s="3">
        <v>9056</v>
      </c>
      <c r="B462" s="3" t="s">
        <v>11</v>
      </c>
      <c r="C462" s="4">
        <v>45202</v>
      </c>
      <c r="D462" s="3" t="s">
        <v>35</v>
      </c>
      <c r="E462" s="3" t="s">
        <v>18</v>
      </c>
      <c r="F462" s="5">
        <v>3</v>
      </c>
      <c r="G462" s="6">
        <v>26.45</v>
      </c>
      <c r="H462" s="6">
        <v>79.349999999999994</v>
      </c>
      <c r="I462" s="6">
        <v>0</v>
      </c>
      <c r="J462" s="6">
        <v>79.349999999999994</v>
      </c>
      <c r="K462" s="5">
        <v>135</v>
      </c>
    </row>
    <row r="463" spans="1:11" x14ac:dyDescent="0.3">
      <c r="A463" s="3">
        <v>1878</v>
      </c>
      <c r="B463" s="3" t="s">
        <v>26</v>
      </c>
      <c r="C463" s="4">
        <v>45262</v>
      </c>
      <c r="D463" s="3" t="s">
        <v>28</v>
      </c>
      <c r="E463" s="3" t="s">
        <v>47</v>
      </c>
      <c r="F463" s="5">
        <v>1</v>
      </c>
      <c r="G463" s="6">
        <v>5.98</v>
      </c>
      <c r="H463" s="6">
        <v>5.98</v>
      </c>
      <c r="I463" s="6">
        <v>3.43</v>
      </c>
      <c r="J463" s="6">
        <v>2.5499999999999998</v>
      </c>
      <c r="K463" s="5">
        <v>206</v>
      </c>
    </row>
    <row r="464" spans="1:11" x14ac:dyDescent="0.3">
      <c r="A464" s="3">
        <v>3444</v>
      </c>
      <c r="B464" s="3" t="s">
        <v>24</v>
      </c>
      <c r="C464" s="4">
        <v>45775</v>
      </c>
      <c r="D464" s="3" t="s">
        <v>12</v>
      </c>
      <c r="E464" s="3" t="s">
        <v>32</v>
      </c>
      <c r="F464" s="5">
        <v>3</v>
      </c>
      <c r="G464" s="6">
        <v>21.01</v>
      </c>
      <c r="H464" s="6">
        <v>63.03</v>
      </c>
      <c r="I464" s="6">
        <v>9.4499999999999993</v>
      </c>
      <c r="J464" s="6">
        <v>53.58</v>
      </c>
      <c r="K464" s="5">
        <v>25</v>
      </c>
    </row>
    <row r="465" spans="1:11" x14ac:dyDescent="0.3">
      <c r="A465" s="3">
        <v>5978</v>
      </c>
      <c r="B465" s="3" t="s">
        <v>36</v>
      </c>
      <c r="C465" s="4">
        <v>45211</v>
      </c>
      <c r="D465" s="3" t="s">
        <v>12</v>
      </c>
      <c r="E465" s="3" t="s">
        <v>21</v>
      </c>
      <c r="F465" s="5">
        <v>3</v>
      </c>
      <c r="G465" s="6">
        <v>10.01</v>
      </c>
      <c r="H465" s="6">
        <v>30.03</v>
      </c>
      <c r="I465" s="6">
        <v>0</v>
      </c>
      <c r="J465" s="6">
        <v>30.03</v>
      </c>
      <c r="K465" s="5">
        <v>431</v>
      </c>
    </row>
    <row r="466" spans="1:11" x14ac:dyDescent="0.3">
      <c r="A466" s="3">
        <v>5066</v>
      </c>
      <c r="B466" s="3" t="s">
        <v>11</v>
      </c>
      <c r="C466" s="4">
        <v>45237</v>
      </c>
      <c r="D466" s="3" t="s">
        <v>17</v>
      </c>
      <c r="E466" s="3" t="s">
        <v>41</v>
      </c>
      <c r="F466" s="5">
        <v>3</v>
      </c>
      <c r="G466" s="6">
        <v>29.24</v>
      </c>
      <c r="H466" s="6">
        <v>87.72</v>
      </c>
      <c r="I466" s="6">
        <v>13.16</v>
      </c>
      <c r="J466" s="6">
        <v>74.56</v>
      </c>
      <c r="K466" s="5">
        <v>226</v>
      </c>
    </row>
    <row r="467" spans="1:11" x14ac:dyDescent="0.3">
      <c r="A467" s="3">
        <v>7818</v>
      </c>
      <c r="B467" s="3" t="s">
        <v>24</v>
      </c>
      <c r="C467" s="4">
        <v>45615</v>
      </c>
      <c r="D467" s="3" t="s">
        <v>28</v>
      </c>
      <c r="E467" s="3" t="s">
        <v>43</v>
      </c>
      <c r="F467" s="5">
        <v>2</v>
      </c>
      <c r="G467" s="6">
        <v>13.8</v>
      </c>
      <c r="H467" s="6">
        <v>27.6</v>
      </c>
      <c r="I467" s="6">
        <v>0</v>
      </c>
      <c r="J467" s="6">
        <v>27.6</v>
      </c>
      <c r="K467" s="5">
        <v>467</v>
      </c>
    </row>
    <row r="468" spans="1:11" x14ac:dyDescent="0.3">
      <c r="A468" s="3">
        <v>4697</v>
      </c>
      <c r="B468" s="3" t="s">
        <v>26</v>
      </c>
      <c r="C468" s="4">
        <v>45747</v>
      </c>
      <c r="D468" s="3" t="s">
        <v>38</v>
      </c>
      <c r="E468" s="3" t="s">
        <v>23</v>
      </c>
      <c r="F468" s="5">
        <v>1</v>
      </c>
      <c r="G468" s="6">
        <v>15.93</v>
      </c>
      <c r="H468" s="6">
        <v>15.93</v>
      </c>
      <c r="I468" s="6">
        <v>2.39</v>
      </c>
      <c r="J468" s="6">
        <v>13.54</v>
      </c>
      <c r="K468" s="5">
        <v>81</v>
      </c>
    </row>
    <row r="469" spans="1:11" x14ac:dyDescent="0.3">
      <c r="A469" s="3">
        <v>9561</v>
      </c>
      <c r="B469" s="3" t="s">
        <v>14</v>
      </c>
      <c r="C469" s="4">
        <v>45440</v>
      </c>
      <c r="D469" s="3" t="s">
        <v>20</v>
      </c>
      <c r="E469" s="3" t="s">
        <v>41</v>
      </c>
      <c r="F469" s="5">
        <v>5</v>
      </c>
      <c r="G469" s="6">
        <v>26.49</v>
      </c>
      <c r="H469" s="6">
        <v>132.44999999999999</v>
      </c>
      <c r="I469" s="6">
        <v>26.49</v>
      </c>
      <c r="J469" s="6">
        <v>105.96</v>
      </c>
      <c r="K469" s="5">
        <v>14</v>
      </c>
    </row>
    <row r="470" spans="1:11" x14ac:dyDescent="0.3">
      <c r="A470" s="3">
        <v>8381</v>
      </c>
      <c r="B470" s="3" t="s">
        <v>42</v>
      </c>
      <c r="C470" s="4">
        <v>45850</v>
      </c>
      <c r="D470" s="3" t="s">
        <v>12</v>
      </c>
      <c r="E470" s="3" t="s">
        <v>25</v>
      </c>
      <c r="F470" s="5">
        <v>1</v>
      </c>
      <c r="G470" s="6">
        <v>14.23</v>
      </c>
      <c r="H470" s="6">
        <v>14.23</v>
      </c>
      <c r="I470" s="6">
        <v>0</v>
      </c>
      <c r="J470" s="6">
        <v>14.23</v>
      </c>
      <c r="K470" s="5">
        <v>470</v>
      </c>
    </row>
    <row r="471" spans="1:11" x14ac:dyDescent="0.3">
      <c r="A471" s="3">
        <v>8253</v>
      </c>
      <c r="B471" s="3" t="s">
        <v>42</v>
      </c>
      <c r="C471" s="4">
        <v>45375</v>
      </c>
      <c r="D471" s="3" t="s">
        <v>35</v>
      </c>
      <c r="E471" s="3" t="s">
        <v>23</v>
      </c>
      <c r="F471" s="5">
        <v>4</v>
      </c>
      <c r="G471" s="6">
        <v>15.64</v>
      </c>
      <c r="H471" s="6">
        <v>62.56</v>
      </c>
      <c r="I471" s="6">
        <v>0</v>
      </c>
      <c r="J471" s="6">
        <v>62.56</v>
      </c>
      <c r="K471" s="5">
        <v>325</v>
      </c>
    </row>
    <row r="472" spans="1:11" x14ac:dyDescent="0.3">
      <c r="A472" s="3">
        <v>8025</v>
      </c>
      <c r="B472" s="3" t="s">
        <v>31</v>
      </c>
      <c r="C472" s="4">
        <v>45382</v>
      </c>
      <c r="D472" s="3" t="s">
        <v>17</v>
      </c>
      <c r="E472" s="3" t="s">
        <v>23</v>
      </c>
      <c r="F472" s="5">
        <v>4</v>
      </c>
      <c r="G472" s="6">
        <v>18.22</v>
      </c>
      <c r="H472" s="6">
        <v>72.88</v>
      </c>
      <c r="I472" s="6">
        <v>3.21</v>
      </c>
      <c r="J472" s="6">
        <v>69.67</v>
      </c>
      <c r="K472" s="5">
        <v>90</v>
      </c>
    </row>
    <row r="473" spans="1:11" x14ac:dyDescent="0.3">
      <c r="A473" s="3">
        <v>1986</v>
      </c>
      <c r="B473" s="3" t="s">
        <v>36</v>
      </c>
      <c r="C473" s="4">
        <v>45618</v>
      </c>
      <c r="D473" s="3" t="s">
        <v>34</v>
      </c>
      <c r="E473" s="3" t="s">
        <v>13</v>
      </c>
      <c r="F473" s="5">
        <v>1</v>
      </c>
      <c r="G473" s="6">
        <v>9.26</v>
      </c>
      <c r="H473" s="6">
        <v>9.26</v>
      </c>
      <c r="I473" s="6">
        <v>1.85</v>
      </c>
      <c r="J473" s="6">
        <v>7.41</v>
      </c>
      <c r="K473" s="5">
        <v>197</v>
      </c>
    </row>
    <row r="474" spans="1:11" x14ac:dyDescent="0.3">
      <c r="A474" s="3">
        <v>2625</v>
      </c>
      <c r="B474" s="3" t="s">
        <v>42</v>
      </c>
      <c r="C474" s="4">
        <v>45737</v>
      </c>
      <c r="D474" s="3" t="s">
        <v>17</v>
      </c>
      <c r="E474" s="3" t="s">
        <v>25</v>
      </c>
      <c r="F474" s="5">
        <v>2</v>
      </c>
      <c r="G474" s="6">
        <v>8.7899999999999991</v>
      </c>
      <c r="H474" s="6">
        <v>17.579999999999998</v>
      </c>
      <c r="I474" s="6">
        <v>0</v>
      </c>
      <c r="J474" s="6">
        <v>17.579999999999998</v>
      </c>
      <c r="K474" s="5">
        <v>209</v>
      </c>
    </row>
    <row r="475" spans="1:11" x14ac:dyDescent="0.3">
      <c r="A475" s="3">
        <v>4404</v>
      </c>
      <c r="B475" s="3" t="s">
        <v>31</v>
      </c>
      <c r="C475" s="4">
        <v>45630</v>
      </c>
      <c r="D475" s="3" t="s">
        <v>45</v>
      </c>
      <c r="E475" s="3" t="s">
        <v>41</v>
      </c>
      <c r="F475" s="5">
        <v>2</v>
      </c>
      <c r="G475" s="6">
        <v>18.420000000000002</v>
      </c>
      <c r="H475" s="6">
        <v>36.840000000000003</v>
      </c>
      <c r="I475" s="6">
        <v>5.53</v>
      </c>
      <c r="J475" s="6">
        <v>31.31</v>
      </c>
      <c r="K475" s="5">
        <v>4</v>
      </c>
    </row>
    <row r="476" spans="1:11" x14ac:dyDescent="0.3">
      <c r="A476" s="3">
        <v>4457</v>
      </c>
      <c r="B476" s="3" t="s">
        <v>30</v>
      </c>
      <c r="C476" s="4">
        <v>45350</v>
      </c>
      <c r="D476" s="3" t="s">
        <v>27</v>
      </c>
      <c r="E476" s="3" t="s">
        <v>13</v>
      </c>
      <c r="F476" s="5">
        <v>4</v>
      </c>
      <c r="G476" s="6">
        <v>26.96</v>
      </c>
      <c r="H476" s="6">
        <v>107.84</v>
      </c>
      <c r="I476" s="6">
        <v>10.78</v>
      </c>
      <c r="J476" s="6">
        <v>97.06</v>
      </c>
      <c r="K476" s="5">
        <v>436</v>
      </c>
    </row>
    <row r="477" spans="1:11" x14ac:dyDescent="0.3">
      <c r="A477" s="3">
        <v>2330</v>
      </c>
      <c r="B477" s="3" t="s">
        <v>30</v>
      </c>
      <c r="C477" s="4">
        <v>45266</v>
      </c>
      <c r="D477" s="3" t="s">
        <v>17</v>
      </c>
      <c r="E477" s="3" t="s">
        <v>33</v>
      </c>
      <c r="F477" s="5">
        <v>3</v>
      </c>
      <c r="G477" s="6">
        <v>20.63</v>
      </c>
      <c r="H477" s="6">
        <v>61.89</v>
      </c>
      <c r="I477" s="6">
        <v>1.41</v>
      </c>
      <c r="J477" s="6">
        <v>60.48</v>
      </c>
      <c r="K477" s="5">
        <v>422</v>
      </c>
    </row>
    <row r="478" spans="1:11" x14ac:dyDescent="0.3">
      <c r="A478" s="3">
        <v>4929</v>
      </c>
      <c r="B478" s="3" t="s">
        <v>14</v>
      </c>
      <c r="C478" s="4">
        <v>45280</v>
      </c>
      <c r="D478" s="3" t="s">
        <v>27</v>
      </c>
      <c r="E478" s="3" t="s">
        <v>23</v>
      </c>
      <c r="F478" s="5">
        <v>5</v>
      </c>
      <c r="G478" s="6">
        <v>19.760000000000002</v>
      </c>
      <c r="H478" s="6">
        <v>98.8</v>
      </c>
      <c r="I478" s="6">
        <v>14.82</v>
      </c>
      <c r="J478" s="6">
        <v>83.98</v>
      </c>
      <c r="K478" s="5">
        <v>311</v>
      </c>
    </row>
    <row r="479" spans="1:11" x14ac:dyDescent="0.3">
      <c r="A479" s="3">
        <v>2229</v>
      </c>
      <c r="B479" s="3" t="s">
        <v>11</v>
      </c>
      <c r="C479" s="4">
        <v>45266</v>
      </c>
      <c r="D479" s="3" t="s">
        <v>45</v>
      </c>
      <c r="E479" s="3" t="s">
        <v>43</v>
      </c>
      <c r="F479" s="5">
        <v>3</v>
      </c>
      <c r="G479" s="6">
        <v>29.65</v>
      </c>
      <c r="H479" s="6">
        <v>88.95</v>
      </c>
      <c r="I479" s="6">
        <v>13.34</v>
      </c>
      <c r="J479" s="6">
        <v>75.61</v>
      </c>
      <c r="K479" s="5">
        <v>327</v>
      </c>
    </row>
    <row r="480" spans="1:11" x14ac:dyDescent="0.3">
      <c r="A480" s="3">
        <v>1043</v>
      </c>
      <c r="B480" s="3" t="s">
        <v>30</v>
      </c>
      <c r="C480" s="4">
        <v>45462</v>
      </c>
      <c r="D480" s="3" t="s">
        <v>27</v>
      </c>
      <c r="E480" s="3" t="s">
        <v>37</v>
      </c>
      <c r="F480" s="5">
        <v>2</v>
      </c>
      <c r="G480" s="6">
        <v>5.34</v>
      </c>
      <c r="H480" s="6">
        <v>10.68</v>
      </c>
      <c r="I480" s="6">
        <v>4.22</v>
      </c>
      <c r="J480" s="6">
        <v>6.46</v>
      </c>
      <c r="K480" s="5">
        <v>391</v>
      </c>
    </row>
    <row r="481" spans="1:11" x14ac:dyDescent="0.3">
      <c r="A481" s="3">
        <v>8381</v>
      </c>
      <c r="B481" s="3" t="s">
        <v>24</v>
      </c>
      <c r="C481" s="4">
        <v>45680</v>
      </c>
      <c r="D481" s="3" t="s">
        <v>27</v>
      </c>
      <c r="E481" s="3" t="s">
        <v>21</v>
      </c>
      <c r="F481" s="5">
        <v>2</v>
      </c>
      <c r="G481" s="6">
        <v>21.91</v>
      </c>
      <c r="H481" s="6">
        <v>43.82</v>
      </c>
      <c r="I481" s="6">
        <v>6.57</v>
      </c>
      <c r="J481" s="6">
        <v>37.25</v>
      </c>
      <c r="K481" s="5">
        <v>335</v>
      </c>
    </row>
    <row r="482" spans="1:11" x14ac:dyDescent="0.3">
      <c r="A482" s="3">
        <v>8699</v>
      </c>
      <c r="B482" s="3" t="s">
        <v>30</v>
      </c>
      <c r="C482" s="4">
        <v>45371</v>
      </c>
      <c r="D482" s="3" t="s">
        <v>20</v>
      </c>
      <c r="E482" s="3" t="s">
        <v>32</v>
      </c>
      <c r="F482" s="5">
        <v>4</v>
      </c>
      <c r="G482" s="6">
        <v>22.36</v>
      </c>
      <c r="H482" s="6">
        <v>89.44</v>
      </c>
      <c r="I482" s="6">
        <v>13.42</v>
      </c>
      <c r="J482" s="6">
        <v>76.02</v>
      </c>
      <c r="K482" s="5">
        <v>298</v>
      </c>
    </row>
    <row r="483" spans="1:11" x14ac:dyDescent="0.3">
      <c r="A483" s="3">
        <v>1534</v>
      </c>
      <c r="B483" s="3" t="s">
        <v>42</v>
      </c>
      <c r="C483" s="4">
        <v>45324</v>
      </c>
      <c r="D483" s="3" t="s">
        <v>27</v>
      </c>
      <c r="E483" s="3" t="s">
        <v>18</v>
      </c>
      <c r="F483" s="5">
        <v>4</v>
      </c>
      <c r="G483" s="6">
        <v>27.28</v>
      </c>
      <c r="H483" s="6">
        <v>109.12</v>
      </c>
      <c r="I483" s="6">
        <v>2.2000000000000002</v>
      </c>
      <c r="J483" s="6">
        <v>106.92</v>
      </c>
      <c r="K483" s="5">
        <v>343</v>
      </c>
    </row>
    <row r="484" spans="1:11" x14ac:dyDescent="0.3">
      <c r="A484" s="3">
        <v>5720</v>
      </c>
      <c r="B484" s="3" t="s">
        <v>19</v>
      </c>
      <c r="C484" s="4">
        <v>45694</v>
      </c>
      <c r="D484" s="3" t="s">
        <v>27</v>
      </c>
      <c r="E484" s="3" t="s">
        <v>18</v>
      </c>
      <c r="F484" s="5">
        <v>2</v>
      </c>
      <c r="G484" s="6">
        <v>9.51</v>
      </c>
      <c r="H484" s="6">
        <v>19.02</v>
      </c>
      <c r="I484" s="6">
        <v>0</v>
      </c>
      <c r="J484" s="6">
        <v>19.02</v>
      </c>
      <c r="K484" s="5">
        <v>241</v>
      </c>
    </row>
    <row r="485" spans="1:11" x14ac:dyDescent="0.3">
      <c r="A485" s="3">
        <v>5632</v>
      </c>
      <c r="B485" s="3" t="s">
        <v>30</v>
      </c>
      <c r="C485" s="4">
        <v>45691</v>
      </c>
      <c r="D485" s="3" t="s">
        <v>38</v>
      </c>
      <c r="E485" s="3" t="s">
        <v>29</v>
      </c>
      <c r="F485" s="5">
        <v>3</v>
      </c>
      <c r="G485" s="6">
        <v>19.97</v>
      </c>
      <c r="H485" s="6">
        <v>59.91</v>
      </c>
      <c r="I485" s="6">
        <v>11.98</v>
      </c>
      <c r="J485" s="6">
        <v>47.93</v>
      </c>
      <c r="K485" s="5">
        <v>113</v>
      </c>
    </row>
    <row r="486" spans="1:11" x14ac:dyDescent="0.3">
      <c r="A486" s="3">
        <v>8438</v>
      </c>
      <c r="B486" s="3" t="s">
        <v>30</v>
      </c>
      <c r="C486" s="4">
        <v>45200</v>
      </c>
      <c r="D486" s="3" t="s">
        <v>20</v>
      </c>
      <c r="E486" s="3" t="s">
        <v>21</v>
      </c>
      <c r="F486" s="5">
        <v>3</v>
      </c>
      <c r="G486" s="6">
        <v>8.5500000000000007</v>
      </c>
      <c r="H486" s="6">
        <v>25.65</v>
      </c>
      <c r="I486" s="6">
        <v>2.88</v>
      </c>
      <c r="J486" s="6">
        <v>22.77</v>
      </c>
      <c r="K486" s="5">
        <v>150</v>
      </c>
    </row>
    <row r="487" spans="1:11" x14ac:dyDescent="0.3">
      <c r="A487" s="3">
        <v>4824</v>
      </c>
      <c r="B487" s="3" t="s">
        <v>11</v>
      </c>
      <c r="C487" s="4">
        <v>45862</v>
      </c>
      <c r="D487" s="3" t="s">
        <v>45</v>
      </c>
      <c r="E487" s="3" t="s">
        <v>44</v>
      </c>
      <c r="F487" s="5">
        <v>5</v>
      </c>
      <c r="G487" s="6">
        <v>4.46</v>
      </c>
      <c r="H487" s="6">
        <v>22.3</v>
      </c>
      <c r="I487" s="6">
        <v>2.19</v>
      </c>
      <c r="J487" s="6">
        <v>20.11</v>
      </c>
      <c r="K487" s="5">
        <v>348</v>
      </c>
    </row>
    <row r="488" spans="1:11" x14ac:dyDescent="0.3">
      <c r="A488" s="3">
        <v>5334</v>
      </c>
      <c r="B488" s="3" t="s">
        <v>31</v>
      </c>
      <c r="C488" s="4">
        <v>45756</v>
      </c>
      <c r="D488" s="3" t="s">
        <v>34</v>
      </c>
      <c r="E488" s="3" t="s">
        <v>41</v>
      </c>
      <c r="F488" s="5">
        <v>2</v>
      </c>
      <c r="G488" s="6">
        <v>10.93</v>
      </c>
      <c r="H488" s="6">
        <v>21.86</v>
      </c>
      <c r="I488" s="6">
        <v>4.37</v>
      </c>
      <c r="J488" s="6">
        <v>17.489999999999998</v>
      </c>
      <c r="K488" s="5">
        <v>291</v>
      </c>
    </row>
    <row r="489" spans="1:11" x14ac:dyDescent="0.3">
      <c r="A489" s="3">
        <v>4241</v>
      </c>
      <c r="B489" s="3" t="s">
        <v>36</v>
      </c>
      <c r="C489" s="4">
        <v>45475</v>
      </c>
      <c r="D489" s="3" t="s">
        <v>34</v>
      </c>
      <c r="E489" s="3" t="s">
        <v>43</v>
      </c>
      <c r="F489" s="5">
        <v>4</v>
      </c>
      <c r="G489" s="6">
        <v>10.64</v>
      </c>
      <c r="H489" s="6">
        <v>42.56</v>
      </c>
      <c r="I489" s="6">
        <v>0</v>
      </c>
      <c r="J489" s="6">
        <v>42.56</v>
      </c>
      <c r="K489" s="5">
        <v>90</v>
      </c>
    </row>
    <row r="490" spans="1:11" x14ac:dyDescent="0.3">
      <c r="A490" s="3">
        <v>2880</v>
      </c>
      <c r="B490" s="3" t="s">
        <v>31</v>
      </c>
      <c r="C490" s="4">
        <v>45567</v>
      </c>
      <c r="D490" s="3" t="s">
        <v>12</v>
      </c>
      <c r="E490" s="3" t="s">
        <v>33</v>
      </c>
      <c r="F490" s="5">
        <v>3</v>
      </c>
      <c r="G490" s="6">
        <v>7.06</v>
      </c>
      <c r="H490" s="6">
        <v>21.18</v>
      </c>
      <c r="I490" s="6">
        <v>4.0599999999999996</v>
      </c>
      <c r="J490" s="6">
        <v>17.12</v>
      </c>
      <c r="K490" s="5">
        <v>396</v>
      </c>
    </row>
    <row r="491" spans="1:11" x14ac:dyDescent="0.3">
      <c r="A491" s="3">
        <v>4683</v>
      </c>
      <c r="B491" s="3" t="s">
        <v>26</v>
      </c>
      <c r="C491" s="4">
        <v>45648</v>
      </c>
      <c r="D491" s="3" t="s">
        <v>15</v>
      </c>
      <c r="E491" s="3" t="s">
        <v>41</v>
      </c>
      <c r="F491" s="5">
        <v>5</v>
      </c>
      <c r="G491" s="6">
        <v>13.57</v>
      </c>
      <c r="H491" s="6">
        <v>67.849999999999994</v>
      </c>
      <c r="I491" s="6">
        <v>6.79</v>
      </c>
      <c r="J491" s="6">
        <v>61.06</v>
      </c>
      <c r="K491" s="5">
        <v>219</v>
      </c>
    </row>
    <row r="492" spans="1:11" x14ac:dyDescent="0.3">
      <c r="A492" s="3">
        <v>3441</v>
      </c>
      <c r="B492" s="3" t="s">
        <v>26</v>
      </c>
      <c r="C492" s="4">
        <v>45850</v>
      </c>
      <c r="D492" s="3" t="s">
        <v>20</v>
      </c>
      <c r="E492" s="3" t="s">
        <v>39</v>
      </c>
      <c r="F492" s="5">
        <v>1</v>
      </c>
      <c r="G492" s="6">
        <v>16.47</v>
      </c>
      <c r="H492" s="6">
        <v>16.47</v>
      </c>
      <c r="I492" s="6">
        <v>4.57</v>
      </c>
      <c r="J492" s="6">
        <v>11.9</v>
      </c>
      <c r="K492" s="5">
        <v>374</v>
      </c>
    </row>
    <row r="493" spans="1:11" x14ac:dyDescent="0.3">
      <c r="A493" s="3">
        <v>5352</v>
      </c>
      <c r="B493" s="3" t="s">
        <v>14</v>
      </c>
      <c r="C493" s="4">
        <v>45787</v>
      </c>
      <c r="D493" s="3" t="s">
        <v>17</v>
      </c>
      <c r="E493" s="3" t="s">
        <v>39</v>
      </c>
      <c r="F493" s="5">
        <v>1</v>
      </c>
      <c r="G493" s="6">
        <v>19.16</v>
      </c>
      <c r="H493" s="6">
        <v>19.16</v>
      </c>
      <c r="I493" s="6">
        <v>0</v>
      </c>
      <c r="J493" s="6">
        <v>19.16</v>
      </c>
      <c r="K493" s="5">
        <v>127</v>
      </c>
    </row>
    <row r="494" spans="1:11" x14ac:dyDescent="0.3">
      <c r="A494" s="3">
        <v>3330</v>
      </c>
      <c r="B494" s="3" t="s">
        <v>36</v>
      </c>
      <c r="C494" s="4">
        <v>45200</v>
      </c>
      <c r="D494" s="3" t="s">
        <v>35</v>
      </c>
      <c r="E494" s="3" t="s">
        <v>41</v>
      </c>
      <c r="F494" s="5">
        <v>1</v>
      </c>
      <c r="G494" s="6">
        <v>12.11</v>
      </c>
      <c r="H494" s="6">
        <v>12.11</v>
      </c>
      <c r="I494" s="6">
        <v>2.42</v>
      </c>
      <c r="J494" s="6">
        <v>9.69</v>
      </c>
      <c r="K494" s="5">
        <v>301</v>
      </c>
    </row>
    <row r="495" spans="1:11" x14ac:dyDescent="0.3">
      <c r="A495" s="3">
        <v>1977</v>
      </c>
      <c r="B495" s="3" t="s">
        <v>11</v>
      </c>
      <c r="C495" s="4">
        <v>45273</v>
      </c>
      <c r="D495" s="3" t="s">
        <v>12</v>
      </c>
      <c r="E495" s="3" t="s">
        <v>37</v>
      </c>
      <c r="F495" s="5">
        <v>3</v>
      </c>
      <c r="G495" s="6">
        <v>14.21</v>
      </c>
      <c r="H495" s="6">
        <v>42.63</v>
      </c>
      <c r="I495" s="6">
        <v>4.26</v>
      </c>
      <c r="J495" s="6">
        <v>38.369999999999997</v>
      </c>
      <c r="K495" s="5">
        <v>266</v>
      </c>
    </row>
    <row r="496" spans="1:11" x14ac:dyDescent="0.3">
      <c r="A496" s="3">
        <v>6039</v>
      </c>
      <c r="B496" s="3" t="s">
        <v>19</v>
      </c>
      <c r="C496" s="4">
        <v>45607</v>
      </c>
      <c r="D496" s="3" t="s">
        <v>22</v>
      </c>
      <c r="E496" s="3" t="s">
        <v>47</v>
      </c>
      <c r="F496" s="5">
        <v>3</v>
      </c>
      <c r="G496" s="6">
        <v>22.74</v>
      </c>
      <c r="H496" s="6">
        <v>68.22</v>
      </c>
      <c r="I496" s="6">
        <v>1.91</v>
      </c>
      <c r="J496" s="6">
        <v>66.31</v>
      </c>
      <c r="K496" s="5">
        <v>84</v>
      </c>
    </row>
    <row r="497" spans="1:11" x14ac:dyDescent="0.3">
      <c r="A497" s="3">
        <v>5728</v>
      </c>
      <c r="B497" s="3" t="s">
        <v>19</v>
      </c>
      <c r="C497" s="4">
        <v>45486</v>
      </c>
      <c r="D497" s="3" t="s">
        <v>17</v>
      </c>
      <c r="E497" s="3" t="s">
        <v>39</v>
      </c>
      <c r="F497" s="5">
        <v>5</v>
      </c>
      <c r="G497" s="6">
        <v>15.62</v>
      </c>
      <c r="H497" s="6">
        <v>78.099999999999994</v>
      </c>
      <c r="I497" s="6">
        <v>0</v>
      </c>
      <c r="J497" s="6">
        <v>78.099999999999994</v>
      </c>
      <c r="K497" s="5">
        <v>63</v>
      </c>
    </row>
    <row r="498" spans="1:11" x14ac:dyDescent="0.3">
      <c r="A498" s="3">
        <v>3037</v>
      </c>
      <c r="B498" s="3" t="s">
        <v>31</v>
      </c>
      <c r="C498" s="4">
        <v>45509</v>
      </c>
      <c r="D498" s="3" t="s">
        <v>20</v>
      </c>
      <c r="E498" s="3" t="s">
        <v>13</v>
      </c>
      <c r="F498" s="5">
        <v>5</v>
      </c>
      <c r="G498" s="6">
        <v>19.059999999999999</v>
      </c>
      <c r="H498" s="6">
        <v>95.3</v>
      </c>
      <c r="I498" s="6">
        <v>0</v>
      </c>
      <c r="J498" s="6">
        <v>95.3</v>
      </c>
      <c r="K498" s="5">
        <v>304</v>
      </c>
    </row>
    <row r="499" spans="1:11" x14ac:dyDescent="0.3">
      <c r="A499" s="3">
        <v>5982</v>
      </c>
      <c r="B499" s="3" t="s">
        <v>11</v>
      </c>
      <c r="C499" s="4">
        <v>45688</v>
      </c>
      <c r="D499" s="3" t="s">
        <v>27</v>
      </c>
      <c r="E499" s="3" t="s">
        <v>39</v>
      </c>
      <c r="F499" s="5">
        <v>1</v>
      </c>
      <c r="G499" s="6">
        <v>20.99</v>
      </c>
      <c r="H499" s="6">
        <v>20.99</v>
      </c>
      <c r="I499" s="6">
        <v>2.1</v>
      </c>
      <c r="J499" s="6">
        <v>18.89</v>
      </c>
      <c r="K499" s="5">
        <v>213</v>
      </c>
    </row>
    <row r="500" spans="1:11" x14ac:dyDescent="0.3">
      <c r="A500" s="3">
        <v>7594</v>
      </c>
      <c r="B500" s="3" t="s">
        <v>11</v>
      </c>
      <c r="C500" s="4">
        <v>45356</v>
      </c>
      <c r="D500" s="3" t="s">
        <v>38</v>
      </c>
      <c r="E500" s="3" t="s">
        <v>13</v>
      </c>
      <c r="F500" s="5">
        <v>4</v>
      </c>
      <c r="G500" s="6">
        <v>21.34</v>
      </c>
      <c r="H500" s="6">
        <v>85.36</v>
      </c>
      <c r="I500" s="6">
        <v>12.8</v>
      </c>
      <c r="J500" s="6">
        <v>72.56</v>
      </c>
      <c r="K500" s="5">
        <v>105</v>
      </c>
    </row>
    <row r="501" spans="1:11" x14ac:dyDescent="0.3">
      <c r="A501" s="3">
        <v>9199</v>
      </c>
      <c r="B501" s="3" t="s">
        <v>24</v>
      </c>
      <c r="C501" s="4">
        <v>45564</v>
      </c>
      <c r="D501" s="3" t="s">
        <v>27</v>
      </c>
      <c r="E501" s="3" t="s">
        <v>48</v>
      </c>
      <c r="F501" s="5">
        <v>5</v>
      </c>
      <c r="G501" s="6">
        <v>8.82</v>
      </c>
      <c r="H501" s="6">
        <v>44.1</v>
      </c>
      <c r="I501" s="6">
        <v>4.41</v>
      </c>
      <c r="J501" s="6">
        <v>39.69</v>
      </c>
      <c r="K501" s="5">
        <v>310</v>
      </c>
    </row>
    <row r="502" spans="1:11" x14ac:dyDescent="0.3">
      <c r="A502" s="3">
        <v>9090</v>
      </c>
      <c r="B502" s="3" t="s">
        <v>11</v>
      </c>
      <c r="C502" s="4">
        <v>45485</v>
      </c>
      <c r="D502" s="3" t="s">
        <v>38</v>
      </c>
      <c r="E502" s="3" t="s">
        <v>48</v>
      </c>
      <c r="F502" s="5">
        <v>3</v>
      </c>
      <c r="G502" s="6">
        <v>4.3</v>
      </c>
      <c r="H502" s="6">
        <v>12.9</v>
      </c>
      <c r="I502" s="6">
        <v>2.58</v>
      </c>
      <c r="J502" s="6">
        <v>10.32</v>
      </c>
      <c r="K502" s="5">
        <v>54</v>
      </c>
    </row>
    <row r="503" spans="1:11" x14ac:dyDescent="0.3">
      <c r="A503" s="3">
        <v>2317</v>
      </c>
      <c r="B503" s="3" t="s">
        <v>42</v>
      </c>
      <c r="C503" s="4">
        <v>45609</v>
      </c>
      <c r="D503" s="3" t="s">
        <v>35</v>
      </c>
      <c r="E503" s="3" t="s">
        <v>46</v>
      </c>
      <c r="F503" s="5">
        <v>2</v>
      </c>
      <c r="G503" s="6">
        <v>11.37</v>
      </c>
      <c r="H503" s="6">
        <v>22.74</v>
      </c>
      <c r="I503" s="6">
        <v>4.55</v>
      </c>
      <c r="J503" s="6">
        <v>18.190000000000001</v>
      </c>
      <c r="K503" s="5">
        <v>209</v>
      </c>
    </row>
    <row r="504" spans="1:11" x14ac:dyDescent="0.3">
      <c r="A504" s="3">
        <v>1653</v>
      </c>
      <c r="B504" s="3" t="s">
        <v>31</v>
      </c>
      <c r="C504" s="4">
        <v>45835</v>
      </c>
      <c r="D504" s="3" t="s">
        <v>38</v>
      </c>
      <c r="E504" s="3" t="s">
        <v>47</v>
      </c>
      <c r="F504" s="5">
        <v>2</v>
      </c>
      <c r="G504" s="6">
        <v>20.95</v>
      </c>
      <c r="H504" s="6">
        <v>41.9</v>
      </c>
      <c r="I504" s="6">
        <v>8.3800000000000008</v>
      </c>
      <c r="J504" s="6">
        <v>33.520000000000003</v>
      </c>
      <c r="K504" s="5">
        <v>246</v>
      </c>
    </row>
    <row r="505" spans="1:11" x14ac:dyDescent="0.3">
      <c r="A505" s="3">
        <v>8078</v>
      </c>
      <c r="B505" s="3" t="s">
        <v>31</v>
      </c>
      <c r="C505" s="4">
        <v>45715</v>
      </c>
      <c r="D505" s="3" t="s">
        <v>12</v>
      </c>
      <c r="E505" s="3" t="s">
        <v>43</v>
      </c>
      <c r="F505" s="5">
        <v>1</v>
      </c>
      <c r="G505" s="6">
        <v>25.21</v>
      </c>
      <c r="H505" s="6">
        <v>25.21</v>
      </c>
      <c r="I505" s="6">
        <v>5.04</v>
      </c>
      <c r="J505" s="6">
        <v>20.170000000000002</v>
      </c>
      <c r="K505" s="5">
        <v>342</v>
      </c>
    </row>
    <row r="506" spans="1:11" x14ac:dyDescent="0.3">
      <c r="A506" s="3">
        <v>6280</v>
      </c>
      <c r="B506" s="3" t="s">
        <v>11</v>
      </c>
      <c r="C506" s="4">
        <v>45613</v>
      </c>
      <c r="D506" s="3" t="s">
        <v>38</v>
      </c>
      <c r="E506" s="3" t="s">
        <v>43</v>
      </c>
      <c r="F506" s="5">
        <v>1</v>
      </c>
      <c r="G506" s="6">
        <v>27.23</v>
      </c>
      <c r="H506" s="6">
        <v>27.23</v>
      </c>
      <c r="I506" s="6">
        <v>2.72</v>
      </c>
      <c r="J506" s="6">
        <v>24.51</v>
      </c>
      <c r="K506" s="5">
        <v>329</v>
      </c>
    </row>
    <row r="507" spans="1:11" x14ac:dyDescent="0.3">
      <c r="A507" s="3">
        <v>5102</v>
      </c>
      <c r="B507" s="3" t="s">
        <v>30</v>
      </c>
      <c r="C507" s="4">
        <v>45165</v>
      </c>
      <c r="D507" s="3" t="s">
        <v>35</v>
      </c>
      <c r="E507" s="3" t="s">
        <v>33</v>
      </c>
      <c r="F507" s="5">
        <v>1</v>
      </c>
      <c r="G507" s="6">
        <v>3.88</v>
      </c>
      <c r="H507" s="6">
        <v>3.88</v>
      </c>
      <c r="I507" s="6">
        <v>0.57999999999999996</v>
      </c>
      <c r="J507" s="6">
        <v>3.3</v>
      </c>
      <c r="K507" s="5">
        <v>89</v>
      </c>
    </row>
    <row r="508" spans="1:11" x14ac:dyDescent="0.3">
      <c r="A508" s="3">
        <v>2496</v>
      </c>
      <c r="B508" s="3" t="s">
        <v>36</v>
      </c>
      <c r="C508" s="4">
        <v>45322</v>
      </c>
      <c r="D508" s="3" t="s">
        <v>27</v>
      </c>
      <c r="E508" s="3" t="s">
        <v>21</v>
      </c>
      <c r="F508" s="5">
        <v>4</v>
      </c>
      <c r="G508" s="6">
        <v>22.41</v>
      </c>
      <c r="H508" s="6">
        <v>89.64</v>
      </c>
      <c r="I508" s="6">
        <v>4.41</v>
      </c>
      <c r="J508" s="6">
        <v>85.23</v>
      </c>
      <c r="K508" s="5">
        <v>48</v>
      </c>
    </row>
    <row r="509" spans="1:11" x14ac:dyDescent="0.3">
      <c r="A509" s="3">
        <v>1339</v>
      </c>
      <c r="B509" s="3" t="s">
        <v>19</v>
      </c>
      <c r="C509" s="4">
        <v>45739</v>
      </c>
      <c r="D509" s="3" t="s">
        <v>22</v>
      </c>
      <c r="E509" s="3" t="s">
        <v>23</v>
      </c>
      <c r="F509" s="5">
        <v>4</v>
      </c>
      <c r="G509" s="6">
        <v>28.69</v>
      </c>
      <c r="H509" s="6">
        <v>114.76</v>
      </c>
      <c r="I509" s="6">
        <v>17.21</v>
      </c>
      <c r="J509" s="6">
        <v>97.55</v>
      </c>
      <c r="K509" s="5">
        <v>137</v>
      </c>
    </row>
    <row r="510" spans="1:11" x14ac:dyDescent="0.3">
      <c r="A510" s="3">
        <v>5415</v>
      </c>
      <c r="B510" s="3" t="s">
        <v>36</v>
      </c>
      <c r="C510" s="4">
        <v>45592</v>
      </c>
      <c r="D510" s="3" t="s">
        <v>34</v>
      </c>
      <c r="E510" s="3" t="s">
        <v>48</v>
      </c>
      <c r="F510" s="5">
        <v>4</v>
      </c>
      <c r="G510" s="6">
        <v>12.6</v>
      </c>
      <c r="H510" s="6">
        <v>50.4</v>
      </c>
      <c r="I510" s="6">
        <v>5.04</v>
      </c>
      <c r="J510" s="6">
        <v>45.36</v>
      </c>
      <c r="K510" s="5">
        <v>233</v>
      </c>
    </row>
    <row r="511" spans="1:11" x14ac:dyDescent="0.3">
      <c r="A511" s="3">
        <v>1659</v>
      </c>
      <c r="B511" s="3" t="s">
        <v>26</v>
      </c>
      <c r="C511" s="4">
        <v>45737</v>
      </c>
      <c r="D511" s="3" t="s">
        <v>20</v>
      </c>
      <c r="E511" s="3" t="s">
        <v>29</v>
      </c>
      <c r="F511" s="5">
        <v>1</v>
      </c>
      <c r="G511" s="6">
        <v>4.83</v>
      </c>
      <c r="H511" s="6">
        <v>4.83</v>
      </c>
      <c r="I511" s="6">
        <v>0.97</v>
      </c>
      <c r="J511" s="6">
        <v>3.86</v>
      </c>
      <c r="K511" s="5">
        <v>371</v>
      </c>
    </row>
    <row r="512" spans="1:11" x14ac:dyDescent="0.3">
      <c r="A512" s="3">
        <v>3870</v>
      </c>
      <c r="B512" s="3" t="s">
        <v>11</v>
      </c>
      <c r="C512" s="4">
        <v>45510</v>
      </c>
      <c r="D512" s="3" t="s">
        <v>20</v>
      </c>
      <c r="E512" s="3" t="s">
        <v>47</v>
      </c>
      <c r="F512" s="5">
        <v>5</v>
      </c>
      <c r="G512" s="6">
        <v>20.66</v>
      </c>
      <c r="H512" s="6">
        <v>103.3</v>
      </c>
      <c r="I512" s="6">
        <v>15.49</v>
      </c>
      <c r="J512" s="6">
        <v>87.81</v>
      </c>
      <c r="K512" s="5">
        <v>92</v>
      </c>
    </row>
    <row r="513" spans="1:11" x14ac:dyDescent="0.3">
      <c r="A513" s="3">
        <v>9502</v>
      </c>
      <c r="B513" s="3" t="s">
        <v>31</v>
      </c>
      <c r="C513" s="4">
        <v>45651</v>
      </c>
      <c r="D513" s="3" t="s">
        <v>27</v>
      </c>
      <c r="E513" s="3" t="s">
        <v>41</v>
      </c>
      <c r="F513" s="5">
        <v>4</v>
      </c>
      <c r="G513" s="6">
        <v>27.68</v>
      </c>
      <c r="H513" s="6">
        <v>110.72</v>
      </c>
      <c r="I513" s="6">
        <v>11.07</v>
      </c>
      <c r="J513" s="6">
        <v>99.65</v>
      </c>
      <c r="K513" s="5">
        <v>57</v>
      </c>
    </row>
    <row r="514" spans="1:11" x14ac:dyDescent="0.3">
      <c r="A514" s="3">
        <v>8245</v>
      </c>
      <c r="B514" s="3" t="s">
        <v>31</v>
      </c>
      <c r="C514" s="4">
        <v>45856</v>
      </c>
      <c r="D514" s="3" t="s">
        <v>15</v>
      </c>
      <c r="E514" s="3" t="s">
        <v>13</v>
      </c>
      <c r="F514" s="5">
        <v>3</v>
      </c>
      <c r="G514" s="6">
        <v>1.35</v>
      </c>
      <c r="H514" s="6">
        <v>4.05</v>
      </c>
      <c r="I514" s="6">
        <v>0</v>
      </c>
      <c r="J514" s="6">
        <v>4.05</v>
      </c>
      <c r="K514" s="5">
        <v>444</v>
      </c>
    </row>
    <row r="515" spans="1:11" x14ac:dyDescent="0.3">
      <c r="A515" s="3">
        <v>5557</v>
      </c>
      <c r="B515" s="3" t="s">
        <v>36</v>
      </c>
      <c r="C515" s="4">
        <v>45285</v>
      </c>
      <c r="D515" s="3" t="s">
        <v>38</v>
      </c>
      <c r="E515" s="3" t="s">
        <v>46</v>
      </c>
      <c r="F515" s="5">
        <v>5</v>
      </c>
      <c r="G515" s="6">
        <v>3.75</v>
      </c>
      <c r="H515" s="6">
        <v>18.75</v>
      </c>
      <c r="I515" s="6">
        <v>1.88</v>
      </c>
      <c r="J515" s="6">
        <v>16.87</v>
      </c>
      <c r="K515" s="5">
        <v>338</v>
      </c>
    </row>
    <row r="516" spans="1:11" x14ac:dyDescent="0.3">
      <c r="A516" s="3">
        <v>8141</v>
      </c>
      <c r="B516" s="3" t="s">
        <v>36</v>
      </c>
      <c r="C516" s="4">
        <v>45638</v>
      </c>
      <c r="D516" s="3" t="s">
        <v>27</v>
      </c>
      <c r="E516" s="3" t="s">
        <v>32</v>
      </c>
      <c r="F516" s="5">
        <v>2</v>
      </c>
      <c r="G516" s="6">
        <v>25.32</v>
      </c>
      <c r="H516" s="6">
        <v>50.64</v>
      </c>
      <c r="I516" s="6">
        <v>3.57</v>
      </c>
      <c r="J516" s="6">
        <v>47.07</v>
      </c>
      <c r="K516" s="5">
        <v>285</v>
      </c>
    </row>
    <row r="517" spans="1:11" x14ac:dyDescent="0.3">
      <c r="A517" s="3">
        <v>9056</v>
      </c>
      <c r="B517" s="3" t="s">
        <v>19</v>
      </c>
      <c r="C517" s="4">
        <v>45215</v>
      </c>
      <c r="D517" s="3" t="s">
        <v>38</v>
      </c>
      <c r="E517" s="3" t="s">
        <v>47</v>
      </c>
      <c r="F517" s="5">
        <v>4</v>
      </c>
      <c r="G517" s="6">
        <v>26.2</v>
      </c>
      <c r="H517" s="6">
        <v>104.8</v>
      </c>
      <c r="I517" s="6">
        <v>15.72</v>
      </c>
      <c r="J517" s="6">
        <v>89.08</v>
      </c>
      <c r="K517" s="5">
        <v>38</v>
      </c>
    </row>
    <row r="518" spans="1:11" x14ac:dyDescent="0.3">
      <c r="A518" s="3">
        <v>8700</v>
      </c>
      <c r="B518" s="3" t="s">
        <v>42</v>
      </c>
      <c r="C518" s="4">
        <v>45415</v>
      </c>
      <c r="D518" s="3" t="s">
        <v>22</v>
      </c>
      <c r="E518" s="3" t="s">
        <v>13</v>
      </c>
      <c r="F518" s="5">
        <v>1</v>
      </c>
      <c r="G518" s="6">
        <v>15.69</v>
      </c>
      <c r="H518" s="6">
        <v>15.69</v>
      </c>
      <c r="I518" s="6">
        <v>1.57</v>
      </c>
      <c r="J518" s="6">
        <v>14.12</v>
      </c>
      <c r="K518" s="5">
        <v>281</v>
      </c>
    </row>
    <row r="519" spans="1:11" x14ac:dyDescent="0.3">
      <c r="A519" s="3">
        <v>7690</v>
      </c>
      <c r="B519" s="3" t="s">
        <v>42</v>
      </c>
      <c r="C519" s="4">
        <v>45403</v>
      </c>
      <c r="D519" s="3" t="s">
        <v>15</v>
      </c>
      <c r="E519" s="3" t="s">
        <v>33</v>
      </c>
      <c r="F519" s="5">
        <v>4</v>
      </c>
      <c r="G519" s="6">
        <v>24.23</v>
      </c>
      <c r="H519" s="6">
        <v>96.92</v>
      </c>
      <c r="I519" s="6">
        <v>9.69</v>
      </c>
      <c r="J519" s="6">
        <v>87.23</v>
      </c>
      <c r="K519" s="5">
        <v>229</v>
      </c>
    </row>
    <row r="520" spans="1:11" x14ac:dyDescent="0.3">
      <c r="A520" s="3">
        <v>6260</v>
      </c>
      <c r="B520" s="3" t="s">
        <v>26</v>
      </c>
      <c r="C520" s="4">
        <v>45665</v>
      </c>
      <c r="D520" s="3" t="s">
        <v>22</v>
      </c>
      <c r="E520" s="3" t="s">
        <v>48</v>
      </c>
      <c r="F520" s="5">
        <v>4</v>
      </c>
      <c r="G520" s="6">
        <v>22.6</v>
      </c>
      <c r="H520" s="6">
        <v>90.4</v>
      </c>
      <c r="I520" s="6">
        <v>9.0399999999999991</v>
      </c>
      <c r="J520" s="6">
        <v>81.36</v>
      </c>
      <c r="K520" s="5">
        <v>9</v>
      </c>
    </row>
    <row r="521" spans="1:11" x14ac:dyDescent="0.3">
      <c r="A521" s="3">
        <v>2713</v>
      </c>
      <c r="B521" s="3" t="s">
        <v>24</v>
      </c>
      <c r="C521" s="4">
        <v>45811</v>
      </c>
      <c r="D521" s="3" t="s">
        <v>12</v>
      </c>
      <c r="E521" s="3" t="s">
        <v>18</v>
      </c>
      <c r="F521" s="5">
        <v>5</v>
      </c>
      <c r="G521" s="6">
        <v>0.99</v>
      </c>
      <c r="H521" s="6">
        <v>4.95</v>
      </c>
      <c r="I521" s="6">
        <v>3.25</v>
      </c>
      <c r="J521" s="6">
        <v>1.7</v>
      </c>
      <c r="K521" s="5">
        <v>46</v>
      </c>
    </row>
    <row r="522" spans="1:11" x14ac:dyDescent="0.3">
      <c r="A522" s="3">
        <v>3634</v>
      </c>
      <c r="B522" s="3" t="s">
        <v>26</v>
      </c>
      <c r="C522" s="4">
        <v>45401</v>
      </c>
      <c r="D522" s="3" t="s">
        <v>22</v>
      </c>
      <c r="E522" s="3" t="s">
        <v>23</v>
      </c>
      <c r="F522" s="5">
        <v>1</v>
      </c>
      <c r="G522" s="6">
        <v>24.67</v>
      </c>
      <c r="H522" s="6">
        <v>24.67</v>
      </c>
      <c r="I522" s="6">
        <v>3.7</v>
      </c>
      <c r="J522" s="6">
        <v>20.97</v>
      </c>
      <c r="K522" s="5">
        <v>432</v>
      </c>
    </row>
    <row r="523" spans="1:11" x14ac:dyDescent="0.3">
      <c r="A523" s="3">
        <v>7744</v>
      </c>
      <c r="B523" s="3" t="s">
        <v>14</v>
      </c>
      <c r="C523" s="4">
        <v>45683</v>
      </c>
      <c r="D523" s="3" t="s">
        <v>28</v>
      </c>
      <c r="E523" s="3" t="s">
        <v>47</v>
      </c>
      <c r="F523" s="5">
        <v>3</v>
      </c>
      <c r="G523" s="6">
        <v>21.75</v>
      </c>
      <c r="H523" s="6">
        <v>65.25</v>
      </c>
      <c r="I523" s="6">
        <v>0</v>
      </c>
      <c r="J523" s="6">
        <v>65.25</v>
      </c>
      <c r="K523" s="5">
        <v>58</v>
      </c>
    </row>
    <row r="524" spans="1:11" x14ac:dyDescent="0.3">
      <c r="A524" s="3">
        <v>9117</v>
      </c>
      <c r="B524" s="3" t="s">
        <v>42</v>
      </c>
      <c r="C524" s="4">
        <v>45368</v>
      </c>
      <c r="D524" s="3" t="s">
        <v>12</v>
      </c>
      <c r="E524" s="3" t="s">
        <v>21</v>
      </c>
      <c r="F524" s="5">
        <v>3</v>
      </c>
      <c r="G524" s="6">
        <v>25.06</v>
      </c>
      <c r="H524" s="6">
        <v>75.180000000000007</v>
      </c>
      <c r="I524" s="6">
        <v>3.09</v>
      </c>
      <c r="J524" s="6">
        <v>72.09</v>
      </c>
      <c r="K524" s="5">
        <v>493</v>
      </c>
    </row>
    <row r="525" spans="1:11" x14ac:dyDescent="0.3">
      <c r="A525" s="3">
        <v>7561</v>
      </c>
      <c r="B525" s="3" t="s">
        <v>11</v>
      </c>
      <c r="C525" s="4">
        <v>45776</v>
      </c>
      <c r="D525" s="3" t="s">
        <v>12</v>
      </c>
      <c r="E525" s="3" t="s">
        <v>29</v>
      </c>
      <c r="F525" s="5">
        <v>4</v>
      </c>
      <c r="G525" s="6">
        <v>5.0599999999999996</v>
      </c>
      <c r="H525" s="6">
        <v>20.239999999999998</v>
      </c>
      <c r="I525" s="6">
        <v>2.02</v>
      </c>
      <c r="J525" s="6">
        <v>18.22</v>
      </c>
      <c r="K525" s="5">
        <v>367</v>
      </c>
    </row>
    <row r="526" spans="1:11" x14ac:dyDescent="0.3">
      <c r="A526" s="3">
        <v>1601</v>
      </c>
      <c r="B526" s="3" t="s">
        <v>42</v>
      </c>
      <c r="C526" s="4">
        <v>45498</v>
      </c>
      <c r="D526" s="3" t="s">
        <v>17</v>
      </c>
      <c r="E526" s="3" t="s">
        <v>48</v>
      </c>
      <c r="F526" s="5">
        <v>4</v>
      </c>
      <c r="G526" s="6">
        <v>7.24</v>
      </c>
      <c r="H526" s="6">
        <v>28.96</v>
      </c>
      <c r="I526" s="6">
        <v>0</v>
      </c>
      <c r="J526" s="6">
        <v>28.96</v>
      </c>
      <c r="K526" s="5">
        <v>422</v>
      </c>
    </row>
    <row r="527" spans="1:11" x14ac:dyDescent="0.3">
      <c r="A527" s="3">
        <v>2442</v>
      </c>
      <c r="B527" s="3" t="s">
        <v>36</v>
      </c>
      <c r="C527" s="4">
        <v>45389</v>
      </c>
      <c r="D527" s="3" t="s">
        <v>15</v>
      </c>
      <c r="E527" s="3" t="s">
        <v>16</v>
      </c>
      <c r="F527" s="5">
        <v>1</v>
      </c>
      <c r="G527" s="6">
        <v>27.86</v>
      </c>
      <c r="H527" s="6">
        <v>27.86</v>
      </c>
      <c r="I527" s="6">
        <v>2.79</v>
      </c>
      <c r="J527" s="6">
        <v>25.07</v>
      </c>
      <c r="K527" s="5">
        <v>428</v>
      </c>
    </row>
    <row r="528" spans="1:11" x14ac:dyDescent="0.3">
      <c r="A528" s="3">
        <v>5135</v>
      </c>
      <c r="B528" s="3" t="s">
        <v>26</v>
      </c>
      <c r="C528" s="4">
        <v>45396</v>
      </c>
      <c r="D528" s="3" t="s">
        <v>27</v>
      </c>
      <c r="E528" s="3" t="s">
        <v>46</v>
      </c>
      <c r="F528" s="5">
        <v>2</v>
      </c>
      <c r="G528" s="6">
        <v>28.94</v>
      </c>
      <c r="H528" s="6">
        <v>57.88</v>
      </c>
      <c r="I528" s="6">
        <v>4.74</v>
      </c>
      <c r="J528" s="6">
        <v>53.14</v>
      </c>
      <c r="K528" s="5">
        <v>2</v>
      </c>
    </row>
    <row r="529" spans="1:11" x14ac:dyDescent="0.3">
      <c r="A529" s="3">
        <v>2899</v>
      </c>
      <c r="B529" s="3" t="s">
        <v>26</v>
      </c>
      <c r="C529" s="4">
        <v>45745</v>
      </c>
      <c r="D529" s="3" t="s">
        <v>38</v>
      </c>
      <c r="E529" s="3" t="s">
        <v>29</v>
      </c>
      <c r="F529" s="5">
        <v>5</v>
      </c>
      <c r="G529" s="6">
        <v>6.03</v>
      </c>
      <c r="H529" s="6">
        <v>30.15</v>
      </c>
      <c r="I529" s="6">
        <v>2.5499999999999998</v>
      </c>
      <c r="J529" s="6">
        <v>27.6</v>
      </c>
      <c r="K529" s="5">
        <v>417</v>
      </c>
    </row>
    <row r="530" spans="1:11" x14ac:dyDescent="0.3">
      <c r="A530" s="3">
        <v>7622</v>
      </c>
      <c r="B530" s="3" t="s">
        <v>36</v>
      </c>
      <c r="C530" s="4">
        <v>45816</v>
      </c>
      <c r="D530" s="3" t="s">
        <v>38</v>
      </c>
      <c r="E530" s="3" t="s">
        <v>32</v>
      </c>
      <c r="F530" s="5">
        <v>4</v>
      </c>
      <c r="G530" s="6">
        <v>29.4</v>
      </c>
      <c r="H530" s="6">
        <v>117.6</v>
      </c>
      <c r="I530" s="6">
        <v>17.64</v>
      </c>
      <c r="J530" s="6">
        <v>99.96</v>
      </c>
      <c r="K530" s="5">
        <v>468</v>
      </c>
    </row>
    <row r="531" spans="1:11" x14ac:dyDescent="0.3">
      <c r="A531" s="3">
        <v>9431</v>
      </c>
      <c r="B531" s="3" t="s">
        <v>24</v>
      </c>
      <c r="C531" s="4">
        <v>45785</v>
      </c>
      <c r="D531" s="3" t="s">
        <v>22</v>
      </c>
      <c r="E531" s="3" t="s">
        <v>37</v>
      </c>
      <c r="F531" s="5">
        <v>4</v>
      </c>
      <c r="G531" s="6">
        <v>24.33</v>
      </c>
      <c r="H531" s="6">
        <v>97.32</v>
      </c>
      <c r="I531" s="6">
        <v>3.8</v>
      </c>
      <c r="J531" s="6">
        <v>93.52</v>
      </c>
      <c r="K531" s="5">
        <v>70</v>
      </c>
    </row>
    <row r="532" spans="1:11" x14ac:dyDescent="0.3">
      <c r="A532" s="3">
        <v>1018</v>
      </c>
      <c r="B532" s="3" t="s">
        <v>14</v>
      </c>
      <c r="C532" s="4">
        <v>45655</v>
      </c>
      <c r="D532" s="3" t="s">
        <v>35</v>
      </c>
      <c r="E532" s="3" t="s">
        <v>18</v>
      </c>
      <c r="F532" s="5">
        <v>3</v>
      </c>
      <c r="G532" s="6">
        <v>21.63</v>
      </c>
      <c r="H532" s="6">
        <v>64.89</v>
      </c>
      <c r="I532" s="6">
        <v>12.98</v>
      </c>
      <c r="J532" s="6">
        <v>51.91</v>
      </c>
      <c r="K532" s="5">
        <v>478</v>
      </c>
    </row>
    <row r="533" spans="1:11" x14ac:dyDescent="0.3">
      <c r="A533" s="3">
        <v>9889</v>
      </c>
      <c r="B533" s="3" t="s">
        <v>42</v>
      </c>
      <c r="C533" s="4">
        <v>45503</v>
      </c>
      <c r="D533" s="3" t="s">
        <v>28</v>
      </c>
      <c r="E533" s="3" t="s">
        <v>37</v>
      </c>
      <c r="F533" s="5">
        <v>3</v>
      </c>
      <c r="G533" s="6">
        <v>27.7</v>
      </c>
      <c r="H533" s="6">
        <v>83.1</v>
      </c>
      <c r="I533" s="6">
        <v>3.17</v>
      </c>
      <c r="J533" s="6">
        <v>79.930000000000007</v>
      </c>
      <c r="K533" s="5">
        <v>67</v>
      </c>
    </row>
    <row r="534" spans="1:11" x14ac:dyDescent="0.3">
      <c r="A534" s="3">
        <v>7770</v>
      </c>
      <c r="B534" s="3" t="s">
        <v>36</v>
      </c>
      <c r="C534" s="4">
        <v>45187</v>
      </c>
      <c r="D534" s="3" t="s">
        <v>15</v>
      </c>
      <c r="E534" s="3" t="s">
        <v>23</v>
      </c>
      <c r="F534" s="5">
        <v>5</v>
      </c>
      <c r="G534" s="6">
        <v>14.92</v>
      </c>
      <c r="H534" s="6">
        <v>74.599999999999994</v>
      </c>
      <c r="I534" s="6">
        <v>0</v>
      </c>
      <c r="J534" s="6">
        <v>74.599999999999994</v>
      </c>
      <c r="K534" s="5">
        <v>292</v>
      </c>
    </row>
    <row r="535" spans="1:11" x14ac:dyDescent="0.3">
      <c r="A535" s="3">
        <v>4073</v>
      </c>
      <c r="B535" s="3" t="s">
        <v>14</v>
      </c>
      <c r="C535" s="4">
        <v>45547</v>
      </c>
      <c r="D535" s="3" t="s">
        <v>35</v>
      </c>
      <c r="E535" s="3" t="s">
        <v>16</v>
      </c>
      <c r="F535" s="5">
        <v>1</v>
      </c>
      <c r="G535" s="6">
        <v>16.149999999999999</v>
      </c>
      <c r="H535" s="6">
        <v>16.149999999999999</v>
      </c>
      <c r="I535" s="6">
        <v>3.23</v>
      </c>
      <c r="J535" s="6">
        <v>12.92</v>
      </c>
      <c r="K535" s="5">
        <v>12</v>
      </c>
    </row>
    <row r="536" spans="1:11" x14ac:dyDescent="0.3">
      <c r="A536" s="3">
        <v>6927</v>
      </c>
      <c r="B536" s="3" t="s">
        <v>31</v>
      </c>
      <c r="C536" s="4">
        <v>45628</v>
      </c>
      <c r="D536" s="3" t="s">
        <v>27</v>
      </c>
      <c r="E536" s="3" t="s">
        <v>40</v>
      </c>
      <c r="F536" s="5">
        <v>2</v>
      </c>
      <c r="G536" s="6">
        <v>8.73</v>
      </c>
      <c r="H536" s="6">
        <v>17.46</v>
      </c>
      <c r="I536" s="6">
        <v>2.62</v>
      </c>
      <c r="J536" s="6">
        <v>14.84</v>
      </c>
      <c r="K536" s="5">
        <v>402</v>
      </c>
    </row>
    <row r="537" spans="1:11" x14ac:dyDescent="0.3">
      <c r="A537" s="3">
        <v>9167</v>
      </c>
      <c r="B537" s="3" t="s">
        <v>30</v>
      </c>
      <c r="C537" s="4">
        <v>45630</v>
      </c>
      <c r="D537" s="3" t="s">
        <v>34</v>
      </c>
      <c r="E537" s="3" t="s">
        <v>40</v>
      </c>
      <c r="F537" s="5">
        <v>3</v>
      </c>
      <c r="G537" s="6">
        <v>6.91</v>
      </c>
      <c r="H537" s="6">
        <v>20.73</v>
      </c>
      <c r="I537" s="6">
        <v>3.11</v>
      </c>
      <c r="J537" s="6">
        <v>17.62</v>
      </c>
      <c r="K537" s="5">
        <v>277</v>
      </c>
    </row>
    <row r="538" spans="1:11" x14ac:dyDescent="0.3">
      <c r="A538" s="3">
        <v>8242</v>
      </c>
      <c r="B538" s="3" t="s">
        <v>26</v>
      </c>
      <c r="C538" s="4">
        <v>45735</v>
      </c>
      <c r="D538" s="3" t="s">
        <v>15</v>
      </c>
      <c r="E538" s="3" t="s">
        <v>18</v>
      </c>
      <c r="F538" s="5">
        <v>2</v>
      </c>
      <c r="G538" s="6">
        <v>22.52</v>
      </c>
      <c r="H538" s="6">
        <v>45.04</v>
      </c>
      <c r="I538" s="6">
        <v>9.01</v>
      </c>
      <c r="J538" s="6">
        <v>36.03</v>
      </c>
      <c r="K538" s="5">
        <v>287</v>
      </c>
    </row>
    <row r="539" spans="1:11" x14ac:dyDescent="0.3">
      <c r="A539" s="3">
        <v>1845</v>
      </c>
      <c r="B539" s="3" t="s">
        <v>14</v>
      </c>
      <c r="C539" s="4">
        <v>45303</v>
      </c>
      <c r="D539" s="3" t="s">
        <v>35</v>
      </c>
      <c r="E539" s="3" t="s">
        <v>40</v>
      </c>
      <c r="F539" s="5">
        <v>4</v>
      </c>
      <c r="G539" s="6">
        <v>12.23</v>
      </c>
      <c r="H539" s="6">
        <v>48.92</v>
      </c>
      <c r="I539" s="6">
        <v>1.22</v>
      </c>
      <c r="J539" s="6">
        <v>47.7</v>
      </c>
      <c r="K539" s="5">
        <v>489</v>
      </c>
    </row>
    <row r="540" spans="1:11" x14ac:dyDescent="0.3">
      <c r="A540" s="3">
        <v>5375</v>
      </c>
      <c r="B540" s="3" t="s">
        <v>30</v>
      </c>
      <c r="C540" s="4">
        <v>45571</v>
      </c>
      <c r="D540" s="3" t="s">
        <v>17</v>
      </c>
      <c r="E540" s="3" t="s">
        <v>33</v>
      </c>
      <c r="F540" s="5">
        <v>2</v>
      </c>
      <c r="G540" s="6">
        <v>27.42</v>
      </c>
      <c r="H540" s="6">
        <v>54.84</v>
      </c>
      <c r="I540" s="6">
        <v>3.19</v>
      </c>
      <c r="J540" s="6">
        <v>51.65</v>
      </c>
      <c r="K540" s="5">
        <v>360</v>
      </c>
    </row>
    <row r="541" spans="1:11" x14ac:dyDescent="0.3">
      <c r="A541" s="3">
        <v>3146</v>
      </c>
      <c r="B541" s="3" t="s">
        <v>42</v>
      </c>
      <c r="C541" s="4">
        <v>45865</v>
      </c>
      <c r="D541" s="3" t="s">
        <v>17</v>
      </c>
      <c r="E541" s="3" t="s">
        <v>37</v>
      </c>
      <c r="F541" s="5">
        <v>4</v>
      </c>
      <c r="G541" s="6">
        <v>6.14</v>
      </c>
      <c r="H541" s="6">
        <v>24.56</v>
      </c>
      <c r="I541" s="6">
        <v>4.91</v>
      </c>
      <c r="J541" s="6">
        <v>19.649999999999999</v>
      </c>
      <c r="K541" s="5">
        <v>349</v>
      </c>
    </row>
    <row r="542" spans="1:11" x14ac:dyDescent="0.3">
      <c r="A542" s="3">
        <v>5719</v>
      </c>
      <c r="B542" s="3" t="s">
        <v>19</v>
      </c>
      <c r="C542" s="4">
        <v>45485</v>
      </c>
      <c r="D542" s="3" t="s">
        <v>38</v>
      </c>
      <c r="E542" s="3" t="s">
        <v>48</v>
      </c>
      <c r="F542" s="5">
        <v>4</v>
      </c>
      <c r="G542" s="6">
        <v>2.17</v>
      </c>
      <c r="H542" s="6">
        <v>8.68</v>
      </c>
      <c r="I542" s="6">
        <v>1.74</v>
      </c>
      <c r="J542" s="6">
        <v>6.94</v>
      </c>
      <c r="K542" s="5">
        <v>142</v>
      </c>
    </row>
    <row r="543" spans="1:11" x14ac:dyDescent="0.3">
      <c r="A543" s="3">
        <v>8941</v>
      </c>
      <c r="B543" s="3" t="s">
        <v>19</v>
      </c>
      <c r="C543" s="4">
        <v>45239</v>
      </c>
      <c r="D543" s="3" t="s">
        <v>28</v>
      </c>
      <c r="E543" s="3" t="s">
        <v>13</v>
      </c>
      <c r="F543" s="5">
        <v>1</v>
      </c>
      <c r="G543" s="6">
        <v>10.58</v>
      </c>
      <c r="H543" s="6">
        <v>10.58</v>
      </c>
      <c r="I543" s="6">
        <v>1.61</v>
      </c>
      <c r="J543" s="6">
        <v>8.9700000000000006</v>
      </c>
      <c r="K543" s="5">
        <v>363</v>
      </c>
    </row>
    <row r="544" spans="1:11" x14ac:dyDescent="0.3">
      <c r="A544" s="3">
        <v>1472</v>
      </c>
      <c r="B544" s="3"/>
      <c r="C544" s="4">
        <v>45634</v>
      </c>
      <c r="D544" s="3" t="s">
        <v>28</v>
      </c>
      <c r="E544" s="3" t="s">
        <v>40</v>
      </c>
      <c r="F544" s="5">
        <v>5</v>
      </c>
      <c r="G544" s="6">
        <v>25.44</v>
      </c>
      <c r="H544" s="6">
        <v>127.2</v>
      </c>
      <c r="I544" s="6">
        <v>3.2</v>
      </c>
      <c r="J544" s="6">
        <v>124</v>
      </c>
      <c r="K544" s="5">
        <v>154</v>
      </c>
    </row>
    <row r="545" spans="1:11" x14ac:dyDescent="0.3">
      <c r="A545" s="3">
        <v>4920</v>
      </c>
      <c r="B545" s="3" t="s">
        <v>11</v>
      </c>
      <c r="C545" s="4">
        <v>45696</v>
      </c>
      <c r="D545" s="3" t="s">
        <v>22</v>
      </c>
      <c r="E545" s="3" t="s">
        <v>46</v>
      </c>
      <c r="F545" s="5">
        <v>2</v>
      </c>
      <c r="G545" s="6">
        <v>28.74</v>
      </c>
      <c r="H545" s="6">
        <v>57.48</v>
      </c>
      <c r="I545" s="6">
        <v>1.64</v>
      </c>
      <c r="J545" s="6">
        <v>55.84</v>
      </c>
      <c r="K545" s="5">
        <v>266</v>
      </c>
    </row>
    <row r="546" spans="1:11" x14ac:dyDescent="0.3">
      <c r="A546" s="3">
        <v>3594</v>
      </c>
      <c r="B546" s="3" t="s">
        <v>14</v>
      </c>
      <c r="C546" s="4">
        <v>45386</v>
      </c>
      <c r="D546" s="3" t="s">
        <v>38</v>
      </c>
      <c r="E546" s="3" t="s">
        <v>32</v>
      </c>
      <c r="F546" s="5">
        <v>1</v>
      </c>
      <c r="G546" s="6">
        <v>11.12</v>
      </c>
      <c r="H546" s="6">
        <v>11.12</v>
      </c>
      <c r="I546" s="6">
        <v>0</v>
      </c>
      <c r="J546" s="6">
        <v>11.12</v>
      </c>
      <c r="K546" s="5">
        <v>452</v>
      </c>
    </row>
    <row r="547" spans="1:11" x14ac:dyDescent="0.3">
      <c r="A547" s="3">
        <v>1224</v>
      </c>
      <c r="B547" s="3" t="s">
        <v>36</v>
      </c>
      <c r="C547" s="4">
        <v>45573</v>
      </c>
      <c r="D547" s="3" t="s">
        <v>22</v>
      </c>
      <c r="E547" s="3" t="s">
        <v>23</v>
      </c>
      <c r="F547" s="5">
        <v>3</v>
      </c>
      <c r="G547" s="6">
        <v>7.32</v>
      </c>
      <c r="H547" s="6">
        <v>21.96</v>
      </c>
      <c r="I547" s="6">
        <v>4.29</v>
      </c>
      <c r="J547" s="6">
        <v>17.670000000000002</v>
      </c>
      <c r="K547" s="5">
        <v>385</v>
      </c>
    </row>
    <row r="548" spans="1:11" x14ac:dyDescent="0.3">
      <c r="A548" s="3">
        <v>7684</v>
      </c>
      <c r="B548" s="3" t="s">
        <v>31</v>
      </c>
      <c r="C548" s="4">
        <v>45217</v>
      </c>
      <c r="D548" s="3" t="s">
        <v>15</v>
      </c>
      <c r="E548" s="3" t="s">
        <v>23</v>
      </c>
      <c r="F548" s="5">
        <v>4</v>
      </c>
      <c r="G548" s="6">
        <v>7.96</v>
      </c>
      <c r="H548" s="6">
        <v>31.84</v>
      </c>
      <c r="I548" s="6">
        <v>3.73</v>
      </c>
      <c r="J548" s="6">
        <v>28.11</v>
      </c>
      <c r="K548" s="5">
        <v>328</v>
      </c>
    </row>
    <row r="549" spans="1:11" x14ac:dyDescent="0.3">
      <c r="A549" s="3">
        <v>4681</v>
      </c>
      <c r="B549" s="3" t="s">
        <v>36</v>
      </c>
      <c r="C549" s="4">
        <v>45798</v>
      </c>
      <c r="D549" s="3" t="s">
        <v>20</v>
      </c>
      <c r="E549" s="3" t="s">
        <v>48</v>
      </c>
      <c r="F549" s="5">
        <v>4</v>
      </c>
      <c r="G549" s="6">
        <v>8.43</v>
      </c>
      <c r="H549" s="6">
        <v>33.72</v>
      </c>
      <c r="I549" s="6">
        <v>4.6500000000000004</v>
      </c>
      <c r="J549" s="6">
        <v>29.07</v>
      </c>
      <c r="K549" s="5">
        <v>370</v>
      </c>
    </row>
    <row r="550" spans="1:11" x14ac:dyDescent="0.3">
      <c r="A550" s="3">
        <v>2858</v>
      </c>
      <c r="B550" s="3" t="s">
        <v>36</v>
      </c>
      <c r="C550" s="4">
        <v>45503</v>
      </c>
      <c r="D550" s="3" t="s">
        <v>38</v>
      </c>
      <c r="E550" s="3" t="s">
        <v>46</v>
      </c>
      <c r="F550" s="5">
        <v>4</v>
      </c>
      <c r="G550" s="6">
        <v>15.11</v>
      </c>
      <c r="H550" s="6">
        <v>60.44</v>
      </c>
      <c r="I550" s="6">
        <v>9.07</v>
      </c>
      <c r="J550" s="6">
        <v>51.37</v>
      </c>
      <c r="K550" s="5">
        <v>151</v>
      </c>
    </row>
    <row r="551" spans="1:11" x14ac:dyDescent="0.3">
      <c r="A551" s="3">
        <v>2924</v>
      </c>
      <c r="B551" s="3" t="s">
        <v>14</v>
      </c>
      <c r="C551" s="4">
        <v>45648</v>
      </c>
      <c r="D551" s="3" t="s">
        <v>15</v>
      </c>
      <c r="E551" s="3" t="s">
        <v>48</v>
      </c>
      <c r="F551" s="5">
        <v>2</v>
      </c>
      <c r="G551" s="6">
        <v>29.17</v>
      </c>
      <c r="H551" s="6">
        <v>58.34</v>
      </c>
      <c r="I551" s="6">
        <v>0</v>
      </c>
      <c r="J551" s="6">
        <v>58.34</v>
      </c>
      <c r="K551" s="5">
        <v>395</v>
      </c>
    </row>
    <row r="552" spans="1:11" x14ac:dyDescent="0.3">
      <c r="A552" s="3">
        <v>3522</v>
      </c>
      <c r="B552" s="3" t="s">
        <v>11</v>
      </c>
      <c r="C552" s="4">
        <v>45532</v>
      </c>
      <c r="D552" s="3" t="s">
        <v>17</v>
      </c>
      <c r="E552" s="3" t="s">
        <v>44</v>
      </c>
      <c r="F552" s="5">
        <v>4</v>
      </c>
      <c r="G552" s="6">
        <v>25.22</v>
      </c>
      <c r="H552" s="6">
        <v>100.88</v>
      </c>
      <c r="I552" s="6">
        <v>0</v>
      </c>
      <c r="J552" s="6">
        <v>100.88</v>
      </c>
      <c r="K552" s="5">
        <v>105</v>
      </c>
    </row>
    <row r="553" spans="1:11" x14ac:dyDescent="0.3">
      <c r="A553" s="3">
        <v>5781</v>
      </c>
      <c r="B553" s="3" t="s">
        <v>11</v>
      </c>
      <c r="C553" s="4">
        <v>45540</v>
      </c>
      <c r="D553" s="3" t="s">
        <v>27</v>
      </c>
      <c r="E553" s="3" t="s">
        <v>41</v>
      </c>
      <c r="F553" s="5">
        <v>1</v>
      </c>
      <c r="G553" s="6">
        <v>14.31</v>
      </c>
      <c r="H553" s="6">
        <v>14.31</v>
      </c>
      <c r="I553" s="6">
        <v>1.29</v>
      </c>
      <c r="J553" s="6">
        <v>13.02</v>
      </c>
      <c r="K553" s="5">
        <v>169</v>
      </c>
    </row>
    <row r="554" spans="1:11" x14ac:dyDescent="0.3">
      <c r="A554" s="3">
        <v>5479</v>
      </c>
      <c r="B554" s="3" t="s">
        <v>19</v>
      </c>
      <c r="C554" s="4">
        <v>45467</v>
      </c>
      <c r="D554" s="3" t="s">
        <v>35</v>
      </c>
      <c r="E554" s="3" t="s">
        <v>18</v>
      </c>
      <c r="F554" s="5">
        <v>1</v>
      </c>
      <c r="G554" s="6">
        <v>17.66</v>
      </c>
      <c r="H554" s="6">
        <v>17.66</v>
      </c>
      <c r="I554" s="6">
        <v>1.77</v>
      </c>
      <c r="J554" s="6">
        <v>15.89</v>
      </c>
      <c r="K554" s="5">
        <v>116</v>
      </c>
    </row>
    <row r="555" spans="1:11" x14ac:dyDescent="0.3">
      <c r="A555" s="3">
        <v>8905</v>
      </c>
      <c r="B555" s="3" t="s">
        <v>24</v>
      </c>
      <c r="C555" s="4">
        <v>45511</v>
      </c>
      <c r="D555" s="3" t="s">
        <v>45</v>
      </c>
      <c r="E555" s="3" t="s">
        <v>32</v>
      </c>
      <c r="F555" s="5">
        <v>4</v>
      </c>
      <c r="G555" s="6">
        <v>10.17</v>
      </c>
      <c r="H555" s="6">
        <v>40.68</v>
      </c>
      <c r="I555" s="6">
        <v>1.02</v>
      </c>
      <c r="J555" s="6">
        <v>39.659999999999997</v>
      </c>
      <c r="K555" s="5">
        <v>199</v>
      </c>
    </row>
    <row r="556" spans="1:11" x14ac:dyDescent="0.3">
      <c r="A556" s="3">
        <v>4993</v>
      </c>
      <c r="B556" s="3" t="s">
        <v>11</v>
      </c>
      <c r="C556" s="4">
        <v>45499</v>
      </c>
      <c r="D556" s="3" t="s">
        <v>28</v>
      </c>
      <c r="E556" s="3" t="s">
        <v>40</v>
      </c>
      <c r="F556" s="5">
        <v>1</v>
      </c>
      <c r="G556" s="6">
        <v>11.36</v>
      </c>
      <c r="H556" s="6">
        <v>11.36</v>
      </c>
      <c r="I556" s="6">
        <v>1.7</v>
      </c>
      <c r="J556" s="6">
        <v>9.66</v>
      </c>
      <c r="K556" s="5">
        <v>257</v>
      </c>
    </row>
    <row r="557" spans="1:11" x14ac:dyDescent="0.3">
      <c r="A557" s="3">
        <v>3369</v>
      </c>
      <c r="B557" s="3" t="s">
        <v>30</v>
      </c>
      <c r="C557" s="4">
        <v>45442</v>
      </c>
      <c r="D557" s="3" t="s">
        <v>28</v>
      </c>
      <c r="E557" s="3" t="s">
        <v>43</v>
      </c>
      <c r="F557" s="5">
        <v>3</v>
      </c>
      <c r="G557" s="6">
        <v>23.18</v>
      </c>
      <c r="H557" s="6">
        <v>69.540000000000006</v>
      </c>
      <c r="I557" s="6">
        <v>6.95</v>
      </c>
      <c r="J557" s="6">
        <v>62.59</v>
      </c>
      <c r="K557" s="5">
        <v>224</v>
      </c>
    </row>
    <row r="558" spans="1:11" x14ac:dyDescent="0.3">
      <c r="A558" s="3">
        <v>4122</v>
      </c>
      <c r="B558" s="3" t="s">
        <v>31</v>
      </c>
      <c r="C558" s="4">
        <v>45861</v>
      </c>
      <c r="D558" s="3" t="s">
        <v>45</v>
      </c>
      <c r="E558" s="3" t="s">
        <v>29</v>
      </c>
      <c r="F558" s="5">
        <v>5</v>
      </c>
      <c r="G558" s="6">
        <v>7.37</v>
      </c>
      <c r="H558" s="6">
        <v>36.85</v>
      </c>
      <c r="I558" s="6">
        <v>2.1800000000000002</v>
      </c>
      <c r="J558" s="6">
        <v>34.67</v>
      </c>
      <c r="K558" s="5">
        <v>382</v>
      </c>
    </row>
    <row r="559" spans="1:11" x14ac:dyDescent="0.3">
      <c r="A559" s="3">
        <v>9327</v>
      </c>
      <c r="B559" s="3" t="s">
        <v>19</v>
      </c>
      <c r="C559" s="4">
        <v>45724</v>
      </c>
      <c r="D559" s="3" t="s">
        <v>35</v>
      </c>
      <c r="E559" s="3" t="s">
        <v>23</v>
      </c>
      <c r="F559" s="5">
        <v>1</v>
      </c>
      <c r="G559" s="6">
        <v>17.04</v>
      </c>
      <c r="H559" s="6">
        <v>17.04</v>
      </c>
      <c r="I559" s="6">
        <v>1.17</v>
      </c>
      <c r="J559" s="6">
        <v>15.87</v>
      </c>
      <c r="K559" s="5">
        <v>284</v>
      </c>
    </row>
    <row r="560" spans="1:11" x14ac:dyDescent="0.3">
      <c r="A560" s="3">
        <v>3236</v>
      </c>
      <c r="B560" s="3" t="s">
        <v>24</v>
      </c>
      <c r="C560" s="4">
        <v>45816</v>
      </c>
      <c r="D560" s="3" t="s">
        <v>38</v>
      </c>
      <c r="E560" s="3" t="s">
        <v>18</v>
      </c>
      <c r="F560" s="5">
        <v>1</v>
      </c>
      <c r="G560" s="6">
        <v>9.83</v>
      </c>
      <c r="H560" s="6">
        <v>9.83</v>
      </c>
      <c r="I560" s="6">
        <v>1.97</v>
      </c>
      <c r="J560" s="6">
        <v>7.86</v>
      </c>
      <c r="K560" s="5">
        <v>383</v>
      </c>
    </row>
    <row r="561" spans="1:11" x14ac:dyDescent="0.3">
      <c r="A561" s="3">
        <v>2143</v>
      </c>
      <c r="B561" s="3" t="s">
        <v>24</v>
      </c>
      <c r="C561" s="4">
        <v>45359</v>
      </c>
      <c r="D561" s="3" t="s">
        <v>27</v>
      </c>
      <c r="E561" s="3" t="s">
        <v>46</v>
      </c>
      <c r="F561" s="5">
        <v>2</v>
      </c>
      <c r="G561" s="6">
        <v>5.66</v>
      </c>
      <c r="H561" s="6">
        <v>11.32</v>
      </c>
      <c r="I561" s="6">
        <v>2.2599999999999998</v>
      </c>
      <c r="J561" s="6">
        <v>9.06</v>
      </c>
      <c r="K561" s="5">
        <v>113</v>
      </c>
    </row>
    <row r="562" spans="1:11" x14ac:dyDescent="0.3">
      <c r="A562" s="3">
        <v>7798</v>
      </c>
      <c r="B562" s="3" t="s">
        <v>11</v>
      </c>
      <c r="C562" s="4">
        <v>45408</v>
      </c>
      <c r="D562" s="3" t="s">
        <v>34</v>
      </c>
      <c r="E562" s="3" t="s">
        <v>40</v>
      </c>
      <c r="F562" s="5">
        <v>5</v>
      </c>
      <c r="G562" s="6">
        <v>14.37</v>
      </c>
      <c r="H562" s="6">
        <v>71.849999999999994</v>
      </c>
      <c r="I562" s="6">
        <v>10.78</v>
      </c>
      <c r="J562" s="6">
        <v>61.07</v>
      </c>
      <c r="K562" s="5">
        <v>281</v>
      </c>
    </row>
    <row r="563" spans="1:11" x14ac:dyDescent="0.3">
      <c r="A563" s="3">
        <v>9318</v>
      </c>
      <c r="B563" s="3" t="s">
        <v>11</v>
      </c>
      <c r="C563" s="4">
        <v>45352</v>
      </c>
      <c r="D563" s="3" t="s">
        <v>35</v>
      </c>
      <c r="E563" s="3" t="s">
        <v>48</v>
      </c>
      <c r="F563" s="5">
        <v>2</v>
      </c>
      <c r="G563" s="6">
        <v>22.03</v>
      </c>
      <c r="H563" s="6">
        <v>44.06</v>
      </c>
      <c r="I563" s="6">
        <v>6.61</v>
      </c>
      <c r="J563" s="6">
        <v>37.450000000000003</v>
      </c>
      <c r="K563" s="5">
        <v>249</v>
      </c>
    </row>
    <row r="564" spans="1:11" x14ac:dyDescent="0.3">
      <c r="A564" s="3">
        <v>1042</v>
      </c>
      <c r="B564" s="3" t="s">
        <v>19</v>
      </c>
      <c r="C564" s="4">
        <v>45364</v>
      </c>
      <c r="D564" s="3" t="s">
        <v>27</v>
      </c>
      <c r="E564" s="3" t="s">
        <v>25</v>
      </c>
      <c r="F564" s="5">
        <v>1</v>
      </c>
      <c r="G564" s="6">
        <v>9.26</v>
      </c>
      <c r="H564" s="6">
        <v>9.26</v>
      </c>
      <c r="I564" s="6">
        <v>1.39</v>
      </c>
      <c r="J564" s="6">
        <v>7.87</v>
      </c>
      <c r="K564" s="5">
        <v>35</v>
      </c>
    </row>
    <row r="565" spans="1:11" x14ac:dyDescent="0.3">
      <c r="A565" s="3">
        <v>5891</v>
      </c>
      <c r="B565" s="3" t="s">
        <v>26</v>
      </c>
      <c r="C565" s="4">
        <v>45795</v>
      </c>
      <c r="D565" s="3" t="s">
        <v>45</v>
      </c>
      <c r="E565" s="3" t="s">
        <v>21</v>
      </c>
      <c r="F565" s="5">
        <v>5</v>
      </c>
      <c r="G565" s="6">
        <v>20.11</v>
      </c>
      <c r="H565" s="6">
        <v>100.55</v>
      </c>
      <c r="I565" s="6">
        <v>3.27</v>
      </c>
      <c r="J565" s="6">
        <v>97.28</v>
      </c>
      <c r="K565" s="5">
        <v>355</v>
      </c>
    </row>
    <row r="566" spans="1:11" x14ac:dyDescent="0.3">
      <c r="A566" s="3">
        <v>9022</v>
      </c>
      <c r="B566" s="3" t="s">
        <v>36</v>
      </c>
      <c r="C566" s="4">
        <v>45817</v>
      </c>
      <c r="D566" s="3" t="s">
        <v>20</v>
      </c>
      <c r="E566" s="3" t="s">
        <v>29</v>
      </c>
      <c r="F566" s="5">
        <v>1</v>
      </c>
      <c r="G566" s="6">
        <v>10.07</v>
      </c>
      <c r="H566" s="6">
        <v>10.07</v>
      </c>
      <c r="I566" s="6">
        <v>0</v>
      </c>
      <c r="J566" s="6">
        <v>10.07</v>
      </c>
      <c r="K566" s="5">
        <v>402</v>
      </c>
    </row>
    <row r="567" spans="1:11" x14ac:dyDescent="0.3">
      <c r="A567" s="3">
        <v>3434</v>
      </c>
      <c r="B567" s="3" t="s">
        <v>24</v>
      </c>
      <c r="C567" s="4">
        <v>45491</v>
      </c>
      <c r="D567" s="3" t="s">
        <v>35</v>
      </c>
      <c r="E567" s="3" t="s">
        <v>23</v>
      </c>
      <c r="F567" s="5">
        <v>2</v>
      </c>
      <c r="G567" s="6">
        <v>20.7</v>
      </c>
      <c r="H567" s="6">
        <v>41.4</v>
      </c>
      <c r="I567" s="6">
        <v>4.1399999999999997</v>
      </c>
      <c r="J567" s="6">
        <v>37.26</v>
      </c>
      <c r="K567" s="5">
        <v>169</v>
      </c>
    </row>
    <row r="568" spans="1:11" x14ac:dyDescent="0.3">
      <c r="A568" s="3">
        <v>9824</v>
      </c>
      <c r="B568" s="3" t="s">
        <v>26</v>
      </c>
      <c r="C568" s="4">
        <v>45521</v>
      </c>
      <c r="D568" s="3" t="s">
        <v>22</v>
      </c>
      <c r="E568" s="3" t="s">
        <v>37</v>
      </c>
      <c r="F568" s="5">
        <v>4</v>
      </c>
      <c r="G568" s="6">
        <v>16.989999999999998</v>
      </c>
      <c r="H568" s="6">
        <v>67.959999999999994</v>
      </c>
      <c r="I568" s="6">
        <v>10.19</v>
      </c>
      <c r="J568" s="6">
        <v>57.77</v>
      </c>
      <c r="K568" s="5">
        <v>89</v>
      </c>
    </row>
    <row r="569" spans="1:11" x14ac:dyDescent="0.3">
      <c r="A569" s="3">
        <v>6654</v>
      </c>
      <c r="B569" s="3" t="s">
        <v>19</v>
      </c>
      <c r="C569" s="4">
        <v>45403</v>
      </c>
      <c r="D569" s="3" t="s">
        <v>38</v>
      </c>
      <c r="E569" s="3" t="s">
        <v>44</v>
      </c>
      <c r="F569" s="5">
        <v>3</v>
      </c>
      <c r="G569" s="6">
        <v>22.26</v>
      </c>
      <c r="H569" s="6">
        <v>66.78</v>
      </c>
      <c r="I569" s="6">
        <v>0</v>
      </c>
      <c r="J569" s="6">
        <v>66.78</v>
      </c>
      <c r="K569" s="5">
        <v>320</v>
      </c>
    </row>
    <row r="570" spans="1:11" x14ac:dyDescent="0.3">
      <c r="A570" s="3">
        <v>9903</v>
      </c>
      <c r="B570" s="3" t="s">
        <v>11</v>
      </c>
      <c r="C570" s="4">
        <v>45437</v>
      </c>
      <c r="D570" s="3" t="s">
        <v>12</v>
      </c>
      <c r="E570" s="3" t="s">
        <v>46</v>
      </c>
      <c r="F570" s="5">
        <v>1</v>
      </c>
      <c r="G570" s="6">
        <v>24.56</v>
      </c>
      <c r="H570" s="6">
        <v>24.56</v>
      </c>
      <c r="I570" s="6">
        <v>1.85</v>
      </c>
      <c r="J570" s="6">
        <v>22.71</v>
      </c>
      <c r="K570" s="5">
        <v>296</v>
      </c>
    </row>
    <row r="571" spans="1:11" x14ac:dyDescent="0.3">
      <c r="A571" s="3">
        <v>8460</v>
      </c>
      <c r="B571" s="3" t="s">
        <v>31</v>
      </c>
      <c r="C571" s="4">
        <v>45869</v>
      </c>
      <c r="D571" s="3" t="s">
        <v>38</v>
      </c>
      <c r="E571" s="3" t="s">
        <v>13</v>
      </c>
      <c r="F571" s="5">
        <v>5</v>
      </c>
      <c r="G571" s="6">
        <v>26.92</v>
      </c>
      <c r="H571" s="6">
        <v>134.6</v>
      </c>
      <c r="I571" s="6">
        <v>0</v>
      </c>
      <c r="J571" s="6">
        <v>134.6</v>
      </c>
      <c r="K571" s="5">
        <v>276</v>
      </c>
    </row>
    <row r="572" spans="1:11" x14ac:dyDescent="0.3">
      <c r="A572" s="3">
        <v>6272</v>
      </c>
      <c r="B572" s="3" t="s">
        <v>19</v>
      </c>
      <c r="C572" s="4">
        <v>45820</v>
      </c>
      <c r="D572" s="3" t="s">
        <v>22</v>
      </c>
      <c r="E572" s="3" t="s">
        <v>32</v>
      </c>
      <c r="F572" s="5">
        <v>2</v>
      </c>
      <c r="G572" s="6">
        <v>26.84</v>
      </c>
      <c r="H572" s="6">
        <v>53.68</v>
      </c>
      <c r="I572" s="6">
        <v>10.74</v>
      </c>
      <c r="J572" s="6">
        <v>42.94</v>
      </c>
      <c r="K572" s="5">
        <v>301</v>
      </c>
    </row>
    <row r="573" spans="1:11" x14ac:dyDescent="0.3">
      <c r="A573" s="3">
        <v>4090</v>
      </c>
      <c r="B573" s="3" t="s">
        <v>26</v>
      </c>
      <c r="C573" s="4">
        <v>45686</v>
      </c>
      <c r="D573" s="3" t="s">
        <v>38</v>
      </c>
      <c r="E573" s="3" t="s">
        <v>46</v>
      </c>
      <c r="F573" s="5">
        <v>1</v>
      </c>
      <c r="G573" s="6">
        <v>12.5</v>
      </c>
      <c r="H573" s="6">
        <v>12.5</v>
      </c>
      <c r="I573" s="6">
        <v>0</v>
      </c>
      <c r="J573" s="6">
        <v>12.5</v>
      </c>
      <c r="K573" s="5">
        <v>257</v>
      </c>
    </row>
    <row r="574" spans="1:11" x14ac:dyDescent="0.3">
      <c r="A574" s="3">
        <v>4912</v>
      </c>
      <c r="B574" s="3" t="s">
        <v>42</v>
      </c>
      <c r="C574" s="4">
        <v>45589</v>
      </c>
      <c r="D574" s="3" t="s">
        <v>28</v>
      </c>
      <c r="E574" s="3" t="s">
        <v>29</v>
      </c>
      <c r="F574" s="5">
        <v>5</v>
      </c>
      <c r="G574" s="6">
        <v>5.0599999999999996</v>
      </c>
      <c r="H574" s="6">
        <v>25.3</v>
      </c>
      <c r="I574" s="6">
        <v>4.79</v>
      </c>
      <c r="J574" s="6">
        <v>20.51</v>
      </c>
      <c r="K574" s="5">
        <v>81</v>
      </c>
    </row>
    <row r="575" spans="1:11" x14ac:dyDescent="0.3">
      <c r="A575" s="3">
        <v>7274</v>
      </c>
      <c r="B575" s="3" t="s">
        <v>19</v>
      </c>
      <c r="C575" s="4">
        <v>45326</v>
      </c>
      <c r="D575" s="3" t="s">
        <v>45</v>
      </c>
      <c r="E575" s="3" t="s">
        <v>23</v>
      </c>
      <c r="F575" s="5">
        <v>1</v>
      </c>
      <c r="G575" s="6">
        <v>7.34</v>
      </c>
      <c r="H575" s="6">
        <v>7.34</v>
      </c>
      <c r="I575" s="6">
        <v>2.06</v>
      </c>
      <c r="J575" s="6">
        <v>5.28</v>
      </c>
      <c r="K575" s="5">
        <v>249</v>
      </c>
    </row>
    <row r="576" spans="1:11" x14ac:dyDescent="0.3">
      <c r="A576" s="3">
        <v>7730</v>
      </c>
      <c r="B576" s="3" t="s">
        <v>42</v>
      </c>
      <c r="C576" s="4">
        <v>45178</v>
      </c>
      <c r="D576" s="3" t="s">
        <v>12</v>
      </c>
      <c r="E576" s="3" t="s">
        <v>44</v>
      </c>
      <c r="F576" s="5">
        <v>5</v>
      </c>
      <c r="G576" s="6">
        <v>27.31</v>
      </c>
      <c r="H576" s="6">
        <v>136.55000000000001</v>
      </c>
      <c r="I576" s="6">
        <v>13.66</v>
      </c>
      <c r="J576" s="6">
        <v>122.89</v>
      </c>
      <c r="K576" s="5">
        <v>184</v>
      </c>
    </row>
    <row r="577" spans="1:11" x14ac:dyDescent="0.3">
      <c r="A577" s="3">
        <v>6213</v>
      </c>
      <c r="B577" s="3" t="s">
        <v>26</v>
      </c>
      <c r="C577" s="4">
        <v>45723</v>
      </c>
      <c r="D577" s="3" t="s">
        <v>12</v>
      </c>
      <c r="E577" s="3" t="s">
        <v>40</v>
      </c>
      <c r="F577" s="5">
        <v>3</v>
      </c>
      <c r="G577" s="6">
        <v>3.98</v>
      </c>
      <c r="H577" s="6">
        <v>11.94</v>
      </c>
      <c r="I577" s="6">
        <v>0</v>
      </c>
      <c r="J577" s="6">
        <v>11.94</v>
      </c>
      <c r="K577" s="5">
        <v>495</v>
      </c>
    </row>
    <row r="578" spans="1:11" x14ac:dyDescent="0.3">
      <c r="A578" s="3">
        <v>8749</v>
      </c>
      <c r="B578" s="3" t="s">
        <v>30</v>
      </c>
      <c r="C578" s="4">
        <v>45692</v>
      </c>
      <c r="D578" s="3" t="s">
        <v>28</v>
      </c>
      <c r="E578" s="3" t="s">
        <v>18</v>
      </c>
      <c r="F578" s="5">
        <v>5</v>
      </c>
      <c r="G578" s="6">
        <v>6.03</v>
      </c>
      <c r="H578" s="6">
        <v>30.15</v>
      </c>
      <c r="I578" s="6">
        <v>4.5199999999999996</v>
      </c>
      <c r="J578" s="6">
        <v>25.63</v>
      </c>
      <c r="K578" s="5">
        <v>334</v>
      </c>
    </row>
    <row r="579" spans="1:11" x14ac:dyDescent="0.3">
      <c r="A579" s="3">
        <v>7246</v>
      </c>
      <c r="B579" s="3" t="s">
        <v>11</v>
      </c>
      <c r="C579" s="4">
        <v>45444</v>
      </c>
      <c r="D579" s="3" t="s">
        <v>38</v>
      </c>
      <c r="E579" s="3" t="s">
        <v>13</v>
      </c>
      <c r="F579" s="5">
        <v>4</v>
      </c>
      <c r="G579" s="6">
        <v>29.2</v>
      </c>
      <c r="H579" s="6">
        <v>116.8</v>
      </c>
      <c r="I579" s="6">
        <v>17.52</v>
      </c>
      <c r="J579" s="6">
        <v>99.28</v>
      </c>
      <c r="K579" s="5">
        <v>114</v>
      </c>
    </row>
    <row r="580" spans="1:11" x14ac:dyDescent="0.3">
      <c r="A580" s="3">
        <v>3492</v>
      </c>
      <c r="B580" s="3" t="s">
        <v>36</v>
      </c>
      <c r="C580" s="4">
        <v>45529</v>
      </c>
      <c r="D580" s="3" t="s">
        <v>45</v>
      </c>
      <c r="E580" s="3" t="s">
        <v>47</v>
      </c>
      <c r="F580" s="5">
        <v>5</v>
      </c>
      <c r="G580" s="6">
        <v>1.18</v>
      </c>
      <c r="H580" s="6">
        <v>5.9</v>
      </c>
      <c r="I580" s="6">
        <v>0.59</v>
      </c>
      <c r="J580" s="6">
        <v>5.31</v>
      </c>
      <c r="K580" s="5">
        <v>451</v>
      </c>
    </row>
    <row r="581" spans="1:11" x14ac:dyDescent="0.3">
      <c r="A581" s="3">
        <v>1606</v>
      </c>
      <c r="B581" s="3" t="s">
        <v>19</v>
      </c>
      <c r="C581" s="4">
        <v>45243</v>
      </c>
      <c r="D581" s="3" t="s">
        <v>17</v>
      </c>
      <c r="E581" s="3" t="s">
        <v>43</v>
      </c>
      <c r="F581" s="5">
        <v>5</v>
      </c>
      <c r="G581" s="6">
        <v>19.649999999999999</v>
      </c>
      <c r="H581" s="6">
        <v>98.25</v>
      </c>
      <c r="I581" s="6">
        <v>19.649999999999999</v>
      </c>
      <c r="J581" s="6">
        <v>78.599999999999994</v>
      </c>
      <c r="K581" s="5">
        <v>108</v>
      </c>
    </row>
    <row r="582" spans="1:11" x14ac:dyDescent="0.3">
      <c r="A582" s="3">
        <v>9229</v>
      </c>
      <c r="B582" s="3" t="s">
        <v>19</v>
      </c>
      <c r="C582" s="4">
        <v>45603</v>
      </c>
      <c r="D582" s="3" t="s">
        <v>22</v>
      </c>
      <c r="E582" s="3" t="s">
        <v>48</v>
      </c>
      <c r="F582" s="5">
        <v>2</v>
      </c>
      <c r="G582" s="6">
        <v>13.01</v>
      </c>
      <c r="H582" s="6">
        <v>26.02</v>
      </c>
      <c r="I582" s="6">
        <v>2.6</v>
      </c>
      <c r="J582" s="6">
        <v>23.42</v>
      </c>
      <c r="K582" s="5">
        <v>169</v>
      </c>
    </row>
    <row r="583" spans="1:11" x14ac:dyDescent="0.3">
      <c r="A583" s="3">
        <v>6439</v>
      </c>
      <c r="B583" s="3" t="s">
        <v>26</v>
      </c>
      <c r="C583" s="4">
        <v>45820</v>
      </c>
      <c r="D583" s="3" t="s">
        <v>45</v>
      </c>
      <c r="E583" s="3" t="s">
        <v>44</v>
      </c>
      <c r="F583" s="5">
        <v>5</v>
      </c>
      <c r="G583" s="6">
        <v>5.67</v>
      </c>
      <c r="H583" s="6">
        <v>28.35</v>
      </c>
      <c r="I583" s="6">
        <v>1.97</v>
      </c>
      <c r="J583" s="6">
        <v>26.38</v>
      </c>
      <c r="K583" s="5">
        <v>426</v>
      </c>
    </row>
    <row r="584" spans="1:11" x14ac:dyDescent="0.3">
      <c r="A584" s="3">
        <v>2644</v>
      </c>
      <c r="B584" s="3" t="s">
        <v>19</v>
      </c>
      <c r="C584" s="4">
        <v>45824</v>
      </c>
      <c r="D584" s="3" t="s">
        <v>28</v>
      </c>
      <c r="E584" s="3" t="s">
        <v>29</v>
      </c>
      <c r="F584" s="5">
        <v>2</v>
      </c>
      <c r="G584" s="6">
        <v>19.25</v>
      </c>
      <c r="H584" s="6">
        <v>38.5</v>
      </c>
      <c r="I584" s="6">
        <v>1.67</v>
      </c>
      <c r="J584" s="6">
        <v>36.83</v>
      </c>
      <c r="K584" s="5">
        <v>20</v>
      </c>
    </row>
    <row r="585" spans="1:11" x14ac:dyDescent="0.3">
      <c r="A585" s="3">
        <v>8213</v>
      </c>
      <c r="B585" s="3" t="s">
        <v>19</v>
      </c>
      <c r="C585" s="4">
        <v>45222</v>
      </c>
      <c r="D585" s="3" t="s">
        <v>38</v>
      </c>
      <c r="E585" s="3" t="s">
        <v>32</v>
      </c>
      <c r="F585" s="5">
        <v>5</v>
      </c>
      <c r="G585" s="6">
        <v>29.1</v>
      </c>
      <c r="H585" s="6">
        <v>145.5</v>
      </c>
      <c r="I585" s="6">
        <v>0</v>
      </c>
      <c r="J585" s="6">
        <v>145.5</v>
      </c>
      <c r="K585" s="5">
        <v>326</v>
      </c>
    </row>
    <row r="586" spans="1:11" x14ac:dyDescent="0.3">
      <c r="A586" s="3">
        <v>9617</v>
      </c>
      <c r="B586" s="3" t="s">
        <v>30</v>
      </c>
      <c r="C586" s="4">
        <v>45852</v>
      </c>
      <c r="D586" s="3" t="s">
        <v>15</v>
      </c>
      <c r="E586" s="3" t="s">
        <v>44</v>
      </c>
      <c r="F586" s="5">
        <v>4</v>
      </c>
      <c r="G586" s="6">
        <v>18.579999999999998</v>
      </c>
      <c r="H586" s="6">
        <v>74.319999999999993</v>
      </c>
      <c r="I586" s="6">
        <v>14.86</v>
      </c>
      <c r="J586" s="6">
        <v>59.46</v>
      </c>
      <c r="K586" s="5">
        <v>241</v>
      </c>
    </row>
    <row r="587" spans="1:11" x14ac:dyDescent="0.3">
      <c r="A587" s="3">
        <v>8486</v>
      </c>
      <c r="B587" s="3" t="s">
        <v>42</v>
      </c>
      <c r="C587" s="4">
        <v>45156</v>
      </c>
      <c r="D587" s="3" t="s">
        <v>20</v>
      </c>
      <c r="E587" s="3" t="s">
        <v>41</v>
      </c>
      <c r="F587" s="5">
        <v>5</v>
      </c>
      <c r="G587" s="6">
        <v>24.78</v>
      </c>
      <c r="H587" s="6">
        <v>123.9</v>
      </c>
      <c r="I587" s="6">
        <v>24.78</v>
      </c>
      <c r="J587" s="6">
        <v>99.12</v>
      </c>
      <c r="K587" s="5">
        <v>93</v>
      </c>
    </row>
    <row r="588" spans="1:11" x14ac:dyDescent="0.3">
      <c r="A588" s="3">
        <v>3361</v>
      </c>
      <c r="B588" s="3" t="s">
        <v>36</v>
      </c>
      <c r="C588" s="4">
        <v>45463</v>
      </c>
      <c r="D588" s="3" t="s">
        <v>45</v>
      </c>
      <c r="E588" s="3" t="s">
        <v>43</v>
      </c>
      <c r="F588" s="5">
        <v>2</v>
      </c>
      <c r="G588" s="6">
        <v>11.96</v>
      </c>
      <c r="H588" s="6">
        <v>23.92</v>
      </c>
      <c r="I588" s="6">
        <v>1.81</v>
      </c>
      <c r="J588" s="6">
        <v>22.11</v>
      </c>
      <c r="K588" s="5">
        <v>67</v>
      </c>
    </row>
    <row r="589" spans="1:11" x14ac:dyDescent="0.3">
      <c r="A589" s="3">
        <v>3529</v>
      </c>
      <c r="B589" s="3" t="s">
        <v>14</v>
      </c>
      <c r="C589" s="4">
        <v>45203</v>
      </c>
      <c r="D589" s="3" t="s">
        <v>27</v>
      </c>
      <c r="E589" s="3" t="s">
        <v>16</v>
      </c>
      <c r="F589" s="5">
        <v>2</v>
      </c>
      <c r="G589" s="6">
        <v>18.55</v>
      </c>
      <c r="H589" s="6">
        <v>37.1</v>
      </c>
      <c r="I589" s="6">
        <v>3.4</v>
      </c>
      <c r="J589" s="6">
        <v>33.700000000000003</v>
      </c>
      <c r="K589" s="5">
        <v>90</v>
      </c>
    </row>
    <row r="590" spans="1:11" x14ac:dyDescent="0.3">
      <c r="A590" s="3">
        <v>8692</v>
      </c>
      <c r="B590" s="3" t="s">
        <v>14</v>
      </c>
      <c r="C590" s="4">
        <v>45752</v>
      </c>
      <c r="D590" s="3" t="s">
        <v>38</v>
      </c>
      <c r="E590" s="3" t="s">
        <v>48</v>
      </c>
      <c r="F590" s="5">
        <v>1</v>
      </c>
      <c r="G590" s="6">
        <v>14.97</v>
      </c>
      <c r="H590" s="6">
        <v>14.97</v>
      </c>
      <c r="I590" s="6">
        <v>0</v>
      </c>
      <c r="J590" s="6">
        <v>14.97</v>
      </c>
      <c r="K590" s="5">
        <v>66</v>
      </c>
    </row>
    <row r="591" spans="1:11" x14ac:dyDescent="0.3">
      <c r="A591" s="3">
        <v>5342</v>
      </c>
      <c r="B591" s="3" t="s">
        <v>24</v>
      </c>
      <c r="C591" s="4">
        <v>45407</v>
      </c>
      <c r="D591" s="3" t="s">
        <v>38</v>
      </c>
      <c r="E591" s="3" t="s">
        <v>16</v>
      </c>
      <c r="F591" s="5">
        <v>3</v>
      </c>
      <c r="G591" s="6">
        <v>26.36</v>
      </c>
      <c r="H591" s="6">
        <v>79.08</v>
      </c>
      <c r="I591" s="6">
        <v>15.82</v>
      </c>
      <c r="J591" s="6">
        <v>63.26</v>
      </c>
      <c r="K591" s="5">
        <v>357</v>
      </c>
    </row>
    <row r="592" spans="1:11" x14ac:dyDescent="0.3">
      <c r="A592" s="3">
        <v>7512</v>
      </c>
      <c r="B592" s="3" t="s">
        <v>26</v>
      </c>
      <c r="C592" s="4">
        <v>45649</v>
      </c>
      <c r="D592" s="3" t="s">
        <v>20</v>
      </c>
      <c r="E592" s="3" t="s">
        <v>23</v>
      </c>
      <c r="F592" s="5">
        <v>5</v>
      </c>
      <c r="G592" s="6">
        <v>24.32</v>
      </c>
      <c r="H592" s="6">
        <v>121.6</v>
      </c>
      <c r="I592" s="6">
        <v>12.16</v>
      </c>
      <c r="J592" s="6">
        <v>109.44</v>
      </c>
      <c r="K592" s="5">
        <v>464</v>
      </c>
    </row>
    <row r="593" spans="1:11" x14ac:dyDescent="0.3">
      <c r="A593" s="3">
        <v>2315</v>
      </c>
      <c r="B593" s="3" t="s">
        <v>19</v>
      </c>
      <c r="C593" s="4">
        <v>45806</v>
      </c>
      <c r="D593" s="3" t="s">
        <v>35</v>
      </c>
      <c r="E593" s="3" t="s">
        <v>47</v>
      </c>
      <c r="F593" s="5">
        <v>2</v>
      </c>
      <c r="G593" s="6">
        <v>27.38</v>
      </c>
      <c r="H593" s="6">
        <v>54.76</v>
      </c>
      <c r="I593" s="6">
        <v>4.51</v>
      </c>
      <c r="J593" s="6">
        <v>50.25</v>
      </c>
      <c r="K593" s="5">
        <v>42</v>
      </c>
    </row>
    <row r="594" spans="1:11" x14ac:dyDescent="0.3">
      <c r="A594" s="3">
        <v>6383</v>
      </c>
      <c r="B594" s="3" t="s">
        <v>24</v>
      </c>
      <c r="C594" s="4">
        <v>45807</v>
      </c>
      <c r="D594" s="3" t="s">
        <v>35</v>
      </c>
      <c r="E594" s="3" t="s">
        <v>44</v>
      </c>
      <c r="F594" s="5">
        <v>1</v>
      </c>
      <c r="G594" s="6">
        <v>21.56</v>
      </c>
      <c r="H594" s="6">
        <v>21.56</v>
      </c>
      <c r="I594" s="6">
        <v>3.09</v>
      </c>
      <c r="J594" s="6">
        <v>18.47</v>
      </c>
      <c r="K594" s="5">
        <v>404</v>
      </c>
    </row>
    <row r="595" spans="1:11" x14ac:dyDescent="0.3">
      <c r="A595" s="3">
        <v>9742</v>
      </c>
      <c r="B595" s="3" t="s">
        <v>14</v>
      </c>
      <c r="C595" s="4">
        <v>45440</v>
      </c>
      <c r="D595" s="3" t="s">
        <v>12</v>
      </c>
      <c r="E595" s="3" t="s">
        <v>32</v>
      </c>
      <c r="F595" s="5">
        <v>2</v>
      </c>
      <c r="G595" s="6">
        <v>20.94</v>
      </c>
      <c r="H595" s="6">
        <v>41.88</v>
      </c>
      <c r="I595" s="6">
        <v>6.28</v>
      </c>
      <c r="J595" s="6">
        <v>35.6</v>
      </c>
      <c r="K595" s="5">
        <v>161</v>
      </c>
    </row>
    <row r="596" spans="1:11" x14ac:dyDescent="0.3">
      <c r="A596" s="3">
        <v>6188</v>
      </c>
      <c r="B596" s="3" t="s">
        <v>11</v>
      </c>
      <c r="C596" s="4">
        <v>45631</v>
      </c>
      <c r="D596" s="3" t="s">
        <v>34</v>
      </c>
      <c r="E596" s="3" t="s">
        <v>16</v>
      </c>
      <c r="F596" s="5">
        <v>5</v>
      </c>
      <c r="G596" s="6">
        <v>8.35</v>
      </c>
      <c r="H596" s="6">
        <v>41.75</v>
      </c>
      <c r="I596" s="6">
        <v>2.46</v>
      </c>
      <c r="J596" s="6">
        <v>39.29</v>
      </c>
      <c r="K596" s="5">
        <v>437</v>
      </c>
    </row>
    <row r="597" spans="1:11" x14ac:dyDescent="0.3">
      <c r="A597" s="3">
        <v>8994</v>
      </c>
      <c r="B597" s="3" t="s">
        <v>30</v>
      </c>
      <c r="C597" s="4">
        <v>45822</v>
      </c>
      <c r="D597" s="3" t="s">
        <v>27</v>
      </c>
      <c r="E597" s="3" t="s">
        <v>32</v>
      </c>
      <c r="F597" s="5">
        <v>2</v>
      </c>
      <c r="G597" s="6">
        <v>12.97</v>
      </c>
      <c r="H597" s="6">
        <v>25.94</v>
      </c>
      <c r="I597" s="6">
        <v>5.19</v>
      </c>
      <c r="J597" s="6">
        <v>20.75</v>
      </c>
      <c r="K597" s="5">
        <v>401</v>
      </c>
    </row>
    <row r="598" spans="1:11" x14ac:dyDescent="0.3">
      <c r="A598" s="3">
        <v>9864</v>
      </c>
      <c r="B598" s="3" t="s">
        <v>36</v>
      </c>
      <c r="C598" s="4">
        <v>45172</v>
      </c>
      <c r="D598" s="3" t="s">
        <v>38</v>
      </c>
      <c r="E598" s="3" t="s">
        <v>18</v>
      </c>
      <c r="F598" s="5">
        <v>4</v>
      </c>
      <c r="G598" s="6">
        <v>8.35</v>
      </c>
      <c r="H598" s="6">
        <v>33.4</v>
      </c>
      <c r="I598" s="6">
        <v>0</v>
      </c>
      <c r="J598" s="6">
        <v>33.4</v>
      </c>
      <c r="K598" s="5">
        <v>157</v>
      </c>
    </row>
    <row r="599" spans="1:11" x14ac:dyDescent="0.3">
      <c r="A599" s="3">
        <v>2121</v>
      </c>
      <c r="B599" s="3" t="s">
        <v>24</v>
      </c>
      <c r="C599" s="4">
        <v>45327</v>
      </c>
      <c r="D599" s="3" t="s">
        <v>34</v>
      </c>
      <c r="E599" s="3" t="s">
        <v>48</v>
      </c>
      <c r="F599" s="5">
        <v>2</v>
      </c>
      <c r="G599" s="6">
        <v>13.94</v>
      </c>
      <c r="H599" s="6">
        <v>27.88</v>
      </c>
      <c r="I599" s="6">
        <v>1.86</v>
      </c>
      <c r="J599" s="6">
        <v>26.02</v>
      </c>
      <c r="K599" s="5">
        <v>358</v>
      </c>
    </row>
    <row r="600" spans="1:11" x14ac:dyDescent="0.3">
      <c r="A600" s="3">
        <v>5708</v>
      </c>
      <c r="B600" s="3" t="s">
        <v>24</v>
      </c>
      <c r="C600" s="4">
        <v>45321</v>
      </c>
      <c r="D600" s="3" t="s">
        <v>22</v>
      </c>
      <c r="E600" s="3" t="s">
        <v>18</v>
      </c>
      <c r="F600" s="5">
        <v>5</v>
      </c>
      <c r="G600" s="6">
        <v>21.2</v>
      </c>
      <c r="H600" s="6">
        <v>106</v>
      </c>
      <c r="I600" s="6">
        <v>21.2</v>
      </c>
      <c r="J600" s="6">
        <v>84.8</v>
      </c>
      <c r="K600" s="5">
        <v>361</v>
      </c>
    </row>
    <row r="601" spans="1:11" x14ac:dyDescent="0.3">
      <c r="A601" s="3">
        <v>2480</v>
      </c>
      <c r="B601" s="3" t="s">
        <v>24</v>
      </c>
      <c r="C601" s="4">
        <v>45482</v>
      </c>
      <c r="D601" s="3" t="s">
        <v>27</v>
      </c>
      <c r="E601" s="3" t="s">
        <v>39</v>
      </c>
      <c r="F601" s="5">
        <v>1</v>
      </c>
      <c r="G601" s="6">
        <v>24.86</v>
      </c>
      <c r="H601" s="6">
        <v>24.86</v>
      </c>
      <c r="I601" s="6">
        <v>1.26</v>
      </c>
      <c r="J601" s="6">
        <v>23.6</v>
      </c>
      <c r="K601" s="5">
        <v>241</v>
      </c>
    </row>
    <row r="602" spans="1:11" x14ac:dyDescent="0.3">
      <c r="A602" s="3">
        <v>2612</v>
      </c>
      <c r="B602" s="3" t="s">
        <v>42</v>
      </c>
      <c r="C602" s="4">
        <v>45735</v>
      </c>
      <c r="D602" s="3" t="s">
        <v>22</v>
      </c>
      <c r="E602" s="3" t="s">
        <v>43</v>
      </c>
      <c r="F602" s="5">
        <v>5</v>
      </c>
      <c r="G602" s="6">
        <v>2.08</v>
      </c>
      <c r="H602" s="6">
        <v>10.4</v>
      </c>
      <c r="I602" s="6">
        <v>3.62</v>
      </c>
      <c r="J602" s="6">
        <v>6.78</v>
      </c>
      <c r="K602" s="5">
        <v>196</v>
      </c>
    </row>
    <row r="603" spans="1:11" x14ac:dyDescent="0.3">
      <c r="A603" s="3">
        <v>2646</v>
      </c>
      <c r="B603" s="3" t="s">
        <v>30</v>
      </c>
      <c r="C603" s="4">
        <v>45489</v>
      </c>
      <c r="D603" s="3" t="s">
        <v>28</v>
      </c>
      <c r="E603" s="3" t="s">
        <v>40</v>
      </c>
      <c r="F603" s="5">
        <v>2</v>
      </c>
      <c r="G603" s="6">
        <v>19.559999999999999</v>
      </c>
      <c r="H603" s="6">
        <v>39.119999999999997</v>
      </c>
      <c r="I603" s="6">
        <v>7.82</v>
      </c>
      <c r="J603" s="6">
        <v>31.3</v>
      </c>
      <c r="K603" s="5">
        <v>224</v>
      </c>
    </row>
    <row r="604" spans="1:11" x14ac:dyDescent="0.3">
      <c r="A604" s="3">
        <v>3725</v>
      </c>
      <c r="B604" s="3" t="s">
        <v>14</v>
      </c>
      <c r="C604" s="4">
        <v>45684</v>
      </c>
      <c r="D604" s="3" t="s">
        <v>35</v>
      </c>
      <c r="E604" s="3" t="s">
        <v>44</v>
      </c>
      <c r="F604" s="5">
        <v>1</v>
      </c>
      <c r="G604" s="6">
        <v>23.72</v>
      </c>
      <c r="H604" s="6">
        <v>23.72</v>
      </c>
      <c r="I604" s="6">
        <v>1.68</v>
      </c>
      <c r="J604" s="6">
        <v>22.04</v>
      </c>
      <c r="K604" s="5">
        <v>261</v>
      </c>
    </row>
    <row r="605" spans="1:11" x14ac:dyDescent="0.3">
      <c r="A605" s="3">
        <v>5906</v>
      </c>
      <c r="B605" s="3" t="s">
        <v>31</v>
      </c>
      <c r="C605" s="4">
        <v>45846</v>
      </c>
      <c r="D605" s="3" t="s">
        <v>22</v>
      </c>
      <c r="E605" s="3" t="s">
        <v>25</v>
      </c>
      <c r="F605" s="5">
        <v>1</v>
      </c>
      <c r="G605" s="6">
        <v>29.28</v>
      </c>
      <c r="H605" s="6">
        <v>29.28</v>
      </c>
      <c r="I605" s="6">
        <v>2.93</v>
      </c>
      <c r="J605" s="6">
        <v>26.35</v>
      </c>
      <c r="K605" s="5">
        <v>44</v>
      </c>
    </row>
    <row r="606" spans="1:11" x14ac:dyDescent="0.3">
      <c r="A606" s="3">
        <v>1474</v>
      </c>
      <c r="B606" s="3" t="s">
        <v>36</v>
      </c>
      <c r="C606" s="4">
        <v>45180</v>
      </c>
      <c r="D606" s="3" t="s">
        <v>27</v>
      </c>
      <c r="E606" s="3" t="s">
        <v>32</v>
      </c>
      <c r="F606" s="5">
        <v>4</v>
      </c>
      <c r="G606" s="6">
        <v>17.989999999999998</v>
      </c>
      <c r="H606" s="6">
        <v>71.959999999999994</v>
      </c>
      <c r="I606" s="6">
        <v>0</v>
      </c>
      <c r="J606" s="6">
        <v>71.959999999999994</v>
      </c>
      <c r="K606" s="5">
        <v>265</v>
      </c>
    </row>
    <row r="607" spans="1:11" x14ac:dyDescent="0.3">
      <c r="A607" s="3">
        <v>6314</v>
      </c>
      <c r="B607" s="3" t="s">
        <v>11</v>
      </c>
      <c r="C607" s="4">
        <v>45763</v>
      </c>
      <c r="D607" s="3" t="s">
        <v>15</v>
      </c>
      <c r="E607" s="3" t="s">
        <v>18</v>
      </c>
      <c r="F607" s="5">
        <v>3</v>
      </c>
      <c r="G607" s="6">
        <v>22.05</v>
      </c>
      <c r="H607" s="6">
        <v>66.150000000000006</v>
      </c>
      <c r="I607" s="6">
        <v>9.92</v>
      </c>
      <c r="J607" s="6">
        <v>56.23</v>
      </c>
      <c r="K607" s="5">
        <v>286</v>
      </c>
    </row>
    <row r="608" spans="1:11" x14ac:dyDescent="0.3">
      <c r="A608" s="3">
        <v>1919</v>
      </c>
      <c r="B608" s="3"/>
      <c r="C608" s="4">
        <v>45372</v>
      </c>
      <c r="D608" s="3" t="s">
        <v>17</v>
      </c>
      <c r="E608" s="3" t="s">
        <v>44</v>
      </c>
      <c r="F608" s="5">
        <v>4</v>
      </c>
      <c r="G608" s="6">
        <v>27.95</v>
      </c>
      <c r="H608" s="6">
        <v>111.8</v>
      </c>
      <c r="I608" s="6">
        <v>16.77</v>
      </c>
      <c r="J608" s="6">
        <v>95.03</v>
      </c>
      <c r="K608" s="5">
        <v>294</v>
      </c>
    </row>
    <row r="609" spans="1:11" x14ac:dyDescent="0.3">
      <c r="A609" s="3">
        <v>6873</v>
      </c>
      <c r="B609" s="3" t="s">
        <v>19</v>
      </c>
      <c r="C609" s="4">
        <v>45436</v>
      </c>
      <c r="D609" s="3" t="s">
        <v>20</v>
      </c>
      <c r="E609" s="3" t="s">
        <v>46</v>
      </c>
      <c r="F609" s="5">
        <v>1</v>
      </c>
      <c r="G609" s="6">
        <v>17.190000000000001</v>
      </c>
      <c r="H609" s="6">
        <v>17.190000000000001</v>
      </c>
      <c r="I609" s="6">
        <v>2.58</v>
      </c>
      <c r="J609" s="6">
        <v>14.61</v>
      </c>
      <c r="K609" s="5">
        <v>257</v>
      </c>
    </row>
    <row r="610" spans="1:11" x14ac:dyDescent="0.3">
      <c r="A610" s="3">
        <v>8056</v>
      </c>
      <c r="B610" s="3" t="s">
        <v>11</v>
      </c>
      <c r="C610" s="4">
        <v>45258</v>
      </c>
      <c r="D610" s="3" t="s">
        <v>38</v>
      </c>
      <c r="E610" s="3" t="s">
        <v>13</v>
      </c>
      <c r="F610" s="5">
        <v>5</v>
      </c>
      <c r="G610" s="6">
        <v>24.57</v>
      </c>
      <c r="H610" s="6">
        <v>122.85</v>
      </c>
      <c r="I610" s="6">
        <v>0</v>
      </c>
      <c r="J610" s="6">
        <v>122.85</v>
      </c>
      <c r="K610" s="5">
        <v>294</v>
      </c>
    </row>
    <row r="611" spans="1:11" x14ac:dyDescent="0.3">
      <c r="A611" s="3">
        <v>5000</v>
      </c>
      <c r="B611" s="3" t="s">
        <v>26</v>
      </c>
      <c r="C611" s="4">
        <v>45557</v>
      </c>
      <c r="D611" s="3" t="s">
        <v>20</v>
      </c>
      <c r="E611" s="3" t="s">
        <v>47</v>
      </c>
      <c r="F611" s="5">
        <v>2</v>
      </c>
      <c r="G611" s="6">
        <v>22.96</v>
      </c>
      <c r="H611" s="6">
        <v>45.92</v>
      </c>
      <c r="I611" s="6">
        <v>0</v>
      </c>
      <c r="J611" s="6">
        <v>45.92</v>
      </c>
      <c r="K611" s="5">
        <v>492</v>
      </c>
    </row>
    <row r="612" spans="1:11" x14ac:dyDescent="0.3">
      <c r="A612" s="3">
        <v>7751</v>
      </c>
      <c r="B612" s="3" t="s">
        <v>26</v>
      </c>
      <c r="C612" s="4">
        <v>45584</v>
      </c>
      <c r="D612" s="3" t="s">
        <v>28</v>
      </c>
      <c r="E612" s="3" t="s">
        <v>39</v>
      </c>
      <c r="F612" s="5">
        <v>4</v>
      </c>
      <c r="G612" s="6">
        <v>4.3600000000000003</v>
      </c>
      <c r="H612" s="6">
        <v>17.440000000000001</v>
      </c>
      <c r="I612" s="6">
        <v>0</v>
      </c>
      <c r="J612" s="6">
        <v>17.440000000000001</v>
      </c>
      <c r="K612" s="5">
        <v>34</v>
      </c>
    </row>
    <row r="613" spans="1:11" x14ac:dyDescent="0.3">
      <c r="A613" s="3">
        <v>3950</v>
      </c>
      <c r="B613" s="3" t="s">
        <v>42</v>
      </c>
      <c r="C613" s="4">
        <v>45277</v>
      </c>
      <c r="D613" s="3" t="s">
        <v>27</v>
      </c>
      <c r="E613" s="3" t="s">
        <v>25</v>
      </c>
      <c r="F613" s="5">
        <v>3</v>
      </c>
      <c r="G613" s="6">
        <v>12.95</v>
      </c>
      <c r="H613" s="6">
        <v>38.85</v>
      </c>
      <c r="I613" s="6">
        <v>0</v>
      </c>
      <c r="J613" s="6">
        <v>38.85</v>
      </c>
      <c r="K613" s="5">
        <v>180</v>
      </c>
    </row>
    <row r="614" spans="1:11" x14ac:dyDescent="0.3">
      <c r="A614" s="3">
        <v>3868</v>
      </c>
      <c r="B614" s="3" t="s">
        <v>30</v>
      </c>
      <c r="C614" s="4">
        <v>45206</v>
      </c>
      <c r="D614" s="3" t="s">
        <v>17</v>
      </c>
      <c r="E614" s="3" t="s">
        <v>37</v>
      </c>
      <c r="F614" s="5">
        <v>1</v>
      </c>
      <c r="G614" s="6">
        <v>12.56</v>
      </c>
      <c r="H614" s="6">
        <v>12.56</v>
      </c>
      <c r="I614" s="6">
        <v>3.22</v>
      </c>
      <c r="J614" s="6">
        <v>9.34</v>
      </c>
      <c r="K614" s="5">
        <v>383</v>
      </c>
    </row>
    <row r="615" spans="1:11" x14ac:dyDescent="0.3">
      <c r="A615" s="3">
        <v>7267</v>
      </c>
      <c r="B615" s="3" t="s">
        <v>19</v>
      </c>
      <c r="C615" s="4">
        <v>45626</v>
      </c>
      <c r="D615" s="3" t="s">
        <v>45</v>
      </c>
      <c r="E615" s="3" t="s">
        <v>21</v>
      </c>
      <c r="F615" s="5">
        <v>3</v>
      </c>
      <c r="G615" s="6">
        <v>7.33</v>
      </c>
      <c r="H615" s="6">
        <v>21.99</v>
      </c>
      <c r="I615" s="6">
        <v>4.4000000000000004</v>
      </c>
      <c r="J615" s="6">
        <v>17.59</v>
      </c>
      <c r="K615" s="5">
        <v>293</v>
      </c>
    </row>
    <row r="616" spans="1:11" x14ac:dyDescent="0.3">
      <c r="A616" s="3">
        <v>4945</v>
      </c>
      <c r="B616" s="3" t="s">
        <v>42</v>
      </c>
      <c r="C616" s="4">
        <v>45531</v>
      </c>
      <c r="D616" s="3" t="s">
        <v>45</v>
      </c>
      <c r="E616" s="3" t="s">
        <v>44</v>
      </c>
      <c r="F616" s="5">
        <v>2</v>
      </c>
      <c r="G616" s="6">
        <v>22.32</v>
      </c>
      <c r="H616" s="6">
        <v>44.64</v>
      </c>
      <c r="I616" s="6">
        <v>8.93</v>
      </c>
      <c r="J616" s="6">
        <v>35.71</v>
      </c>
      <c r="K616" s="5">
        <v>446</v>
      </c>
    </row>
    <row r="617" spans="1:11" x14ac:dyDescent="0.3">
      <c r="A617" s="3">
        <v>3344</v>
      </c>
      <c r="B617" s="3" t="s">
        <v>42</v>
      </c>
      <c r="C617" s="4">
        <v>45325</v>
      </c>
      <c r="D617" s="3" t="s">
        <v>17</v>
      </c>
      <c r="E617" s="3" t="s">
        <v>25</v>
      </c>
      <c r="F617" s="5">
        <v>5</v>
      </c>
      <c r="G617" s="6">
        <v>11.31</v>
      </c>
      <c r="H617" s="6">
        <v>56.55</v>
      </c>
      <c r="I617" s="6">
        <v>4.68</v>
      </c>
      <c r="J617" s="6">
        <v>51.87</v>
      </c>
      <c r="K617" s="5">
        <v>398</v>
      </c>
    </row>
    <row r="618" spans="1:11" x14ac:dyDescent="0.3">
      <c r="A618" s="3">
        <v>8555</v>
      </c>
      <c r="B618" s="3" t="s">
        <v>26</v>
      </c>
      <c r="C618" s="4">
        <v>45640</v>
      </c>
      <c r="D618" s="3" t="s">
        <v>28</v>
      </c>
      <c r="E618" s="3" t="s">
        <v>39</v>
      </c>
      <c r="F618" s="5">
        <v>5</v>
      </c>
      <c r="G618" s="6">
        <v>28.77</v>
      </c>
      <c r="H618" s="6">
        <v>143.85</v>
      </c>
      <c r="I618" s="6">
        <v>21.58</v>
      </c>
      <c r="J618" s="6">
        <v>122.27</v>
      </c>
      <c r="K618" s="5">
        <v>434</v>
      </c>
    </row>
    <row r="619" spans="1:11" x14ac:dyDescent="0.3">
      <c r="A619" s="3">
        <v>5161</v>
      </c>
      <c r="B619" s="3" t="s">
        <v>36</v>
      </c>
      <c r="C619" s="4">
        <v>45501</v>
      </c>
      <c r="D619" s="3" t="s">
        <v>45</v>
      </c>
      <c r="E619" s="3" t="s">
        <v>13</v>
      </c>
      <c r="F619" s="5">
        <v>4</v>
      </c>
      <c r="G619" s="6">
        <v>6.29</v>
      </c>
      <c r="H619" s="6">
        <v>25.16</v>
      </c>
      <c r="I619" s="6">
        <v>2.52</v>
      </c>
      <c r="J619" s="6">
        <v>22.64</v>
      </c>
      <c r="K619" s="5">
        <v>391</v>
      </c>
    </row>
    <row r="620" spans="1:11" x14ac:dyDescent="0.3">
      <c r="A620" s="3">
        <v>5183</v>
      </c>
      <c r="B620" s="3" t="s">
        <v>42</v>
      </c>
      <c r="C620" s="4">
        <v>45662</v>
      </c>
      <c r="D620" s="3" t="s">
        <v>28</v>
      </c>
      <c r="E620" s="3" t="s">
        <v>41</v>
      </c>
      <c r="F620" s="5">
        <v>1</v>
      </c>
      <c r="G620" s="6">
        <v>16.239999999999998</v>
      </c>
      <c r="H620" s="6">
        <v>16.239999999999998</v>
      </c>
      <c r="I620" s="6">
        <v>1.1299999999999999</v>
      </c>
      <c r="J620" s="6">
        <v>15.11</v>
      </c>
      <c r="K620" s="5">
        <v>216</v>
      </c>
    </row>
    <row r="621" spans="1:11" x14ac:dyDescent="0.3">
      <c r="A621" s="3">
        <v>1153</v>
      </c>
      <c r="B621" s="3" t="s">
        <v>36</v>
      </c>
      <c r="C621" s="4">
        <v>45843</v>
      </c>
      <c r="D621" s="3" t="s">
        <v>20</v>
      </c>
      <c r="E621" s="3" t="s">
        <v>29</v>
      </c>
      <c r="F621" s="5">
        <v>4</v>
      </c>
      <c r="G621" s="6">
        <v>29.31</v>
      </c>
      <c r="H621" s="6">
        <v>117.24</v>
      </c>
      <c r="I621" s="6">
        <v>17.59</v>
      </c>
      <c r="J621" s="6">
        <v>99.65</v>
      </c>
      <c r="K621" s="5">
        <v>357</v>
      </c>
    </row>
    <row r="622" spans="1:11" x14ac:dyDescent="0.3">
      <c r="A622" s="3">
        <v>8622</v>
      </c>
      <c r="B622" s="3" t="s">
        <v>31</v>
      </c>
      <c r="C622" s="4">
        <v>45844</v>
      </c>
      <c r="D622" s="3" t="s">
        <v>12</v>
      </c>
      <c r="E622" s="3" t="s">
        <v>44</v>
      </c>
      <c r="F622" s="5">
        <v>4</v>
      </c>
      <c r="G622" s="6">
        <v>17.84</v>
      </c>
      <c r="H622" s="6">
        <v>71.36</v>
      </c>
      <c r="I622" s="6">
        <v>4.45</v>
      </c>
      <c r="J622" s="6">
        <v>66.91</v>
      </c>
      <c r="K622" s="5">
        <v>166</v>
      </c>
    </row>
    <row r="623" spans="1:11" x14ac:dyDescent="0.3">
      <c r="A623" s="3">
        <v>5712</v>
      </c>
      <c r="B623" s="3" t="s">
        <v>19</v>
      </c>
      <c r="C623" s="4">
        <v>45671</v>
      </c>
      <c r="D623" s="3" t="s">
        <v>38</v>
      </c>
      <c r="E623" s="3" t="s">
        <v>13</v>
      </c>
      <c r="F623" s="5">
        <v>2</v>
      </c>
      <c r="G623" s="6">
        <v>8.8000000000000007</v>
      </c>
      <c r="H623" s="6">
        <v>17.600000000000001</v>
      </c>
      <c r="I623" s="6">
        <v>2.64</v>
      </c>
      <c r="J623" s="6">
        <v>14.96</v>
      </c>
      <c r="K623" s="5">
        <v>490</v>
      </c>
    </row>
    <row r="624" spans="1:11" x14ac:dyDescent="0.3">
      <c r="A624" s="3">
        <v>9955</v>
      </c>
      <c r="B624" s="3" t="s">
        <v>19</v>
      </c>
      <c r="C624" s="4">
        <v>45267</v>
      </c>
      <c r="D624" s="3" t="s">
        <v>45</v>
      </c>
      <c r="E624" s="3" t="s">
        <v>16</v>
      </c>
      <c r="F624" s="5">
        <v>2</v>
      </c>
      <c r="G624" s="6">
        <v>13.14</v>
      </c>
      <c r="H624" s="6">
        <v>26.28</v>
      </c>
      <c r="I624" s="6">
        <v>3.94</v>
      </c>
      <c r="J624" s="6">
        <v>22.34</v>
      </c>
      <c r="K624" s="5">
        <v>385</v>
      </c>
    </row>
    <row r="625" spans="1:11" x14ac:dyDescent="0.3">
      <c r="A625" s="3">
        <v>2210</v>
      </c>
      <c r="B625" s="3" t="s">
        <v>24</v>
      </c>
      <c r="C625" s="4">
        <v>45488</v>
      </c>
      <c r="D625" s="3" t="s">
        <v>35</v>
      </c>
      <c r="E625" s="3" t="s">
        <v>33</v>
      </c>
      <c r="F625" s="5">
        <v>2</v>
      </c>
      <c r="G625" s="6">
        <v>17.559999999999999</v>
      </c>
      <c r="H625" s="6">
        <v>35.119999999999997</v>
      </c>
      <c r="I625" s="6">
        <v>3.88</v>
      </c>
      <c r="J625" s="6">
        <v>31.24</v>
      </c>
      <c r="K625" s="5">
        <v>294</v>
      </c>
    </row>
    <row r="626" spans="1:11" x14ac:dyDescent="0.3">
      <c r="A626" s="3">
        <v>6661</v>
      </c>
      <c r="B626" s="3" t="s">
        <v>42</v>
      </c>
      <c r="C626" s="4">
        <v>45601</v>
      </c>
      <c r="D626" s="3" t="s">
        <v>38</v>
      </c>
      <c r="E626" s="3" t="s">
        <v>16</v>
      </c>
      <c r="F626" s="5">
        <v>4</v>
      </c>
      <c r="G626" s="6">
        <v>6.68</v>
      </c>
      <c r="H626" s="6">
        <v>26.72</v>
      </c>
      <c r="I626" s="6">
        <v>2.67</v>
      </c>
      <c r="J626" s="6">
        <v>24.05</v>
      </c>
      <c r="K626" s="5">
        <v>409</v>
      </c>
    </row>
    <row r="627" spans="1:11" x14ac:dyDescent="0.3">
      <c r="A627" s="3">
        <v>5901</v>
      </c>
      <c r="B627" s="3" t="s">
        <v>31</v>
      </c>
      <c r="C627" s="4">
        <v>45641</v>
      </c>
      <c r="D627" s="3" t="s">
        <v>34</v>
      </c>
      <c r="E627" s="3" t="s">
        <v>16</v>
      </c>
      <c r="F627" s="5">
        <v>4</v>
      </c>
      <c r="G627" s="6">
        <v>4.8899999999999997</v>
      </c>
      <c r="H627" s="6">
        <v>19.559999999999999</v>
      </c>
      <c r="I627" s="6">
        <v>1.96</v>
      </c>
      <c r="J627" s="6">
        <v>17.600000000000001</v>
      </c>
      <c r="K627" s="5">
        <v>457</v>
      </c>
    </row>
    <row r="628" spans="1:11" x14ac:dyDescent="0.3">
      <c r="A628" s="3">
        <v>7951</v>
      </c>
      <c r="B628" s="3" t="s">
        <v>30</v>
      </c>
      <c r="C628" s="4">
        <v>45681</v>
      </c>
      <c r="D628" s="3" t="s">
        <v>35</v>
      </c>
      <c r="E628" s="3" t="s">
        <v>18</v>
      </c>
      <c r="F628" s="5">
        <v>5</v>
      </c>
      <c r="G628" s="6">
        <v>2.37</v>
      </c>
      <c r="H628" s="6">
        <v>11.85</v>
      </c>
      <c r="I628" s="6">
        <v>1.86</v>
      </c>
      <c r="J628" s="6">
        <v>9.99</v>
      </c>
      <c r="K628" s="5">
        <v>50</v>
      </c>
    </row>
    <row r="629" spans="1:11" x14ac:dyDescent="0.3">
      <c r="A629" s="3">
        <v>5097</v>
      </c>
      <c r="B629" s="3" t="s">
        <v>30</v>
      </c>
      <c r="C629" s="4">
        <v>45499</v>
      </c>
      <c r="D629" s="3" t="s">
        <v>45</v>
      </c>
      <c r="E629" s="3" t="s">
        <v>48</v>
      </c>
      <c r="F629" s="5">
        <v>4</v>
      </c>
      <c r="G629" s="6">
        <v>22.58</v>
      </c>
      <c r="H629" s="6">
        <v>90.32</v>
      </c>
      <c r="I629" s="6">
        <v>13.55</v>
      </c>
      <c r="J629" s="6">
        <v>76.77</v>
      </c>
      <c r="K629" s="5">
        <v>133</v>
      </c>
    </row>
    <row r="630" spans="1:11" x14ac:dyDescent="0.3">
      <c r="A630" s="3">
        <v>5949</v>
      </c>
      <c r="B630" s="3" t="s">
        <v>14</v>
      </c>
      <c r="C630" s="4">
        <v>45299</v>
      </c>
      <c r="D630" s="3" t="s">
        <v>38</v>
      </c>
      <c r="E630" s="3" t="s">
        <v>13</v>
      </c>
      <c r="F630" s="5">
        <v>3</v>
      </c>
      <c r="G630" s="6">
        <v>1.57</v>
      </c>
      <c r="H630" s="6">
        <v>4.71</v>
      </c>
      <c r="I630" s="6">
        <v>0</v>
      </c>
      <c r="J630" s="6">
        <v>4.71</v>
      </c>
      <c r="K630" s="5">
        <v>62</v>
      </c>
    </row>
    <row r="631" spans="1:11" x14ac:dyDescent="0.3">
      <c r="A631" s="3">
        <v>7302</v>
      </c>
      <c r="B631" s="3" t="s">
        <v>42</v>
      </c>
      <c r="C631" s="4">
        <v>45807</v>
      </c>
      <c r="D631" s="3" t="s">
        <v>28</v>
      </c>
      <c r="E631" s="3" t="s">
        <v>18</v>
      </c>
      <c r="F631" s="5">
        <v>2</v>
      </c>
      <c r="G631" s="6">
        <v>29.39</v>
      </c>
      <c r="H631" s="6">
        <v>58.78</v>
      </c>
      <c r="I631" s="6">
        <v>8.82</v>
      </c>
      <c r="J631" s="6">
        <v>49.96</v>
      </c>
      <c r="K631" s="5">
        <v>145</v>
      </c>
    </row>
    <row r="632" spans="1:11" x14ac:dyDescent="0.3">
      <c r="A632" s="3">
        <v>8916</v>
      </c>
      <c r="B632" s="3" t="s">
        <v>14</v>
      </c>
      <c r="C632" s="4">
        <v>45227</v>
      </c>
      <c r="D632" s="3" t="s">
        <v>45</v>
      </c>
      <c r="E632" s="3" t="s">
        <v>33</v>
      </c>
      <c r="F632" s="5">
        <v>1</v>
      </c>
      <c r="G632" s="6">
        <v>12.04</v>
      </c>
      <c r="H632" s="6">
        <v>12.04</v>
      </c>
      <c r="I632" s="6">
        <v>0</v>
      </c>
      <c r="J632" s="6">
        <v>12.04</v>
      </c>
      <c r="K632" s="5">
        <v>146</v>
      </c>
    </row>
    <row r="633" spans="1:11" x14ac:dyDescent="0.3">
      <c r="A633" s="3">
        <v>4886</v>
      </c>
      <c r="B633" s="3" t="s">
        <v>19</v>
      </c>
      <c r="C633" s="4">
        <v>45441</v>
      </c>
      <c r="D633" s="3" t="s">
        <v>34</v>
      </c>
      <c r="E633" s="3" t="s">
        <v>21</v>
      </c>
      <c r="F633" s="5">
        <v>4</v>
      </c>
      <c r="G633" s="6">
        <v>19.3</v>
      </c>
      <c r="H633" s="6">
        <v>77.2</v>
      </c>
      <c r="I633" s="6">
        <v>1.32</v>
      </c>
      <c r="J633" s="6">
        <v>75.88</v>
      </c>
      <c r="K633" s="5">
        <v>292</v>
      </c>
    </row>
    <row r="634" spans="1:11" x14ac:dyDescent="0.3">
      <c r="A634" s="3">
        <v>6881</v>
      </c>
      <c r="B634" s="3" t="s">
        <v>36</v>
      </c>
      <c r="C634" s="4">
        <v>45591</v>
      </c>
      <c r="D634" s="3" t="s">
        <v>17</v>
      </c>
      <c r="E634" s="3" t="s">
        <v>21</v>
      </c>
      <c r="F634" s="5">
        <v>3</v>
      </c>
      <c r="G634" s="6">
        <v>19.93</v>
      </c>
      <c r="H634" s="6">
        <v>59.79</v>
      </c>
      <c r="I634" s="6">
        <v>3.58</v>
      </c>
      <c r="J634" s="6">
        <v>56.21</v>
      </c>
      <c r="K634" s="5">
        <v>363</v>
      </c>
    </row>
    <row r="635" spans="1:11" x14ac:dyDescent="0.3">
      <c r="A635" s="3">
        <v>5847</v>
      </c>
      <c r="B635" s="3" t="s">
        <v>30</v>
      </c>
      <c r="C635" s="4">
        <v>45688</v>
      </c>
      <c r="D635" s="3" t="s">
        <v>45</v>
      </c>
      <c r="E635" s="3" t="s">
        <v>23</v>
      </c>
      <c r="F635" s="5">
        <v>5</v>
      </c>
      <c r="G635" s="6">
        <v>16.100000000000001</v>
      </c>
      <c r="H635" s="6">
        <v>80.5</v>
      </c>
      <c r="I635" s="6">
        <v>16.100000000000001</v>
      </c>
      <c r="J635" s="6">
        <v>64.400000000000006</v>
      </c>
      <c r="K635" s="5">
        <v>230</v>
      </c>
    </row>
    <row r="636" spans="1:11" x14ac:dyDescent="0.3">
      <c r="A636" s="3">
        <v>5837</v>
      </c>
      <c r="B636" s="3" t="s">
        <v>19</v>
      </c>
      <c r="C636" s="4">
        <v>45162</v>
      </c>
      <c r="D636" s="3" t="s">
        <v>12</v>
      </c>
      <c r="E636" s="3" t="s">
        <v>41</v>
      </c>
      <c r="F636" s="5">
        <v>2</v>
      </c>
      <c r="G636" s="6">
        <v>20.190000000000001</v>
      </c>
      <c r="H636" s="6">
        <v>40.380000000000003</v>
      </c>
      <c r="I636" s="6">
        <v>8.08</v>
      </c>
      <c r="J636" s="6">
        <v>32.299999999999997</v>
      </c>
      <c r="K636" s="5">
        <v>481</v>
      </c>
    </row>
    <row r="637" spans="1:11" x14ac:dyDescent="0.3">
      <c r="A637" s="3">
        <v>7484</v>
      </c>
      <c r="B637" s="3" t="s">
        <v>19</v>
      </c>
      <c r="C637" s="4">
        <v>45358</v>
      </c>
      <c r="D637" s="3" t="s">
        <v>20</v>
      </c>
      <c r="E637" s="3" t="s">
        <v>48</v>
      </c>
      <c r="F637" s="5">
        <v>1</v>
      </c>
      <c r="G637" s="6">
        <v>2.84</v>
      </c>
      <c r="H637" s="6">
        <v>2.84</v>
      </c>
      <c r="I637" s="6">
        <v>1.22</v>
      </c>
      <c r="J637" s="6">
        <v>1.62</v>
      </c>
      <c r="K637" s="5">
        <v>449</v>
      </c>
    </row>
    <row r="638" spans="1:11" x14ac:dyDescent="0.3">
      <c r="A638" s="3">
        <v>1132</v>
      </c>
      <c r="B638" s="3" t="s">
        <v>24</v>
      </c>
      <c r="C638" s="4">
        <v>45584</v>
      </c>
      <c r="D638" s="3" t="s">
        <v>38</v>
      </c>
      <c r="E638" s="3" t="s">
        <v>43</v>
      </c>
      <c r="F638" s="5">
        <v>1</v>
      </c>
      <c r="G638" s="6">
        <v>8.6</v>
      </c>
      <c r="H638" s="6">
        <v>8.6</v>
      </c>
      <c r="I638" s="6">
        <v>0</v>
      </c>
      <c r="J638" s="6">
        <v>8.6</v>
      </c>
      <c r="K638" s="5">
        <v>79</v>
      </c>
    </row>
    <row r="639" spans="1:11" x14ac:dyDescent="0.3">
      <c r="A639" s="3">
        <v>1803</v>
      </c>
      <c r="B639" s="3" t="s">
        <v>24</v>
      </c>
      <c r="C639" s="4">
        <v>45852</v>
      </c>
      <c r="D639" s="3" t="s">
        <v>35</v>
      </c>
      <c r="E639" s="3" t="s">
        <v>25</v>
      </c>
      <c r="F639" s="5">
        <v>2</v>
      </c>
      <c r="G639" s="6">
        <v>22.38</v>
      </c>
      <c r="H639" s="6">
        <v>44.76</v>
      </c>
      <c r="I639" s="6">
        <v>8.9499999999999993</v>
      </c>
      <c r="J639" s="6">
        <v>35.81</v>
      </c>
      <c r="K639" s="5">
        <v>226</v>
      </c>
    </row>
    <row r="640" spans="1:11" x14ac:dyDescent="0.3">
      <c r="A640" s="3">
        <v>9138</v>
      </c>
      <c r="B640" s="3" t="s">
        <v>14</v>
      </c>
      <c r="C640" s="4">
        <v>45791</v>
      </c>
      <c r="D640" s="3" t="s">
        <v>34</v>
      </c>
      <c r="E640" s="3" t="s">
        <v>39</v>
      </c>
      <c r="F640" s="5">
        <v>1</v>
      </c>
      <c r="G640" s="6">
        <v>20.23</v>
      </c>
      <c r="H640" s="6">
        <v>20.23</v>
      </c>
      <c r="I640" s="6">
        <v>2.02</v>
      </c>
      <c r="J640" s="6">
        <v>18.21</v>
      </c>
      <c r="K640" s="5">
        <v>440</v>
      </c>
    </row>
    <row r="641" spans="1:11" x14ac:dyDescent="0.3">
      <c r="A641" s="3">
        <v>5689</v>
      </c>
      <c r="B641" s="3" t="s">
        <v>26</v>
      </c>
      <c r="C641" s="4">
        <v>45747</v>
      </c>
      <c r="D641" s="3" t="s">
        <v>38</v>
      </c>
      <c r="E641" s="3" t="s">
        <v>13</v>
      </c>
      <c r="F641" s="5">
        <v>5</v>
      </c>
      <c r="G641" s="6">
        <v>13.89</v>
      </c>
      <c r="H641" s="6">
        <v>69.45</v>
      </c>
      <c r="I641" s="6">
        <v>3.39</v>
      </c>
      <c r="J641" s="6">
        <v>66.06</v>
      </c>
      <c r="K641" s="5">
        <v>496</v>
      </c>
    </row>
    <row r="642" spans="1:11" x14ac:dyDescent="0.3">
      <c r="A642" s="3">
        <v>4770</v>
      </c>
      <c r="B642" s="3" t="s">
        <v>24</v>
      </c>
      <c r="C642" s="4">
        <v>45616</v>
      </c>
      <c r="D642" s="3" t="s">
        <v>38</v>
      </c>
      <c r="E642" s="3" t="s">
        <v>18</v>
      </c>
      <c r="F642" s="5">
        <v>3</v>
      </c>
      <c r="G642" s="6">
        <v>27.35</v>
      </c>
      <c r="H642" s="6">
        <v>82.05</v>
      </c>
      <c r="I642" s="6">
        <v>2.77</v>
      </c>
      <c r="J642" s="6">
        <v>79.28</v>
      </c>
      <c r="K642" s="5">
        <v>246</v>
      </c>
    </row>
    <row r="643" spans="1:11" x14ac:dyDescent="0.3">
      <c r="A643" s="3">
        <v>6772</v>
      </c>
      <c r="B643" s="3" t="s">
        <v>36</v>
      </c>
      <c r="C643" s="4">
        <v>45315</v>
      </c>
      <c r="D643" s="3" t="s">
        <v>20</v>
      </c>
      <c r="E643" s="3" t="s">
        <v>13</v>
      </c>
      <c r="F643" s="5">
        <v>2</v>
      </c>
      <c r="G643" s="6">
        <v>9.7899999999999991</v>
      </c>
      <c r="H643" s="6">
        <v>19.579999999999998</v>
      </c>
      <c r="I643" s="6">
        <v>2.94</v>
      </c>
      <c r="J643" s="6">
        <v>16.64</v>
      </c>
      <c r="K643" s="5">
        <v>0</v>
      </c>
    </row>
    <row r="644" spans="1:11" x14ac:dyDescent="0.3">
      <c r="A644" s="3">
        <v>4115</v>
      </c>
      <c r="B644" s="3" t="s">
        <v>30</v>
      </c>
      <c r="C644" s="4">
        <v>45627</v>
      </c>
      <c r="D644" s="3" t="s">
        <v>45</v>
      </c>
      <c r="E644" s="3" t="s">
        <v>18</v>
      </c>
      <c r="F644" s="5">
        <v>1</v>
      </c>
      <c r="G644" s="6">
        <v>20.94</v>
      </c>
      <c r="H644" s="6">
        <v>20.94</v>
      </c>
      <c r="I644" s="6">
        <v>3.14</v>
      </c>
      <c r="J644" s="6">
        <v>17.8</v>
      </c>
      <c r="K644" s="5">
        <v>251</v>
      </c>
    </row>
    <row r="645" spans="1:11" x14ac:dyDescent="0.3">
      <c r="A645" s="3">
        <v>5106</v>
      </c>
      <c r="B645" s="3" t="s">
        <v>31</v>
      </c>
      <c r="C645" s="4">
        <v>45671</v>
      </c>
      <c r="D645" s="3" t="s">
        <v>20</v>
      </c>
      <c r="E645" s="3" t="s">
        <v>37</v>
      </c>
      <c r="F645" s="5">
        <v>5</v>
      </c>
      <c r="G645" s="6">
        <v>7.7</v>
      </c>
      <c r="H645" s="6">
        <v>38.5</v>
      </c>
      <c r="I645" s="6">
        <v>7.7</v>
      </c>
      <c r="J645" s="6">
        <v>30.8</v>
      </c>
      <c r="K645" s="5">
        <v>3</v>
      </c>
    </row>
    <row r="646" spans="1:11" x14ac:dyDescent="0.3">
      <c r="A646" s="3">
        <v>3240</v>
      </c>
      <c r="B646" s="3" t="s">
        <v>24</v>
      </c>
      <c r="C646" s="4">
        <v>45632</v>
      </c>
      <c r="D646" s="3" t="s">
        <v>38</v>
      </c>
      <c r="E646" s="3" t="s">
        <v>16</v>
      </c>
      <c r="F646" s="5">
        <v>4</v>
      </c>
      <c r="G646" s="6">
        <v>8.24</v>
      </c>
      <c r="H646" s="6">
        <v>32.96</v>
      </c>
      <c r="I646" s="6">
        <v>3.3</v>
      </c>
      <c r="J646" s="6">
        <v>29.66</v>
      </c>
      <c r="K646" s="5">
        <v>366</v>
      </c>
    </row>
    <row r="647" spans="1:11" x14ac:dyDescent="0.3">
      <c r="A647" s="3">
        <v>2591</v>
      </c>
      <c r="B647" s="3" t="s">
        <v>42</v>
      </c>
      <c r="C647" s="4">
        <v>45846</v>
      </c>
      <c r="D647" s="3" t="s">
        <v>35</v>
      </c>
      <c r="E647" s="3" t="s">
        <v>43</v>
      </c>
      <c r="F647" s="5">
        <v>4</v>
      </c>
      <c r="G647" s="6">
        <v>19.12</v>
      </c>
      <c r="H647" s="6">
        <v>76.48</v>
      </c>
      <c r="I647" s="6">
        <v>11.47</v>
      </c>
      <c r="J647" s="6">
        <v>65.010000000000005</v>
      </c>
      <c r="K647" s="5">
        <v>264</v>
      </c>
    </row>
    <row r="648" spans="1:11" x14ac:dyDescent="0.3">
      <c r="A648" s="3">
        <v>1645</v>
      </c>
      <c r="B648" s="3" t="s">
        <v>14</v>
      </c>
      <c r="C648" s="4">
        <v>45384</v>
      </c>
      <c r="D648" s="3" t="s">
        <v>35</v>
      </c>
      <c r="E648" s="3" t="s">
        <v>16</v>
      </c>
      <c r="F648" s="5">
        <v>2</v>
      </c>
      <c r="G648" s="6">
        <v>25.74</v>
      </c>
      <c r="H648" s="6">
        <v>51.48</v>
      </c>
      <c r="I648" s="6">
        <v>7.72</v>
      </c>
      <c r="J648" s="6">
        <v>43.76</v>
      </c>
      <c r="K648" s="5">
        <v>93</v>
      </c>
    </row>
    <row r="649" spans="1:11" x14ac:dyDescent="0.3">
      <c r="A649" s="3">
        <v>8222</v>
      </c>
      <c r="B649" s="3" t="s">
        <v>11</v>
      </c>
      <c r="C649" s="4">
        <v>45170</v>
      </c>
      <c r="D649" s="3" t="s">
        <v>27</v>
      </c>
      <c r="E649" s="3" t="s">
        <v>33</v>
      </c>
      <c r="F649" s="5">
        <v>5</v>
      </c>
      <c r="G649" s="6">
        <v>14.12</v>
      </c>
      <c r="H649" s="6">
        <v>70.599999999999994</v>
      </c>
      <c r="I649" s="6">
        <v>14.12</v>
      </c>
      <c r="J649" s="6">
        <v>56.48</v>
      </c>
      <c r="K649" s="5">
        <v>358</v>
      </c>
    </row>
    <row r="650" spans="1:11" x14ac:dyDescent="0.3">
      <c r="A650" s="3">
        <v>6977</v>
      </c>
      <c r="B650" s="3" t="s">
        <v>36</v>
      </c>
      <c r="C650" s="4">
        <v>45713</v>
      </c>
      <c r="D650" s="3" t="s">
        <v>12</v>
      </c>
      <c r="E650" s="3" t="s">
        <v>41</v>
      </c>
      <c r="F650" s="5">
        <v>1</v>
      </c>
      <c r="G650" s="6">
        <v>29.11</v>
      </c>
      <c r="H650" s="6">
        <v>29.11</v>
      </c>
      <c r="I650" s="6">
        <v>2.13</v>
      </c>
      <c r="J650" s="6">
        <v>26.98</v>
      </c>
      <c r="K650" s="5">
        <v>11</v>
      </c>
    </row>
    <row r="651" spans="1:11" x14ac:dyDescent="0.3">
      <c r="A651" s="3">
        <v>3153</v>
      </c>
      <c r="B651" s="3" t="s">
        <v>19</v>
      </c>
      <c r="C651" s="4">
        <v>45215</v>
      </c>
      <c r="D651" s="3" t="s">
        <v>45</v>
      </c>
      <c r="E651" s="3" t="s">
        <v>39</v>
      </c>
      <c r="F651" s="5">
        <v>2</v>
      </c>
      <c r="G651" s="6">
        <v>3.61</v>
      </c>
      <c r="H651" s="6">
        <v>7.22</v>
      </c>
      <c r="I651" s="6">
        <v>1.44</v>
      </c>
      <c r="J651" s="6">
        <v>5.78</v>
      </c>
      <c r="K651" s="5">
        <v>7</v>
      </c>
    </row>
    <row r="652" spans="1:11" x14ac:dyDescent="0.3">
      <c r="A652" s="3">
        <v>5835</v>
      </c>
      <c r="B652" s="3" t="s">
        <v>36</v>
      </c>
      <c r="C652" s="4">
        <v>45398</v>
      </c>
      <c r="D652" s="3" t="s">
        <v>20</v>
      </c>
      <c r="E652" s="3" t="s">
        <v>37</v>
      </c>
      <c r="F652" s="5">
        <v>4</v>
      </c>
      <c r="G652" s="6">
        <v>29.93</v>
      </c>
      <c r="H652" s="6">
        <v>119.72</v>
      </c>
      <c r="I652" s="6">
        <v>17.96</v>
      </c>
      <c r="J652" s="6">
        <v>101.76</v>
      </c>
      <c r="K652" s="5">
        <v>237</v>
      </c>
    </row>
    <row r="653" spans="1:11" x14ac:dyDescent="0.3">
      <c r="A653" s="3">
        <v>7807</v>
      </c>
      <c r="B653" s="3" t="s">
        <v>11</v>
      </c>
      <c r="C653" s="4">
        <v>45281</v>
      </c>
      <c r="D653" s="3" t="s">
        <v>34</v>
      </c>
      <c r="E653" s="3" t="s">
        <v>40</v>
      </c>
      <c r="F653" s="5">
        <v>3</v>
      </c>
      <c r="G653" s="6">
        <v>23.48</v>
      </c>
      <c r="H653" s="6">
        <v>70.44</v>
      </c>
      <c r="I653" s="6">
        <v>14.09</v>
      </c>
      <c r="J653" s="6">
        <v>56.35</v>
      </c>
      <c r="K653" s="5">
        <v>36</v>
      </c>
    </row>
    <row r="654" spans="1:11" x14ac:dyDescent="0.3">
      <c r="A654" s="3">
        <v>4289</v>
      </c>
      <c r="B654" s="3" t="s">
        <v>42</v>
      </c>
      <c r="C654" s="4">
        <v>45247</v>
      </c>
      <c r="D654" s="3" t="s">
        <v>35</v>
      </c>
      <c r="E654" s="3" t="s">
        <v>32</v>
      </c>
      <c r="F654" s="5">
        <v>1</v>
      </c>
      <c r="G654" s="6">
        <v>4.53</v>
      </c>
      <c r="H654" s="6">
        <v>4.53</v>
      </c>
      <c r="I654" s="6">
        <v>0.45</v>
      </c>
      <c r="J654" s="6">
        <v>4.08</v>
      </c>
      <c r="K654" s="5">
        <v>393</v>
      </c>
    </row>
    <row r="655" spans="1:11" x14ac:dyDescent="0.3">
      <c r="A655" s="3">
        <v>9837</v>
      </c>
      <c r="B655" s="3" t="s">
        <v>26</v>
      </c>
      <c r="C655" s="4">
        <v>45825</v>
      </c>
      <c r="D655" s="3" t="s">
        <v>17</v>
      </c>
      <c r="E655" s="3" t="s">
        <v>40</v>
      </c>
      <c r="F655" s="5">
        <v>2</v>
      </c>
      <c r="G655" s="6">
        <v>14.35</v>
      </c>
      <c r="H655" s="6">
        <v>28.7</v>
      </c>
      <c r="I655" s="6">
        <v>3.66</v>
      </c>
      <c r="J655" s="6">
        <v>25.04</v>
      </c>
      <c r="K655" s="5">
        <v>394</v>
      </c>
    </row>
    <row r="656" spans="1:11" x14ac:dyDescent="0.3">
      <c r="A656" s="3">
        <v>6994</v>
      </c>
      <c r="B656" s="3" t="s">
        <v>42</v>
      </c>
      <c r="C656" s="4">
        <v>45557</v>
      </c>
      <c r="D656" s="3" t="s">
        <v>45</v>
      </c>
      <c r="E656" s="3" t="s">
        <v>32</v>
      </c>
      <c r="F656" s="5">
        <v>3</v>
      </c>
      <c r="G656" s="6">
        <v>28.14</v>
      </c>
      <c r="H656" s="6">
        <v>84.42</v>
      </c>
      <c r="I656" s="6">
        <v>0</v>
      </c>
      <c r="J656" s="6">
        <v>84.42</v>
      </c>
      <c r="K656" s="5">
        <v>81</v>
      </c>
    </row>
    <row r="657" spans="1:11" x14ac:dyDescent="0.3">
      <c r="A657" s="3">
        <v>9221</v>
      </c>
      <c r="B657" s="3" t="s">
        <v>14</v>
      </c>
      <c r="C657" s="4">
        <v>45854</v>
      </c>
      <c r="D657" s="3" t="s">
        <v>38</v>
      </c>
      <c r="E657" s="3" t="s">
        <v>48</v>
      </c>
      <c r="F657" s="5">
        <v>3</v>
      </c>
      <c r="G657" s="6">
        <v>14.95</v>
      </c>
      <c r="H657" s="6">
        <v>44.85</v>
      </c>
      <c r="I657" s="6">
        <v>6.73</v>
      </c>
      <c r="J657" s="6">
        <v>38.119999999999997</v>
      </c>
      <c r="K657" s="5">
        <v>152</v>
      </c>
    </row>
    <row r="658" spans="1:11" x14ac:dyDescent="0.3">
      <c r="A658" s="3">
        <v>5465</v>
      </c>
      <c r="B658" s="3" t="s">
        <v>31</v>
      </c>
      <c r="C658" s="4">
        <v>45790</v>
      </c>
      <c r="D658" s="3" t="s">
        <v>27</v>
      </c>
      <c r="E658" s="3" t="s">
        <v>44</v>
      </c>
      <c r="F658" s="5">
        <v>1</v>
      </c>
      <c r="G658" s="6">
        <v>7.83</v>
      </c>
      <c r="H658" s="6">
        <v>7.83</v>
      </c>
      <c r="I658" s="6">
        <v>1.67</v>
      </c>
      <c r="J658" s="6">
        <v>6.16</v>
      </c>
      <c r="K658" s="5">
        <v>222</v>
      </c>
    </row>
    <row r="659" spans="1:11" x14ac:dyDescent="0.3">
      <c r="A659" s="3">
        <v>3695</v>
      </c>
      <c r="B659" s="3" t="s">
        <v>30</v>
      </c>
      <c r="C659" s="4">
        <v>45344</v>
      </c>
      <c r="D659" s="3" t="s">
        <v>28</v>
      </c>
      <c r="E659" s="3" t="s">
        <v>48</v>
      </c>
      <c r="F659" s="5">
        <v>4</v>
      </c>
      <c r="G659" s="6">
        <v>23.88</v>
      </c>
      <c r="H659" s="6">
        <v>95.52</v>
      </c>
      <c r="I659" s="6">
        <v>4.13</v>
      </c>
      <c r="J659" s="6">
        <v>91.39</v>
      </c>
      <c r="K659" s="5">
        <v>4</v>
      </c>
    </row>
    <row r="660" spans="1:11" x14ac:dyDescent="0.3">
      <c r="A660" s="3">
        <v>8894</v>
      </c>
      <c r="B660" s="3" t="s">
        <v>26</v>
      </c>
      <c r="C660" s="4">
        <v>45771</v>
      </c>
      <c r="D660" s="3" t="s">
        <v>28</v>
      </c>
      <c r="E660" s="3" t="s">
        <v>41</v>
      </c>
      <c r="F660" s="5">
        <v>3</v>
      </c>
      <c r="G660" s="6">
        <v>23.34</v>
      </c>
      <c r="H660" s="6">
        <v>70.02</v>
      </c>
      <c r="I660" s="6">
        <v>7</v>
      </c>
      <c r="J660" s="6">
        <v>63.02</v>
      </c>
      <c r="K660" s="5">
        <v>127</v>
      </c>
    </row>
    <row r="661" spans="1:11" x14ac:dyDescent="0.3">
      <c r="A661" s="3">
        <v>5835</v>
      </c>
      <c r="B661" s="3"/>
      <c r="C661" s="4">
        <v>45724</v>
      </c>
      <c r="D661" s="3" t="s">
        <v>27</v>
      </c>
      <c r="E661" s="3" t="s">
        <v>21</v>
      </c>
      <c r="F661" s="5">
        <v>1</v>
      </c>
      <c r="G661" s="6">
        <v>2.72</v>
      </c>
      <c r="H661" s="6">
        <v>2.72</v>
      </c>
      <c r="I661" s="6">
        <v>0</v>
      </c>
      <c r="J661" s="6">
        <v>2.72</v>
      </c>
      <c r="K661" s="5">
        <v>330</v>
      </c>
    </row>
    <row r="662" spans="1:11" x14ac:dyDescent="0.3">
      <c r="A662" s="3">
        <v>6549</v>
      </c>
      <c r="B662" s="3" t="s">
        <v>14</v>
      </c>
      <c r="C662" s="4">
        <v>45769</v>
      </c>
      <c r="D662" s="3" t="s">
        <v>15</v>
      </c>
      <c r="E662" s="3" t="s">
        <v>41</v>
      </c>
      <c r="F662" s="5">
        <v>4</v>
      </c>
      <c r="G662" s="6">
        <v>7.74</v>
      </c>
      <c r="H662" s="6">
        <v>30.96</v>
      </c>
      <c r="I662" s="6">
        <v>3.1</v>
      </c>
      <c r="J662" s="6">
        <v>27.86</v>
      </c>
      <c r="K662" s="5">
        <v>285</v>
      </c>
    </row>
    <row r="663" spans="1:11" x14ac:dyDescent="0.3">
      <c r="A663" s="3">
        <v>2886</v>
      </c>
      <c r="B663" s="3" t="s">
        <v>42</v>
      </c>
      <c r="C663" s="4">
        <v>45508</v>
      </c>
      <c r="D663" s="3" t="s">
        <v>12</v>
      </c>
      <c r="E663" s="3" t="s">
        <v>32</v>
      </c>
      <c r="F663" s="5">
        <v>3</v>
      </c>
      <c r="G663" s="6">
        <v>22</v>
      </c>
      <c r="H663" s="6">
        <v>66</v>
      </c>
      <c r="I663" s="6">
        <v>6.6</v>
      </c>
      <c r="J663" s="6">
        <v>59.4</v>
      </c>
      <c r="K663" s="5">
        <v>128</v>
      </c>
    </row>
    <row r="664" spans="1:11" x14ac:dyDescent="0.3">
      <c r="A664" s="3">
        <v>2233</v>
      </c>
      <c r="B664" s="3" t="s">
        <v>26</v>
      </c>
      <c r="C664" s="4">
        <v>45254</v>
      </c>
      <c r="D664" s="3" t="s">
        <v>38</v>
      </c>
      <c r="E664" s="3" t="s">
        <v>37</v>
      </c>
      <c r="F664" s="5">
        <v>5</v>
      </c>
      <c r="G664" s="6">
        <v>21.2</v>
      </c>
      <c r="H664" s="6">
        <v>106</v>
      </c>
      <c r="I664" s="6">
        <v>2.39</v>
      </c>
      <c r="J664" s="6">
        <v>103.61</v>
      </c>
      <c r="K664" s="5">
        <v>97</v>
      </c>
    </row>
    <row r="665" spans="1:11" x14ac:dyDescent="0.3">
      <c r="A665" s="3">
        <v>4696</v>
      </c>
      <c r="B665" s="3" t="s">
        <v>26</v>
      </c>
      <c r="C665" s="4">
        <v>45813</v>
      </c>
      <c r="D665" s="3" t="s">
        <v>35</v>
      </c>
      <c r="E665" s="3" t="s">
        <v>18</v>
      </c>
      <c r="F665" s="5">
        <v>2</v>
      </c>
      <c r="G665" s="6">
        <v>2.99</v>
      </c>
      <c r="H665" s="6">
        <v>5.98</v>
      </c>
      <c r="I665" s="6">
        <v>0.9</v>
      </c>
      <c r="J665" s="6">
        <v>5.08</v>
      </c>
      <c r="K665" s="5">
        <v>79</v>
      </c>
    </row>
    <row r="666" spans="1:11" x14ac:dyDescent="0.3">
      <c r="A666" s="3">
        <v>7511</v>
      </c>
      <c r="B666" s="3" t="s">
        <v>30</v>
      </c>
      <c r="C666" s="4">
        <v>45801</v>
      </c>
      <c r="D666" s="3" t="s">
        <v>38</v>
      </c>
      <c r="E666" s="3" t="s">
        <v>23</v>
      </c>
      <c r="F666" s="5">
        <v>4</v>
      </c>
      <c r="G666" s="6">
        <v>1.01</v>
      </c>
      <c r="H666" s="6">
        <v>4.04</v>
      </c>
      <c r="I666" s="6">
        <v>0</v>
      </c>
      <c r="J666" s="6">
        <v>4.04</v>
      </c>
      <c r="K666" s="5">
        <v>326</v>
      </c>
    </row>
    <row r="667" spans="1:11" x14ac:dyDescent="0.3">
      <c r="A667" s="3">
        <v>6992</v>
      </c>
      <c r="B667" s="3" t="s">
        <v>19</v>
      </c>
      <c r="C667" s="4">
        <v>45215</v>
      </c>
      <c r="D667" s="3" t="s">
        <v>12</v>
      </c>
      <c r="E667" s="3" t="s">
        <v>23</v>
      </c>
      <c r="F667" s="5">
        <v>5</v>
      </c>
      <c r="G667" s="6">
        <v>7.91</v>
      </c>
      <c r="H667" s="6">
        <v>39.549999999999997</v>
      </c>
      <c r="I667" s="6">
        <v>0</v>
      </c>
      <c r="J667" s="6">
        <v>39.549999999999997</v>
      </c>
      <c r="K667" s="5">
        <v>369</v>
      </c>
    </row>
    <row r="668" spans="1:11" x14ac:dyDescent="0.3">
      <c r="A668" s="3">
        <v>7464</v>
      </c>
      <c r="B668" s="3" t="s">
        <v>14</v>
      </c>
      <c r="C668" s="4">
        <v>45155</v>
      </c>
      <c r="D668" s="3" t="s">
        <v>20</v>
      </c>
      <c r="E668" s="3" t="s">
        <v>44</v>
      </c>
      <c r="F668" s="5">
        <v>5</v>
      </c>
      <c r="G668" s="6">
        <v>20.8</v>
      </c>
      <c r="H668" s="6">
        <v>104</v>
      </c>
      <c r="I668" s="6">
        <v>2.13</v>
      </c>
      <c r="J668" s="6">
        <v>101.87</v>
      </c>
      <c r="K668" s="5">
        <v>392</v>
      </c>
    </row>
    <row r="669" spans="1:11" x14ac:dyDescent="0.3">
      <c r="A669" s="3">
        <v>5332</v>
      </c>
      <c r="B669" s="3" t="s">
        <v>24</v>
      </c>
      <c r="C669" s="4">
        <v>45561</v>
      </c>
      <c r="D669" s="3" t="s">
        <v>27</v>
      </c>
      <c r="E669" s="3" t="s">
        <v>21</v>
      </c>
      <c r="F669" s="5">
        <v>1</v>
      </c>
      <c r="G669" s="6">
        <v>3.78</v>
      </c>
      <c r="H669" s="6">
        <v>3.78</v>
      </c>
      <c r="I669" s="6">
        <v>4.34</v>
      </c>
      <c r="J669" s="6">
        <v>-0.56000000000000005</v>
      </c>
      <c r="K669" s="5">
        <v>337</v>
      </c>
    </row>
    <row r="670" spans="1:11" x14ac:dyDescent="0.3">
      <c r="A670" s="3">
        <v>3024</v>
      </c>
      <c r="B670" s="3" t="s">
        <v>19</v>
      </c>
      <c r="C670" s="4">
        <v>45498</v>
      </c>
      <c r="D670" s="3" t="s">
        <v>34</v>
      </c>
      <c r="E670" s="3" t="s">
        <v>40</v>
      </c>
      <c r="F670" s="5">
        <v>2</v>
      </c>
      <c r="G670" s="6">
        <v>4.09</v>
      </c>
      <c r="H670" s="6">
        <v>8.18</v>
      </c>
      <c r="I670" s="6">
        <v>3.28</v>
      </c>
      <c r="J670" s="6">
        <v>4.9000000000000004</v>
      </c>
      <c r="K670" s="5">
        <v>98</v>
      </c>
    </row>
    <row r="671" spans="1:11" x14ac:dyDescent="0.3">
      <c r="A671" s="3">
        <v>7038</v>
      </c>
      <c r="B671" s="3" t="s">
        <v>24</v>
      </c>
      <c r="C671" s="4">
        <v>45667</v>
      </c>
      <c r="D671" s="3" t="s">
        <v>27</v>
      </c>
      <c r="E671" s="3" t="s">
        <v>47</v>
      </c>
      <c r="F671" s="5">
        <v>5</v>
      </c>
      <c r="G671" s="6">
        <v>19.09</v>
      </c>
      <c r="H671" s="6">
        <v>95.45</v>
      </c>
      <c r="I671" s="6">
        <v>2.4700000000000002</v>
      </c>
      <c r="J671" s="6">
        <v>92.98</v>
      </c>
      <c r="K671" s="5">
        <v>302</v>
      </c>
    </row>
    <row r="672" spans="1:11" x14ac:dyDescent="0.3">
      <c r="A672" s="3">
        <v>5295</v>
      </c>
      <c r="B672" s="3" t="s">
        <v>11</v>
      </c>
      <c r="C672" s="4">
        <v>45599</v>
      </c>
      <c r="D672" s="3" t="s">
        <v>12</v>
      </c>
      <c r="E672" s="3" t="s">
        <v>44</v>
      </c>
      <c r="F672" s="5">
        <v>4</v>
      </c>
      <c r="G672" s="6">
        <v>27.91</v>
      </c>
      <c r="H672" s="6">
        <v>111.64</v>
      </c>
      <c r="I672" s="6">
        <v>11.16</v>
      </c>
      <c r="J672" s="6">
        <v>100.48</v>
      </c>
      <c r="K672" s="5">
        <v>426</v>
      </c>
    </row>
    <row r="673" spans="1:11" x14ac:dyDescent="0.3">
      <c r="A673" s="3">
        <v>7242</v>
      </c>
      <c r="B673" s="3" t="s">
        <v>31</v>
      </c>
      <c r="C673" s="4">
        <v>45783</v>
      </c>
      <c r="D673" s="3" t="s">
        <v>22</v>
      </c>
      <c r="E673" s="3" t="s">
        <v>18</v>
      </c>
      <c r="F673" s="5">
        <v>4</v>
      </c>
      <c r="G673" s="6">
        <v>24.83</v>
      </c>
      <c r="H673" s="6">
        <v>99.32</v>
      </c>
      <c r="I673" s="6">
        <v>2.06</v>
      </c>
      <c r="J673" s="6">
        <v>97.26</v>
      </c>
      <c r="K673" s="5">
        <v>406</v>
      </c>
    </row>
    <row r="674" spans="1:11" x14ac:dyDescent="0.3">
      <c r="A674" s="3">
        <v>7086</v>
      </c>
      <c r="B674" s="3" t="s">
        <v>31</v>
      </c>
      <c r="C674" s="4">
        <v>45229</v>
      </c>
      <c r="D674" s="3" t="s">
        <v>15</v>
      </c>
      <c r="E674" s="3" t="s">
        <v>37</v>
      </c>
      <c r="F674" s="5">
        <v>1</v>
      </c>
      <c r="G674" s="6">
        <v>28.38</v>
      </c>
      <c r="H674" s="6">
        <v>28.38</v>
      </c>
      <c r="I674" s="6">
        <v>3.9</v>
      </c>
      <c r="J674" s="6">
        <v>24.48</v>
      </c>
      <c r="K674" s="5">
        <v>491</v>
      </c>
    </row>
    <row r="675" spans="1:11" x14ac:dyDescent="0.3">
      <c r="A675" s="3">
        <v>4830</v>
      </c>
      <c r="B675" s="3" t="s">
        <v>14</v>
      </c>
      <c r="C675" s="4">
        <v>45511</v>
      </c>
      <c r="D675" s="3" t="s">
        <v>20</v>
      </c>
      <c r="E675" s="3" t="s">
        <v>44</v>
      </c>
      <c r="F675" s="5">
        <v>2</v>
      </c>
      <c r="G675" s="6">
        <v>16.25</v>
      </c>
      <c r="H675" s="6">
        <v>32.5</v>
      </c>
      <c r="I675" s="6">
        <v>4</v>
      </c>
      <c r="J675" s="6">
        <v>28.5</v>
      </c>
      <c r="K675" s="5">
        <v>127</v>
      </c>
    </row>
    <row r="676" spans="1:11" x14ac:dyDescent="0.3">
      <c r="A676" s="3">
        <v>1410</v>
      </c>
      <c r="B676" s="3" t="s">
        <v>24</v>
      </c>
      <c r="C676" s="4">
        <v>45626</v>
      </c>
      <c r="D676" s="3" t="s">
        <v>15</v>
      </c>
      <c r="E676" s="3" t="s">
        <v>23</v>
      </c>
      <c r="F676" s="5">
        <v>4</v>
      </c>
      <c r="G676" s="6">
        <v>21.36</v>
      </c>
      <c r="H676" s="6">
        <v>85.44</v>
      </c>
      <c r="I676" s="6">
        <v>17.09</v>
      </c>
      <c r="J676" s="6">
        <v>68.349999999999994</v>
      </c>
      <c r="K676" s="5">
        <v>218</v>
      </c>
    </row>
    <row r="677" spans="1:11" x14ac:dyDescent="0.3">
      <c r="A677" s="3">
        <v>6374</v>
      </c>
      <c r="B677" s="3" t="s">
        <v>19</v>
      </c>
      <c r="C677" s="4">
        <v>45855</v>
      </c>
      <c r="D677" s="3" t="s">
        <v>38</v>
      </c>
      <c r="E677" s="3" t="s">
        <v>32</v>
      </c>
      <c r="F677" s="5">
        <v>5</v>
      </c>
      <c r="G677" s="6">
        <v>10.78</v>
      </c>
      <c r="H677" s="6">
        <v>53.9</v>
      </c>
      <c r="I677" s="6">
        <v>8.08</v>
      </c>
      <c r="J677" s="6">
        <v>45.82</v>
      </c>
      <c r="K677" s="5">
        <v>80</v>
      </c>
    </row>
    <row r="678" spans="1:11" x14ac:dyDescent="0.3">
      <c r="A678" s="3">
        <v>4626</v>
      </c>
      <c r="B678" s="3" t="s">
        <v>36</v>
      </c>
      <c r="C678" s="4">
        <v>45648</v>
      </c>
      <c r="D678" s="3" t="s">
        <v>38</v>
      </c>
      <c r="E678" s="3" t="s">
        <v>21</v>
      </c>
      <c r="F678" s="5">
        <v>3</v>
      </c>
      <c r="G678" s="6">
        <v>12.95</v>
      </c>
      <c r="H678" s="6">
        <v>38.85</v>
      </c>
      <c r="I678" s="6">
        <v>0</v>
      </c>
      <c r="J678" s="6">
        <v>38.85</v>
      </c>
      <c r="K678" s="5">
        <v>324</v>
      </c>
    </row>
    <row r="679" spans="1:11" x14ac:dyDescent="0.3">
      <c r="A679" s="3">
        <v>2035</v>
      </c>
      <c r="B679" s="3" t="s">
        <v>36</v>
      </c>
      <c r="C679" s="4">
        <v>45638</v>
      </c>
      <c r="D679" s="3" t="s">
        <v>28</v>
      </c>
      <c r="E679" s="3" t="s">
        <v>25</v>
      </c>
      <c r="F679" s="5">
        <v>5</v>
      </c>
      <c r="G679" s="6">
        <v>16.809999999999999</v>
      </c>
      <c r="H679" s="6">
        <v>84.05</v>
      </c>
      <c r="I679" s="6">
        <v>12.61</v>
      </c>
      <c r="J679" s="6">
        <v>71.44</v>
      </c>
      <c r="K679" s="5">
        <v>192</v>
      </c>
    </row>
    <row r="680" spans="1:11" x14ac:dyDescent="0.3">
      <c r="A680" s="3">
        <v>8606</v>
      </c>
      <c r="B680" s="3" t="s">
        <v>26</v>
      </c>
      <c r="C680" s="4">
        <v>45851</v>
      </c>
      <c r="D680" s="3" t="s">
        <v>45</v>
      </c>
      <c r="E680" s="3" t="s">
        <v>32</v>
      </c>
      <c r="F680" s="5">
        <v>1</v>
      </c>
      <c r="G680" s="6">
        <v>22.05</v>
      </c>
      <c r="H680" s="6">
        <v>22.05</v>
      </c>
      <c r="I680" s="6">
        <v>1.54</v>
      </c>
      <c r="J680" s="6">
        <v>20.51</v>
      </c>
      <c r="K680" s="5">
        <v>145</v>
      </c>
    </row>
    <row r="681" spans="1:11" x14ac:dyDescent="0.3">
      <c r="A681" s="3">
        <v>5951</v>
      </c>
      <c r="B681" s="3" t="s">
        <v>30</v>
      </c>
      <c r="C681" s="4">
        <v>45649</v>
      </c>
      <c r="D681" s="3" t="s">
        <v>12</v>
      </c>
      <c r="E681" s="3" t="s">
        <v>37</v>
      </c>
      <c r="F681" s="5">
        <v>2</v>
      </c>
      <c r="G681" s="6">
        <v>7.22</v>
      </c>
      <c r="H681" s="6">
        <v>14.44</v>
      </c>
      <c r="I681" s="6">
        <v>0</v>
      </c>
      <c r="J681" s="6">
        <v>14.44</v>
      </c>
      <c r="K681" s="5">
        <v>161</v>
      </c>
    </row>
    <row r="682" spans="1:11" x14ac:dyDescent="0.3">
      <c r="A682" s="3">
        <v>7689</v>
      </c>
      <c r="B682" s="3" t="s">
        <v>30</v>
      </c>
      <c r="C682" s="4">
        <v>45235</v>
      </c>
      <c r="D682" s="3" t="s">
        <v>38</v>
      </c>
      <c r="E682" s="3" t="s">
        <v>46</v>
      </c>
      <c r="F682" s="5">
        <v>5</v>
      </c>
      <c r="G682" s="6">
        <v>17.54</v>
      </c>
      <c r="H682" s="6">
        <v>87.7</v>
      </c>
      <c r="I682" s="6">
        <v>1.1499999999999999</v>
      </c>
      <c r="J682" s="6">
        <v>86.55</v>
      </c>
      <c r="K682" s="5">
        <v>292</v>
      </c>
    </row>
    <row r="683" spans="1:11" x14ac:dyDescent="0.3">
      <c r="A683" s="3">
        <v>3290</v>
      </c>
      <c r="B683" s="3" t="s">
        <v>36</v>
      </c>
      <c r="C683" s="4">
        <v>45180</v>
      </c>
      <c r="D683" s="3" t="s">
        <v>34</v>
      </c>
      <c r="E683" s="3" t="s">
        <v>41</v>
      </c>
      <c r="F683" s="5">
        <v>3</v>
      </c>
      <c r="G683" s="6">
        <v>11.64</v>
      </c>
      <c r="H683" s="6">
        <v>34.92</v>
      </c>
      <c r="I683" s="6">
        <v>6.98</v>
      </c>
      <c r="J683" s="6">
        <v>27.94</v>
      </c>
      <c r="K683" s="5">
        <v>298</v>
      </c>
    </row>
    <row r="684" spans="1:11" x14ac:dyDescent="0.3">
      <c r="A684" s="3">
        <v>1609</v>
      </c>
      <c r="B684" s="3" t="s">
        <v>30</v>
      </c>
      <c r="C684" s="4">
        <v>45381</v>
      </c>
      <c r="D684" s="3" t="s">
        <v>35</v>
      </c>
      <c r="E684" s="3" t="s">
        <v>43</v>
      </c>
      <c r="F684" s="5">
        <v>5</v>
      </c>
      <c r="G684" s="6">
        <v>12.58</v>
      </c>
      <c r="H684" s="6">
        <v>62.9</v>
      </c>
      <c r="I684" s="6">
        <v>0</v>
      </c>
      <c r="J684" s="6">
        <v>62.9</v>
      </c>
      <c r="K684" s="5">
        <v>469</v>
      </c>
    </row>
    <row r="685" spans="1:11" x14ac:dyDescent="0.3">
      <c r="A685" s="3">
        <v>9071</v>
      </c>
      <c r="B685" s="3" t="s">
        <v>11</v>
      </c>
      <c r="C685" s="4">
        <v>45235</v>
      </c>
      <c r="D685" s="3" t="s">
        <v>22</v>
      </c>
      <c r="E685" s="3" t="s">
        <v>47</v>
      </c>
      <c r="F685" s="5">
        <v>2</v>
      </c>
      <c r="G685" s="6">
        <v>15.15</v>
      </c>
      <c r="H685" s="6">
        <v>30.3</v>
      </c>
      <c r="I685" s="6">
        <v>3.57</v>
      </c>
      <c r="J685" s="6">
        <v>26.73</v>
      </c>
      <c r="K685" s="5">
        <v>460</v>
      </c>
    </row>
    <row r="686" spans="1:11" x14ac:dyDescent="0.3">
      <c r="A686" s="3">
        <v>2592</v>
      </c>
      <c r="B686" s="3" t="s">
        <v>31</v>
      </c>
      <c r="C686" s="4">
        <v>45327</v>
      </c>
      <c r="D686" s="3" t="s">
        <v>28</v>
      </c>
      <c r="E686" s="3" t="s">
        <v>32</v>
      </c>
      <c r="F686" s="5">
        <v>1</v>
      </c>
      <c r="G686" s="6">
        <v>23.61</v>
      </c>
      <c r="H686" s="6">
        <v>23.61</v>
      </c>
      <c r="I686" s="6">
        <v>3.54</v>
      </c>
      <c r="J686" s="6">
        <v>20.07</v>
      </c>
      <c r="K686" s="5">
        <v>471</v>
      </c>
    </row>
    <row r="687" spans="1:11" x14ac:dyDescent="0.3">
      <c r="A687" s="3">
        <v>9807</v>
      </c>
      <c r="B687" s="3" t="s">
        <v>24</v>
      </c>
      <c r="C687" s="4">
        <v>45250</v>
      </c>
      <c r="D687" s="3" t="s">
        <v>20</v>
      </c>
      <c r="E687" s="3" t="s">
        <v>48</v>
      </c>
      <c r="F687" s="5">
        <v>2</v>
      </c>
      <c r="G687" s="6">
        <v>22.67</v>
      </c>
      <c r="H687" s="6">
        <v>45.34</v>
      </c>
      <c r="I687" s="6">
        <v>0</v>
      </c>
      <c r="J687" s="6">
        <v>45.34</v>
      </c>
      <c r="K687" s="5">
        <v>434</v>
      </c>
    </row>
    <row r="688" spans="1:11" x14ac:dyDescent="0.3">
      <c r="A688" s="3">
        <v>7367</v>
      </c>
      <c r="B688" s="3" t="s">
        <v>24</v>
      </c>
      <c r="C688" s="4">
        <v>45497</v>
      </c>
      <c r="D688" s="3" t="s">
        <v>12</v>
      </c>
      <c r="E688" s="3" t="s">
        <v>37</v>
      </c>
      <c r="F688" s="5">
        <v>5</v>
      </c>
      <c r="G688" s="6">
        <v>2.1800000000000002</v>
      </c>
      <c r="H688" s="6">
        <v>10.9</v>
      </c>
      <c r="I688" s="6">
        <v>1.64</v>
      </c>
      <c r="J688" s="6">
        <v>9.26</v>
      </c>
      <c r="K688" s="5">
        <v>276</v>
      </c>
    </row>
    <row r="689" spans="1:11" x14ac:dyDescent="0.3">
      <c r="A689" s="3">
        <v>7078</v>
      </c>
      <c r="B689" s="3" t="s">
        <v>14</v>
      </c>
      <c r="C689" s="4">
        <v>45665</v>
      </c>
      <c r="D689" s="3" t="s">
        <v>17</v>
      </c>
      <c r="E689" s="3" t="s">
        <v>41</v>
      </c>
      <c r="F689" s="5">
        <v>1</v>
      </c>
      <c r="G689" s="6">
        <v>20.53</v>
      </c>
      <c r="H689" s="6">
        <v>20.53</v>
      </c>
      <c r="I689" s="6">
        <v>3.3</v>
      </c>
      <c r="J689" s="6">
        <v>17.23</v>
      </c>
      <c r="K689" s="5">
        <v>201</v>
      </c>
    </row>
    <row r="690" spans="1:11" x14ac:dyDescent="0.3">
      <c r="A690" s="3">
        <v>9850</v>
      </c>
      <c r="B690" s="3" t="s">
        <v>11</v>
      </c>
      <c r="C690" s="4">
        <v>45470</v>
      </c>
      <c r="D690" s="3" t="s">
        <v>17</v>
      </c>
      <c r="E690" s="3" t="s">
        <v>16</v>
      </c>
      <c r="F690" s="5">
        <v>3</v>
      </c>
      <c r="G690" s="6">
        <v>23.79</v>
      </c>
      <c r="H690" s="6">
        <v>71.37</v>
      </c>
      <c r="I690" s="6">
        <v>10.71</v>
      </c>
      <c r="J690" s="6">
        <v>60.66</v>
      </c>
      <c r="K690" s="5">
        <v>75</v>
      </c>
    </row>
    <row r="691" spans="1:11" x14ac:dyDescent="0.3">
      <c r="A691" s="3">
        <v>3531</v>
      </c>
      <c r="B691" s="3" t="s">
        <v>11</v>
      </c>
      <c r="C691" s="4">
        <v>45832</v>
      </c>
      <c r="D691" s="3" t="s">
        <v>45</v>
      </c>
      <c r="E691" s="3" t="s">
        <v>40</v>
      </c>
      <c r="F691" s="5">
        <v>5</v>
      </c>
      <c r="G691" s="6">
        <v>12.57</v>
      </c>
      <c r="H691" s="6">
        <v>62.85</v>
      </c>
      <c r="I691" s="6">
        <v>2.74</v>
      </c>
      <c r="J691" s="6">
        <v>60.11</v>
      </c>
      <c r="K691" s="5">
        <v>43</v>
      </c>
    </row>
    <row r="692" spans="1:11" x14ac:dyDescent="0.3">
      <c r="A692" s="3">
        <v>7797</v>
      </c>
      <c r="B692" s="3" t="s">
        <v>19</v>
      </c>
      <c r="C692" s="4">
        <v>45653</v>
      </c>
      <c r="D692" s="3" t="s">
        <v>34</v>
      </c>
      <c r="E692" s="3" t="s">
        <v>47</v>
      </c>
      <c r="F692" s="5">
        <v>5</v>
      </c>
      <c r="G692" s="6">
        <v>6.74</v>
      </c>
      <c r="H692" s="6">
        <v>33.700000000000003</v>
      </c>
      <c r="I692" s="6">
        <v>3.46</v>
      </c>
      <c r="J692" s="6">
        <v>30.24</v>
      </c>
      <c r="K692" s="5">
        <v>202</v>
      </c>
    </row>
    <row r="693" spans="1:11" x14ac:dyDescent="0.3">
      <c r="A693" s="3">
        <v>2622</v>
      </c>
      <c r="B693" s="3" t="s">
        <v>14</v>
      </c>
      <c r="C693" s="4">
        <v>45792</v>
      </c>
      <c r="D693" s="3" t="s">
        <v>17</v>
      </c>
      <c r="E693" s="3" t="s">
        <v>25</v>
      </c>
      <c r="F693" s="5">
        <v>1</v>
      </c>
      <c r="G693" s="6">
        <v>8.7100000000000009</v>
      </c>
      <c r="H693" s="6">
        <v>8.7100000000000009</v>
      </c>
      <c r="I693" s="6">
        <v>0</v>
      </c>
      <c r="J693" s="6">
        <v>8.7100000000000009</v>
      </c>
      <c r="K693" s="5">
        <v>220</v>
      </c>
    </row>
    <row r="694" spans="1:11" x14ac:dyDescent="0.3">
      <c r="A694" s="3">
        <v>9017</v>
      </c>
      <c r="B694" s="3" t="s">
        <v>11</v>
      </c>
      <c r="C694" s="4">
        <v>45623</v>
      </c>
      <c r="D694" s="3" t="s">
        <v>15</v>
      </c>
      <c r="E694" s="3" t="s">
        <v>16</v>
      </c>
      <c r="F694" s="5">
        <v>4</v>
      </c>
      <c r="G694" s="6">
        <v>11.58</v>
      </c>
      <c r="H694" s="6">
        <v>46.32</v>
      </c>
      <c r="I694" s="6">
        <v>6.95</v>
      </c>
      <c r="J694" s="6">
        <v>39.369999999999997</v>
      </c>
      <c r="K694" s="5">
        <v>97</v>
      </c>
    </row>
    <row r="695" spans="1:11" x14ac:dyDescent="0.3">
      <c r="A695" s="3">
        <v>7686</v>
      </c>
      <c r="B695" s="3" t="s">
        <v>31</v>
      </c>
      <c r="C695" s="4">
        <v>45874</v>
      </c>
      <c r="D695" s="3" t="s">
        <v>35</v>
      </c>
      <c r="E695" s="3" t="s">
        <v>29</v>
      </c>
      <c r="F695" s="5">
        <v>3</v>
      </c>
      <c r="G695" s="6">
        <v>18.86</v>
      </c>
      <c r="H695" s="6">
        <v>56.58</v>
      </c>
      <c r="I695" s="6">
        <v>1.58</v>
      </c>
      <c r="J695" s="6">
        <v>55</v>
      </c>
      <c r="K695" s="5">
        <v>411</v>
      </c>
    </row>
    <row r="696" spans="1:11" x14ac:dyDescent="0.3">
      <c r="A696" s="3">
        <v>5583</v>
      </c>
      <c r="B696" s="3" t="s">
        <v>31</v>
      </c>
      <c r="C696" s="4">
        <v>45170</v>
      </c>
      <c r="D696" s="3" t="s">
        <v>17</v>
      </c>
      <c r="E696" s="3" t="s">
        <v>44</v>
      </c>
      <c r="F696" s="5">
        <v>3</v>
      </c>
      <c r="G696" s="6">
        <v>5.51</v>
      </c>
      <c r="H696" s="6">
        <v>16.53</v>
      </c>
      <c r="I696" s="6">
        <v>3.96</v>
      </c>
      <c r="J696" s="6">
        <v>12.57</v>
      </c>
      <c r="K696" s="5">
        <v>372</v>
      </c>
    </row>
    <row r="697" spans="1:11" x14ac:dyDescent="0.3">
      <c r="A697" s="3">
        <v>7070</v>
      </c>
      <c r="B697" s="3" t="s">
        <v>42</v>
      </c>
      <c r="C697" s="4">
        <v>45313</v>
      </c>
      <c r="D697" s="3" t="s">
        <v>28</v>
      </c>
      <c r="E697" s="3" t="s">
        <v>41</v>
      </c>
      <c r="F697" s="5">
        <v>3</v>
      </c>
      <c r="G697" s="6">
        <v>1.39</v>
      </c>
      <c r="H697" s="6">
        <v>4.17</v>
      </c>
      <c r="I697" s="6">
        <v>0.63</v>
      </c>
      <c r="J697" s="6">
        <v>3.54</v>
      </c>
      <c r="K697" s="5">
        <v>355</v>
      </c>
    </row>
    <row r="698" spans="1:11" x14ac:dyDescent="0.3">
      <c r="A698" s="3">
        <v>8264</v>
      </c>
      <c r="B698" s="3" t="s">
        <v>26</v>
      </c>
      <c r="C698" s="4">
        <v>45490</v>
      </c>
      <c r="D698" s="3" t="s">
        <v>45</v>
      </c>
      <c r="E698" s="3" t="s">
        <v>39</v>
      </c>
      <c r="F698" s="5">
        <v>3</v>
      </c>
      <c r="G698" s="6">
        <v>7.05</v>
      </c>
      <c r="H698" s="6">
        <v>21.15</v>
      </c>
      <c r="I698" s="6">
        <v>4.2300000000000004</v>
      </c>
      <c r="J698" s="6">
        <v>16.920000000000002</v>
      </c>
      <c r="K698" s="5">
        <v>275</v>
      </c>
    </row>
    <row r="699" spans="1:11" x14ac:dyDescent="0.3">
      <c r="A699" s="3">
        <v>4868</v>
      </c>
      <c r="B699" s="3" t="s">
        <v>14</v>
      </c>
      <c r="C699" s="4">
        <v>45809</v>
      </c>
      <c r="D699" s="3" t="s">
        <v>38</v>
      </c>
      <c r="E699" s="3" t="s">
        <v>13</v>
      </c>
      <c r="F699" s="5">
        <v>5</v>
      </c>
      <c r="G699" s="6">
        <v>15</v>
      </c>
      <c r="H699" s="6">
        <v>75</v>
      </c>
      <c r="I699" s="6">
        <v>0</v>
      </c>
      <c r="J699" s="6">
        <v>75</v>
      </c>
      <c r="K699" s="5">
        <v>373</v>
      </c>
    </row>
    <row r="700" spans="1:11" x14ac:dyDescent="0.3">
      <c r="A700" s="3">
        <v>6942</v>
      </c>
      <c r="B700" s="3" t="s">
        <v>31</v>
      </c>
      <c r="C700" s="4">
        <v>45222</v>
      </c>
      <c r="D700" s="3" t="s">
        <v>20</v>
      </c>
      <c r="E700" s="3" t="s">
        <v>46</v>
      </c>
      <c r="F700" s="5">
        <v>1</v>
      </c>
      <c r="G700" s="6">
        <v>8.4</v>
      </c>
      <c r="H700" s="6">
        <v>8.4</v>
      </c>
      <c r="I700" s="6">
        <v>1.68</v>
      </c>
      <c r="J700" s="6">
        <v>6.72</v>
      </c>
      <c r="K700" s="5">
        <v>30</v>
      </c>
    </row>
    <row r="701" spans="1:11" x14ac:dyDescent="0.3">
      <c r="A701" s="3">
        <v>7018</v>
      </c>
      <c r="B701" s="3" t="s">
        <v>30</v>
      </c>
      <c r="C701" s="4">
        <v>45567</v>
      </c>
      <c r="D701" s="3" t="s">
        <v>12</v>
      </c>
      <c r="E701" s="3" t="s">
        <v>33</v>
      </c>
      <c r="F701" s="5">
        <v>1</v>
      </c>
      <c r="G701" s="6">
        <v>2.92</v>
      </c>
      <c r="H701" s="6">
        <v>2.92</v>
      </c>
      <c r="I701" s="6">
        <v>0</v>
      </c>
      <c r="J701" s="6">
        <v>2.92</v>
      </c>
      <c r="K701" s="5">
        <v>338</v>
      </c>
    </row>
    <row r="702" spans="1:11" x14ac:dyDescent="0.3">
      <c r="A702" s="3">
        <v>6876</v>
      </c>
      <c r="B702" s="3" t="s">
        <v>36</v>
      </c>
      <c r="C702" s="4">
        <v>45192</v>
      </c>
      <c r="D702" s="3" t="s">
        <v>15</v>
      </c>
      <c r="E702" s="3" t="s">
        <v>39</v>
      </c>
      <c r="F702" s="5">
        <v>3</v>
      </c>
      <c r="G702" s="6">
        <v>26.14</v>
      </c>
      <c r="H702" s="6">
        <v>78.42</v>
      </c>
      <c r="I702" s="6">
        <v>15.68</v>
      </c>
      <c r="J702" s="6">
        <v>62.74</v>
      </c>
      <c r="K702" s="5">
        <v>332</v>
      </c>
    </row>
    <row r="703" spans="1:11" x14ac:dyDescent="0.3">
      <c r="A703" s="3">
        <v>7523</v>
      </c>
      <c r="B703" s="3" t="s">
        <v>24</v>
      </c>
      <c r="C703" s="4">
        <v>45359</v>
      </c>
      <c r="D703" s="3" t="s">
        <v>38</v>
      </c>
      <c r="E703" s="3" t="s">
        <v>48</v>
      </c>
      <c r="F703" s="5">
        <v>3</v>
      </c>
      <c r="G703" s="6">
        <v>15.05</v>
      </c>
      <c r="H703" s="6">
        <v>45.15</v>
      </c>
      <c r="I703" s="6">
        <v>9.0299999999999994</v>
      </c>
      <c r="J703" s="6">
        <v>36.119999999999997</v>
      </c>
      <c r="K703" s="5">
        <v>305</v>
      </c>
    </row>
    <row r="704" spans="1:11" x14ac:dyDescent="0.3">
      <c r="A704" s="3">
        <v>4109</v>
      </c>
      <c r="B704" s="3" t="s">
        <v>42</v>
      </c>
      <c r="C704" s="4">
        <v>45239</v>
      </c>
      <c r="D704" s="3" t="s">
        <v>38</v>
      </c>
      <c r="E704" s="3" t="s">
        <v>33</v>
      </c>
      <c r="F704" s="5">
        <v>5</v>
      </c>
      <c r="G704" s="6">
        <v>27.85</v>
      </c>
      <c r="H704" s="6">
        <v>139.25</v>
      </c>
      <c r="I704" s="6">
        <v>27.85</v>
      </c>
      <c r="J704" s="6">
        <v>111.4</v>
      </c>
      <c r="K704" s="5">
        <v>11</v>
      </c>
    </row>
    <row r="705" spans="1:11" x14ac:dyDescent="0.3">
      <c r="A705" s="3">
        <v>8450</v>
      </c>
      <c r="B705" s="3" t="s">
        <v>14</v>
      </c>
      <c r="C705" s="4">
        <v>45216</v>
      </c>
      <c r="D705" s="3" t="s">
        <v>35</v>
      </c>
      <c r="E705" s="3" t="s">
        <v>21</v>
      </c>
      <c r="F705" s="5">
        <v>4</v>
      </c>
      <c r="G705" s="6">
        <v>12.4</v>
      </c>
      <c r="H705" s="6">
        <v>49.6</v>
      </c>
      <c r="I705" s="6">
        <v>7.44</v>
      </c>
      <c r="J705" s="6">
        <v>42.16</v>
      </c>
      <c r="K705" s="5">
        <v>80</v>
      </c>
    </row>
    <row r="706" spans="1:11" x14ac:dyDescent="0.3">
      <c r="A706" s="3">
        <v>4475</v>
      </c>
      <c r="B706" s="3" t="s">
        <v>36</v>
      </c>
      <c r="C706" s="4">
        <v>45643</v>
      </c>
      <c r="D706" s="3" t="s">
        <v>22</v>
      </c>
      <c r="E706" s="3" t="s">
        <v>37</v>
      </c>
      <c r="F706" s="5">
        <v>2</v>
      </c>
      <c r="G706" s="6">
        <v>29.87</v>
      </c>
      <c r="H706" s="6">
        <v>59.74</v>
      </c>
      <c r="I706" s="6">
        <v>3.5</v>
      </c>
      <c r="J706" s="6">
        <v>56.24</v>
      </c>
      <c r="K706" s="5">
        <v>256</v>
      </c>
    </row>
    <row r="707" spans="1:11" x14ac:dyDescent="0.3">
      <c r="A707" s="3">
        <v>1349</v>
      </c>
      <c r="B707" s="3" t="s">
        <v>24</v>
      </c>
      <c r="C707" s="4">
        <v>45184</v>
      </c>
      <c r="D707" s="3" t="s">
        <v>12</v>
      </c>
      <c r="E707" s="3" t="s">
        <v>18</v>
      </c>
      <c r="F707" s="5">
        <v>3</v>
      </c>
      <c r="G707" s="6">
        <v>7.53</v>
      </c>
      <c r="H707" s="6">
        <v>22.59</v>
      </c>
      <c r="I707" s="6">
        <v>0</v>
      </c>
      <c r="J707" s="6">
        <v>22.59</v>
      </c>
      <c r="K707" s="5">
        <v>174</v>
      </c>
    </row>
    <row r="708" spans="1:11" x14ac:dyDescent="0.3">
      <c r="A708" s="3">
        <v>6464</v>
      </c>
      <c r="B708" s="3" t="s">
        <v>19</v>
      </c>
      <c r="C708" s="4">
        <v>45334</v>
      </c>
      <c r="D708" s="3" t="s">
        <v>15</v>
      </c>
      <c r="E708" s="3" t="s">
        <v>32</v>
      </c>
      <c r="F708" s="5">
        <v>5</v>
      </c>
      <c r="G708" s="6">
        <v>28.85</v>
      </c>
      <c r="H708" s="6">
        <v>144.25</v>
      </c>
      <c r="I708" s="6">
        <v>14.43</v>
      </c>
      <c r="J708" s="6">
        <v>129.82</v>
      </c>
      <c r="K708" s="5">
        <v>313</v>
      </c>
    </row>
    <row r="709" spans="1:11" x14ac:dyDescent="0.3">
      <c r="A709" s="3">
        <v>3063</v>
      </c>
      <c r="B709" s="3" t="s">
        <v>42</v>
      </c>
      <c r="C709" s="4">
        <v>45756</v>
      </c>
      <c r="D709" s="3" t="s">
        <v>28</v>
      </c>
      <c r="E709" s="3" t="s">
        <v>41</v>
      </c>
      <c r="F709" s="5">
        <v>4</v>
      </c>
      <c r="G709" s="6">
        <v>29.14</v>
      </c>
      <c r="H709" s="6">
        <v>116.56</v>
      </c>
      <c r="I709" s="6">
        <v>11.66</v>
      </c>
      <c r="J709" s="6">
        <v>104.9</v>
      </c>
      <c r="K709" s="5">
        <v>465</v>
      </c>
    </row>
    <row r="710" spans="1:11" x14ac:dyDescent="0.3">
      <c r="A710" s="3">
        <v>4362</v>
      </c>
      <c r="B710" s="3" t="s">
        <v>14</v>
      </c>
      <c r="C710" s="4">
        <v>45198</v>
      </c>
      <c r="D710" s="3" t="s">
        <v>34</v>
      </c>
      <c r="E710" s="3" t="s">
        <v>44</v>
      </c>
      <c r="F710" s="5">
        <v>2</v>
      </c>
      <c r="G710" s="6">
        <v>17.84</v>
      </c>
      <c r="H710" s="6">
        <v>35.68</v>
      </c>
      <c r="I710" s="6">
        <v>7.14</v>
      </c>
      <c r="J710" s="6">
        <v>28.54</v>
      </c>
      <c r="K710" s="5">
        <v>350</v>
      </c>
    </row>
    <row r="711" spans="1:11" x14ac:dyDescent="0.3">
      <c r="A711" s="3">
        <v>4394</v>
      </c>
      <c r="B711" s="3" t="s">
        <v>30</v>
      </c>
      <c r="C711" s="4">
        <v>45600</v>
      </c>
      <c r="D711" s="3" t="s">
        <v>38</v>
      </c>
      <c r="E711" s="3" t="s">
        <v>41</v>
      </c>
      <c r="F711" s="5">
        <v>4</v>
      </c>
      <c r="G711" s="6">
        <v>29.86</v>
      </c>
      <c r="H711" s="6">
        <v>119.44</v>
      </c>
      <c r="I711" s="6">
        <v>0</v>
      </c>
      <c r="J711" s="6">
        <v>119.44</v>
      </c>
      <c r="K711" s="5">
        <v>499</v>
      </c>
    </row>
    <row r="712" spans="1:11" x14ac:dyDescent="0.3">
      <c r="A712" s="3">
        <v>4538</v>
      </c>
      <c r="B712" s="3" t="s">
        <v>19</v>
      </c>
      <c r="C712" s="4">
        <v>45776</v>
      </c>
      <c r="D712" s="3" t="s">
        <v>22</v>
      </c>
      <c r="E712" s="3" t="s">
        <v>43</v>
      </c>
      <c r="F712" s="5">
        <v>5</v>
      </c>
      <c r="G712" s="6">
        <v>16.45</v>
      </c>
      <c r="H712" s="6">
        <v>82.25</v>
      </c>
      <c r="I712" s="6">
        <v>16.45</v>
      </c>
      <c r="J712" s="6">
        <v>65.8</v>
      </c>
      <c r="K712" s="5">
        <v>368</v>
      </c>
    </row>
    <row r="713" spans="1:11" x14ac:dyDescent="0.3">
      <c r="A713" s="3">
        <v>4817</v>
      </c>
      <c r="B713" s="3" t="s">
        <v>36</v>
      </c>
      <c r="C713" s="4">
        <v>45400</v>
      </c>
      <c r="D713" s="3" t="s">
        <v>34</v>
      </c>
      <c r="E713" s="3" t="s">
        <v>39</v>
      </c>
      <c r="F713" s="5">
        <v>3</v>
      </c>
      <c r="G713" s="6">
        <v>26.51</v>
      </c>
      <c r="H713" s="6">
        <v>79.53</v>
      </c>
      <c r="I713" s="6">
        <v>11.93</v>
      </c>
      <c r="J713" s="6">
        <v>67.599999999999994</v>
      </c>
      <c r="K713" s="5">
        <v>211</v>
      </c>
    </row>
    <row r="714" spans="1:11" x14ac:dyDescent="0.3">
      <c r="A714" s="3">
        <v>3417</v>
      </c>
      <c r="B714" s="3" t="s">
        <v>26</v>
      </c>
      <c r="C714" s="4">
        <v>45757</v>
      </c>
      <c r="D714" s="3" t="s">
        <v>27</v>
      </c>
      <c r="E714" s="3" t="s">
        <v>13</v>
      </c>
      <c r="F714" s="5">
        <v>2</v>
      </c>
      <c r="G714" s="6">
        <v>23.58</v>
      </c>
      <c r="H714" s="6">
        <v>47.16</v>
      </c>
      <c r="I714" s="6">
        <v>9.43</v>
      </c>
      <c r="J714" s="6">
        <v>37.729999999999997</v>
      </c>
      <c r="K714" s="5">
        <v>54</v>
      </c>
    </row>
    <row r="715" spans="1:11" x14ac:dyDescent="0.3">
      <c r="A715" s="3">
        <v>1046</v>
      </c>
      <c r="B715" s="3" t="s">
        <v>31</v>
      </c>
      <c r="C715" s="4">
        <v>45360</v>
      </c>
      <c r="D715" s="3" t="s">
        <v>28</v>
      </c>
      <c r="E715" s="3" t="s">
        <v>13</v>
      </c>
      <c r="F715" s="5">
        <v>5</v>
      </c>
      <c r="G715" s="6">
        <v>17.43</v>
      </c>
      <c r="H715" s="6">
        <v>87.15</v>
      </c>
      <c r="I715" s="6">
        <v>17.43</v>
      </c>
      <c r="J715" s="6">
        <v>69.72</v>
      </c>
      <c r="K715" s="5">
        <v>118</v>
      </c>
    </row>
    <row r="716" spans="1:11" x14ac:dyDescent="0.3">
      <c r="A716" s="3">
        <v>3370</v>
      </c>
      <c r="B716" s="3" t="s">
        <v>31</v>
      </c>
      <c r="C716" s="4">
        <v>45245</v>
      </c>
      <c r="D716" s="3" t="s">
        <v>22</v>
      </c>
      <c r="E716" s="3" t="s">
        <v>43</v>
      </c>
      <c r="F716" s="5">
        <v>4</v>
      </c>
      <c r="G716" s="6">
        <v>4.88</v>
      </c>
      <c r="H716" s="6">
        <v>19.52</v>
      </c>
      <c r="I716" s="6">
        <v>0</v>
      </c>
      <c r="J716" s="6">
        <v>19.52</v>
      </c>
      <c r="K716" s="5">
        <v>433</v>
      </c>
    </row>
    <row r="717" spans="1:11" x14ac:dyDescent="0.3">
      <c r="A717" s="3">
        <v>9850</v>
      </c>
      <c r="B717" s="3" t="s">
        <v>36</v>
      </c>
      <c r="C717" s="4">
        <v>45339</v>
      </c>
      <c r="D717" s="3" t="s">
        <v>34</v>
      </c>
      <c r="E717" s="3" t="s">
        <v>32</v>
      </c>
      <c r="F717" s="5">
        <v>4</v>
      </c>
      <c r="G717" s="6">
        <v>14.73</v>
      </c>
      <c r="H717" s="6">
        <v>58.92</v>
      </c>
      <c r="I717" s="6">
        <v>11.78</v>
      </c>
      <c r="J717" s="6">
        <v>47.14</v>
      </c>
      <c r="K717" s="5">
        <v>83</v>
      </c>
    </row>
    <row r="718" spans="1:11" x14ac:dyDescent="0.3">
      <c r="A718" s="3">
        <v>3858</v>
      </c>
      <c r="B718" s="3" t="s">
        <v>31</v>
      </c>
      <c r="C718" s="4">
        <v>45230</v>
      </c>
      <c r="D718" s="3" t="s">
        <v>20</v>
      </c>
      <c r="E718" s="3" t="s">
        <v>39</v>
      </c>
      <c r="F718" s="5">
        <v>3</v>
      </c>
      <c r="G718" s="6">
        <v>28.55</v>
      </c>
      <c r="H718" s="6">
        <v>85.65</v>
      </c>
      <c r="I718" s="6">
        <v>17.13</v>
      </c>
      <c r="J718" s="6">
        <v>68.52</v>
      </c>
      <c r="K718" s="5">
        <v>113</v>
      </c>
    </row>
    <row r="719" spans="1:11" x14ac:dyDescent="0.3">
      <c r="A719" s="3">
        <v>1422</v>
      </c>
      <c r="B719" s="3" t="s">
        <v>11</v>
      </c>
      <c r="C719" s="4">
        <v>45247</v>
      </c>
      <c r="D719" s="3" t="s">
        <v>34</v>
      </c>
      <c r="E719" s="3" t="s">
        <v>33</v>
      </c>
      <c r="F719" s="5">
        <v>5</v>
      </c>
      <c r="G719" s="6">
        <v>15.2</v>
      </c>
      <c r="H719" s="6">
        <v>76</v>
      </c>
      <c r="I719" s="6">
        <v>15.2</v>
      </c>
      <c r="J719" s="6">
        <v>60.8</v>
      </c>
      <c r="K719" s="5">
        <v>166</v>
      </c>
    </row>
    <row r="720" spans="1:11" x14ac:dyDescent="0.3">
      <c r="A720" s="3">
        <v>1243</v>
      </c>
      <c r="B720" s="3" t="s">
        <v>24</v>
      </c>
      <c r="C720" s="4">
        <v>45423</v>
      </c>
      <c r="D720" s="3" t="s">
        <v>20</v>
      </c>
      <c r="E720" s="3" t="s">
        <v>40</v>
      </c>
      <c r="F720" s="5">
        <v>5</v>
      </c>
      <c r="G720" s="6">
        <v>22.31</v>
      </c>
      <c r="H720" s="6">
        <v>111.55</v>
      </c>
      <c r="I720" s="6">
        <v>11.16</v>
      </c>
      <c r="J720" s="6">
        <v>100.39</v>
      </c>
      <c r="K720" s="5">
        <v>194</v>
      </c>
    </row>
    <row r="721" spans="1:11" x14ac:dyDescent="0.3">
      <c r="A721" s="3">
        <v>4898</v>
      </c>
      <c r="B721" s="3" t="s">
        <v>14</v>
      </c>
      <c r="C721" s="4">
        <v>45602</v>
      </c>
      <c r="D721" s="3" t="s">
        <v>38</v>
      </c>
      <c r="E721" s="3" t="s">
        <v>40</v>
      </c>
      <c r="F721" s="5">
        <v>5</v>
      </c>
      <c r="G721" s="6">
        <v>4.16</v>
      </c>
      <c r="H721" s="6">
        <v>20.8</v>
      </c>
      <c r="I721" s="6">
        <v>4.16</v>
      </c>
      <c r="J721" s="6">
        <v>16.64</v>
      </c>
      <c r="K721" s="5">
        <v>233</v>
      </c>
    </row>
    <row r="722" spans="1:11" x14ac:dyDescent="0.3">
      <c r="A722" s="3">
        <v>6304</v>
      </c>
      <c r="B722" s="3" t="s">
        <v>14</v>
      </c>
      <c r="C722" s="4">
        <v>45157</v>
      </c>
      <c r="D722" s="3" t="s">
        <v>38</v>
      </c>
      <c r="E722" s="3" t="s">
        <v>32</v>
      </c>
      <c r="F722" s="5">
        <v>1</v>
      </c>
      <c r="G722" s="6">
        <v>17.16</v>
      </c>
      <c r="H722" s="6">
        <v>17.16</v>
      </c>
      <c r="I722" s="6">
        <v>3.43</v>
      </c>
      <c r="J722" s="6">
        <v>13.73</v>
      </c>
      <c r="K722" s="5">
        <v>264</v>
      </c>
    </row>
    <row r="723" spans="1:11" x14ac:dyDescent="0.3">
      <c r="A723" s="3">
        <v>3854</v>
      </c>
      <c r="B723" s="3" t="s">
        <v>30</v>
      </c>
      <c r="C723" s="4">
        <v>45351</v>
      </c>
      <c r="D723" s="3" t="s">
        <v>45</v>
      </c>
      <c r="E723" s="3" t="s">
        <v>32</v>
      </c>
      <c r="F723" s="5">
        <v>3</v>
      </c>
      <c r="G723" s="6">
        <v>23.43</v>
      </c>
      <c r="H723" s="6">
        <v>70.290000000000006</v>
      </c>
      <c r="I723" s="6">
        <v>14.06</v>
      </c>
      <c r="J723" s="6">
        <v>56.23</v>
      </c>
      <c r="K723" s="5">
        <v>146</v>
      </c>
    </row>
    <row r="724" spans="1:11" x14ac:dyDescent="0.3">
      <c r="A724" s="3">
        <v>1858</v>
      </c>
      <c r="B724" s="3" t="s">
        <v>24</v>
      </c>
      <c r="C724" s="4">
        <v>45243</v>
      </c>
      <c r="D724" s="3" t="s">
        <v>35</v>
      </c>
      <c r="E724" s="3" t="s">
        <v>40</v>
      </c>
      <c r="F724" s="5">
        <v>5</v>
      </c>
      <c r="G724" s="6">
        <v>27.2</v>
      </c>
      <c r="H724" s="6">
        <v>136</v>
      </c>
      <c r="I724" s="6">
        <v>3.89</v>
      </c>
      <c r="J724" s="6">
        <v>132.11000000000001</v>
      </c>
      <c r="K724" s="5">
        <v>237</v>
      </c>
    </row>
    <row r="725" spans="1:11" x14ac:dyDescent="0.3">
      <c r="A725" s="3">
        <v>7897</v>
      </c>
      <c r="B725" s="3" t="s">
        <v>11</v>
      </c>
      <c r="C725" s="4">
        <v>45553</v>
      </c>
      <c r="D725" s="3" t="s">
        <v>34</v>
      </c>
      <c r="E725" s="3" t="s">
        <v>18</v>
      </c>
      <c r="F725" s="5">
        <v>2</v>
      </c>
      <c r="G725" s="6">
        <v>12.39</v>
      </c>
      <c r="H725" s="6">
        <v>24.78</v>
      </c>
      <c r="I725" s="6">
        <v>1.72</v>
      </c>
      <c r="J725" s="6">
        <v>23.06</v>
      </c>
      <c r="K725" s="5">
        <v>165</v>
      </c>
    </row>
    <row r="726" spans="1:11" x14ac:dyDescent="0.3">
      <c r="A726" s="3">
        <v>2862</v>
      </c>
      <c r="B726" s="3" t="s">
        <v>42</v>
      </c>
      <c r="C726" s="4">
        <v>45724</v>
      </c>
      <c r="D726" s="3" t="s">
        <v>45</v>
      </c>
      <c r="E726" s="3" t="s">
        <v>43</v>
      </c>
      <c r="F726" s="5">
        <v>3</v>
      </c>
      <c r="G726" s="6">
        <v>10.39</v>
      </c>
      <c r="H726" s="6">
        <v>31.17</v>
      </c>
      <c r="I726" s="6">
        <v>0</v>
      </c>
      <c r="J726" s="6">
        <v>31.17</v>
      </c>
      <c r="K726" s="5">
        <v>332</v>
      </c>
    </row>
    <row r="727" spans="1:11" x14ac:dyDescent="0.3">
      <c r="A727" s="3">
        <v>2041</v>
      </c>
      <c r="B727" s="3" t="s">
        <v>11</v>
      </c>
      <c r="C727" s="4">
        <v>45514</v>
      </c>
      <c r="D727" s="3" t="s">
        <v>15</v>
      </c>
      <c r="E727" s="3" t="s">
        <v>48</v>
      </c>
      <c r="F727" s="5">
        <v>4</v>
      </c>
      <c r="G727" s="6">
        <v>19.38</v>
      </c>
      <c r="H727" s="6">
        <v>77.52</v>
      </c>
      <c r="I727" s="6">
        <v>0</v>
      </c>
      <c r="J727" s="6">
        <v>77.52</v>
      </c>
      <c r="K727" s="5">
        <v>43</v>
      </c>
    </row>
    <row r="728" spans="1:11" x14ac:dyDescent="0.3">
      <c r="A728" s="3">
        <v>8344</v>
      </c>
      <c r="B728" s="3" t="s">
        <v>14</v>
      </c>
      <c r="C728" s="4">
        <v>45749</v>
      </c>
      <c r="D728" s="3" t="s">
        <v>28</v>
      </c>
      <c r="E728" s="3" t="s">
        <v>29</v>
      </c>
      <c r="F728" s="5">
        <v>4</v>
      </c>
      <c r="G728" s="6">
        <v>16.95</v>
      </c>
      <c r="H728" s="6">
        <v>67.8</v>
      </c>
      <c r="I728" s="6">
        <v>10.17</v>
      </c>
      <c r="J728" s="6">
        <v>57.63</v>
      </c>
      <c r="K728" s="5">
        <v>22</v>
      </c>
    </row>
    <row r="729" spans="1:11" x14ac:dyDescent="0.3">
      <c r="A729" s="3">
        <v>6931</v>
      </c>
      <c r="B729" s="3" t="s">
        <v>19</v>
      </c>
      <c r="C729" s="4">
        <v>45543</v>
      </c>
      <c r="D729" s="3" t="s">
        <v>34</v>
      </c>
      <c r="E729" s="3" t="s">
        <v>41</v>
      </c>
      <c r="F729" s="5">
        <v>2</v>
      </c>
      <c r="G729" s="6">
        <v>23.3</v>
      </c>
      <c r="H729" s="6">
        <v>46.6</v>
      </c>
      <c r="I729" s="6">
        <v>6.99</v>
      </c>
      <c r="J729" s="6">
        <v>39.61</v>
      </c>
      <c r="K729" s="5">
        <v>26</v>
      </c>
    </row>
    <row r="730" spans="1:11" x14ac:dyDescent="0.3">
      <c r="A730" s="3">
        <v>2786</v>
      </c>
      <c r="B730" s="3" t="s">
        <v>30</v>
      </c>
      <c r="C730" s="4">
        <v>45496</v>
      </c>
      <c r="D730" s="3" t="s">
        <v>45</v>
      </c>
      <c r="E730" s="3" t="s">
        <v>37</v>
      </c>
      <c r="F730" s="5">
        <v>2</v>
      </c>
      <c r="G730" s="6">
        <v>4.4000000000000004</v>
      </c>
      <c r="H730" s="6">
        <v>8.8000000000000007</v>
      </c>
      <c r="I730" s="6">
        <v>3.49</v>
      </c>
      <c r="J730" s="6">
        <v>5.31</v>
      </c>
      <c r="K730" s="5">
        <v>67</v>
      </c>
    </row>
    <row r="731" spans="1:11" x14ac:dyDescent="0.3">
      <c r="A731" s="3">
        <v>9254</v>
      </c>
      <c r="B731" s="3" t="s">
        <v>30</v>
      </c>
      <c r="C731" s="4">
        <v>45317</v>
      </c>
      <c r="D731" s="3" t="s">
        <v>12</v>
      </c>
      <c r="E731" s="3" t="s">
        <v>33</v>
      </c>
      <c r="F731" s="5">
        <v>4</v>
      </c>
      <c r="G731" s="6">
        <v>25.8</v>
      </c>
      <c r="H731" s="6">
        <v>103.2</v>
      </c>
      <c r="I731" s="6">
        <v>4.53</v>
      </c>
      <c r="J731" s="6">
        <v>98.67</v>
      </c>
      <c r="K731" s="5">
        <v>278</v>
      </c>
    </row>
    <row r="732" spans="1:11" x14ac:dyDescent="0.3">
      <c r="A732" s="3">
        <v>1710</v>
      </c>
      <c r="B732" s="3" t="s">
        <v>42</v>
      </c>
      <c r="C732" s="4">
        <v>45709</v>
      </c>
      <c r="D732" s="3" t="s">
        <v>17</v>
      </c>
      <c r="E732" s="3" t="s">
        <v>47</v>
      </c>
      <c r="F732" s="5">
        <v>4</v>
      </c>
      <c r="G732" s="6">
        <v>12.88</v>
      </c>
      <c r="H732" s="6">
        <v>51.52</v>
      </c>
      <c r="I732" s="6">
        <v>10.3</v>
      </c>
      <c r="J732" s="6">
        <v>41.22</v>
      </c>
      <c r="K732" s="5">
        <v>40</v>
      </c>
    </row>
    <row r="733" spans="1:11" x14ac:dyDescent="0.3">
      <c r="A733" s="3">
        <v>9543</v>
      </c>
      <c r="B733" s="3" t="s">
        <v>14</v>
      </c>
      <c r="C733" s="4">
        <v>45379</v>
      </c>
      <c r="D733" s="3" t="s">
        <v>35</v>
      </c>
      <c r="E733" s="3" t="s">
        <v>18</v>
      </c>
      <c r="F733" s="5">
        <v>2</v>
      </c>
      <c r="G733" s="6">
        <v>2.41</v>
      </c>
      <c r="H733" s="6">
        <v>4.82</v>
      </c>
      <c r="I733" s="6">
        <v>0</v>
      </c>
      <c r="J733" s="6">
        <v>4.82</v>
      </c>
      <c r="K733" s="5">
        <v>75</v>
      </c>
    </row>
    <row r="734" spans="1:11" x14ac:dyDescent="0.3">
      <c r="A734" s="3">
        <v>8504</v>
      </c>
      <c r="B734" s="3" t="s">
        <v>36</v>
      </c>
      <c r="C734" s="4">
        <v>45644</v>
      </c>
      <c r="D734" s="3" t="s">
        <v>12</v>
      </c>
      <c r="E734" s="3" t="s">
        <v>41</v>
      </c>
      <c r="F734" s="5">
        <v>1</v>
      </c>
      <c r="G734" s="6">
        <v>20.329999999999998</v>
      </c>
      <c r="H734" s="6">
        <v>20.329999999999998</v>
      </c>
      <c r="I734" s="6">
        <v>3.05</v>
      </c>
      <c r="J734" s="6">
        <v>17.28</v>
      </c>
      <c r="K734" s="5">
        <v>429</v>
      </c>
    </row>
    <row r="735" spans="1:11" x14ac:dyDescent="0.3">
      <c r="A735" s="3">
        <v>1510</v>
      </c>
      <c r="B735" s="3" t="s">
        <v>11</v>
      </c>
      <c r="C735" s="4">
        <v>45192</v>
      </c>
      <c r="D735" s="3" t="s">
        <v>12</v>
      </c>
      <c r="E735" s="3" t="s">
        <v>48</v>
      </c>
      <c r="F735" s="5">
        <v>4</v>
      </c>
      <c r="G735" s="6">
        <v>29.81</v>
      </c>
      <c r="H735" s="6">
        <v>119.24</v>
      </c>
      <c r="I735" s="6">
        <v>3.64</v>
      </c>
      <c r="J735" s="6">
        <v>115.6</v>
      </c>
      <c r="K735" s="5">
        <v>82</v>
      </c>
    </row>
    <row r="736" spans="1:11" x14ac:dyDescent="0.3">
      <c r="A736" s="3">
        <v>8847</v>
      </c>
      <c r="B736" s="3" t="s">
        <v>14</v>
      </c>
      <c r="C736" s="4">
        <v>45803</v>
      </c>
      <c r="D736" s="3" t="s">
        <v>34</v>
      </c>
      <c r="E736" s="3" t="s">
        <v>33</v>
      </c>
      <c r="F736" s="5">
        <v>5</v>
      </c>
      <c r="G736" s="6">
        <v>11.44</v>
      </c>
      <c r="H736" s="6">
        <v>57.2</v>
      </c>
      <c r="I736" s="6">
        <v>8.58</v>
      </c>
      <c r="J736" s="6">
        <v>48.62</v>
      </c>
      <c r="K736" s="5">
        <v>18</v>
      </c>
    </row>
    <row r="737" spans="1:11" x14ac:dyDescent="0.3">
      <c r="A737" s="3">
        <v>7580</v>
      </c>
      <c r="B737" s="3" t="s">
        <v>36</v>
      </c>
      <c r="C737" s="4">
        <v>45476</v>
      </c>
      <c r="D737" s="3" t="s">
        <v>22</v>
      </c>
      <c r="E737" s="3" t="s">
        <v>32</v>
      </c>
      <c r="F737" s="5">
        <v>1</v>
      </c>
      <c r="G737" s="6">
        <v>22.98</v>
      </c>
      <c r="H737" s="6">
        <v>22.98</v>
      </c>
      <c r="I737" s="6">
        <v>3.45</v>
      </c>
      <c r="J737" s="6">
        <v>19.53</v>
      </c>
      <c r="K737" s="5">
        <v>431</v>
      </c>
    </row>
    <row r="738" spans="1:11" x14ac:dyDescent="0.3">
      <c r="A738" s="3">
        <v>2768</v>
      </c>
      <c r="B738" s="3" t="s">
        <v>26</v>
      </c>
      <c r="C738" s="4">
        <v>45525</v>
      </c>
      <c r="D738" s="3" t="s">
        <v>34</v>
      </c>
      <c r="E738" s="3" t="s">
        <v>48</v>
      </c>
      <c r="F738" s="5">
        <v>3</v>
      </c>
      <c r="G738" s="6">
        <v>10.54</v>
      </c>
      <c r="H738" s="6">
        <v>31.62</v>
      </c>
      <c r="I738" s="6">
        <v>0</v>
      </c>
      <c r="J738" s="6">
        <v>31.62</v>
      </c>
      <c r="K738" s="5">
        <v>211</v>
      </c>
    </row>
    <row r="739" spans="1:11" x14ac:dyDescent="0.3">
      <c r="A739" s="3">
        <v>8267</v>
      </c>
      <c r="B739" s="3" t="s">
        <v>42</v>
      </c>
      <c r="C739" s="4">
        <v>45202</v>
      </c>
      <c r="D739" s="3" t="s">
        <v>28</v>
      </c>
      <c r="E739" s="3" t="s">
        <v>40</v>
      </c>
      <c r="F739" s="5">
        <v>1</v>
      </c>
      <c r="G739" s="6">
        <v>17.559999999999999</v>
      </c>
      <c r="H739" s="6">
        <v>17.559999999999999</v>
      </c>
      <c r="I739" s="6">
        <v>1.76</v>
      </c>
      <c r="J739" s="6">
        <v>15.8</v>
      </c>
      <c r="K739" s="5">
        <v>322</v>
      </c>
    </row>
    <row r="740" spans="1:11" x14ac:dyDescent="0.3">
      <c r="A740" s="3">
        <v>2323</v>
      </c>
      <c r="B740" s="3" t="s">
        <v>30</v>
      </c>
      <c r="C740" s="4">
        <v>45395</v>
      </c>
      <c r="D740" s="3" t="s">
        <v>20</v>
      </c>
      <c r="E740" s="3" t="s">
        <v>21</v>
      </c>
      <c r="F740" s="5">
        <v>3</v>
      </c>
      <c r="G740" s="6">
        <v>16.23</v>
      </c>
      <c r="H740" s="6">
        <v>48.69</v>
      </c>
      <c r="I740" s="6">
        <v>9.74</v>
      </c>
      <c r="J740" s="6">
        <v>38.950000000000003</v>
      </c>
      <c r="K740" s="5">
        <v>319</v>
      </c>
    </row>
    <row r="741" spans="1:11" x14ac:dyDescent="0.3">
      <c r="A741" s="3">
        <v>3430</v>
      </c>
      <c r="B741" s="3" t="s">
        <v>26</v>
      </c>
      <c r="C741" s="4">
        <v>45196</v>
      </c>
      <c r="D741" s="3" t="s">
        <v>38</v>
      </c>
      <c r="E741" s="3" t="s">
        <v>47</v>
      </c>
      <c r="F741" s="5">
        <v>4</v>
      </c>
      <c r="G741" s="6">
        <v>24.42</v>
      </c>
      <c r="H741" s="6">
        <v>97.68</v>
      </c>
      <c r="I741" s="6">
        <v>0</v>
      </c>
      <c r="J741" s="6">
        <v>97.68</v>
      </c>
      <c r="K741" s="5">
        <v>452</v>
      </c>
    </row>
    <row r="742" spans="1:11" x14ac:dyDescent="0.3">
      <c r="A742" s="3">
        <v>3067</v>
      </c>
      <c r="B742" s="3" t="s">
        <v>30</v>
      </c>
      <c r="C742" s="4">
        <v>45358</v>
      </c>
      <c r="D742" s="3" t="s">
        <v>17</v>
      </c>
      <c r="E742" s="3" t="s">
        <v>39</v>
      </c>
      <c r="F742" s="5">
        <v>1</v>
      </c>
      <c r="G742" s="6">
        <v>1.69</v>
      </c>
      <c r="H742" s="6">
        <v>1.69</v>
      </c>
      <c r="I742" s="6">
        <v>0</v>
      </c>
      <c r="J742" s="6">
        <v>1.69</v>
      </c>
      <c r="K742" s="5">
        <v>320</v>
      </c>
    </row>
    <row r="743" spans="1:11" x14ac:dyDescent="0.3">
      <c r="A743" s="3">
        <v>9984</v>
      </c>
      <c r="B743" s="3" t="s">
        <v>42</v>
      </c>
      <c r="C743" s="4">
        <v>45698</v>
      </c>
      <c r="D743" s="3" t="s">
        <v>28</v>
      </c>
      <c r="E743" s="3" t="s">
        <v>16</v>
      </c>
      <c r="F743" s="5">
        <v>4</v>
      </c>
      <c r="G743" s="6">
        <v>2.31</v>
      </c>
      <c r="H743" s="6">
        <v>9.24</v>
      </c>
      <c r="I743" s="6">
        <v>3.56</v>
      </c>
      <c r="J743" s="6">
        <v>5.68</v>
      </c>
      <c r="K743" s="5">
        <v>179</v>
      </c>
    </row>
    <row r="744" spans="1:11" x14ac:dyDescent="0.3">
      <c r="A744" s="3">
        <v>6327</v>
      </c>
      <c r="B744" s="3"/>
      <c r="C744" s="4">
        <v>45440</v>
      </c>
      <c r="D744" s="3" t="s">
        <v>35</v>
      </c>
      <c r="E744" s="3" t="s">
        <v>43</v>
      </c>
      <c r="F744" s="5">
        <v>3</v>
      </c>
      <c r="G744" s="6">
        <v>9.6999999999999993</v>
      </c>
      <c r="H744" s="6">
        <v>29.1</v>
      </c>
      <c r="I744" s="6">
        <v>1.46</v>
      </c>
      <c r="J744" s="6">
        <v>27.64</v>
      </c>
      <c r="K744" s="5">
        <v>281</v>
      </c>
    </row>
    <row r="745" spans="1:11" x14ac:dyDescent="0.3">
      <c r="A745" s="3">
        <v>9692</v>
      </c>
      <c r="B745" s="3" t="s">
        <v>36</v>
      </c>
      <c r="C745" s="4">
        <v>45374</v>
      </c>
      <c r="D745" s="3" t="s">
        <v>22</v>
      </c>
      <c r="E745" s="3" t="s">
        <v>32</v>
      </c>
      <c r="F745" s="5">
        <v>5</v>
      </c>
      <c r="G745" s="6">
        <v>18.850000000000001</v>
      </c>
      <c r="H745" s="6">
        <v>94.25</v>
      </c>
      <c r="I745" s="6">
        <v>18.850000000000001</v>
      </c>
      <c r="J745" s="6">
        <v>75.400000000000006</v>
      </c>
      <c r="K745" s="5">
        <v>14</v>
      </c>
    </row>
    <row r="746" spans="1:11" x14ac:dyDescent="0.3">
      <c r="A746" s="3">
        <v>8433</v>
      </c>
      <c r="B746" s="3" t="s">
        <v>36</v>
      </c>
      <c r="C746" s="4">
        <v>45537</v>
      </c>
      <c r="D746" s="3" t="s">
        <v>22</v>
      </c>
      <c r="E746" s="3" t="s">
        <v>47</v>
      </c>
      <c r="F746" s="5">
        <v>4</v>
      </c>
      <c r="G746" s="6">
        <v>24.11</v>
      </c>
      <c r="H746" s="6">
        <v>96.44</v>
      </c>
      <c r="I746" s="6">
        <v>9.64</v>
      </c>
      <c r="J746" s="6">
        <v>86.8</v>
      </c>
      <c r="K746" s="5">
        <v>330</v>
      </c>
    </row>
    <row r="747" spans="1:11" x14ac:dyDescent="0.3">
      <c r="A747" s="3">
        <v>8048</v>
      </c>
      <c r="B747" s="3" t="s">
        <v>19</v>
      </c>
      <c r="C747" s="4">
        <v>45222</v>
      </c>
      <c r="D747" s="3" t="s">
        <v>27</v>
      </c>
      <c r="E747" s="3" t="s">
        <v>33</v>
      </c>
      <c r="F747" s="5">
        <v>5</v>
      </c>
      <c r="G747" s="6">
        <v>26.97</v>
      </c>
      <c r="H747" s="6">
        <v>134.85</v>
      </c>
      <c r="I747" s="6">
        <v>0</v>
      </c>
      <c r="J747" s="6">
        <v>134.85</v>
      </c>
      <c r="K747" s="5">
        <v>236</v>
      </c>
    </row>
    <row r="748" spans="1:11" x14ac:dyDescent="0.3">
      <c r="A748" s="3">
        <v>2874</v>
      </c>
      <c r="B748" s="3" t="s">
        <v>31</v>
      </c>
      <c r="C748" s="4">
        <v>45807</v>
      </c>
      <c r="D748" s="3" t="s">
        <v>38</v>
      </c>
      <c r="E748" s="3" t="s">
        <v>37</v>
      </c>
      <c r="F748" s="5">
        <v>5</v>
      </c>
      <c r="G748" s="6">
        <v>22.01</v>
      </c>
      <c r="H748" s="6">
        <v>110.05</v>
      </c>
      <c r="I748" s="6">
        <v>22.01</v>
      </c>
      <c r="J748" s="6">
        <v>88.04</v>
      </c>
      <c r="K748" s="5">
        <v>161</v>
      </c>
    </row>
    <row r="749" spans="1:11" x14ac:dyDescent="0.3">
      <c r="A749" s="3">
        <v>4522</v>
      </c>
      <c r="B749" s="3" t="s">
        <v>36</v>
      </c>
      <c r="C749" s="4">
        <v>45479</v>
      </c>
      <c r="D749" s="3" t="s">
        <v>22</v>
      </c>
      <c r="E749" s="3" t="s">
        <v>43</v>
      </c>
      <c r="F749" s="5">
        <v>2</v>
      </c>
      <c r="G749" s="6">
        <v>9.1199999999999992</v>
      </c>
      <c r="H749" s="6">
        <v>18.239999999999998</v>
      </c>
      <c r="I749" s="6">
        <v>1.82</v>
      </c>
      <c r="J749" s="6">
        <v>16.420000000000002</v>
      </c>
      <c r="K749" s="5">
        <v>15</v>
      </c>
    </row>
    <row r="750" spans="1:11" x14ac:dyDescent="0.3">
      <c r="A750" s="3">
        <v>8398</v>
      </c>
      <c r="B750" s="3" t="s">
        <v>14</v>
      </c>
      <c r="C750" s="4">
        <v>45834</v>
      </c>
      <c r="D750" s="3" t="s">
        <v>34</v>
      </c>
      <c r="E750" s="3" t="s">
        <v>32</v>
      </c>
      <c r="F750" s="5">
        <v>2</v>
      </c>
      <c r="G750" s="6">
        <v>18.25</v>
      </c>
      <c r="H750" s="6">
        <v>36.5</v>
      </c>
      <c r="I750" s="6">
        <v>0</v>
      </c>
      <c r="J750" s="6">
        <v>36.5</v>
      </c>
      <c r="K750" s="5">
        <v>442</v>
      </c>
    </row>
    <row r="751" spans="1:11" x14ac:dyDescent="0.3">
      <c r="A751" s="3">
        <v>4743</v>
      </c>
      <c r="B751" s="3" t="s">
        <v>36</v>
      </c>
      <c r="C751" s="4">
        <v>45466</v>
      </c>
      <c r="D751" s="3" t="s">
        <v>12</v>
      </c>
      <c r="E751" s="3" t="s">
        <v>13</v>
      </c>
      <c r="F751" s="5">
        <v>4</v>
      </c>
      <c r="G751" s="6">
        <v>3.51</v>
      </c>
      <c r="H751" s="6">
        <v>14.04</v>
      </c>
      <c r="I751" s="6">
        <v>2.11</v>
      </c>
      <c r="J751" s="6">
        <v>11.93</v>
      </c>
      <c r="K751" s="5">
        <v>449</v>
      </c>
    </row>
    <row r="752" spans="1:11" x14ac:dyDescent="0.3">
      <c r="A752" s="3">
        <v>6553</v>
      </c>
      <c r="B752" s="3" t="s">
        <v>26</v>
      </c>
      <c r="C752" s="4">
        <v>45787</v>
      </c>
      <c r="D752" s="3" t="s">
        <v>35</v>
      </c>
      <c r="E752" s="3" t="s">
        <v>44</v>
      </c>
      <c r="F752" s="5">
        <v>5</v>
      </c>
      <c r="G752" s="6">
        <v>9.76</v>
      </c>
      <c r="H752" s="6">
        <v>48.8</v>
      </c>
      <c r="I752" s="6">
        <v>4.1100000000000003</v>
      </c>
      <c r="J752" s="6">
        <v>44.69</v>
      </c>
      <c r="K752" s="5">
        <v>57</v>
      </c>
    </row>
    <row r="753" spans="1:11" x14ac:dyDescent="0.3">
      <c r="A753" s="3">
        <v>8430</v>
      </c>
      <c r="B753" s="3" t="s">
        <v>11</v>
      </c>
      <c r="C753" s="4">
        <v>45454</v>
      </c>
      <c r="D753" s="3" t="s">
        <v>45</v>
      </c>
      <c r="E753" s="3" t="s">
        <v>46</v>
      </c>
      <c r="F753" s="5">
        <v>1</v>
      </c>
      <c r="G753" s="6">
        <v>24.16</v>
      </c>
      <c r="H753" s="6">
        <v>24.16</v>
      </c>
      <c r="I753" s="6">
        <v>4.83</v>
      </c>
      <c r="J753" s="6">
        <v>19.329999999999998</v>
      </c>
      <c r="K753" s="5">
        <v>463</v>
      </c>
    </row>
    <row r="754" spans="1:11" x14ac:dyDescent="0.3">
      <c r="A754" s="3">
        <v>7815</v>
      </c>
      <c r="B754" s="3" t="s">
        <v>36</v>
      </c>
      <c r="C754" s="4">
        <v>45711</v>
      </c>
      <c r="D754" s="3" t="s">
        <v>45</v>
      </c>
      <c r="E754" s="3" t="s">
        <v>46</v>
      </c>
      <c r="F754" s="5">
        <v>3</v>
      </c>
      <c r="G754" s="6">
        <v>23.48</v>
      </c>
      <c r="H754" s="6">
        <v>70.44</v>
      </c>
      <c r="I754" s="6">
        <v>3.71</v>
      </c>
      <c r="J754" s="6">
        <v>66.73</v>
      </c>
      <c r="K754" s="5">
        <v>73</v>
      </c>
    </row>
    <row r="755" spans="1:11" x14ac:dyDescent="0.3">
      <c r="A755" s="3">
        <v>2557</v>
      </c>
      <c r="B755" s="3" t="s">
        <v>19</v>
      </c>
      <c r="C755" s="4">
        <v>45387</v>
      </c>
      <c r="D755" s="3" t="s">
        <v>17</v>
      </c>
      <c r="E755" s="3" t="s">
        <v>40</v>
      </c>
      <c r="F755" s="5">
        <v>4</v>
      </c>
      <c r="G755" s="6">
        <v>12.23</v>
      </c>
      <c r="H755" s="6">
        <v>48.92</v>
      </c>
      <c r="I755" s="6">
        <v>2.2400000000000002</v>
      </c>
      <c r="J755" s="6">
        <v>46.68</v>
      </c>
      <c r="K755" s="5">
        <v>442</v>
      </c>
    </row>
    <row r="756" spans="1:11" x14ac:dyDescent="0.3">
      <c r="A756" s="3">
        <v>7992</v>
      </c>
      <c r="B756" s="3" t="s">
        <v>31</v>
      </c>
      <c r="C756" s="4">
        <v>45387</v>
      </c>
      <c r="D756" s="3" t="s">
        <v>27</v>
      </c>
      <c r="E756" s="3" t="s">
        <v>43</v>
      </c>
      <c r="F756" s="5">
        <v>3</v>
      </c>
      <c r="G756" s="6">
        <v>14.53</v>
      </c>
      <c r="H756" s="6">
        <v>43.59</v>
      </c>
      <c r="I756" s="6">
        <v>4.0599999999999996</v>
      </c>
      <c r="J756" s="6">
        <v>39.53</v>
      </c>
      <c r="K756" s="5">
        <v>23</v>
      </c>
    </row>
    <row r="757" spans="1:11" x14ac:dyDescent="0.3">
      <c r="A757" s="3">
        <v>5176</v>
      </c>
      <c r="B757" s="3" t="s">
        <v>30</v>
      </c>
      <c r="C757" s="4">
        <v>45435</v>
      </c>
      <c r="D757" s="3" t="s">
        <v>12</v>
      </c>
      <c r="E757" s="3" t="s">
        <v>37</v>
      </c>
      <c r="F757" s="5">
        <v>2</v>
      </c>
      <c r="G757" s="6">
        <v>10.3</v>
      </c>
      <c r="H757" s="6">
        <v>20.6</v>
      </c>
      <c r="I757" s="6">
        <v>3.09</v>
      </c>
      <c r="J757" s="6">
        <v>17.510000000000002</v>
      </c>
      <c r="K757" s="5">
        <v>98</v>
      </c>
    </row>
    <row r="758" spans="1:11" x14ac:dyDescent="0.3">
      <c r="A758" s="3">
        <v>3500</v>
      </c>
      <c r="B758" s="3" t="s">
        <v>14</v>
      </c>
      <c r="C758" s="4">
        <v>45678</v>
      </c>
      <c r="D758" s="3" t="s">
        <v>22</v>
      </c>
      <c r="E758" s="3" t="s">
        <v>33</v>
      </c>
      <c r="F758" s="5">
        <v>1</v>
      </c>
      <c r="G758" s="6">
        <v>8.9</v>
      </c>
      <c r="H758" s="6">
        <v>8.9</v>
      </c>
      <c r="I758" s="6">
        <v>1.06</v>
      </c>
      <c r="J758" s="6">
        <v>7.84</v>
      </c>
      <c r="K758" s="5">
        <v>80</v>
      </c>
    </row>
    <row r="759" spans="1:11" x14ac:dyDescent="0.3">
      <c r="A759" s="3">
        <v>8770</v>
      </c>
      <c r="B759" s="3" t="s">
        <v>14</v>
      </c>
      <c r="C759" s="4">
        <v>45197</v>
      </c>
      <c r="D759" s="3" t="s">
        <v>38</v>
      </c>
      <c r="E759" s="3" t="s">
        <v>48</v>
      </c>
      <c r="F759" s="5">
        <v>2</v>
      </c>
      <c r="G759" s="6">
        <v>16.72</v>
      </c>
      <c r="H759" s="6">
        <v>33.44</v>
      </c>
      <c r="I759" s="6">
        <v>5.0199999999999996</v>
      </c>
      <c r="J759" s="6">
        <v>28.42</v>
      </c>
      <c r="K759" s="5">
        <v>281</v>
      </c>
    </row>
    <row r="760" spans="1:11" x14ac:dyDescent="0.3">
      <c r="A760" s="3">
        <v>2494</v>
      </c>
      <c r="B760" s="3" t="s">
        <v>19</v>
      </c>
      <c r="C760" s="4">
        <v>45791</v>
      </c>
      <c r="D760" s="3" t="s">
        <v>35</v>
      </c>
      <c r="E760" s="3" t="s">
        <v>25</v>
      </c>
      <c r="F760" s="5">
        <v>2</v>
      </c>
      <c r="G760" s="6">
        <v>3.06</v>
      </c>
      <c r="H760" s="6">
        <v>6.12</v>
      </c>
      <c r="I760" s="6">
        <v>2.77</v>
      </c>
      <c r="J760" s="6">
        <v>3.35</v>
      </c>
      <c r="K760" s="5">
        <v>313</v>
      </c>
    </row>
    <row r="761" spans="1:11" x14ac:dyDescent="0.3">
      <c r="A761" s="3">
        <v>2398</v>
      </c>
      <c r="B761" s="3" t="s">
        <v>19</v>
      </c>
      <c r="C761" s="4">
        <v>45217</v>
      </c>
      <c r="D761" s="3" t="s">
        <v>12</v>
      </c>
      <c r="E761" s="3" t="s">
        <v>47</v>
      </c>
      <c r="F761" s="5">
        <v>1</v>
      </c>
      <c r="G761" s="6">
        <v>4.0599999999999996</v>
      </c>
      <c r="H761" s="6">
        <v>4.0599999999999996</v>
      </c>
      <c r="I761" s="6">
        <v>0.41</v>
      </c>
      <c r="J761" s="6">
        <v>3.65</v>
      </c>
      <c r="K761" s="5">
        <v>27</v>
      </c>
    </row>
    <row r="762" spans="1:11" x14ac:dyDescent="0.3">
      <c r="A762" s="3">
        <v>8075</v>
      </c>
      <c r="B762" s="3" t="s">
        <v>24</v>
      </c>
      <c r="C762" s="4">
        <v>45220</v>
      </c>
      <c r="D762" s="3" t="s">
        <v>34</v>
      </c>
      <c r="E762" s="3" t="s">
        <v>33</v>
      </c>
      <c r="F762" s="5">
        <v>5</v>
      </c>
      <c r="G762" s="6">
        <v>11.3</v>
      </c>
      <c r="H762" s="6">
        <v>56.5</v>
      </c>
      <c r="I762" s="6">
        <v>0</v>
      </c>
      <c r="J762" s="6">
        <v>56.5</v>
      </c>
      <c r="K762" s="5">
        <v>170</v>
      </c>
    </row>
    <row r="763" spans="1:11" x14ac:dyDescent="0.3">
      <c r="A763" s="3">
        <v>7105</v>
      </c>
      <c r="B763" s="3" t="s">
        <v>14</v>
      </c>
      <c r="C763" s="4">
        <v>45775</v>
      </c>
      <c r="D763" s="3" t="s">
        <v>15</v>
      </c>
      <c r="E763" s="3" t="s">
        <v>33</v>
      </c>
      <c r="F763" s="5">
        <v>5</v>
      </c>
      <c r="G763" s="6">
        <v>4.8099999999999996</v>
      </c>
      <c r="H763" s="6">
        <v>24.05</v>
      </c>
      <c r="I763" s="6">
        <v>2.82</v>
      </c>
      <c r="J763" s="6">
        <v>21.23</v>
      </c>
      <c r="K763" s="5">
        <v>416</v>
      </c>
    </row>
    <row r="764" spans="1:11" x14ac:dyDescent="0.3">
      <c r="A764" s="3">
        <v>3131</v>
      </c>
      <c r="B764" s="3" t="s">
        <v>26</v>
      </c>
      <c r="C764" s="4">
        <v>45577</v>
      </c>
      <c r="D764" s="3" t="s">
        <v>45</v>
      </c>
      <c r="E764" s="3" t="s">
        <v>25</v>
      </c>
      <c r="F764" s="5">
        <v>2</v>
      </c>
      <c r="G764" s="6">
        <v>5.16</v>
      </c>
      <c r="H764" s="6">
        <v>10.32</v>
      </c>
      <c r="I764" s="6">
        <v>1.55</v>
      </c>
      <c r="J764" s="6">
        <v>8.77</v>
      </c>
      <c r="K764" s="5">
        <v>458</v>
      </c>
    </row>
    <row r="765" spans="1:11" x14ac:dyDescent="0.3">
      <c r="A765" s="3">
        <v>1982</v>
      </c>
      <c r="B765" s="3" t="s">
        <v>24</v>
      </c>
      <c r="C765" s="4">
        <v>45600</v>
      </c>
      <c r="D765" s="3" t="s">
        <v>34</v>
      </c>
      <c r="E765" s="3" t="s">
        <v>21</v>
      </c>
      <c r="F765" s="5">
        <v>3</v>
      </c>
      <c r="G765" s="6">
        <v>14.14</v>
      </c>
      <c r="H765" s="6">
        <v>42.42</v>
      </c>
      <c r="I765" s="6">
        <v>4.24</v>
      </c>
      <c r="J765" s="6">
        <v>38.18</v>
      </c>
      <c r="K765" s="5">
        <v>15</v>
      </c>
    </row>
    <row r="766" spans="1:11" x14ac:dyDescent="0.3">
      <c r="A766" s="3">
        <v>6400</v>
      </c>
      <c r="B766" s="3" t="s">
        <v>11</v>
      </c>
      <c r="C766" s="4">
        <v>45665</v>
      </c>
      <c r="D766" s="3" t="s">
        <v>22</v>
      </c>
      <c r="E766" s="3" t="s">
        <v>47</v>
      </c>
      <c r="F766" s="5">
        <v>4</v>
      </c>
      <c r="G766" s="6">
        <v>25.52</v>
      </c>
      <c r="H766" s="6">
        <v>102.08</v>
      </c>
      <c r="I766" s="6">
        <v>3.3</v>
      </c>
      <c r="J766" s="6">
        <v>98.78</v>
      </c>
      <c r="K766" s="5">
        <v>144</v>
      </c>
    </row>
    <row r="767" spans="1:11" x14ac:dyDescent="0.3">
      <c r="A767" s="3">
        <v>3002</v>
      </c>
      <c r="B767" s="3" t="s">
        <v>14</v>
      </c>
      <c r="C767" s="4">
        <v>45464</v>
      </c>
      <c r="D767" s="3" t="s">
        <v>15</v>
      </c>
      <c r="E767" s="3" t="s">
        <v>32</v>
      </c>
      <c r="F767" s="5">
        <v>1</v>
      </c>
      <c r="G767" s="6">
        <v>10.44</v>
      </c>
      <c r="H767" s="6">
        <v>10.44</v>
      </c>
      <c r="I767" s="6">
        <v>1.57</v>
      </c>
      <c r="J767" s="6">
        <v>8.8699999999999992</v>
      </c>
      <c r="K767" s="5">
        <v>332</v>
      </c>
    </row>
    <row r="768" spans="1:11" x14ac:dyDescent="0.3">
      <c r="A768" s="3">
        <v>6793</v>
      </c>
      <c r="B768" s="3" t="s">
        <v>14</v>
      </c>
      <c r="C768" s="4">
        <v>45823</v>
      </c>
      <c r="D768" s="3" t="s">
        <v>45</v>
      </c>
      <c r="E768" s="3" t="s">
        <v>32</v>
      </c>
      <c r="F768" s="5">
        <v>5</v>
      </c>
      <c r="G768" s="6">
        <v>12.98</v>
      </c>
      <c r="H768" s="6">
        <v>64.900000000000006</v>
      </c>
      <c r="I768" s="6">
        <v>1.64</v>
      </c>
      <c r="J768" s="6">
        <v>63.26</v>
      </c>
      <c r="K768" s="5">
        <v>317</v>
      </c>
    </row>
    <row r="769" spans="1:11" x14ac:dyDescent="0.3">
      <c r="A769" s="3">
        <v>7929</v>
      </c>
      <c r="B769" s="3" t="s">
        <v>26</v>
      </c>
      <c r="C769" s="4">
        <v>45819</v>
      </c>
      <c r="D769" s="3" t="s">
        <v>20</v>
      </c>
      <c r="E769" s="3" t="s">
        <v>43</v>
      </c>
      <c r="F769" s="5">
        <v>3</v>
      </c>
      <c r="G769" s="6">
        <v>7.03</v>
      </c>
      <c r="H769" s="6">
        <v>21.09</v>
      </c>
      <c r="I769" s="6">
        <v>2.11</v>
      </c>
      <c r="J769" s="6">
        <v>18.98</v>
      </c>
      <c r="K769" s="5">
        <v>355</v>
      </c>
    </row>
    <row r="770" spans="1:11" x14ac:dyDescent="0.3">
      <c r="A770" s="3">
        <v>1842</v>
      </c>
      <c r="B770" s="3" t="s">
        <v>36</v>
      </c>
      <c r="C770" s="4">
        <v>45368</v>
      </c>
      <c r="D770" s="3" t="s">
        <v>38</v>
      </c>
      <c r="E770" s="3" t="s">
        <v>25</v>
      </c>
      <c r="F770" s="5">
        <v>2</v>
      </c>
      <c r="G770" s="6">
        <v>20.21</v>
      </c>
      <c r="H770" s="6">
        <v>40.42</v>
      </c>
      <c r="I770" s="6">
        <v>3.37</v>
      </c>
      <c r="J770" s="6">
        <v>37.049999999999997</v>
      </c>
      <c r="K770" s="5">
        <v>39</v>
      </c>
    </row>
    <row r="771" spans="1:11" x14ac:dyDescent="0.3">
      <c r="A771" s="3">
        <v>6119</v>
      </c>
      <c r="B771" s="3" t="s">
        <v>26</v>
      </c>
      <c r="C771" s="4">
        <v>45418</v>
      </c>
      <c r="D771" s="3" t="s">
        <v>22</v>
      </c>
      <c r="E771" s="3" t="s">
        <v>18</v>
      </c>
      <c r="F771" s="5">
        <v>1</v>
      </c>
      <c r="G771" s="6">
        <v>24.83</v>
      </c>
      <c r="H771" s="6">
        <v>24.83</v>
      </c>
      <c r="I771" s="6">
        <v>2.48</v>
      </c>
      <c r="J771" s="6">
        <v>22.35</v>
      </c>
      <c r="K771" s="5">
        <v>90</v>
      </c>
    </row>
    <row r="772" spans="1:11" x14ac:dyDescent="0.3">
      <c r="A772" s="3">
        <v>2697</v>
      </c>
      <c r="B772" s="3" t="s">
        <v>11</v>
      </c>
      <c r="C772" s="4">
        <v>45593</v>
      </c>
      <c r="D772" s="3" t="s">
        <v>28</v>
      </c>
      <c r="E772" s="3" t="s">
        <v>48</v>
      </c>
      <c r="F772" s="5">
        <v>5</v>
      </c>
      <c r="G772" s="6">
        <v>23.36</v>
      </c>
      <c r="H772" s="6">
        <v>116.8</v>
      </c>
      <c r="I772" s="6">
        <v>11.68</v>
      </c>
      <c r="J772" s="6">
        <v>105.12</v>
      </c>
      <c r="K772" s="5">
        <v>194</v>
      </c>
    </row>
    <row r="773" spans="1:11" x14ac:dyDescent="0.3">
      <c r="A773" s="3">
        <v>9313</v>
      </c>
      <c r="B773" s="3" t="s">
        <v>31</v>
      </c>
      <c r="C773" s="4">
        <v>45310</v>
      </c>
      <c r="D773" s="3" t="s">
        <v>15</v>
      </c>
      <c r="E773" s="3" t="s">
        <v>44</v>
      </c>
      <c r="F773" s="5">
        <v>2</v>
      </c>
      <c r="G773" s="6">
        <v>26.72</v>
      </c>
      <c r="H773" s="6">
        <v>53.44</v>
      </c>
      <c r="I773" s="6">
        <v>10.69</v>
      </c>
      <c r="J773" s="6">
        <v>42.75</v>
      </c>
      <c r="K773" s="5">
        <v>462</v>
      </c>
    </row>
    <row r="774" spans="1:11" x14ac:dyDescent="0.3">
      <c r="A774" s="3">
        <v>3535</v>
      </c>
      <c r="B774" s="3" t="s">
        <v>19</v>
      </c>
      <c r="C774" s="4">
        <v>45655</v>
      </c>
      <c r="D774" s="3" t="s">
        <v>45</v>
      </c>
      <c r="E774" s="3" t="s">
        <v>18</v>
      </c>
      <c r="F774" s="5">
        <v>3</v>
      </c>
      <c r="G774" s="6">
        <v>12.3</v>
      </c>
      <c r="H774" s="6">
        <v>36.9</v>
      </c>
      <c r="I774" s="6">
        <v>7.38</v>
      </c>
      <c r="J774" s="6">
        <v>29.52</v>
      </c>
      <c r="K774" s="5">
        <v>295</v>
      </c>
    </row>
    <row r="775" spans="1:11" x14ac:dyDescent="0.3">
      <c r="A775" s="3">
        <v>8900</v>
      </c>
      <c r="B775" s="3" t="s">
        <v>42</v>
      </c>
      <c r="C775" s="4">
        <v>45319</v>
      </c>
      <c r="D775" s="3" t="s">
        <v>27</v>
      </c>
      <c r="E775" s="3" t="s">
        <v>21</v>
      </c>
      <c r="F775" s="5">
        <v>3</v>
      </c>
      <c r="G775" s="6">
        <v>17.53</v>
      </c>
      <c r="H775" s="6">
        <v>52.59</v>
      </c>
      <c r="I775" s="6">
        <v>5.26</v>
      </c>
      <c r="J775" s="6">
        <v>47.33</v>
      </c>
      <c r="K775" s="5">
        <v>467</v>
      </c>
    </row>
    <row r="776" spans="1:11" x14ac:dyDescent="0.3">
      <c r="A776" s="3">
        <v>2773</v>
      </c>
      <c r="B776" s="3" t="s">
        <v>36</v>
      </c>
      <c r="C776" s="4">
        <v>45416</v>
      </c>
      <c r="D776" s="3" t="s">
        <v>15</v>
      </c>
      <c r="E776" s="3" t="s">
        <v>39</v>
      </c>
      <c r="F776" s="5">
        <v>5</v>
      </c>
      <c r="G776" s="6">
        <v>29.6</v>
      </c>
      <c r="H776" s="6">
        <v>148</v>
      </c>
      <c r="I776" s="6">
        <v>22.2</v>
      </c>
      <c r="J776" s="6">
        <v>125.8</v>
      </c>
      <c r="K776" s="5">
        <v>206</v>
      </c>
    </row>
    <row r="777" spans="1:11" x14ac:dyDescent="0.3">
      <c r="A777" s="3">
        <v>7022</v>
      </c>
      <c r="B777" s="3" t="s">
        <v>31</v>
      </c>
      <c r="C777" s="4">
        <v>45234</v>
      </c>
      <c r="D777" s="3" t="s">
        <v>22</v>
      </c>
      <c r="E777" s="3" t="s">
        <v>18</v>
      </c>
      <c r="F777" s="5">
        <v>1</v>
      </c>
      <c r="G777" s="6">
        <v>1.01</v>
      </c>
      <c r="H777" s="6">
        <v>1.01</v>
      </c>
      <c r="I777" s="6">
        <v>4.4400000000000004</v>
      </c>
      <c r="J777" s="6">
        <v>-3.43</v>
      </c>
      <c r="K777" s="5">
        <v>286</v>
      </c>
    </row>
    <row r="778" spans="1:11" x14ac:dyDescent="0.3">
      <c r="A778" s="3">
        <v>5564</v>
      </c>
      <c r="B778" s="3" t="s">
        <v>31</v>
      </c>
      <c r="C778" s="4">
        <v>45590</v>
      </c>
      <c r="D778" s="3" t="s">
        <v>17</v>
      </c>
      <c r="E778" s="3" t="s">
        <v>16</v>
      </c>
      <c r="F778" s="5">
        <v>5</v>
      </c>
      <c r="G778" s="6">
        <v>12.42</v>
      </c>
      <c r="H778" s="6">
        <v>62.1</v>
      </c>
      <c r="I778" s="6">
        <v>6.21</v>
      </c>
      <c r="J778" s="6">
        <v>55.89</v>
      </c>
      <c r="K778" s="5">
        <v>162</v>
      </c>
    </row>
    <row r="779" spans="1:11" x14ac:dyDescent="0.3">
      <c r="A779" s="3">
        <v>4705</v>
      </c>
      <c r="B779" s="3" t="s">
        <v>24</v>
      </c>
      <c r="C779" s="4">
        <v>45771</v>
      </c>
      <c r="D779" s="3" t="s">
        <v>20</v>
      </c>
      <c r="E779" s="3" t="s">
        <v>18</v>
      </c>
      <c r="F779" s="5">
        <v>2</v>
      </c>
      <c r="G779" s="6">
        <v>20.2</v>
      </c>
      <c r="H779" s="6">
        <v>40.4</v>
      </c>
      <c r="I779" s="6">
        <v>8.08</v>
      </c>
      <c r="J779" s="6">
        <v>32.32</v>
      </c>
      <c r="K779" s="5">
        <v>243</v>
      </c>
    </row>
    <row r="780" spans="1:11" x14ac:dyDescent="0.3">
      <c r="A780" s="3">
        <v>8030</v>
      </c>
      <c r="B780" s="3" t="s">
        <v>14</v>
      </c>
      <c r="C780" s="4">
        <v>45801</v>
      </c>
      <c r="D780" s="3" t="s">
        <v>20</v>
      </c>
      <c r="E780" s="3" t="s">
        <v>23</v>
      </c>
      <c r="F780" s="5">
        <v>4</v>
      </c>
      <c r="G780" s="6">
        <v>5.46</v>
      </c>
      <c r="H780" s="6">
        <v>21.84</v>
      </c>
      <c r="I780" s="6">
        <v>4.37</v>
      </c>
      <c r="J780" s="6">
        <v>17.47</v>
      </c>
      <c r="K780" s="5">
        <v>446</v>
      </c>
    </row>
    <row r="781" spans="1:11" x14ac:dyDescent="0.3">
      <c r="A781" s="3">
        <v>1430</v>
      </c>
      <c r="B781" s="3" t="s">
        <v>31</v>
      </c>
      <c r="C781" s="4">
        <v>45618</v>
      </c>
      <c r="D781" s="3" t="s">
        <v>15</v>
      </c>
      <c r="E781" s="3" t="s">
        <v>39</v>
      </c>
      <c r="F781" s="5">
        <v>2</v>
      </c>
      <c r="G781" s="6">
        <v>21.91</v>
      </c>
      <c r="H781" s="6">
        <v>43.82</v>
      </c>
      <c r="I781" s="6">
        <v>8.76</v>
      </c>
      <c r="J781" s="6">
        <v>35.06</v>
      </c>
      <c r="K781" s="5">
        <v>249</v>
      </c>
    </row>
    <row r="782" spans="1:11" x14ac:dyDescent="0.3">
      <c r="A782" s="3">
        <v>5381</v>
      </c>
      <c r="B782" s="3" t="s">
        <v>11</v>
      </c>
      <c r="C782" s="4">
        <v>45167</v>
      </c>
      <c r="D782" s="3" t="s">
        <v>34</v>
      </c>
      <c r="E782" s="3" t="s">
        <v>16</v>
      </c>
      <c r="F782" s="5">
        <v>4</v>
      </c>
      <c r="G782" s="6">
        <v>26.9</v>
      </c>
      <c r="H782" s="6">
        <v>107.6</v>
      </c>
      <c r="I782" s="6">
        <v>1.72</v>
      </c>
      <c r="J782" s="6">
        <v>105.88</v>
      </c>
      <c r="K782" s="5">
        <v>356</v>
      </c>
    </row>
    <row r="783" spans="1:11" x14ac:dyDescent="0.3">
      <c r="A783" s="3">
        <v>3955</v>
      </c>
      <c r="B783" s="3" t="s">
        <v>14</v>
      </c>
      <c r="C783" s="4">
        <v>45357</v>
      </c>
      <c r="D783" s="3" t="s">
        <v>20</v>
      </c>
      <c r="E783" s="3" t="s">
        <v>18</v>
      </c>
      <c r="F783" s="5">
        <v>4</v>
      </c>
      <c r="G783" s="6">
        <v>12.15</v>
      </c>
      <c r="H783" s="6">
        <v>48.6</v>
      </c>
      <c r="I783" s="6">
        <v>4.8600000000000003</v>
      </c>
      <c r="J783" s="6">
        <v>43.74</v>
      </c>
      <c r="K783" s="5">
        <v>115</v>
      </c>
    </row>
    <row r="784" spans="1:11" x14ac:dyDescent="0.3">
      <c r="A784" s="3">
        <v>6062</v>
      </c>
      <c r="B784" s="3" t="s">
        <v>31</v>
      </c>
      <c r="C784" s="4">
        <v>45860</v>
      </c>
      <c r="D784" s="3" t="s">
        <v>28</v>
      </c>
      <c r="E784" s="3" t="s">
        <v>47</v>
      </c>
      <c r="F784" s="5">
        <v>2</v>
      </c>
      <c r="G784" s="6">
        <v>21.64</v>
      </c>
      <c r="H784" s="6">
        <v>43.28</v>
      </c>
      <c r="I784" s="6">
        <v>3.31</v>
      </c>
      <c r="J784" s="6">
        <v>39.97</v>
      </c>
      <c r="K784" s="5">
        <v>137</v>
      </c>
    </row>
    <row r="785" spans="1:11" x14ac:dyDescent="0.3">
      <c r="A785" s="3">
        <v>6567</v>
      </c>
      <c r="B785" s="3" t="s">
        <v>31</v>
      </c>
      <c r="C785" s="4">
        <v>45417</v>
      </c>
      <c r="D785" s="3" t="s">
        <v>12</v>
      </c>
      <c r="E785" s="3" t="s">
        <v>47</v>
      </c>
      <c r="F785" s="5">
        <v>3</v>
      </c>
      <c r="G785" s="6">
        <v>4.2699999999999996</v>
      </c>
      <c r="H785" s="6">
        <v>12.81</v>
      </c>
      <c r="I785" s="6">
        <v>2.56</v>
      </c>
      <c r="J785" s="6">
        <v>10.25</v>
      </c>
      <c r="K785" s="5">
        <v>246</v>
      </c>
    </row>
    <row r="786" spans="1:11" x14ac:dyDescent="0.3">
      <c r="A786" s="3">
        <v>1100</v>
      </c>
      <c r="B786" s="3" t="s">
        <v>14</v>
      </c>
      <c r="C786" s="4">
        <v>45285</v>
      </c>
      <c r="D786" s="3" t="s">
        <v>35</v>
      </c>
      <c r="E786" s="3" t="s">
        <v>33</v>
      </c>
      <c r="F786" s="5">
        <v>5</v>
      </c>
      <c r="G786" s="6">
        <v>3.26</v>
      </c>
      <c r="H786" s="6">
        <v>16.3</v>
      </c>
      <c r="I786" s="6">
        <v>3.26</v>
      </c>
      <c r="J786" s="6">
        <v>13.04</v>
      </c>
      <c r="K786" s="5">
        <v>455</v>
      </c>
    </row>
    <row r="787" spans="1:11" x14ac:dyDescent="0.3">
      <c r="A787" s="3">
        <v>3347</v>
      </c>
      <c r="B787" s="3" t="s">
        <v>26</v>
      </c>
      <c r="C787" s="4">
        <v>45584</v>
      </c>
      <c r="D787" s="3" t="s">
        <v>27</v>
      </c>
      <c r="E787" s="3" t="s">
        <v>43</v>
      </c>
      <c r="F787" s="5">
        <v>5</v>
      </c>
      <c r="G787" s="6">
        <v>24.13</v>
      </c>
      <c r="H787" s="6">
        <v>120.65</v>
      </c>
      <c r="I787" s="6">
        <v>18.100000000000001</v>
      </c>
      <c r="J787" s="6">
        <v>102.55</v>
      </c>
      <c r="K787" s="5">
        <v>159</v>
      </c>
    </row>
    <row r="788" spans="1:11" x14ac:dyDescent="0.3">
      <c r="A788" s="3">
        <v>7566</v>
      </c>
      <c r="B788" s="3" t="s">
        <v>14</v>
      </c>
      <c r="C788" s="4">
        <v>45199</v>
      </c>
      <c r="D788" s="3" t="s">
        <v>12</v>
      </c>
      <c r="E788" s="3" t="s">
        <v>47</v>
      </c>
      <c r="F788" s="5">
        <v>4</v>
      </c>
      <c r="G788" s="6">
        <v>15.86</v>
      </c>
      <c r="H788" s="6">
        <v>63.44</v>
      </c>
      <c r="I788" s="6">
        <v>6.34</v>
      </c>
      <c r="J788" s="6">
        <v>57.1</v>
      </c>
      <c r="K788" s="5">
        <v>240</v>
      </c>
    </row>
    <row r="789" spans="1:11" x14ac:dyDescent="0.3">
      <c r="A789" s="3">
        <v>3324</v>
      </c>
      <c r="B789" s="3" t="s">
        <v>36</v>
      </c>
      <c r="C789" s="4">
        <v>45720</v>
      </c>
      <c r="D789" s="3" t="s">
        <v>35</v>
      </c>
      <c r="E789" s="3" t="s">
        <v>37</v>
      </c>
      <c r="F789" s="5">
        <v>2</v>
      </c>
      <c r="G789" s="6">
        <v>2.0099999999999998</v>
      </c>
      <c r="H789" s="6">
        <v>4.0199999999999996</v>
      </c>
      <c r="I789" s="6">
        <v>0</v>
      </c>
      <c r="J789" s="6">
        <v>4.0199999999999996</v>
      </c>
      <c r="K789" s="5">
        <v>472</v>
      </c>
    </row>
    <row r="790" spans="1:11" x14ac:dyDescent="0.3">
      <c r="A790" s="3">
        <v>1502</v>
      </c>
      <c r="B790" s="3" t="s">
        <v>30</v>
      </c>
      <c r="C790" s="4">
        <v>45216</v>
      </c>
      <c r="D790" s="3" t="s">
        <v>12</v>
      </c>
      <c r="E790" s="3" t="s">
        <v>47</v>
      </c>
      <c r="F790" s="5">
        <v>5</v>
      </c>
      <c r="G790" s="6">
        <v>5.89</v>
      </c>
      <c r="H790" s="6">
        <v>29.45</v>
      </c>
      <c r="I790" s="6">
        <v>0</v>
      </c>
      <c r="J790" s="6">
        <v>29.45</v>
      </c>
      <c r="K790" s="5">
        <v>26</v>
      </c>
    </row>
    <row r="791" spans="1:11" x14ac:dyDescent="0.3">
      <c r="A791" s="3">
        <v>9691</v>
      </c>
      <c r="B791" s="3" t="s">
        <v>31</v>
      </c>
      <c r="C791" s="4">
        <v>45312</v>
      </c>
      <c r="D791" s="3" t="s">
        <v>35</v>
      </c>
      <c r="E791" s="3" t="s">
        <v>47</v>
      </c>
      <c r="F791" s="5">
        <v>1</v>
      </c>
      <c r="G791" s="6">
        <v>4.67</v>
      </c>
      <c r="H791" s="6">
        <v>4.67</v>
      </c>
      <c r="I791" s="6">
        <v>0.7</v>
      </c>
      <c r="J791" s="6">
        <v>3.97</v>
      </c>
      <c r="K791" s="5">
        <v>39</v>
      </c>
    </row>
    <row r="792" spans="1:11" x14ac:dyDescent="0.3">
      <c r="A792" s="3">
        <v>7163</v>
      </c>
      <c r="B792" s="3" t="s">
        <v>19</v>
      </c>
      <c r="C792" s="4">
        <v>45471</v>
      </c>
      <c r="D792" s="3" t="s">
        <v>28</v>
      </c>
      <c r="E792" s="3" t="s">
        <v>13</v>
      </c>
      <c r="F792" s="5">
        <v>3</v>
      </c>
      <c r="G792" s="6">
        <v>25.87</v>
      </c>
      <c r="H792" s="6">
        <v>77.61</v>
      </c>
      <c r="I792" s="6">
        <v>1.7</v>
      </c>
      <c r="J792" s="6">
        <v>75.91</v>
      </c>
      <c r="K792" s="5">
        <v>7</v>
      </c>
    </row>
    <row r="793" spans="1:11" x14ac:dyDescent="0.3">
      <c r="A793" s="3">
        <v>8432</v>
      </c>
      <c r="B793" s="3" t="s">
        <v>19</v>
      </c>
      <c r="C793" s="4">
        <v>45409</v>
      </c>
      <c r="D793" s="3" t="s">
        <v>27</v>
      </c>
      <c r="E793" s="3" t="s">
        <v>33</v>
      </c>
      <c r="F793" s="5">
        <v>3</v>
      </c>
      <c r="G793" s="6">
        <v>24.42</v>
      </c>
      <c r="H793" s="6">
        <v>73.260000000000005</v>
      </c>
      <c r="I793" s="6">
        <v>7.33</v>
      </c>
      <c r="J793" s="6">
        <v>65.930000000000007</v>
      </c>
      <c r="K793" s="5">
        <v>133</v>
      </c>
    </row>
    <row r="794" spans="1:11" x14ac:dyDescent="0.3">
      <c r="A794" s="3">
        <v>3578</v>
      </c>
      <c r="B794" s="3" t="s">
        <v>19</v>
      </c>
      <c r="C794" s="4">
        <v>45432</v>
      </c>
      <c r="D794" s="3" t="s">
        <v>38</v>
      </c>
      <c r="E794" s="3" t="s">
        <v>40</v>
      </c>
      <c r="F794" s="5">
        <v>3</v>
      </c>
      <c r="G794" s="6">
        <v>29.53</v>
      </c>
      <c r="H794" s="6">
        <v>88.59</v>
      </c>
      <c r="I794" s="6">
        <v>4.74</v>
      </c>
      <c r="J794" s="6">
        <v>83.85</v>
      </c>
      <c r="K794" s="5">
        <v>495</v>
      </c>
    </row>
    <row r="795" spans="1:11" x14ac:dyDescent="0.3">
      <c r="A795" s="3">
        <v>6105</v>
      </c>
      <c r="B795" s="3" t="s">
        <v>19</v>
      </c>
      <c r="C795" s="4">
        <v>45705</v>
      </c>
      <c r="D795" s="3" t="s">
        <v>45</v>
      </c>
      <c r="E795" s="3" t="s">
        <v>16</v>
      </c>
      <c r="F795" s="5">
        <v>4</v>
      </c>
      <c r="G795" s="6">
        <v>7.89</v>
      </c>
      <c r="H795" s="6">
        <v>31.56</v>
      </c>
      <c r="I795" s="6">
        <v>6.31</v>
      </c>
      <c r="J795" s="6">
        <v>25.25</v>
      </c>
      <c r="K795" s="5">
        <v>225</v>
      </c>
    </row>
    <row r="796" spans="1:11" x14ac:dyDescent="0.3">
      <c r="A796" s="3">
        <v>6314</v>
      </c>
      <c r="B796" s="3" t="s">
        <v>36</v>
      </c>
      <c r="C796" s="4">
        <v>45748</v>
      </c>
      <c r="D796" s="3" t="s">
        <v>12</v>
      </c>
      <c r="E796" s="3" t="s">
        <v>13</v>
      </c>
      <c r="F796" s="5">
        <v>1</v>
      </c>
      <c r="G796" s="6">
        <v>2.5099999999999998</v>
      </c>
      <c r="H796" s="6">
        <v>2.5099999999999998</v>
      </c>
      <c r="I796" s="6">
        <v>0.25</v>
      </c>
      <c r="J796" s="6">
        <v>2.2599999999999998</v>
      </c>
      <c r="K796" s="5">
        <v>237</v>
      </c>
    </row>
    <row r="797" spans="1:11" x14ac:dyDescent="0.3">
      <c r="A797" s="3">
        <v>2391</v>
      </c>
      <c r="B797" s="3" t="s">
        <v>30</v>
      </c>
      <c r="C797" s="4">
        <v>45831</v>
      </c>
      <c r="D797" s="3" t="s">
        <v>45</v>
      </c>
      <c r="E797" s="3" t="s">
        <v>18</v>
      </c>
      <c r="F797" s="5">
        <v>2</v>
      </c>
      <c r="G797" s="6">
        <v>12</v>
      </c>
      <c r="H797" s="6">
        <v>24</v>
      </c>
      <c r="I797" s="6">
        <v>2.4</v>
      </c>
      <c r="J797" s="6">
        <v>21.6</v>
      </c>
      <c r="K797" s="5">
        <v>361</v>
      </c>
    </row>
    <row r="798" spans="1:11" x14ac:dyDescent="0.3">
      <c r="A798" s="3">
        <v>1861</v>
      </c>
      <c r="B798" s="3" t="s">
        <v>30</v>
      </c>
      <c r="C798" s="4">
        <v>45265</v>
      </c>
      <c r="D798" s="3" t="s">
        <v>34</v>
      </c>
      <c r="E798" s="3" t="s">
        <v>46</v>
      </c>
      <c r="F798" s="5">
        <v>4</v>
      </c>
      <c r="G798" s="6">
        <v>1.33</v>
      </c>
      <c r="H798" s="6">
        <v>5.32</v>
      </c>
      <c r="I798" s="6">
        <v>0.53</v>
      </c>
      <c r="J798" s="6">
        <v>4.79</v>
      </c>
      <c r="K798" s="5">
        <v>474</v>
      </c>
    </row>
    <row r="799" spans="1:11" x14ac:dyDescent="0.3">
      <c r="A799" s="3">
        <v>3579</v>
      </c>
      <c r="B799" s="3" t="s">
        <v>36</v>
      </c>
      <c r="C799" s="4">
        <v>45730</v>
      </c>
      <c r="D799" s="3" t="s">
        <v>38</v>
      </c>
      <c r="E799" s="3" t="s">
        <v>40</v>
      </c>
      <c r="F799" s="5">
        <v>1</v>
      </c>
      <c r="G799" s="6">
        <v>27.6</v>
      </c>
      <c r="H799" s="6">
        <v>27.6</v>
      </c>
      <c r="I799" s="6">
        <v>2.76</v>
      </c>
      <c r="J799" s="6">
        <v>24.84</v>
      </c>
      <c r="K799" s="5">
        <v>326</v>
      </c>
    </row>
    <row r="800" spans="1:11" x14ac:dyDescent="0.3">
      <c r="A800" s="3">
        <v>1815</v>
      </c>
      <c r="B800" s="3" t="s">
        <v>30</v>
      </c>
      <c r="C800" s="4">
        <v>45668</v>
      </c>
      <c r="D800" s="3" t="s">
        <v>22</v>
      </c>
      <c r="E800" s="3" t="s">
        <v>13</v>
      </c>
      <c r="F800" s="5">
        <v>3</v>
      </c>
      <c r="G800" s="6">
        <v>24.26</v>
      </c>
      <c r="H800" s="6">
        <v>72.78</v>
      </c>
      <c r="I800" s="6">
        <v>7.28</v>
      </c>
      <c r="J800" s="6">
        <v>65.5</v>
      </c>
      <c r="K800" s="5">
        <v>130</v>
      </c>
    </row>
    <row r="801" spans="1:11" x14ac:dyDescent="0.3">
      <c r="A801" s="3">
        <v>2336</v>
      </c>
      <c r="B801" s="3" t="s">
        <v>42</v>
      </c>
      <c r="C801" s="4">
        <v>45356</v>
      </c>
      <c r="D801" s="3" t="s">
        <v>27</v>
      </c>
      <c r="E801" s="3" t="s">
        <v>44</v>
      </c>
      <c r="F801" s="5">
        <v>5</v>
      </c>
      <c r="G801" s="6">
        <v>10.77</v>
      </c>
      <c r="H801" s="6">
        <v>53.85</v>
      </c>
      <c r="I801" s="6">
        <v>8.08</v>
      </c>
      <c r="J801" s="6">
        <v>45.77</v>
      </c>
      <c r="K801" s="5">
        <v>353</v>
      </c>
    </row>
    <row r="802" spans="1:11" x14ac:dyDescent="0.3">
      <c r="A802" s="3">
        <v>8259</v>
      </c>
      <c r="B802" s="3" t="s">
        <v>14</v>
      </c>
      <c r="C802" s="4">
        <v>45659</v>
      </c>
      <c r="D802" s="3" t="s">
        <v>12</v>
      </c>
      <c r="E802" s="3" t="s">
        <v>39</v>
      </c>
      <c r="F802" s="5">
        <v>1</v>
      </c>
      <c r="G802" s="6">
        <v>1.34</v>
      </c>
      <c r="H802" s="6">
        <v>1.34</v>
      </c>
      <c r="I802" s="6">
        <v>0</v>
      </c>
      <c r="J802" s="6">
        <v>1.34</v>
      </c>
      <c r="K802" s="5">
        <v>50</v>
      </c>
    </row>
    <row r="803" spans="1:11" x14ac:dyDescent="0.3">
      <c r="A803" s="3">
        <v>7947</v>
      </c>
      <c r="B803" s="3" t="s">
        <v>26</v>
      </c>
      <c r="C803" s="4">
        <v>45522</v>
      </c>
      <c r="D803" s="3" t="s">
        <v>22</v>
      </c>
      <c r="E803" s="3" t="s">
        <v>25</v>
      </c>
      <c r="F803" s="5">
        <v>3</v>
      </c>
      <c r="G803" s="6">
        <v>8.2899999999999991</v>
      </c>
      <c r="H803" s="6">
        <v>24.87</v>
      </c>
      <c r="I803" s="6">
        <v>1.37</v>
      </c>
      <c r="J803" s="6">
        <v>23.5</v>
      </c>
      <c r="K803" s="5">
        <v>17</v>
      </c>
    </row>
    <row r="804" spans="1:11" x14ac:dyDescent="0.3">
      <c r="A804" s="3">
        <v>8242</v>
      </c>
      <c r="B804" s="3" t="s">
        <v>42</v>
      </c>
      <c r="C804" s="4">
        <v>45466</v>
      </c>
      <c r="D804" s="3" t="s">
        <v>28</v>
      </c>
      <c r="E804" s="3" t="s">
        <v>48</v>
      </c>
      <c r="F804" s="5">
        <v>1</v>
      </c>
      <c r="G804" s="6">
        <v>3.5</v>
      </c>
      <c r="H804" s="6">
        <v>3.5</v>
      </c>
      <c r="I804" s="6">
        <v>0.35</v>
      </c>
      <c r="J804" s="6">
        <v>3.15</v>
      </c>
      <c r="K804" s="5">
        <v>309</v>
      </c>
    </row>
    <row r="805" spans="1:11" x14ac:dyDescent="0.3">
      <c r="A805" s="3">
        <v>5475</v>
      </c>
      <c r="B805" s="3" t="s">
        <v>19</v>
      </c>
      <c r="C805" s="4">
        <v>45312</v>
      </c>
      <c r="D805" s="3" t="s">
        <v>15</v>
      </c>
      <c r="E805" s="3" t="s">
        <v>29</v>
      </c>
      <c r="F805" s="5">
        <v>3</v>
      </c>
      <c r="G805" s="6">
        <v>9.5299999999999994</v>
      </c>
      <c r="H805" s="6">
        <v>28.59</v>
      </c>
      <c r="I805" s="6">
        <v>0</v>
      </c>
      <c r="J805" s="6">
        <v>28.59</v>
      </c>
      <c r="K805" s="5">
        <v>338</v>
      </c>
    </row>
    <row r="806" spans="1:11" x14ac:dyDescent="0.3">
      <c r="A806" s="3">
        <v>9394</v>
      </c>
      <c r="B806" s="3" t="s">
        <v>26</v>
      </c>
      <c r="C806" s="4">
        <v>45233</v>
      </c>
      <c r="D806" s="3" t="s">
        <v>35</v>
      </c>
      <c r="E806" s="3" t="s">
        <v>16</v>
      </c>
      <c r="F806" s="5">
        <v>3</v>
      </c>
      <c r="G806" s="6">
        <v>8.4499999999999993</v>
      </c>
      <c r="H806" s="6">
        <v>25.35</v>
      </c>
      <c r="I806" s="6">
        <v>3.8</v>
      </c>
      <c r="J806" s="6">
        <v>21.55</v>
      </c>
      <c r="K806" s="5">
        <v>399</v>
      </c>
    </row>
    <row r="807" spans="1:11" x14ac:dyDescent="0.3">
      <c r="A807" s="3">
        <v>6655</v>
      </c>
      <c r="B807" s="3" t="s">
        <v>31</v>
      </c>
      <c r="C807" s="4">
        <v>45478</v>
      </c>
      <c r="D807" s="3" t="s">
        <v>20</v>
      </c>
      <c r="E807" s="3" t="s">
        <v>32</v>
      </c>
      <c r="F807" s="5">
        <v>3</v>
      </c>
      <c r="G807" s="6">
        <v>29.87</v>
      </c>
      <c r="H807" s="6">
        <v>89.61</v>
      </c>
      <c r="I807" s="6">
        <v>17.920000000000002</v>
      </c>
      <c r="J807" s="6">
        <v>71.69</v>
      </c>
      <c r="K807" s="5">
        <v>132</v>
      </c>
    </row>
    <row r="808" spans="1:11" x14ac:dyDescent="0.3">
      <c r="A808" s="3">
        <v>2816</v>
      </c>
      <c r="B808" s="3" t="s">
        <v>26</v>
      </c>
      <c r="C808" s="4">
        <v>45365</v>
      </c>
      <c r="D808" s="3" t="s">
        <v>15</v>
      </c>
      <c r="E808" s="3" t="s">
        <v>47</v>
      </c>
      <c r="F808" s="5">
        <v>2</v>
      </c>
      <c r="G808" s="6">
        <v>18.690000000000001</v>
      </c>
      <c r="H808" s="6">
        <v>37.380000000000003</v>
      </c>
      <c r="I808" s="6">
        <v>1.58</v>
      </c>
      <c r="J808" s="6">
        <v>35.799999999999997</v>
      </c>
      <c r="K808" s="5">
        <v>91</v>
      </c>
    </row>
    <row r="809" spans="1:11" x14ac:dyDescent="0.3">
      <c r="A809" s="3">
        <v>8972</v>
      </c>
      <c r="B809" s="3" t="s">
        <v>24</v>
      </c>
      <c r="C809" s="4">
        <v>45554</v>
      </c>
      <c r="D809" s="3" t="s">
        <v>17</v>
      </c>
      <c r="E809" s="3" t="s">
        <v>48</v>
      </c>
      <c r="F809" s="5">
        <v>4</v>
      </c>
      <c r="G809" s="6">
        <v>21.74</v>
      </c>
      <c r="H809" s="6">
        <v>86.96</v>
      </c>
      <c r="I809" s="6">
        <v>1.28</v>
      </c>
      <c r="J809" s="6">
        <v>85.68</v>
      </c>
      <c r="K809" s="5">
        <v>52</v>
      </c>
    </row>
    <row r="810" spans="1:11" x14ac:dyDescent="0.3">
      <c r="A810" s="3">
        <v>6053</v>
      </c>
      <c r="B810" s="3" t="s">
        <v>30</v>
      </c>
      <c r="C810" s="4">
        <v>45180</v>
      </c>
      <c r="D810" s="3" t="s">
        <v>45</v>
      </c>
      <c r="E810" s="3" t="s">
        <v>39</v>
      </c>
      <c r="F810" s="5">
        <v>4</v>
      </c>
      <c r="G810" s="6">
        <v>5.31</v>
      </c>
      <c r="H810" s="6">
        <v>21.24</v>
      </c>
      <c r="I810" s="6">
        <v>3.66</v>
      </c>
      <c r="J810" s="6">
        <v>17.579999999999998</v>
      </c>
      <c r="K810" s="5">
        <v>327</v>
      </c>
    </row>
    <row r="811" spans="1:11" x14ac:dyDescent="0.3">
      <c r="A811" s="3">
        <v>4612</v>
      </c>
      <c r="B811" s="3" t="s">
        <v>30</v>
      </c>
      <c r="C811" s="4">
        <v>45452</v>
      </c>
      <c r="D811" s="3" t="s">
        <v>34</v>
      </c>
      <c r="E811" s="3" t="s">
        <v>21</v>
      </c>
      <c r="F811" s="5">
        <v>4</v>
      </c>
      <c r="G811" s="6">
        <v>17.649999999999999</v>
      </c>
      <c r="H811" s="6">
        <v>70.599999999999994</v>
      </c>
      <c r="I811" s="6">
        <v>7.06</v>
      </c>
      <c r="J811" s="6">
        <v>63.54</v>
      </c>
      <c r="K811" s="5">
        <v>263</v>
      </c>
    </row>
    <row r="812" spans="1:11" x14ac:dyDescent="0.3">
      <c r="A812" s="3">
        <v>1897</v>
      </c>
      <c r="B812" s="3" t="s">
        <v>24</v>
      </c>
      <c r="C812" s="4">
        <v>45150</v>
      </c>
      <c r="D812" s="3" t="s">
        <v>20</v>
      </c>
      <c r="E812" s="3" t="s">
        <v>43</v>
      </c>
      <c r="F812" s="5">
        <v>5</v>
      </c>
      <c r="G812" s="6">
        <v>7.54</v>
      </c>
      <c r="H812" s="6">
        <v>37.700000000000003</v>
      </c>
      <c r="I812" s="6">
        <v>3.27</v>
      </c>
      <c r="J812" s="6">
        <v>34.43</v>
      </c>
      <c r="K812" s="5">
        <v>196</v>
      </c>
    </row>
    <row r="813" spans="1:11" x14ac:dyDescent="0.3">
      <c r="A813" s="3">
        <v>4349</v>
      </c>
      <c r="B813" s="3" t="s">
        <v>36</v>
      </c>
      <c r="C813" s="4">
        <v>45379</v>
      </c>
      <c r="D813" s="3" t="s">
        <v>22</v>
      </c>
      <c r="E813" s="3" t="s">
        <v>37</v>
      </c>
      <c r="F813" s="5">
        <v>4</v>
      </c>
      <c r="G813" s="6">
        <v>2.59</v>
      </c>
      <c r="H813" s="6">
        <v>10.36</v>
      </c>
      <c r="I813" s="6">
        <v>1.55</v>
      </c>
      <c r="J813" s="6">
        <v>8.81</v>
      </c>
      <c r="K813" s="5">
        <v>490</v>
      </c>
    </row>
    <row r="814" spans="1:11" x14ac:dyDescent="0.3">
      <c r="A814" s="3">
        <v>4460</v>
      </c>
      <c r="B814" s="3" t="s">
        <v>14</v>
      </c>
      <c r="C814" s="4">
        <v>45741</v>
      </c>
      <c r="D814" s="3" t="s">
        <v>22</v>
      </c>
      <c r="E814" s="3" t="s">
        <v>43</v>
      </c>
      <c r="F814" s="5">
        <v>4</v>
      </c>
      <c r="G814" s="6">
        <v>23.04</v>
      </c>
      <c r="H814" s="6">
        <v>92.16</v>
      </c>
      <c r="I814" s="6">
        <v>18.43</v>
      </c>
      <c r="J814" s="6">
        <v>73.73</v>
      </c>
      <c r="K814" s="5">
        <v>148</v>
      </c>
    </row>
    <row r="815" spans="1:11" x14ac:dyDescent="0.3">
      <c r="A815" s="3">
        <v>3248</v>
      </c>
      <c r="B815" s="3" t="s">
        <v>14</v>
      </c>
      <c r="C815" s="4">
        <v>45738</v>
      </c>
      <c r="D815" s="3" t="s">
        <v>12</v>
      </c>
      <c r="E815" s="3" t="s">
        <v>32</v>
      </c>
      <c r="F815" s="5">
        <v>2</v>
      </c>
      <c r="G815" s="6">
        <v>9.66</v>
      </c>
      <c r="H815" s="6">
        <v>19.32</v>
      </c>
      <c r="I815" s="6">
        <v>0</v>
      </c>
      <c r="J815" s="6">
        <v>19.32</v>
      </c>
      <c r="K815" s="5">
        <v>199</v>
      </c>
    </row>
    <row r="816" spans="1:11" x14ac:dyDescent="0.3">
      <c r="A816" s="3">
        <v>5186</v>
      </c>
      <c r="B816" s="3" t="s">
        <v>36</v>
      </c>
      <c r="C816" s="4">
        <v>45369</v>
      </c>
      <c r="D816" s="3" t="s">
        <v>45</v>
      </c>
      <c r="E816" s="3" t="s">
        <v>43</v>
      </c>
      <c r="F816" s="5">
        <v>4</v>
      </c>
      <c r="G816" s="6">
        <v>22.31</v>
      </c>
      <c r="H816" s="6">
        <v>89.24</v>
      </c>
      <c r="I816" s="6">
        <v>17.850000000000001</v>
      </c>
      <c r="J816" s="6">
        <v>71.39</v>
      </c>
      <c r="K816" s="5">
        <v>71</v>
      </c>
    </row>
    <row r="817" spans="1:11" x14ac:dyDescent="0.3">
      <c r="A817" s="3">
        <v>6375</v>
      </c>
      <c r="B817" s="3" t="s">
        <v>31</v>
      </c>
      <c r="C817" s="4">
        <v>45238</v>
      </c>
      <c r="D817" s="3" t="s">
        <v>28</v>
      </c>
      <c r="E817" s="3" t="s">
        <v>25</v>
      </c>
      <c r="F817" s="5">
        <v>4</v>
      </c>
      <c r="G817" s="6">
        <v>12.26</v>
      </c>
      <c r="H817" s="6">
        <v>49.04</v>
      </c>
      <c r="I817" s="6">
        <v>4.9000000000000004</v>
      </c>
      <c r="J817" s="6">
        <v>44.14</v>
      </c>
      <c r="K817" s="5">
        <v>405</v>
      </c>
    </row>
    <row r="818" spans="1:11" x14ac:dyDescent="0.3">
      <c r="A818" s="3">
        <v>1126</v>
      </c>
      <c r="B818" s="3" t="s">
        <v>14</v>
      </c>
      <c r="C818" s="4">
        <v>45531</v>
      </c>
      <c r="D818" s="3" t="s">
        <v>45</v>
      </c>
      <c r="E818" s="3" t="s">
        <v>39</v>
      </c>
      <c r="F818" s="5">
        <v>1</v>
      </c>
      <c r="G818" s="6">
        <v>10.83</v>
      </c>
      <c r="H818" s="6">
        <v>10.83</v>
      </c>
      <c r="I818" s="6">
        <v>1.08</v>
      </c>
      <c r="J818" s="6">
        <v>9.75</v>
      </c>
      <c r="K818" s="5">
        <v>172</v>
      </c>
    </row>
    <row r="819" spans="1:11" x14ac:dyDescent="0.3">
      <c r="A819" s="3">
        <v>8055</v>
      </c>
      <c r="B819" s="3" t="s">
        <v>11</v>
      </c>
      <c r="C819" s="4">
        <v>45281</v>
      </c>
      <c r="D819" s="3" t="s">
        <v>17</v>
      </c>
      <c r="E819" s="3" t="s">
        <v>46</v>
      </c>
      <c r="F819" s="5">
        <v>4</v>
      </c>
      <c r="G819" s="6">
        <v>28.25</v>
      </c>
      <c r="H819" s="6">
        <v>113</v>
      </c>
      <c r="I819" s="6">
        <v>0</v>
      </c>
      <c r="J819" s="6">
        <v>113</v>
      </c>
      <c r="K819" s="5">
        <v>445</v>
      </c>
    </row>
    <row r="820" spans="1:11" x14ac:dyDescent="0.3">
      <c r="A820" s="3">
        <v>3116</v>
      </c>
      <c r="B820" s="3" t="s">
        <v>42</v>
      </c>
      <c r="C820" s="4">
        <v>45440</v>
      </c>
      <c r="D820" s="3" t="s">
        <v>15</v>
      </c>
      <c r="E820" s="3" t="s">
        <v>40</v>
      </c>
      <c r="F820" s="5">
        <v>2</v>
      </c>
      <c r="G820" s="6">
        <v>15.17</v>
      </c>
      <c r="H820" s="6">
        <v>30.34</v>
      </c>
      <c r="I820" s="6">
        <v>1.18</v>
      </c>
      <c r="J820" s="6">
        <v>29.16</v>
      </c>
      <c r="K820" s="5">
        <v>9</v>
      </c>
    </row>
    <row r="821" spans="1:11" x14ac:dyDescent="0.3">
      <c r="A821" s="3">
        <v>9725</v>
      </c>
      <c r="B821" s="3" t="s">
        <v>19</v>
      </c>
      <c r="C821" s="4">
        <v>45691</v>
      </c>
      <c r="D821" s="3" t="s">
        <v>12</v>
      </c>
      <c r="E821" s="3" t="s">
        <v>29</v>
      </c>
      <c r="F821" s="5">
        <v>1</v>
      </c>
      <c r="G821" s="6">
        <v>27.23</v>
      </c>
      <c r="H821" s="6">
        <v>27.23</v>
      </c>
      <c r="I821" s="6">
        <v>2.72</v>
      </c>
      <c r="J821" s="6">
        <v>24.51</v>
      </c>
      <c r="K821" s="5">
        <v>420</v>
      </c>
    </row>
    <row r="822" spans="1:11" x14ac:dyDescent="0.3">
      <c r="A822" s="3">
        <v>4770</v>
      </c>
      <c r="B822" s="3" t="s">
        <v>19</v>
      </c>
      <c r="C822" s="4">
        <v>45533</v>
      </c>
      <c r="D822" s="3" t="s">
        <v>28</v>
      </c>
      <c r="E822" s="3" t="s">
        <v>43</v>
      </c>
      <c r="F822" s="5">
        <v>1</v>
      </c>
      <c r="G822" s="6">
        <v>4.3</v>
      </c>
      <c r="H822" s="6">
        <v>4.3</v>
      </c>
      <c r="I822" s="6">
        <v>4.22</v>
      </c>
      <c r="J822" s="6">
        <v>0.08</v>
      </c>
      <c r="K822" s="5">
        <v>304</v>
      </c>
    </row>
    <row r="823" spans="1:11" x14ac:dyDescent="0.3">
      <c r="A823" s="3">
        <v>6802</v>
      </c>
      <c r="B823" s="3" t="s">
        <v>24</v>
      </c>
      <c r="C823" s="4">
        <v>45200</v>
      </c>
      <c r="D823" s="3" t="s">
        <v>22</v>
      </c>
      <c r="E823" s="3" t="s">
        <v>32</v>
      </c>
      <c r="F823" s="5">
        <v>3</v>
      </c>
      <c r="G823" s="6">
        <v>4.49</v>
      </c>
      <c r="H823" s="6">
        <v>13.47</v>
      </c>
      <c r="I823" s="6">
        <v>2.02</v>
      </c>
      <c r="J823" s="6">
        <v>11.45</v>
      </c>
      <c r="K823" s="5">
        <v>350</v>
      </c>
    </row>
    <row r="824" spans="1:11" x14ac:dyDescent="0.3">
      <c r="A824" s="3">
        <v>7505</v>
      </c>
      <c r="B824" s="3" t="s">
        <v>42</v>
      </c>
      <c r="C824" s="4">
        <v>45814</v>
      </c>
      <c r="D824" s="3" t="s">
        <v>12</v>
      </c>
      <c r="E824" s="3" t="s">
        <v>29</v>
      </c>
      <c r="F824" s="5">
        <v>3</v>
      </c>
      <c r="G824" s="6">
        <v>2.82</v>
      </c>
      <c r="H824" s="6">
        <v>8.4600000000000009</v>
      </c>
      <c r="I824" s="6">
        <v>0.85</v>
      </c>
      <c r="J824" s="6">
        <v>7.61</v>
      </c>
      <c r="K824" s="5">
        <v>140</v>
      </c>
    </row>
    <row r="825" spans="1:11" x14ac:dyDescent="0.3">
      <c r="A825" s="3">
        <v>1693</v>
      </c>
      <c r="B825" s="3" t="s">
        <v>19</v>
      </c>
      <c r="C825" s="4">
        <v>45483</v>
      </c>
      <c r="D825" s="3" t="s">
        <v>22</v>
      </c>
      <c r="E825" s="3" t="s">
        <v>18</v>
      </c>
      <c r="F825" s="5">
        <v>2</v>
      </c>
      <c r="G825" s="6">
        <v>13.71</v>
      </c>
      <c r="H825" s="6">
        <v>27.42</v>
      </c>
      <c r="I825" s="6">
        <v>5.48</v>
      </c>
      <c r="J825" s="6">
        <v>21.94</v>
      </c>
      <c r="K825" s="5">
        <v>473</v>
      </c>
    </row>
    <row r="826" spans="1:11" x14ac:dyDescent="0.3">
      <c r="A826" s="3">
        <v>1307</v>
      </c>
      <c r="B826" s="3" t="s">
        <v>11</v>
      </c>
      <c r="C826" s="4">
        <v>45502</v>
      </c>
      <c r="D826" s="3" t="s">
        <v>27</v>
      </c>
      <c r="E826" s="3" t="s">
        <v>32</v>
      </c>
      <c r="F826" s="5">
        <v>2</v>
      </c>
      <c r="G826" s="6">
        <v>1.44</v>
      </c>
      <c r="H826" s="6">
        <v>2.88</v>
      </c>
      <c r="I826" s="6">
        <v>1.03</v>
      </c>
      <c r="J826" s="6">
        <v>1.85</v>
      </c>
      <c r="K826" s="5">
        <v>249</v>
      </c>
    </row>
    <row r="827" spans="1:11" x14ac:dyDescent="0.3">
      <c r="A827" s="3">
        <v>2275</v>
      </c>
      <c r="B827" s="3" t="s">
        <v>11</v>
      </c>
      <c r="C827" s="4">
        <v>45814</v>
      </c>
      <c r="D827" s="3" t="s">
        <v>27</v>
      </c>
      <c r="E827" s="3" t="s">
        <v>37</v>
      </c>
      <c r="F827" s="5">
        <v>4</v>
      </c>
      <c r="G827" s="6">
        <v>21.1</v>
      </c>
      <c r="H827" s="6">
        <v>84.4</v>
      </c>
      <c r="I827" s="6">
        <v>0</v>
      </c>
      <c r="J827" s="6">
        <v>84.4</v>
      </c>
      <c r="K827" s="5">
        <v>405</v>
      </c>
    </row>
    <row r="828" spans="1:11" x14ac:dyDescent="0.3">
      <c r="A828" s="3">
        <v>6129</v>
      </c>
      <c r="B828" s="3" t="s">
        <v>19</v>
      </c>
      <c r="C828" s="4">
        <v>45592</v>
      </c>
      <c r="D828" s="3" t="s">
        <v>17</v>
      </c>
      <c r="E828" s="3" t="s">
        <v>41</v>
      </c>
      <c r="F828" s="5">
        <v>3</v>
      </c>
      <c r="G828" s="6">
        <v>16.16</v>
      </c>
      <c r="H828" s="6">
        <v>48.48</v>
      </c>
      <c r="I828" s="6">
        <v>9.6999999999999993</v>
      </c>
      <c r="J828" s="6">
        <v>38.78</v>
      </c>
      <c r="K828" s="5">
        <v>210</v>
      </c>
    </row>
    <row r="829" spans="1:11" x14ac:dyDescent="0.3">
      <c r="A829" s="3">
        <v>8033</v>
      </c>
      <c r="B829" s="3" t="s">
        <v>31</v>
      </c>
      <c r="C829" s="4">
        <v>45590</v>
      </c>
      <c r="D829" s="3" t="s">
        <v>28</v>
      </c>
      <c r="E829" s="3" t="s">
        <v>29</v>
      </c>
      <c r="F829" s="5">
        <v>4</v>
      </c>
      <c r="G829" s="6">
        <v>18.739999999999998</v>
      </c>
      <c r="H829" s="6">
        <v>74.959999999999994</v>
      </c>
      <c r="I829" s="6">
        <v>11.24</v>
      </c>
      <c r="J829" s="6">
        <v>63.72</v>
      </c>
      <c r="K829" s="5">
        <v>45</v>
      </c>
    </row>
    <row r="830" spans="1:11" x14ac:dyDescent="0.3">
      <c r="A830" s="3">
        <v>7626</v>
      </c>
      <c r="B830" s="3" t="s">
        <v>24</v>
      </c>
      <c r="C830" s="4">
        <v>45696</v>
      </c>
      <c r="D830" s="3" t="s">
        <v>12</v>
      </c>
      <c r="E830" s="3" t="s">
        <v>18</v>
      </c>
      <c r="F830" s="5">
        <v>2</v>
      </c>
      <c r="G830" s="6">
        <v>6.56</v>
      </c>
      <c r="H830" s="6">
        <v>13.12</v>
      </c>
      <c r="I830" s="6">
        <v>2.4500000000000002</v>
      </c>
      <c r="J830" s="6">
        <v>10.67</v>
      </c>
      <c r="K830" s="5">
        <v>271</v>
      </c>
    </row>
    <row r="831" spans="1:11" x14ac:dyDescent="0.3">
      <c r="A831" s="3">
        <v>7843</v>
      </c>
      <c r="B831" s="3" t="s">
        <v>14</v>
      </c>
      <c r="C831" s="4">
        <v>45369</v>
      </c>
      <c r="D831" s="3" t="s">
        <v>38</v>
      </c>
      <c r="E831" s="3" t="s">
        <v>25</v>
      </c>
      <c r="F831" s="5">
        <v>4</v>
      </c>
      <c r="G831" s="6">
        <v>23.33</v>
      </c>
      <c r="H831" s="6">
        <v>93.32</v>
      </c>
      <c r="I831" s="6">
        <v>14</v>
      </c>
      <c r="J831" s="6">
        <v>79.319999999999993</v>
      </c>
      <c r="K831" s="5">
        <v>337</v>
      </c>
    </row>
    <row r="832" spans="1:11" x14ac:dyDescent="0.3">
      <c r="A832" s="3">
        <v>2887</v>
      </c>
      <c r="B832" s="3" t="s">
        <v>31</v>
      </c>
      <c r="C832" s="4">
        <v>45459</v>
      </c>
      <c r="D832" s="3" t="s">
        <v>17</v>
      </c>
      <c r="E832" s="3" t="s">
        <v>48</v>
      </c>
      <c r="F832" s="5">
        <v>2</v>
      </c>
      <c r="G832" s="6">
        <v>20.86</v>
      </c>
      <c r="H832" s="6">
        <v>41.72</v>
      </c>
      <c r="I832" s="6">
        <v>4.17</v>
      </c>
      <c r="J832" s="6">
        <v>37.549999999999997</v>
      </c>
      <c r="K832" s="5">
        <v>495</v>
      </c>
    </row>
    <row r="833" spans="1:11" x14ac:dyDescent="0.3">
      <c r="A833" s="3">
        <v>1341</v>
      </c>
      <c r="B833" s="3" t="s">
        <v>19</v>
      </c>
      <c r="C833" s="4">
        <v>45397</v>
      </c>
      <c r="D833" s="3" t="s">
        <v>34</v>
      </c>
      <c r="E833" s="3" t="s">
        <v>40</v>
      </c>
      <c r="F833" s="5">
        <v>1</v>
      </c>
      <c r="G833" s="6">
        <v>19.690000000000001</v>
      </c>
      <c r="H833" s="6">
        <v>19.690000000000001</v>
      </c>
      <c r="I833" s="6">
        <v>1.97</v>
      </c>
      <c r="J833" s="6">
        <v>17.72</v>
      </c>
      <c r="K833" s="5">
        <v>145</v>
      </c>
    </row>
    <row r="834" spans="1:11" x14ac:dyDescent="0.3">
      <c r="A834" s="3">
        <v>3815</v>
      </c>
      <c r="B834" s="3" t="s">
        <v>30</v>
      </c>
      <c r="C834" s="4">
        <v>45767</v>
      </c>
      <c r="D834" s="3" t="s">
        <v>22</v>
      </c>
      <c r="E834" s="3" t="s">
        <v>33</v>
      </c>
      <c r="F834" s="5">
        <v>1</v>
      </c>
      <c r="G834" s="6">
        <v>4.0199999999999996</v>
      </c>
      <c r="H834" s="6">
        <v>4.0199999999999996</v>
      </c>
      <c r="I834" s="6">
        <v>0.8</v>
      </c>
      <c r="J834" s="6">
        <v>3.22</v>
      </c>
      <c r="K834" s="5">
        <v>26</v>
      </c>
    </row>
    <row r="835" spans="1:11" x14ac:dyDescent="0.3">
      <c r="A835" s="3">
        <v>8538</v>
      </c>
      <c r="B835" s="3" t="s">
        <v>31</v>
      </c>
      <c r="C835" s="4">
        <v>45791</v>
      </c>
      <c r="D835" s="3" t="s">
        <v>45</v>
      </c>
      <c r="E835" s="3" t="s">
        <v>46</v>
      </c>
      <c r="F835" s="5">
        <v>1</v>
      </c>
      <c r="G835" s="6">
        <v>3.04</v>
      </c>
      <c r="H835" s="6">
        <v>3.04</v>
      </c>
      <c r="I835" s="6">
        <v>3.32</v>
      </c>
      <c r="J835" s="6">
        <v>-0.28000000000000003</v>
      </c>
      <c r="K835" s="5">
        <v>120</v>
      </c>
    </row>
    <row r="836" spans="1:11" x14ac:dyDescent="0.3">
      <c r="A836" s="3">
        <v>6928</v>
      </c>
      <c r="B836" s="3" t="s">
        <v>24</v>
      </c>
      <c r="C836" s="4">
        <v>45213</v>
      </c>
      <c r="D836" s="3" t="s">
        <v>17</v>
      </c>
      <c r="E836" s="3" t="s">
        <v>21</v>
      </c>
      <c r="F836" s="5">
        <v>2</v>
      </c>
      <c r="G836" s="6">
        <v>23.58</v>
      </c>
      <c r="H836" s="6">
        <v>47.16</v>
      </c>
      <c r="I836" s="6">
        <v>1.95</v>
      </c>
      <c r="J836" s="6">
        <v>45.21</v>
      </c>
      <c r="K836" s="5">
        <v>166</v>
      </c>
    </row>
    <row r="837" spans="1:11" x14ac:dyDescent="0.3">
      <c r="A837" s="3">
        <v>8155</v>
      </c>
      <c r="B837" s="3" t="s">
        <v>24</v>
      </c>
      <c r="C837" s="4">
        <v>45800</v>
      </c>
      <c r="D837" s="3" t="s">
        <v>17</v>
      </c>
      <c r="E837" s="3" t="s">
        <v>32</v>
      </c>
      <c r="F837" s="5">
        <v>2</v>
      </c>
      <c r="G837" s="6">
        <v>3.12</v>
      </c>
      <c r="H837" s="6">
        <v>6.24</v>
      </c>
      <c r="I837" s="6">
        <v>4.5599999999999996</v>
      </c>
      <c r="J837" s="6">
        <v>1.68</v>
      </c>
      <c r="K837" s="5">
        <v>299</v>
      </c>
    </row>
    <row r="838" spans="1:11" x14ac:dyDescent="0.3">
      <c r="A838" s="3">
        <v>2734</v>
      </c>
      <c r="B838" s="3" t="s">
        <v>19</v>
      </c>
      <c r="C838" s="4">
        <v>45333</v>
      </c>
      <c r="D838" s="3" t="s">
        <v>17</v>
      </c>
      <c r="E838" s="3" t="s">
        <v>33</v>
      </c>
      <c r="F838" s="5">
        <v>2</v>
      </c>
      <c r="G838" s="6">
        <v>12.22</v>
      </c>
      <c r="H838" s="6">
        <v>24.44</v>
      </c>
      <c r="I838" s="6">
        <v>0</v>
      </c>
      <c r="J838" s="6">
        <v>24.44</v>
      </c>
      <c r="K838" s="5">
        <v>69</v>
      </c>
    </row>
    <row r="839" spans="1:11" x14ac:dyDescent="0.3">
      <c r="A839" s="3">
        <v>8138</v>
      </c>
      <c r="B839" s="3" t="s">
        <v>42</v>
      </c>
      <c r="C839" s="4">
        <v>45602</v>
      </c>
      <c r="D839" s="3" t="s">
        <v>27</v>
      </c>
      <c r="E839" s="3" t="s">
        <v>23</v>
      </c>
      <c r="F839" s="5">
        <v>3</v>
      </c>
      <c r="G839" s="6">
        <v>6.85</v>
      </c>
      <c r="H839" s="6">
        <v>20.55</v>
      </c>
      <c r="I839" s="6">
        <v>0</v>
      </c>
      <c r="J839" s="6">
        <v>20.55</v>
      </c>
      <c r="K839" s="5">
        <v>65</v>
      </c>
    </row>
    <row r="840" spans="1:11" x14ac:dyDescent="0.3">
      <c r="A840" s="3">
        <v>7560</v>
      </c>
      <c r="B840" s="3" t="s">
        <v>31</v>
      </c>
      <c r="C840" s="4">
        <v>45551</v>
      </c>
      <c r="D840" s="3" t="s">
        <v>35</v>
      </c>
      <c r="E840" s="3" t="s">
        <v>41</v>
      </c>
      <c r="F840" s="5">
        <v>1</v>
      </c>
      <c r="G840" s="6">
        <v>25.69</v>
      </c>
      <c r="H840" s="6">
        <v>25.69</v>
      </c>
      <c r="I840" s="6">
        <v>5.14</v>
      </c>
      <c r="J840" s="6">
        <v>20.55</v>
      </c>
      <c r="K840" s="5">
        <v>234</v>
      </c>
    </row>
    <row r="841" spans="1:11" x14ac:dyDescent="0.3">
      <c r="A841" s="3">
        <v>2288</v>
      </c>
      <c r="B841" s="3" t="s">
        <v>36</v>
      </c>
      <c r="C841" s="4">
        <v>45452</v>
      </c>
      <c r="D841" s="3" t="s">
        <v>17</v>
      </c>
      <c r="E841" s="3" t="s">
        <v>37</v>
      </c>
      <c r="F841" s="5">
        <v>5</v>
      </c>
      <c r="G841" s="6">
        <v>5.54</v>
      </c>
      <c r="H841" s="6">
        <v>27.7</v>
      </c>
      <c r="I841" s="6">
        <v>4.88</v>
      </c>
      <c r="J841" s="6">
        <v>22.82</v>
      </c>
      <c r="K841" s="5">
        <v>406</v>
      </c>
    </row>
    <row r="842" spans="1:11" x14ac:dyDescent="0.3">
      <c r="A842" s="3">
        <v>6083</v>
      </c>
      <c r="B842" s="3" t="s">
        <v>42</v>
      </c>
      <c r="C842" s="4">
        <v>45724</v>
      </c>
      <c r="D842" s="3" t="s">
        <v>15</v>
      </c>
      <c r="E842" s="3" t="s">
        <v>16</v>
      </c>
      <c r="F842" s="5">
        <v>5</v>
      </c>
      <c r="G842" s="6">
        <v>15.18</v>
      </c>
      <c r="H842" s="6">
        <v>75.900000000000006</v>
      </c>
      <c r="I842" s="6">
        <v>7.59</v>
      </c>
      <c r="J842" s="6">
        <v>68.31</v>
      </c>
      <c r="K842" s="5">
        <v>110</v>
      </c>
    </row>
    <row r="843" spans="1:11" x14ac:dyDescent="0.3">
      <c r="A843" s="3">
        <v>6562</v>
      </c>
      <c r="B843" s="3" t="s">
        <v>30</v>
      </c>
      <c r="C843" s="4">
        <v>45317</v>
      </c>
      <c r="D843" s="3" t="s">
        <v>12</v>
      </c>
      <c r="E843" s="3" t="s">
        <v>16</v>
      </c>
      <c r="F843" s="5">
        <v>2</v>
      </c>
      <c r="G843" s="6">
        <v>8.18</v>
      </c>
      <c r="H843" s="6">
        <v>16.36</v>
      </c>
      <c r="I843" s="6">
        <v>4.79</v>
      </c>
      <c r="J843" s="6">
        <v>11.57</v>
      </c>
      <c r="K843" s="5">
        <v>222</v>
      </c>
    </row>
    <row r="844" spans="1:11" x14ac:dyDescent="0.3">
      <c r="A844" s="3">
        <v>6456</v>
      </c>
      <c r="B844" s="3" t="s">
        <v>31</v>
      </c>
      <c r="C844" s="4">
        <v>45750</v>
      </c>
      <c r="D844" s="3" t="s">
        <v>20</v>
      </c>
      <c r="E844" s="3" t="s">
        <v>40</v>
      </c>
      <c r="F844" s="5">
        <v>1</v>
      </c>
      <c r="G844" s="6">
        <v>29.74</v>
      </c>
      <c r="H844" s="6">
        <v>29.74</v>
      </c>
      <c r="I844" s="6">
        <v>2.97</v>
      </c>
      <c r="J844" s="6">
        <v>26.77</v>
      </c>
      <c r="K844" s="5">
        <v>375</v>
      </c>
    </row>
    <row r="845" spans="1:11" x14ac:dyDescent="0.3">
      <c r="A845" s="3">
        <v>3754</v>
      </c>
      <c r="B845" s="3" t="s">
        <v>14</v>
      </c>
      <c r="C845" s="4">
        <v>45204</v>
      </c>
      <c r="D845" s="3" t="s">
        <v>20</v>
      </c>
      <c r="E845" s="3" t="s">
        <v>47</v>
      </c>
      <c r="F845" s="5">
        <v>1</v>
      </c>
      <c r="G845" s="6">
        <v>14.11</v>
      </c>
      <c r="H845" s="6">
        <v>14.11</v>
      </c>
      <c r="I845" s="6">
        <v>4.01</v>
      </c>
      <c r="J845" s="6">
        <v>10.1</v>
      </c>
      <c r="K845" s="5">
        <v>123</v>
      </c>
    </row>
    <row r="846" spans="1:11" x14ac:dyDescent="0.3">
      <c r="A846" s="3">
        <v>9363</v>
      </c>
      <c r="B846" s="3" t="s">
        <v>24</v>
      </c>
      <c r="C846" s="4">
        <v>45636</v>
      </c>
      <c r="D846" s="3" t="s">
        <v>17</v>
      </c>
      <c r="E846" s="3" t="s">
        <v>41</v>
      </c>
      <c r="F846" s="5">
        <v>3</v>
      </c>
      <c r="G846" s="6">
        <v>9.57</v>
      </c>
      <c r="H846" s="6">
        <v>28.71</v>
      </c>
      <c r="I846" s="6">
        <v>2.92</v>
      </c>
      <c r="J846" s="6">
        <v>25.79</v>
      </c>
      <c r="K846" s="5">
        <v>331</v>
      </c>
    </row>
    <row r="847" spans="1:11" x14ac:dyDescent="0.3">
      <c r="A847" s="3">
        <v>2868</v>
      </c>
      <c r="B847" s="3" t="s">
        <v>30</v>
      </c>
      <c r="C847" s="4">
        <v>45557</v>
      </c>
      <c r="D847" s="3" t="s">
        <v>34</v>
      </c>
      <c r="E847" s="3" t="s">
        <v>33</v>
      </c>
      <c r="F847" s="5">
        <v>5</v>
      </c>
      <c r="G847" s="6">
        <v>22.66</v>
      </c>
      <c r="H847" s="6">
        <v>113.3</v>
      </c>
      <c r="I847" s="6">
        <v>11.33</v>
      </c>
      <c r="J847" s="6">
        <v>101.97</v>
      </c>
      <c r="K847" s="5">
        <v>12</v>
      </c>
    </row>
    <row r="848" spans="1:11" x14ac:dyDescent="0.3">
      <c r="A848" s="3">
        <v>9355</v>
      </c>
      <c r="B848" s="3" t="s">
        <v>19</v>
      </c>
      <c r="C848" s="4">
        <v>45295</v>
      </c>
      <c r="D848" s="3" t="s">
        <v>20</v>
      </c>
      <c r="E848" s="3" t="s">
        <v>29</v>
      </c>
      <c r="F848" s="5">
        <v>3</v>
      </c>
      <c r="G848" s="6">
        <v>19.170000000000002</v>
      </c>
      <c r="H848" s="6">
        <v>57.51</v>
      </c>
      <c r="I848" s="6">
        <v>0</v>
      </c>
      <c r="J848" s="6">
        <v>57.51</v>
      </c>
      <c r="K848" s="5">
        <v>360</v>
      </c>
    </row>
    <row r="849" spans="1:11" x14ac:dyDescent="0.3">
      <c r="A849" s="3">
        <v>6724</v>
      </c>
      <c r="B849" s="3" t="s">
        <v>11</v>
      </c>
      <c r="C849" s="4">
        <v>45417</v>
      </c>
      <c r="D849" s="3" t="s">
        <v>20</v>
      </c>
      <c r="E849" s="3" t="s">
        <v>21</v>
      </c>
      <c r="F849" s="5">
        <v>5</v>
      </c>
      <c r="G849" s="6">
        <v>1.94</v>
      </c>
      <c r="H849" s="6">
        <v>9.6999999999999993</v>
      </c>
      <c r="I849" s="6">
        <v>0</v>
      </c>
      <c r="J849" s="6">
        <v>9.6999999999999993</v>
      </c>
      <c r="K849" s="5">
        <v>218</v>
      </c>
    </row>
    <row r="850" spans="1:11" x14ac:dyDescent="0.3">
      <c r="A850" s="3">
        <v>3419</v>
      </c>
      <c r="B850" s="3" t="s">
        <v>14</v>
      </c>
      <c r="C850" s="4">
        <v>45328</v>
      </c>
      <c r="D850" s="3" t="s">
        <v>28</v>
      </c>
      <c r="E850" s="3" t="s">
        <v>44</v>
      </c>
      <c r="F850" s="5">
        <v>1</v>
      </c>
      <c r="G850" s="6">
        <v>18.98</v>
      </c>
      <c r="H850" s="6">
        <v>18.98</v>
      </c>
      <c r="I850" s="6">
        <v>4.78</v>
      </c>
      <c r="J850" s="6">
        <v>14.2</v>
      </c>
      <c r="K850" s="5">
        <v>171</v>
      </c>
    </row>
    <row r="851" spans="1:11" x14ac:dyDescent="0.3">
      <c r="A851" s="3">
        <v>2684</v>
      </c>
      <c r="B851" s="3" t="s">
        <v>36</v>
      </c>
      <c r="C851" s="4">
        <v>45258</v>
      </c>
      <c r="D851" s="3" t="s">
        <v>12</v>
      </c>
      <c r="E851" s="3" t="s">
        <v>48</v>
      </c>
      <c r="F851" s="5">
        <v>4</v>
      </c>
      <c r="G851" s="6">
        <v>11.59</v>
      </c>
      <c r="H851" s="6">
        <v>46.36</v>
      </c>
      <c r="I851" s="6">
        <v>6.95</v>
      </c>
      <c r="J851" s="6">
        <v>39.409999999999997</v>
      </c>
      <c r="K851" s="5">
        <v>316</v>
      </c>
    </row>
    <row r="852" spans="1:11" x14ac:dyDescent="0.3">
      <c r="A852" s="3">
        <v>5193</v>
      </c>
      <c r="B852" s="3" t="s">
        <v>36</v>
      </c>
      <c r="C852" s="4">
        <v>45298</v>
      </c>
      <c r="D852" s="3" t="s">
        <v>34</v>
      </c>
      <c r="E852" s="3" t="s">
        <v>18</v>
      </c>
      <c r="F852" s="5">
        <v>1</v>
      </c>
      <c r="G852" s="6">
        <v>17.25</v>
      </c>
      <c r="H852" s="6">
        <v>17.25</v>
      </c>
      <c r="I852" s="6">
        <v>3.45</v>
      </c>
      <c r="J852" s="6">
        <v>13.8</v>
      </c>
      <c r="K852" s="5">
        <v>396</v>
      </c>
    </row>
    <row r="853" spans="1:11" x14ac:dyDescent="0.3">
      <c r="A853" s="3">
        <v>3842</v>
      </c>
      <c r="B853" s="3" t="s">
        <v>36</v>
      </c>
      <c r="C853" s="4">
        <v>45612</v>
      </c>
      <c r="D853" s="3" t="s">
        <v>17</v>
      </c>
      <c r="E853" s="3" t="s">
        <v>18</v>
      </c>
      <c r="F853" s="5">
        <v>1</v>
      </c>
      <c r="G853" s="6">
        <v>19.809999999999999</v>
      </c>
      <c r="H853" s="6">
        <v>19.809999999999999</v>
      </c>
      <c r="I853" s="6">
        <v>0</v>
      </c>
      <c r="J853" s="6">
        <v>19.809999999999999</v>
      </c>
      <c r="K853" s="5">
        <v>377</v>
      </c>
    </row>
    <row r="854" spans="1:11" x14ac:dyDescent="0.3">
      <c r="A854" s="3">
        <v>3504</v>
      </c>
      <c r="B854" s="3" t="s">
        <v>42</v>
      </c>
      <c r="C854" s="4">
        <v>45735</v>
      </c>
      <c r="D854" s="3" t="s">
        <v>22</v>
      </c>
      <c r="E854" s="3" t="s">
        <v>23</v>
      </c>
      <c r="F854" s="5">
        <v>3</v>
      </c>
      <c r="G854" s="6">
        <v>15.59</v>
      </c>
      <c r="H854" s="6">
        <v>46.77</v>
      </c>
      <c r="I854" s="6">
        <v>1.25</v>
      </c>
      <c r="J854" s="6">
        <v>45.52</v>
      </c>
      <c r="K854" s="5">
        <v>216</v>
      </c>
    </row>
    <row r="855" spans="1:11" x14ac:dyDescent="0.3">
      <c r="A855" s="3">
        <v>2234</v>
      </c>
      <c r="B855" s="3" t="s">
        <v>36</v>
      </c>
      <c r="C855" s="4">
        <v>45282</v>
      </c>
      <c r="D855" s="3" t="s">
        <v>45</v>
      </c>
      <c r="E855" s="3" t="s">
        <v>47</v>
      </c>
      <c r="F855" s="5">
        <v>5</v>
      </c>
      <c r="G855" s="6">
        <v>16.260000000000002</v>
      </c>
      <c r="H855" s="6">
        <v>81.3</v>
      </c>
      <c r="I855" s="6">
        <v>0</v>
      </c>
      <c r="J855" s="6">
        <v>81.3</v>
      </c>
      <c r="K855" s="5">
        <v>62</v>
      </c>
    </row>
    <row r="856" spans="1:11" x14ac:dyDescent="0.3">
      <c r="A856" s="3">
        <v>9095</v>
      </c>
      <c r="B856" s="3" t="s">
        <v>14</v>
      </c>
      <c r="C856" s="4">
        <v>45505</v>
      </c>
      <c r="D856" s="3" t="s">
        <v>27</v>
      </c>
      <c r="E856" s="3" t="s">
        <v>18</v>
      </c>
      <c r="F856" s="5">
        <v>3</v>
      </c>
      <c r="G856" s="6">
        <v>14.1</v>
      </c>
      <c r="H856" s="6">
        <v>42.3</v>
      </c>
      <c r="I856" s="6">
        <v>8.4600000000000009</v>
      </c>
      <c r="J856" s="6">
        <v>33.840000000000003</v>
      </c>
      <c r="K856" s="5">
        <v>188</v>
      </c>
    </row>
    <row r="857" spans="1:11" x14ac:dyDescent="0.3">
      <c r="A857" s="3">
        <v>8354</v>
      </c>
      <c r="B857" s="3" t="s">
        <v>26</v>
      </c>
      <c r="C857" s="4">
        <v>45674</v>
      </c>
      <c r="D857" s="3" t="s">
        <v>15</v>
      </c>
      <c r="E857" s="3" t="s">
        <v>43</v>
      </c>
      <c r="F857" s="5">
        <v>4</v>
      </c>
      <c r="G857" s="6">
        <v>27.03</v>
      </c>
      <c r="H857" s="6">
        <v>108.12</v>
      </c>
      <c r="I857" s="6">
        <v>1.66</v>
      </c>
      <c r="J857" s="6">
        <v>106.46</v>
      </c>
      <c r="K857" s="5">
        <v>147</v>
      </c>
    </row>
    <row r="858" spans="1:11" x14ac:dyDescent="0.3">
      <c r="A858" s="3">
        <v>6295</v>
      </c>
      <c r="B858" s="3" t="s">
        <v>11</v>
      </c>
      <c r="C858" s="4">
        <v>45816</v>
      </c>
      <c r="D858" s="3" t="s">
        <v>34</v>
      </c>
      <c r="E858" s="3" t="s">
        <v>47</v>
      </c>
      <c r="F858" s="5">
        <v>2</v>
      </c>
      <c r="G858" s="6">
        <v>26.36</v>
      </c>
      <c r="H858" s="6">
        <v>52.72</v>
      </c>
      <c r="I858" s="6">
        <v>7.91</v>
      </c>
      <c r="J858" s="6">
        <v>44.81</v>
      </c>
      <c r="K858" s="5">
        <v>266</v>
      </c>
    </row>
    <row r="859" spans="1:11" x14ac:dyDescent="0.3">
      <c r="A859" s="3">
        <v>6179</v>
      </c>
      <c r="B859" s="3" t="s">
        <v>24</v>
      </c>
      <c r="C859" s="4">
        <v>45262</v>
      </c>
      <c r="D859" s="3" t="s">
        <v>27</v>
      </c>
      <c r="E859" s="3" t="s">
        <v>18</v>
      </c>
      <c r="F859" s="5">
        <v>2</v>
      </c>
      <c r="G859" s="6">
        <v>14.73</v>
      </c>
      <c r="H859" s="6">
        <v>29.46</v>
      </c>
      <c r="I859" s="6">
        <v>0</v>
      </c>
      <c r="J859" s="6">
        <v>29.46</v>
      </c>
      <c r="K859" s="5">
        <v>215</v>
      </c>
    </row>
    <row r="860" spans="1:11" x14ac:dyDescent="0.3">
      <c r="A860" s="3">
        <v>8205</v>
      </c>
      <c r="B860" s="3" t="s">
        <v>31</v>
      </c>
      <c r="C860" s="4">
        <v>45198</v>
      </c>
      <c r="D860" s="3" t="s">
        <v>35</v>
      </c>
      <c r="E860" s="3" t="s">
        <v>44</v>
      </c>
      <c r="F860" s="5">
        <v>1</v>
      </c>
      <c r="G860" s="6">
        <v>1.63</v>
      </c>
      <c r="H860" s="6">
        <v>1.63</v>
      </c>
      <c r="I860" s="6">
        <v>3.58</v>
      </c>
      <c r="J860" s="6">
        <v>-1.95</v>
      </c>
      <c r="K860" s="5">
        <v>410</v>
      </c>
    </row>
    <row r="861" spans="1:11" x14ac:dyDescent="0.3">
      <c r="A861" s="3">
        <v>8682</v>
      </c>
      <c r="B861" s="3" t="s">
        <v>24</v>
      </c>
      <c r="C861" s="4">
        <v>45488</v>
      </c>
      <c r="D861" s="3" t="s">
        <v>28</v>
      </c>
      <c r="E861" s="3" t="s">
        <v>21</v>
      </c>
      <c r="F861" s="5">
        <v>3</v>
      </c>
      <c r="G861" s="6">
        <v>15.09</v>
      </c>
      <c r="H861" s="6">
        <v>45.27</v>
      </c>
      <c r="I861" s="6">
        <v>4.53</v>
      </c>
      <c r="J861" s="6">
        <v>40.74</v>
      </c>
      <c r="K861" s="5">
        <v>340</v>
      </c>
    </row>
    <row r="862" spans="1:11" x14ac:dyDescent="0.3">
      <c r="A862" s="3">
        <v>5961</v>
      </c>
      <c r="B862" s="3" t="s">
        <v>30</v>
      </c>
      <c r="C862" s="4">
        <v>45763</v>
      </c>
      <c r="D862" s="3" t="s">
        <v>28</v>
      </c>
      <c r="E862" s="3" t="s">
        <v>41</v>
      </c>
      <c r="F862" s="5">
        <v>3</v>
      </c>
      <c r="G862" s="6">
        <v>5.97</v>
      </c>
      <c r="H862" s="6">
        <v>17.91</v>
      </c>
      <c r="I862" s="6">
        <v>1.79</v>
      </c>
      <c r="J862" s="6">
        <v>16.12</v>
      </c>
      <c r="K862" s="5">
        <v>133</v>
      </c>
    </row>
    <row r="863" spans="1:11" x14ac:dyDescent="0.3">
      <c r="A863" s="3">
        <v>5500</v>
      </c>
      <c r="B863" s="3" t="s">
        <v>36</v>
      </c>
      <c r="C863" s="4">
        <v>45604</v>
      </c>
      <c r="D863" s="3" t="s">
        <v>35</v>
      </c>
      <c r="E863" s="3" t="s">
        <v>40</v>
      </c>
      <c r="F863" s="5">
        <v>2</v>
      </c>
      <c r="G863" s="6">
        <v>11.23</v>
      </c>
      <c r="H863" s="6">
        <v>22.46</v>
      </c>
      <c r="I863" s="6">
        <v>4.7</v>
      </c>
      <c r="J863" s="6">
        <v>17.760000000000002</v>
      </c>
      <c r="K863" s="5">
        <v>233</v>
      </c>
    </row>
    <row r="864" spans="1:11" x14ac:dyDescent="0.3">
      <c r="A864" s="3">
        <v>1920</v>
      </c>
      <c r="B864" s="3" t="s">
        <v>14</v>
      </c>
      <c r="C864" s="4">
        <v>45418</v>
      </c>
      <c r="D864" s="3" t="s">
        <v>35</v>
      </c>
      <c r="E864" s="3" t="s">
        <v>29</v>
      </c>
      <c r="F864" s="5">
        <v>2</v>
      </c>
      <c r="G864" s="6">
        <v>25.33</v>
      </c>
      <c r="H864" s="6">
        <v>50.66</v>
      </c>
      <c r="I864" s="6">
        <v>10.130000000000001</v>
      </c>
      <c r="J864" s="6">
        <v>40.53</v>
      </c>
      <c r="K864" s="5">
        <v>354</v>
      </c>
    </row>
    <row r="865" spans="1:11" x14ac:dyDescent="0.3">
      <c r="A865" s="3">
        <v>9312</v>
      </c>
      <c r="B865" s="3" t="s">
        <v>42</v>
      </c>
      <c r="C865" s="4">
        <v>45202</v>
      </c>
      <c r="D865" s="3" t="s">
        <v>15</v>
      </c>
      <c r="E865" s="3" t="s">
        <v>40</v>
      </c>
      <c r="F865" s="5">
        <v>3</v>
      </c>
      <c r="G865" s="6">
        <v>17.649999999999999</v>
      </c>
      <c r="H865" s="6">
        <v>52.95</v>
      </c>
      <c r="I865" s="6">
        <v>7.94</v>
      </c>
      <c r="J865" s="6">
        <v>45.01</v>
      </c>
      <c r="K865" s="5">
        <v>225</v>
      </c>
    </row>
    <row r="866" spans="1:11" x14ac:dyDescent="0.3">
      <c r="A866" s="3">
        <v>6085</v>
      </c>
      <c r="B866" s="3" t="s">
        <v>19</v>
      </c>
      <c r="C866" s="4">
        <v>45503</v>
      </c>
      <c r="D866" s="3" t="s">
        <v>17</v>
      </c>
      <c r="E866" s="3" t="s">
        <v>18</v>
      </c>
      <c r="F866" s="5">
        <v>1</v>
      </c>
      <c r="G866" s="6">
        <v>20.29</v>
      </c>
      <c r="H866" s="6">
        <v>20.29</v>
      </c>
      <c r="I866" s="6">
        <v>4.0599999999999996</v>
      </c>
      <c r="J866" s="6">
        <v>16.23</v>
      </c>
      <c r="K866" s="5">
        <v>500</v>
      </c>
    </row>
    <row r="867" spans="1:11" x14ac:dyDescent="0.3">
      <c r="A867" s="3">
        <v>8404</v>
      </c>
      <c r="B867" s="3" t="s">
        <v>36</v>
      </c>
      <c r="C867" s="4">
        <v>45174</v>
      </c>
      <c r="D867" s="3" t="s">
        <v>45</v>
      </c>
      <c r="E867" s="3" t="s">
        <v>18</v>
      </c>
      <c r="F867" s="5">
        <v>2</v>
      </c>
      <c r="G867" s="6">
        <v>16.47</v>
      </c>
      <c r="H867" s="6">
        <v>32.94</v>
      </c>
      <c r="I867" s="6">
        <v>3.29</v>
      </c>
      <c r="J867" s="6">
        <v>29.65</v>
      </c>
      <c r="K867" s="5">
        <v>62</v>
      </c>
    </row>
    <row r="868" spans="1:11" x14ac:dyDescent="0.3">
      <c r="A868" s="3">
        <v>1932</v>
      </c>
      <c r="B868" s="3" t="s">
        <v>26</v>
      </c>
      <c r="C868" s="4">
        <v>45431</v>
      </c>
      <c r="D868" s="3" t="s">
        <v>34</v>
      </c>
      <c r="E868" s="3" t="s">
        <v>33</v>
      </c>
      <c r="F868" s="5">
        <v>3</v>
      </c>
      <c r="G868" s="6">
        <v>5.52</v>
      </c>
      <c r="H868" s="6">
        <v>16.559999999999999</v>
      </c>
      <c r="I868" s="6">
        <v>0</v>
      </c>
      <c r="J868" s="6">
        <v>16.559999999999999</v>
      </c>
      <c r="K868" s="5">
        <v>496</v>
      </c>
    </row>
    <row r="869" spans="1:11" x14ac:dyDescent="0.3">
      <c r="A869" s="3">
        <v>5703</v>
      </c>
      <c r="B869" s="3" t="s">
        <v>30</v>
      </c>
      <c r="C869" s="4">
        <v>45204</v>
      </c>
      <c r="D869" s="3" t="s">
        <v>45</v>
      </c>
      <c r="E869" s="3" t="s">
        <v>37</v>
      </c>
      <c r="F869" s="5">
        <v>5</v>
      </c>
      <c r="G869" s="6">
        <v>20.329999999999998</v>
      </c>
      <c r="H869" s="6">
        <v>101.65</v>
      </c>
      <c r="I869" s="6">
        <v>15.25</v>
      </c>
      <c r="J869" s="6">
        <v>86.4</v>
      </c>
      <c r="K869" s="5">
        <v>409</v>
      </c>
    </row>
    <row r="870" spans="1:11" x14ac:dyDescent="0.3">
      <c r="A870" s="3">
        <v>2479</v>
      </c>
      <c r="B870" s="3" t="s">
        <v>11</v>
      </c>
      <c r="C870" s="4">
        <v>45622</v>
      </c>
      <c r="D870" s="3" t="s">
        <v>45</v>
      </c>
      <c r="E870" s="3" t="s">
        <v>40</v>
      </c>
      <c r="F870" s="5">
        <v>2</v>
      </c>
      <c r="G870" s="6">
        <v>20.65</v>
      </c>
      <c r="H870" s="6">
        <v>41.3</v>
      </c>
      <c r="I870" s="6">
        <v>2.61</v>
      </c>
      <c r="J870" s="6">
        <v>38.69</v>
      </c>
      <c r="K870" s="5">
        <v>59</v>
      </c>
    </row>
    <row r="871" spans="1:11" x14ac:dyDescent="0.3">
      <c r="A871" s="3">
        <v>9307</v>
      </c>
      <c r="B871" s="3" t="s">
        <v>42</v>
      </c>
      <c r="C871" s="4">
        <v>45443</v>
      </c>
      <c r="D871" s="3" t="s">
        <v>45</v>
      </c>
      <c r="E871" s="3" t="s">
        <v>23</v>
      </c>
      <c r="F871" s="5">
        <v>1</v>
      </c>
      <c r="G871" s="6">
        <v>10.45</v>
      </c>
      <c r="H871" s="6">
        <v>10.45</v>
      </c>
      <c r="I871" s="6">
        <v>3.11</v>
      </c>
      <c r="J871" s="6">
        <v>7.34</v>
      </c>
      <c r="K871" s="5">
        <v>311</v>
      </c>
    </row>
    <row r="872" spans="1:11" x14ac:dyDescent="0.3">
      <c r="A872" s="3">
        <v>8581</v>
      </c>
      <c r="B872" s="3"/>
      <c r="C872" s="4">
        <v>45595</v>
      </c>
      <c r="D872" s="3" t="s">
        <v>17</v>
      </c>
      <c r="E872" s="3" t="s">
        <v>39</v>
      </c>
      <c r="F872" s="5">
        <v>1</v>
      </c>
      <c r="G872" s="6">
        <v>16.600000000000001</v>
      </c>
      <c r="H872" s="6">
        <v>16.600000000000001</v>
      </c>
      <c r="I872" s="6">
        <v>2.58</v>
      </c>
      <c r="J872" s="6">
        <v>14.02</v>
      </c>
      <c r="K872" s="5">
        <v>228</v>
      </c>
    </row>
    <row r="873" spans="1:11" x14ac:dyDescent="0.3">
      <c r="A873" s="3">
        <v>1672</v>
      </c>
      <c r="B873" s="3" t="s">
        <v>26</v>
      </c>
      <c r="C873" s="4">
        <v>45494</v>
      </c>
      <c r="D873" s="3" t="s">
        <v>22</v>
      </c>
      <c r="E873" s="3" t="s">
        <v>46</v>
      </c>
      <c r="F873" s="5">
        <v>1</v>
      </c>
      <c r="G873" s="6">
        <v>27.33</v>
      </c>
      <c r="H873" s="6">
        <v>27.33</v>
      </c>
      <c r="I873" s="6">
        <v>5.47</v>
      </c>
      <c r="J873" s="6">
        <v>21.86</v>
      </c>
      <c r="K873" s="5">
        <v>184</v>
      </c>
    </row>
    <row r="874" spans="1:11" x14ac:dyDescent="0.3">
      <c r="A874" s="3">
        <v>4084</v>
      </c>
      <c r="B874" s="3" t="s">
        <v>24</v>
      </c>
      <c r="C874" s="4">
        <v>45394</v>
      </c>
      <c r="D874" s="3" t="s">
        <v>22</v>
      </c>
      <c r="E874" s="3" t="s">
        <v>32</v>
      </c>
      <c r="F874" s="5">
        <v>3</v>
      </c>
      <c r="G874" s="6">
        <v>1.34</v>
      </c>
      <c r="H874" s="6">
        <v>4.0199999999999996</v>
      </c>
      <c r="I874" s="6">
        <v>0.6</v>
      </c>
      <c r="J874" s="6">
        <v>3.42</v>
      </c>
      <c r="K874" s="5">
        <v>176</v>
      </c>
    </row>
    <row r="875" spans="1:11" x14ac:dyDescent="0.3">
      <c r="A875" s="3">
        <v>8792</v>
      </c>
      <c r="B875" s="3" t="s">
        <v>26</v>
      </c>
      <c r="C875" s="4">
        <v>45534</v>
      </c>
      <c r="D875" s="3" t="s">
        <v>38</v>
      </c>
      <c r="E875" s="3" t="s">
        <v>43</v>
      </c>
      <c r="F875" s="5">
        <v>2</v>
      </c>
      <c r="G875" s="6">
        <v>22.1</v>
      </c>
      <c r="H875" s="6">
        <v>44.2</v>
      </c>
      <c r="I875" s="6">
        <v>4.42</v>
      </c>
      <c r="J875" s="6">
        <v>39.78</v>
      </c>
      <c r="K875" s="5">
        <v>227</v>
      </c>
    </row>
    <row r="876" spans="1:11" x14ac:dyDescent="0.3">
      <c r="A876" s="3">
        <v>3471</v>
      </c>
      <c r="B876" s="3" t="s">
        <v>30</v>
      </c>
      <c r="C876" s="4">
        <v>45193</v>
      </c>
      <c r="D876" s="3" t="s">
        <v>34</v>
      </c>
      <c r="E876" s="3" t="s">
        <v>16</v>
      </c>
      <c r="F876" s="5">
        <v>4</v>
      </c>
      <c r="G876" s="6">
        <v>5.04</v>
      </c>
      <c r="H876" s="6">
        <v>20.16</v>
      </c>
      <c r="I876" s="6">
        <v>4.03</v>
      </c>
      <c r="J876" s="6">
        <v>16.13</v>
      </c>
      <c r="K876" s="5">
        <v>300</v>
      </c>
    </row>
    <row r="877" spans="1:11" x14ac:dyDescent="0.3">
      <c r="A877" s="3">
        <v>8381</v>
      </c>
      <c r="B877" s="3" t="s">
        <v>42</v>
      </c>
      <c r="C877" s="4">
        <v>45225</v>
      </c>
      <c r="D877" s="3" t="s">
        <v>35</v>
      </c>
      <c r="E877" s="3" t="s">
        <v>47</v>
      </c>
      <c r="F877" s="5">
        <v>5</v>
      </c>
      <c r="G877" s="6">
        <v>29.6</v>
      </c>
      <c r="H877" s="6">
        <v>148</v>
      </c>
      <c r="I877" s="6">
        <v>1.03</v>
      </c>
      <c r="J877" s="6">
        <v>146.97</v>
      </c>
      <c r="K877" s="5">
        <v>33</v>
      </c>
    </row>
    <row r="878" spans="1:11" x14ac:dyDescent="0.3">
      <c r="A878" s="3">
        <v>6626</v>
      </c>
      <c r="B878" s="3" t="s">
        <v>30</v>
      </c>
      <c r="C878" s="4">
        <v>45699</v>
      </c>
      <c r="D878" s="3" t="s">
        <v>20</v>
      </c>
      <c r="E878" s="3" t="s">
        <v>29</v>
      </c>
      <c r="F878" s="5">
        <v>5</v>
      </c>
      <c r="G878" s="6">
        <v>14.39</v>
      </c>
      <c r="H878" s="6">
        <v>71.95</v>
      </c>
      <c r="I878" s="6">
        <v>14.39</v>
      </c>
      <c r="J878" s="6">
        <v>57.56</v>
      </c>
      <c r="K878" s="5">
        <v>290</v>
      </c>
    </row>
    <row r="879" spans="1:11" x14ac:dyDescent="0.3">
      <c r="A879" s="3">
        <v>2381</v>
      </c>
      <c r="B879" s="3" t="s">
        <v>19</v>
      </c>
      <c r="C879" s="4">
        <v>45536</v>
      </c>
      <c r="D879" s="3" t="s">
        <v>20</v>
      </c>
      <c r="E879" s="3" t="s">
        <v>37</v>
      </c>
      <c r="F879" s="5">
        <v>5</v>
      </c>
      <c r="G879" s="6">
        <v>15.22</v>
      </c>
      <c r="H879" s="6">
        <v>76.099999999999994</v>
      </c>
      <c r="I879" s="6">
        <v>2.2200000000000002</v>
      </c>
      <c r="J879" s="6">
        <v>73.88</v>
      </c>
      <c r="K879" s="5">
        <v>421</v>
      </c>
    </row>
    <row r="880" spans="1:11" x14ac:dyDescent="0.3">
      <c r="A880" s="3">
        <v>3827</v>
      </c>
      <c r="B880" s="3" t="s">
        <v>14</v>
      </c>
      <c r="C880" s="4">
        <v>45175</v>
      </c>
      <c r="D880" s="3" t="s">
        <v>45</v>
      </c>
      <c r="E880" s="3" t="s">
        <v>25</v>
      </c>
      <c r="F880" s="5">
        <v>1</v>
      </c>
      <c r="G880" s="6">
        <v>23.94</v>
      </c>
      <c r="H880" s="6">
        <v>23.94</v>
      </c>
      <c r="I880" s="6">
        <v>3.59</v>
      </c>
      <c r="J880" s="6">
        <v>20.350000000000001</v>
      </c>
      <c r="K880" s="5">
        <v>78</v>
      </c>
    </row>
    <row r="881" spans="1:11" x14ac:dyDescent="0.3">
      <c r="A881" s="3">
        <v>5059</v>
      </c>
      <c r="B881" s="3" t="s">
        <v>26</v>
      </c>
      <c r="C881" s="4">
        <v>45694</v>
      </c>
      <c r="D881" s="3" t="s">
        <v>15</v>
      </c>
      <c r="E881" s="3" t="s">
        <v>37</v>
      </c>
      <c r="F881" s="5">
        <v>4</v>
      </c>
      <c r="G881" s="6">
        <v>6.19</v>
      </c>
      <c r="H881" s="6">
        <v>24.76</v>
      </c>
      <c r="I881" s="6">
        <v>1.48</v>
      </c>
      <c r="J881" s="6">
        <v>23.28</v>
      </c>
      <c r="K881" s="5">
        <v>464</v>
      </c>
    </row>
    <row r="882" spans="1:11" x14ac:dyDescent="0.3">
      <c r="A882" s="3">
        <v>8172</v>
      </c>
      <c r="B882" s="3" t="s">
        <v>30</v>
      </c>
      <c r="C882" s="4">
        <v>45486</v>
      </c>
      <c r="D882" s="3" t="s">
        <v>45</v>
      </c>
      <c r="E882" s="3" t="s">
        <v>43</v>
      </c>
      <c r="F882" s="5">
        <v>5</v>
      </c>
      <c r="G882" s="6">
        <v>22.61</v>
      </c>
      <c r="H882" s="6">
        <v>113.05</v>
      </c>
      <c r="I882" s="6">
        <v>2.74</v>
      </c>
      <c r="J882" s="6">
        <v>110.31</v>
      </c>
      <c r="K882" s="5">
        <v>297</v>
      </c>
    </row>
    <row r="883" spans="1:11" x14ac:dyDescent="0.3">
      <c r="A883" s="3">
        <v>9586</v>
      </c>
      <c r="B883" s="3" t="s">
        <v>30</v>
      </c>
      <c r="C883" s="4">
        <v>45551</v>
      </c>
      <c r="D883" s="3" t="s">
        <v>27</v>
      </c>
      <c r="E883" s="3" t="s">
        <v>47</v>
      </c>
      <c r="F883" s="5">
        <v>1</v>
      </c>
      <c r="G883" s="6">
        <v>11.81</v>
      </c>
      <c r="H883" s="6">
        <v>11.81</v>
      </c>
      <c r="I883" s="6">
        <v>1.77</v>
      </c>
      <c r="J883" s="6">
        <v>10.039999999999999</v>
      </c>
      <c r="K883" s="5">
        <v>375</v>
      </c>
    </row>
    <row r="884" spans="1:11" x14ac:dyDescent="0.3">
      <c r="A884" s="3">
        <v>3600</v>
      </c>
      <c r="B884" s="3" t="s">
        <v>19</v>
      </c>
      <c r="C884" s="4">
        <v>45427</v>
      </c>
      <c r="D884" s="3" t="s">
        <v>28</v>
      </c>
      <c r="E884" s="3" t="s">
        <v>40</v>
      </c>
      <c r="F884" s="5">
        <v>2</v>
      </c>
      <c r="G884" s="6">
        <v>10.26</v>
      </c>
      <c r="H884" s="6">
        <v>20.52</v>
      </c>
      <c r="I884" s="6">
        <v>3.08</v>
      </c>
      <c r="J884" s="6">
        <v>17.440000000000001</v>
      </c>
      <c r="K884" s="5">
        <v>449</v>
      </c>
    </row>
    <row r="885" spans="1:11" x14ac:dyDescent="0.3">
      <c r="A885" s="3">
        <v>7108</v>
      </c>
      <c r="B885" s="3" t="s">
        <v>19</v>
      </c>
      <c r="C885" s="4">
        <v>45857</v>
      </c>
      <c r="D885" s="3" t="s">
        <v>12</v>
      </c>
      <c r="E885" s="3" t="s">
        <v>13</v>
      </c>
      <c r="F885" s="5">
        <v>3</v>
      </c>
      <c r="G885" s="6">
        <v>13.16</v>
      </c>
      <c r="H885" s="6">
        <v>39.479999999999997</v>
      </c>
      <c r="I885" s="6">
        <v>2.16</v>
      </c>
      <c r="J885" s="6">
        <v>37.32</v>
      </c>
      <c r="K885" s="5">
        <v>466</v>
      </c>
    </row>
    <row r="886" spans="1:11" x14ac:dyDescent="0.3">
      <c r="A886" s="3">
        <v>5634</v>
      </c>
      <c r="B886" s="3" t="s">
        <v>14</v>
      </c>
      <c r="C886" s="4">
        <v>45445</v>
      </c>
      <c r="D886" s="3" t="s">
        <v>27</v>
      </c>
      <c r="E886" s="3" t="s">
        <v>43</v>
      </c>
      <c r="F886" s="5">
        <v>5</v>
      </c>
      <c r="G886" s="6">
        <v>6.61</v>
      </c>
      <c r="H886" s="6">
        <v>33.049999999999997</v>
      </c>
      <c r="I886" s="6">
        <v>3.4</v>
      </c>
      <c r="J886" s="6">
        <v>29.65</v>
      </c>
      <c r="K886" s="5">
        <v>321</v>
      </c>
    </row>
    <row r="887" spans="1:11" x14ac:dyDescent="0.3">
      <c r="A887" s="3">
        <v>7697</v>
      </c>
      <c r="B887" s="3" t="s">
        <v>19</v>
      </c>
      <c r="C887" s="4">
        <v>45746</v>
      </c>
      <c r="D887" s="3" t="s">
        <v>38</v>
      </c>
      <c r="E887" s="3" t="s">
        <v>21</v>
      </c>
      <c r="F887" s="5">
        <v>3</v>
      </c>
      <c r="G887" s="6">
        <v>24.97</v>
      </c>
      <c r="H887" s="6">
        <v>74.91</v>
      </c>
      <c r="I887" s="6">
        <v>11.24</v>
      </c>
      <c r="J887" s="6">
        <v>63.67</v>
      </c>
      <c r="K887" s="5">
        <v>350</v>
      </c>
    </row>
    <row r="888" spans="1:11" x14ac:dyDescent="0.3">
      <c r="A888" s="3">
        <v>6543</v>
      </c>
      <c r="B888" s="3" t="s">
        <v>36</v>
      </c>
      <c r="C888" s="4">
        <v>45672</v>
      </c>
      <c r="D888" s="3" t="s">
        <v>15</v>
      </c>
      <c r="E888" s="3" t="s">
        <v>18</v>
      </c>
      <c r="F888" s="5">
        <v>5</v>
      </c>
      <c r="G888" s="6">
        <v>11.19</v>
      </c>
      <c r="H888" s="6">
        <v>55.95</v>
      </c>
      <c r="I888" s="6">
        <v>11.19</v>
      </c>
      <c r="J888" s="6">
        <v>44.76</v>
      </c>
      <c r="K888" s="5">
        <v>73</v>
      </c>
    </row>
    <row r="889" spans="1:11" x14ac:dyDescent="0.3">
      <c r="A889" s="3">
        <v>1857</v>
      </c>
      <c r="B889" s="3" t="s">
        <v>14</v>
      </c>
      <c r="C889" s="4">
        <v>45758</v>
      </c>
      <c r="D889" s="3" t="s">
        <v>35</v>
      </c>
      <c r="E889" s="3" t="s">
        <v>23</v>
      </c>
      <c r="F889" s="5">
        <v>4</v>
      </c>
      <c r="G889" s="6">
        <v>12.94</v>
      </c>
      <c r="H889" s="6">
        <v>51.76</v>
      </c>
      <c r="I889" s="6">
        <v>1.87</v>
      </c>
      <c r="J889" s="6">
        <v>49.89</v>
      </c>
      <c r="K889" s="5">
        <v>471</v>
      </c>
    </row>
    <row r="890" spans="1:11" x14ac:dyDescent="0.3">
      <c r="A890" s="3">
        <v>6482</v>
      </c>
      <c r="B890" s="3" t="s">
        <v>14</v>
      </c>
      <c r="C890" s="4">
        <v>45196</v>
      </c>
      <c r="D890" s="3" t="s">
        <v>17</v>
      </c>
      <c r="E890" s="3" t="s">
        <v>44</v>
      </c>
      <c r="F890" s="5">
        <v>5</v>
      </c>
      <c r="G890" s="6">
        <v>18.78</v>
      </c>
      <c r="H890" s="6">
        <v>93.9</v>
      </c>
      <c r="I890" s="6">
        <v>9.39</v>
      </c>
      <c r="J890" s="6">
        <v>84.51</v>
      </c>
      <c r="K890" s="5">
        <v>425</v>
      </c>
    </row>
    <row r="891" spans="1:11" x14ac:dyDescent="0.3">
      <c r="A891" s="3">
        <v>6401</v>
      </c>
      <c r="B891" s="3" t="s">
        <v>26</v>
      </c>
      <c r="C891" s="4">
        <v>45218</v>
      </c>
      <c r="D891" s="3" t="s">
        <v>15</v>
      </c>
      <c r="E891" s="3" t="s">
        <v>48</v>
      </c>
      <c r="F891" s="5">
        <v>2</v>
      </c>
      <c r="G891" s="6">
        <v>27.77</v>
      </c>
      <c r="H891" s="6">
        <v>55.54</v>
      </c>
      <c r="I891" s="6">
        <v>8.33</v>
      </c>
      <c r="J891" s="6">
        <v>47.21</v>
      </c>
      <c r="K891" s="5">
        <v>245</v>
      </c>
    </row>
    <row r="892" spans="1:11" x14ac:dyDescent="0.3">
      <c r="A892" s="3">
        <v>7333</v>
      </c>
      <c r="B892" s="3" t="s">
        <v>36</v>
      </c>
      <c r="C892" s="4">
        <v>45365</v>
      </c>
      <c r="D892" s="3" t="s">
        <v>34</v>
      </c>
      <c r="E892" s="3" t="s">
        <v>33</v>
      </c>
      <c r="F892" s="5">
        <v>5</v>
      </c>
      <c r="G892" s="6">
        <v>16.16</v>
      </c>
      <c r="H892" s="6">
        <v>80.8</v>
      </c>
      <c r="I892" s="6">
        <v>16.16</v>
      </c>
      <c r="J892" s="6">
        <v>64.64</v>
      </c>
      <c r="K892" s="5">
        <v>496</v>
      </c>
    </row>
    <row r="893" spans="1:11" x14ac:dyDescent="0.3">
      <c r="A893" s="3">
        <v>5128</v>
      </c>
      <c r="B893" s="3" t="s">
        <v>30</v>
      </c>
      <c r="C893" s="4">
        <v>45707</v>
      </c>
      <c r="D893" s="3" t="s">
        <v>12</v>
      </c>
      <c r="E893" s="3" t="s">
        <v>48</v>
      </c>
      <c r="F893" s="5">
        <v>2</v>
      </c>
      <c r="G893" s="6">
        <v>4.72</v>
      </c>
      <c r="H893" s="6">
        <v>9.44</v>
      </c>
      <c r="I893" s="6">
        <v>0</v>
      </c>
      <c r="J893" s="6">
        <v>9.44</v>
      </c>
      <c r="K893" s="5">
        <v>355</v>
      </c>
    </row>
    <row r="894" spans="1:11" x14ac:dyDescent="0.3">
      <c r="A894" s="3">
        <v>3463</v>
      </c>
      <c r="B894" s="3" t="s">
        <v>42</v>
      </c>
      <c r="C894" s="4">
        <v>45403</v>
      </c>
      <c r="D894" s="3" t="s">
        <v>35</v>
      </c>
      <c r="E894" s="3" t="s">
        <v>41</v>
      </c>
      <c r="F894" s="5">
        <v>2</v>
      </c>
      <c r="G894" s="6">
        <v>4.7699999999999996</v>
      </c>
      <c r="H894" s="6">
        <v>9.5399999999999991</v>
      </c>
      <c r="I894" s="6">
        <v>0</v>
      </c>
      <c r="J894" s="6">
        <v>9.5399999999999991</v>
      </c>
      <c r="K894" s="5">
        <v>40</v>
      </c>
    </row>
    <row r="895" spans="1:11" x14ac:dyDescent="0.3">
      <c r="A895" s="3">
        <v>2335</v>
      </c>
      <c r="B895" s="3" t="s">
        <v>11</v>
      </c>
      <c r="C895" s="4">
        <v>45597</v>
      </c>
      <c r="D895" s="3" t="s">
        <v>15</v>
      </c>
      <c r="E895" s="3" t="s">
        <v>39</v>
      </c>
      <c r="F895" s="5">
        <v>4</v>
      </c>
      <c r="G895" s="6">
        <v>22.95</v>
      </c>
      <c r="H895" s="6">
        <v>91.8</v>
      </c>
      <c r="I895" s="6">
        <v>1.1299999999999999</v>
      </c>
      <c r="J895" s="6">
        <v>90.67</v>
      </c>
      <c r="K895" s="5">
        <v>21</v>
      </c>
    </row>
    <row r="896" spans="1:11" x14ac:dyDescent="0.3">
      <c r="A896" s="3">
        <v>3317</v>
      </c>
      <c r="B896" s="3" t="s">
        <v>14</v>
      </c>
      <c r="C896" s="4">
        <v>45857</v>
      </c>
      <c r="D896" s="3" t="s">
        <v>28</v>
      </c>
      <c r="E896" s="3" t="s">
        <v>40</v>
      </c>
      <c r="F896" s="5">
        <v>4</v>
      </c>
      <c r="G896" s="6">
        <v>4.4400000000000004</v>
      </c>
      <c r="H896" s="6">
        <v>17.760000000000002</v>
      </c>
      <c r="I896" s="6">
        <v>2.21</v>
      </c>
      <c r="J896" s="6">
        <v>15.55</v>
      </c>
      <c r="K896" s="5">
        <v>129</v>
      </c>
    </row>
    <row r="897" spans="1:11" x14ac:dyDescent="0.3">
      <c r="A897" s="3">
        <v>6731</v>
      </c>
      <c r="B897" s="3" t="s">
        <v>31</v>
      </c>
      <c r="C897" s="4">
        <v>45385</v>
      </c>
      <c r="D897" s="3" t="s">
        <v>15</v>
      </c>
      <c r="E897" s="3" t="s">
        <v>48</v>
      </c>
      <c r="F897" s="5">
        <v>5</v>
      </c>
      <c r="G897" s="6">
        <v>6.95</v>
      </c>
      <c r="H897" s="6">
        <v>34.75</v>
      </c>
      <c r="I897" s="6">
        <v>6.95</v>
      </c>
      <c r="J897" s="6">
        <v>27.8</v>
      </c>
      <c r="K897" s="5">
        <v>461</v>
      </c>
    </row>
    <row r="898" spans="1:11" x14ac:dyDescent="0.3">
      <c r="A898" s="3">
        <v>7421</v>
      </c>
      <c r="B898" s="3" t="s">
        <v>36</v>
      </c>
      <c r="C898" s="4">
        <v>45245</v>
      </c>
      <c r="D898" s="3" t="s">
        <v>12</v>
      </c>
      <c r="E898" s="3" t="s">
        <v>43</v>
      </c>
      <c r="F898" s="5">
        <v>2</v>
      </c>
      <c r="G898" s="6">
        <v>25.52</v>
      </c>
      <c r="H898" s="6">
        <v>51.04</v>
      </c>
      <c r="I898" s="6">
        <v>2.39</v>
      </c>
      <c r="J898" s="6">
        <v>48.65</v>
      </c>
      <c r="K898" s="5">
        <v>482</v>
      </c>
    </row>
    <row r="899" spans="1:11" x14ac:dyDescent="0.3">
      <c r="A899" s="3">
        <v>2388</v>
      </c>
      <c r="B899" s="3" t="s">
        <v>19</v>
      </c>
      <c r="C899" s="4">
        <v>45385</v>
      </c>
      <c r="D899" s="3" t="s">
        <v>38</v>
      </c>
      <c r="E899" s="3" t="s">
        <v>25</v>
      </c>
      <c r="F899" s="5">
        <v>5</v>
      </c>
      <c r="G899" s="6">
        <v>17.53</v>
      </c>
      <c r="H899" s="6">
        <v>87.65</v>
      </c>
      <c r="I899" s="6">
        <v>1.87</v>
      </c>
      <c r="J899" s="6">
        <v>85.78</v>
      </c>
      <c r="K899" s="5">
        <v>50</v>
      </c>
    </row>
    <row r="900" spans="1:11" x14ac:dyDescent="0.3">
      <c r="A900" s="3">
        <v>7171</v>
      </c>
      <c r="B900" s="3" t="s">
        <v>42</v>
      </c>
      <c r="C900" s="4">
        <v>45644</v>
      </c>
      <c r="D900" s="3" t="s">
        <v>35</v>
      </c>
      <c r="E900" s="3" t="s">
        <v>29</v>
      </c>
      <c r="F900" s="5">
        <v>5</v>
      </c>
      <c r="G900" s="6">
        <v>1.1200000000000001</v>
      </c>
      <c r="H900" s="6">
        <v>5.6</v>
      </c>
      <c r="I900" s="6">
        <v>1.1200000000000001</v>
      </c>
      <c r="J900" s="6">
        <v>4.4800000000000004</v>
      </c>
      <c r="K900" s="5">
        <v>371</v>
      </c>
    </row>
    <row r="901" spans="1:11" x14ac:dyDescent="0.3">
      <c r="A901" s="3">
        <v>6381</v>
      </c>
      <c r="B901" s="3" t="s">
        <v>14</v>
      </c>
      <c r="C901" s="4">
        <v>45776</v>
      </c>
      <c r="D901" s="3" t="s">
        <v>45</v>
      </c>
      <c r="E901" s="3" t="s">
        <v>23</v>
      </c>
      <c r="F901" s="5">
        <v>5</v>
      </c>
      <c r="G901" s="6">
        <v>6.36</v>
      </c>
      <c r="H901" s="6">
        <v>31.8</v>
      </c>
      <c r="I901" s="6">
        <v>6.36</v>
      </c>
      <c r="J901" s="6">
        <v>25.44</v>
      </c>
      <c r="K901" s="5">
        <v>344</v>
      </c>
    </row>
    <row r="902" spans="1:11" x14ac:dyDescent="0.3">
      <c r="A902" s="3">
        <v>3093</v>
      </c>
      <c r="B902" s="3" t="s">
        <v>36</v>
      </c>
      <c r="C902" s="4">
        <v>45665</v>
      </c>
      <c r="D902" s="3" t="s">
        <v>20</v>
      </c>
      <c r="E902" s="3" t="s">
        <v>16</v>
      </c>
      <c r="F902" s="5">
        <v>2</v>
      </c>
      <c r="G902" s="6">
        <v>15.9</v>
      </c>
      <c r="H902" s="6">
        <v>31.8</v>
      </c>
      <c r="I902" s="6">
        <v>4.7699999999999996</v>
      </c>
      <c r="J902" s="6">
        <v>27.03</v>
      </c>
      <c r="K902" s="5">
        <v>208</v>
      </c>
    </row>
    <row r="903" spans="1:11" x14ac:dyDescent="0.3">
      <c r="A903" s="3">
        <v>9624</v>
      </c>
      <c r="B903" s="3" t="s">
        <v>11</v>
      </c>
      <c r="C903" s="4">
        <v>45217</v>
      </c>
      <c r="D903" s="3" t="s">
        <v>45</v>
      </c>
      <c r="E903" s="3" t="s">
        <v>48</v>
      </c>
      <c r="F903" s="5">
        <v>5</v>
      </c>
      <c r="G903" s="6">
        <v>4.93</v>
      </c>
      <c r="H903" s="6">
        <v>24.65</v>
      </c>
      <c r="I903" s="6">
        <v>0</v>
      </c>
      <c r="J903" s="6">
        <v>24.65</v>
      </c>
      <c r="K903" s="5">
        <v>390</v>
      </c>
    </row>
    <row r="904" spans="1:11" x14ac:dyDescent="0.3">
      <c r="A904" s="3">
        <v>7937</v>
      </c>
      <c r="B904" s="3" t="s">
        <v>30</v>
      </c>
      <c r="C904" s="4">
        <v>45539</v>
      </c>
      <c r="D904" s="3" t="s">
        <v>38</v>
      </c>
      <c r="E904" s="3" t="s">
        <v>40</v>
      </c>
      <c r="F904" s="5">
        <v>1</v>
      </c>
      <c r="G904" s="6">
        <v>10.51</v>
      </c>
      <c r="H904" s="6">
        <v>10.51</v>
      </c>
      <c r="I904" s="6">
        <v>1.58</v>
      </c>
      <c r="J904" s="6">
        <v>8.93</v>
      </c>
      <c r="K904" s="5">
        <v>59</v>
      </c>
    </row>
    <row r="905" spans="1:11" x14ac:dyDescent="0.3">
      <c r="A905" s="3">
        <v>6928</v>
      </c>
      <c r="B905" s="3" t="s">
        <v>26</v>
      </c>
      <c r="C905" s="4">
        <v>45159</v>
      </c>
      <c r="D905" s="3" t="s">
        <v>28</v>
      </c>
      <c r="E905" s="3" t="s">
        <v>37</v>
      </c>
      <c r="F905" s="5">
        <v>4</v>
      </c>
      <c r="G905" s="6">
        <v>7.54</v>
      </c>
      <c r="H905" s="6">
        <v>30.16</v>
      </c>
      <c r="I905" s="6">
        <v>3.02</v>
      </c>
      <c r="J905" s="6">
        <v>27.14</v>
      </c>
      <c r="K905" s="5">
        <v>208</v>
      </c>
    </row>
    <row r="906" spans="1:11" x14ac:dyDescent="0.3">
      <c r="A906" s="3">
        <v>6940</v>
      </c>
      <c r="B906" s="3" t="s">
        <v>42</v>
      </c>
      <c r="C906" s="4">
        <v>45384</v>
      </c>
      <c r="D906" s="3" t="s">
        <v>15</v>
      </c>
      <c r="E906" s="3" t="s">
        <v>47</v>
      </c>
      <c r="F906" s="5">
        <v>3</v>
      </c>
      <c r="G906" s="6">
        <v>6.19</v>
      </c>
      <c r="H906" s="6">
        <v>18.57</v>
      </c>
      <c r="I906" s="6">
        <v>0</v>
      </c>
      <c r="J906" s="6">
        <v>18.57</v>
      </c>
      <c r="K906" s="5">
        <v>345</v>
      </c>
    </row>
    <row r="907" spans="1:11" x14ac:dyDescent="0.3">
      <c r="A907" s="3">
        <v>3953</v>
      </c>
      <c r="B907" s="3" t="s">
        <v>11</v>
      </c>
      <c r="C907" s="4">
        <v>45311</v>
      </c>
      <c r="D907" s="3" t="s">
        <v>20</v>
      </c>
      <c r="E907" s="3" t="s">
        <v>33</v>
      </c>
      <c r="F907" s="5">
        <v>5</v>
      </c>
      <c r="G907" s="6">
        <v>20.09</v>
      </c>
      <c r="H907" s="6">
        <v>100.45</v>
      </c>
      <c r="I907" s="6">
        <v>20.09</v>
      </c>
      <c r="J907" s="6">
        <v>80.36</v>
      </c>
      <c r="K907" s="5">
        <v>43</v>
      </c>
    </row>
    <row r="908" spans="1:11" x14ac:dyDescent="0.3">
      <c r="A908" s="3">
        <v>6598</v>
      </c>
      <c r="B908" s="3" t="s">
        <v>24</v>
      </c>
      <c r="C908" s="4">
        <v>45740</v>
      </c>
      <c r="D908" s="3" t="s">
        <v>20</v>
      </c>
      <c r="E908" s="3" t="s">
        <v>48</v>
      </c>
      <c r="F908" s="5">
        <v>2</v>
      </c>
      <c r="G908" s="6">
        <v>2.87</v>
      </c>
      <c r="H908" s="6">
        <v>5.74</v>
      </c>
      <c r="I908" s="6">
        <v>0.86</v>
      </c>
      <c r="J908" s="6">
        <v>4.88</v>
      </c>
      <c r="K908" s="5">
        <v>499</v>
      </c>
    </row>
    <row r="909" spans="1:11" x14ac:dyDescent="0.3">
      <c r="A909" s="3">
        <v>8967</v>
      </c>
      <c r="B909" s="3" t="s">
        <v>42</v>
      </c>
      <c r="C909" s="4">
        <v>45294</v>
      </c>
      <c r="D909" s="3" t="s">
        <v>28</v>
      </c>
      <c r="E909" s="3" t="s">
        <v>32</v>
      </c>
      <c r="F909" s="5">
        <v>1</v>
      </c>
      <c r="G909" s="6">
        <v>7.74</v>
      </c>
      <c r="H909" s="6">
        <v>7.74</v>
      </c>
      <c r="I909" s="6">
        <v>1.1599999999999999</v>
      </c>
      <c r="J909" s="6">
        <v>6.58</v>
      </c>
      <c r="K909" s="5">
        <v>217</v>
      </c>
    </row>
    <row r="910" spans="1:11" x14ac:dyDescent="0.3">
      <c r="A910" s="3">
        <v>4711</v>
      </c>
      <c r="B910" s="3" t="s">
        <v>30</v>
      </c>
      <c r="C910" s="4">
        <v>45251</v>
      </c>
      <c r="D910" s="3" t="s">
        <v>27</v>
      </c>
      <c r="E910" s="3" t="s">
        <v>32</v>
      </c>
      <c r="F910" s="5">
        <v>3</v>
      </c>
      <c r="G910" s="6">
        <v>14.79</v>
      </c>
      <c r="H910" s="6">
        <v>44.37</v>
      </c>
      <c r="I910" s="6">
        <v>4.4400000000000004</v>
      </c>
      <c r="J910" s="6">
        <v>39.93</v>
      </c>
      <c r="K910" s="5">
        <v>308</v>
      </c>
    </row>
    <row r="911" spans="1:11" x14ac:dyDescent="0.3">
      <c r="A911" s="3">
        <v>3538</v>
      </c>
      <c r="B911" s="3" t="s">
        <v>14</v>
      </c>
      <c r="C911" s="4">
        <v>45204</v>
      </c>
      <c r="D911" s="3" t="s">
        <v>35</v>
      </c>
      <c r="E911" s="3" t="s">
        <v>41</v>
      </c>
      <c r="F911" s="5">
        <v>4</v>
      </c>
      <c r="G911" s="6">
        <v>4.12</v>
      </c>
      <c r="H911" s="6">
        <v>16.48</v>
      </c>
      <c r="I911" s="6">
        <v>1.65</v>
      </c>
      <c r="J911" s="6">
        <v>14.83</v>
      </c>
      <c r="K911" s="5">
        <v>128</v>
      </c>
    </row>
    <row r="912" spans="1:11" x14ac:dyDescent="0.3">
      <c r="A912" s="3">
        <v>5846</v>
      </c>
      <c r="B912" s="3" t="s">
        <v>42</v>
      </c>
      <c r="C912" s="4">
        <v>45800</v>
      </c>
      <c r="D912" s="3" t="s">
        <v>27</v>
      </c>
      <c r="E912" s="3" t="s">
        <v>41</v>
      </c>
      <c r="F912" s="5">
        <v>1</v>
      </c>
      <c r="G912" s="6">
        <v>3.88</v>
      </c>
      <c r="H912" s="6">
        <v>3.88</v>
      </c>
      <c r="I912" s="6">
        <v>0.39</v>
      </c>
      <c r="J912" s="6">
        <v>3.49</v>
      </c>
      <c r="K912" s="5">
        <v>27</v>
      </c>
    </row>
    <row r="913" spans="1:11" x14ac:dyDescent="0.3">
      <c r="A913" s="3">
        <v>2657</v>
      </c>
      <c r="B913" s="3" t="s">
        <v>31</v>
      </c>
      <c r="C913" s="4">
        <v>45539</v>
      </c>
      <c r="D913" s="3" t="s">
        <v>34</v>
      </c>
      <c r="E913" s="3" t="s">
        <v>32</v>
      </c>
      <c r="F913" s="5">
        <v>5</v>
      </c>
      <c r="G913" s="6">
        <v>20.69</v>
      </c>
      <c r="H913" s="6">
        <v>103.45</v>
      </c>
      <c r="I913" s="6">
        <v>3.49</v>
      </c>
      <c r="J913" s="6">
        <v>99.96</v>
      </c>
      <c r="K913" s="5">
        <v>78</v>
      </c>
    </row>
    <row r="914" spans="1:11" x14ac:dyDescent="0.3">
      <c r="A914" s="3">
        <v>9843</v>
      </c>
      <c r="B914" s="3" t="s">
        <v>11</v>
      </c>
      <c r="C914" s="4">
        <v>45793</v>
      </c>
      <c r="D914" s="3" t="s">
        <v>27</v>
      </c>
      <c r="E914" s="3" t="s">
        <v>46</v>
      </c>
      <c r="F914" s="5">
        <v>4</v>
      </c>
      <c r="G914" s="6">
        <v>23.98</v>
      </c>
      <c r="H914" s="6">
        <v>95.92</v>
      </c>
      <c r="I914" s="6">
        <v>0</v>
      </c>
      <c r="J914" s="6">
        <v>95.92</v>
      </c>
      <c r="K914" s="5">
        <v>103</v>
      </c>
    </row>
    <row r="915" spans="1:11" x14ac:dyDescent="0.3">
      <c r="A915" s="3">
        <v>9626</v>
      </c>
      <c r="B915" s="3" t="s">
        <v>26</v>
      </c>
      <c r="C915" s="4">
        <v>45174</v>
      </c>
      <c r="D915" s="3" t="s">
        <v>45</v>
      </c>
      <c r="E915" s="3" t="s">
        <v>46</v>
      </c>
      <c r="F915" s="5">
        <v>3</v>
      </c>
      <c r="G915" s="6">
        <v>16.72</v>
      </c>
      <c r="H915" s="6">
        <v>50.16</v>
      </c>
      <c r="I915" s="6">
        <v>4.96</v>
      </c>
      <c r="J915" s="6">
        <v>45.2</v>
      </c>
      <c r="K915" s="5">
        <v>414</v>
      </c>
    </row>
    <row r="916" spans="1:11" x14ac:dyDescent="0.3">
      <c r="A916" s="3">
        <v>6517</v>
      </c>
      <c r="B916" s="3" t="s">
        <v>11</v>
      </c>
      <c r="C916" s="4">
        <v>45825</v>
      </c>
      <c r="D916" s="3" t="s">
        <v>20</v>
      </c>
      <c r="E916" s="3" t="s">
        <v>33</v>
      </c>
      <c r="F916" s="5">
        <v>3</v>
      </c>
      <c r="G916" s="6">
        <v>25.72</v>
      </c>
      <c r="H916" s="6">
        <v>77.16</v>
      </c>
      <c r="I916" s="6">
        <v>1.1299999999999999</v>
      </c>
      <c r="J916" s="6">
        <v>76.03</v>
      </c>
      <c r="K916" s="5">
        <v>226</v>
      </c>
    </row>
    <row r="917" spans="1:11" x14ac:dyDescent="0.3">
      <c r="A917" s="3">
        <v>3147</v>
      </c>
      <c r="B917" s="3" t="s">
        <v>14</v>
      </c>
      <c r="C917" s="4">
        <v>45608</v>
      </c>
      <c r="D917" s="3" t="s">
        <v>27</v>
      </c>
      <c r="E917" s="3" t="s">
        <v>37</v>
      </c>
      <c r="F917" s="5">
        <v>2</v>
      </c>
      <c r="G917" s="6">
        <v>15.24</v>
      </c>
      <c r="H917" s="6">
        <v>30.48</v>
      </c>
      <c r="I917" s="6">
        <v>0</v>
      </c>
      <c r="J917" s="6">
        <v>30.48</v>
      </c>
      <c r="K917" s="5">
        <v>68</v>
      </c>
    </row>
    <row r="918" spans="1:11" x14ac:dyDescent="0.3">
      <c r="A918" s="3">
        <v>7172</v>
      </c>
      <c r="B918" s="3" t="s">
        <v>24</v>
      </c>
      <c r="C918" s="4">
        <v>45264</v>
      </c>
      <c r="D918" s="3" t="s">
        <v>45</v>
      </c>
      <c r="E918" s="3" t="s">
        <v>48</v>
      </c>
      <c r="F918" s="5">
        <v>5</v>
      </c>
      <c r="G918" s="6">
        <v>20.57</v>
      </c>
      <c r="H918" s="6">
        <v>102.85</v>
      </c>
      <c r="I918" s="6">
        <v>10.29</v>
      </c>
      <c r="J918" s="6">
        <v>92.56</v>
      </c>
      <c r="K918" s="5">
        <v>337</v>
      </c>
    </row>
    <row r="919" spans="1:11" x14ac:dyDescent="0.3">
      <c r="A919" s="3">
        <v>3658</v>
      </c>
      <c r="B919" s="3" t="s">
        <v>14</v>
      </c>
      <c r="C919" s="4">
        <v>45285</v>
      </c>
      <c r="D919" s="3" t="s">
        <v>34</v>
      </c>
      <c r="E919" s="3" t="s">
        <v>46</v>
      </c>
      <c r="F919" s="5">
        <v>1</v>
      </c>
      <c r="G919" s="6">
        <v>12.34</v>
      </c>
      <c r="H919" s="6">
        <v>12.34</v>
      </c>
      <c r="I919" s="6">
        <v>3.71</v>
      </c>
      <c r="J919" s="6">
        <v>8.6300000000000008</v>
      </c>
      <c r="K919" s="5">
        <v>253</v>
      </c>
    </row>
    <row r="920" spans="1:11" x14ac:dyDescent="0.3">
      <c r="A920" s="3">
        <v>3712</v>
      </c>
      <c r="B920" s="3" t="s">
        <v>30</v>
      </c>
      <c r="C920" s="4">
        <v>45705</v>
      </c>
      <c r="D920" s="3" t="s">
        <v>22</v>
      </c>
      <c r="E920" s="3" t="s">
        <v>40</v>
      </c>
      <c r="F920" s="5">
        <v>1</v>
      </c>
      <c r="G920" s="6">
        <v>18.11</v>
      </c>
      <c r="H920" s="6">
        <v>18.11</v>
      </c>
      <c r="I920" s="6">
        <v>2.72</v>
      </c>
      <c r="J920" s="6">
        <v>15.39</v>
      </c>
      <c r="K920" s="5">
        <v>65</v>
      </c>
    </row>
    <row r="921" spans="1:11" x14ac:dyDescent="0.3">
      <c r="A921" s="3">
        <v>8170</v>
      </c>
      <c r="B921" s="3" t="s">
        <v>31</v>
      </c>
      <c r="C921" s="4">
        <v>45178</v>
      </c>
      <c r="D921" s="3" t="s">
        <v>27</v>
      </c>
      <c r="E921" s="3" t="s">
        <v>21</v>
      </c>
      <c r="F921" s="5">
        <v>4</v>
      </c>
      <c r="G921" s="6">
        <v>3.81</v>
      </c>
      <c r="H921" s="6">
        <v>15.24</v>
      </c>
      <c r="I921" s="6">
        <v>1.52</v>
      </c>
      <c r="J921" s="6">
        <v>13.72</v>
      </c>
      <c r="K921" s="5">
        <v>176</v>
      </c>
    </row>
    <row r="922" spans="1:11" x14ac:dyDescent="0.3">
      <c r="A922" s="3">
        <v>7731</v>
      </c>
      <c r="B922" s="3" t="s">
        <v>36</v>
      </c>
      <c r="C922" s="4">
        <v>45427</v>
      </c>
      <c r="D922" s="3" t="s">
        <v>12</v>
      </c>
      <c r="E922" s="3" t="s">
        <v>25</v>
      </c>
      <c r="F922" s="5">
        <v>2</v>
      </c>
      <c r="G922" s="6">
        <v>7.79</v>
      </c>
      <c r="H922" s="6">
        <v>15.58</v>
      </c>
      <c r="I922" s="6">
        <v>0</v>
      </c>
      <c r="J922" s="6">
        <v>15.58</v>
      </c>
      <c r="K922" s="5">
        <v>159</v>
      </c>
    </row>
    <row r="923" spans="1:11" x14ac:dyDescent="0.3">
      <c r="A923" s="3">
        <v>4891</v>
      </c>
      <c r="B923" s="3" t="s">
        <v>11</v>
      </c>
      <c r="C923" s="4">
        <v>45490</v>
      </c>
      <c r="D923" s="3" t="s">
        <v>35</v>
      </c>
      <c r="E923" s="3" t="s">
        <v>48</v>
      </c>
      <c r="F923" s="5">
        <v>3</v>
      </c>
      <c r="G923" s="6">
        <v>5.91</v>
      </c>
      <c r="H923" s="6">
        <v>17.73</v>
      </c>
      <c r="I923" s="6">
        <v>2.84</v>
      </c>
      <c r="J923" s="6">
        <v>14.89</v>
      </c>
      <c r="K923" s="5">
        <v>275</v>
      </c>
    </row>
    <row r="924" spans="1:11" x14ac:dyDescent="0.3">
      <c r="A924" s="3">
        <v>5668</v>
      </c>
      <c r="B924" s="3" t="s">
        <v>24</v>
      </c>
      <c r="C924" s="4">
        <v>45729</v>
      </c>
      <c r="D924" s="3" t="s">
        <v>28</v>
      </c>
      <c r="E924" s="3" t="s">
        <v>46</v>
      </c>
      <c r="F924" s="5">
        <v>4</v>
      </c>
      <c r="G924" s="6">
        <v>8.7200000000000006</v>
      </c>
      <c r="H924" s="6">
        <v>34.880000000000003</v>
      </c>
      <c r="I924" s="6">
        <v>1.0900000000000001</v>
      </c>
      <c r="J924" s="6">
        <v>33.79</v>
      </c>
      <c r="K924" s="5">
        <v>356</v>
      </c>
    </row>
    <row r="925" spans="1:11" x14ac:dyDescent="0.3">
      <c r="A925" s="3">
        <v>8355</v>
      </c>
      <c r="B925" s="3" t="s">
        <v>36</v>
      </c>
      <c r="C925" s="4">
        <v>45326</v>
      </c>
      <c r="D925" s="3" t="s">
        <v>20</v>
      </c>
      <c r="E925" s="3" t="s">
        <v>32</v>
      </c>
      <c r="F925" s="5">
        <v>3</v>
      </c>
      <c r="G925" s="6">
        <v>17.59</v>
      </c>
      <c r="H925" s="6">
        <v>52.77</v>
      </c>
      <c r="I925" s="6">
        <v>3.76</v>
      </c>
      <c r="J925" s="6">
        <v>49.01</v>
      </c>
      <c r="K925" s="5">
        <v>413</v>
      </c>
    </row>
    <row r="926" spans="1:11" x14ac:dyDescent="0.3">
      <c r="A926" s="3">
        <v>9749</v>
      </c>
      <c r="B926" s="3" t="s">
        <v>42</v>
      </c>
      <c r="C926" s="4">
        <v>45330</v>
      </c>
      <c r="D926" s="3" t="s">
        <v>22</v>
      </c>
      <c r="E926" s="3" t="s">
        <v>47</v>
      </c>
      <c r="F926" s="5">
        <v>5</v>
      </c>
      <c r="G926" s="6">
        <v>24.52</v>
      </c>
      <c r="H926" s="6">
        <v>122.6</v>
      </c>
      <c r="I926" s="6">
        <v>24.52</v>
      </c>
      <c r="J926" s="6">
        <v>98.08</v>
      </c>
      <c r="K926" s="5">
        <v>341</v>
      </c>
    </row>
    <row r="927" spans="1:11" x14ac:dyDescent="0.3">
      <c r="A927" s="3">
        <v>6070</v>
      </c>
      <c r="B927" s="3" t="s">
        <v>30</v>
      </c>
      <c r="C927" s="4">
        <v>45773</v>
      </c>
      <c r="D927" s="3" t="s">
        <v>22</v>
      </c>
      <c r="E927" s="3" t="s">
        <v>16</v>
      </c>
      <c r="F927" s="5">
        <v>2</v>
      </c>
      <c r="G927" s="6">
        <v>15.4</v>
      </c>
      <c r="H927" s="6">
        <v>30.8</v>
      </c>
      <c r="I927" s="6">
        <v>1.86</v>
      </c>
      <c r="J927" s="6">
        <v>28.94</v>
      </c>
      <c r="K927" s="5">
        <v>433</v>
      </c>
    </row>
    <row r="928" spans="1:11" x14ac:dyDescent="0.3">
      <c r="A928" s="3">
        <v>8684</v>
      </c>
      <c r="B928" s="3" t="s">
        <v>30</v>
      </c>
      <c r="C928" s="4">
        <v>45847</v>
      </c>
      <c r="D928" s="3" t="s">
        <v>12</v>
      </c>
      <c r="E928" s="3" t="s">
        <v>37</v>
      </c>
      <c r="F928" s="5">
        <v>5</v>
      </c>
      <c r="G928" s="6">
        <v>12.65</v>
      </c>
      <c r="H928" s="6">
        <v>63.25</v>
      </c>
      <c r="I928" s="6">
        <v>0</v>
      </c>
      <c r="J928" s="6">
        <v>63.25</v>
      </c>
      <c r="K928" s="5">
        <v>115</v>
      </c>
    </row>
    <row r="929" spans="1:11" x14ac:dyDescent="0.3">
      <c r="A929" s="3">
        <v>4178</v>
      </c>
      <c r="B929" s="3" t="s">
        <v>11</v>
      </c>
      <c r="C929" s="4">
        <v>45430</v>
      </c>
      <c r="D929" s="3" t="s">
        <v>28</v>
      </c>
      <c r="E929" s="3" t="s">
        <v>21</v>
      </c>
      <c r="F929" s="5">
        <v>3</v>
      </c>
      <c r="G929" s="6">
        <v>2.94</v>
      </c>
      <c r="H929" s="6">
        <v>8.82</v>
      </c>
      <c r="I929" s="6">
        <v>0.88</v>
      </c>
      <c r="J929" s="6">
        <v>7.94</v>
      </c>
      <c r="K929" s="5">
        <v>410</v>
      </c>
    </row>
    <row r="930" spans="1:11" x14ac:dyDescent="0.3">
      <c r="A930" s="3">
        <v>8218</v>
      </c>
      <c r="B930" s="3" t="s">
        <v>42</v>
      </c>
      <c r="C930" s="4">
        <v>45503</v>
      </c>
      <c r="D930" s="3" t="s">
        <v>22</v>
      </c>
      <c r="E930" s="3" t="s">
        <v>43</v>
      </c>
      <c r="F930" s="5">
        <v>3</v>
      </c>
      <c r="G930" s="6">
        <v>15.62</v>
      </c>
      <c r="H930" s="6">
        <v>46.86</v>
      </c>
      <c r="I930" s="6">
        <v>0</v>
      </c>
      <c r="J930" s="6">
        <v>46.86</v>
      </c>
      <c r="K930" s="5">
        <v>153</v>
      </c>
    </row>
    <row r="931" spans="1:11" x14ac:dyDescent="0.3">
      <c r="A931" s="3">
        <v>5616</v>
      </c>
      <c r="B931" s="3" t="s">
        <v>14</v>
      </c>
      <c r="C931" s="4">
        <v>45749</v>
      </c>
      <c r="D931" s="3" t="s">
        <v>22</v>
      </c>
      <c r="E931" s="3" t="s">
        <v>44</v>
      </c>
      <c r="F931" s="5">
        <v>4</v>
      </c>
      <c r="G931" s="6">
        <v>12.66</v>
      </c>
      <c r="H931" s="6">
        <v>50.64</v>
      </c>
      <c r="I931" s="6">
        <v>0</v>
      </c>
      <c r="J931" s="6">
        <v>50.64</v>
      </c>
      <c r="K931" s="5">
        <v>319</v>
      </c>
    </row>
    <row r="932" spans="1:11" x14ac:dyDescent="0.3">
      <c r="A932" s="3">
        <v>7256</v>
      </c>
      <c r="B932" s="3" t="s">
        <v>14</v>
      </c>
      <c r="C932" s="4">
        <v>45535</v>
      </c>
      <c r="D932" s="3" t="s">
        <v>34</v>
      </c>
      <c r="E932" s="3" t="s">
        <v>39</v>
      </c>
      <c r="F932" s="5">
        <v>5</v>
      </c>
      <c r="G932" s="6">
        <v>26.01</v>
      </c>
      <c r="H932" s="6">
        <v>130.05000000000001</v>
      </c>
      <c r="I932" s="6">
        <v>26.01</v>
      </c>
      <c r="J932" s="6">
        <v>104.04</v>
      </c>
      <c r="K932" s="5">
        <v>295</v>
      </c>
    </row>
    <row r="933" spans="1:11" x14ac:dyDescent="0.3">
      <c r="A933" s="3">
        <v>9641</v>
      </c>
      <c r="B933" s="3" t="s">
        <v>26</v>
      </c>
      <c r="C933" s="4">
        <v>45470</v>
      </c>
      <c r="D933" s="3" t="s">
        <v>35</v>
      </c>
      <c r="E933" s="3" t="s">
        <v>18</v>
      </c>
      <c r="F933" s="5">
        <v>5</v>
      </c>
      <c r="G933" s="6">
        <v>25.72</v>
      </c>
      <c r="H933" s="6">
        <v>128.6</v>
      </c>
      <c r="I933" s="6">
        <v>3.91</v>
      </c>
      <c r="J933" s="6">
        <v>124.69</v>
      </c>
      <c r="K933" s="5">
        <v>464</v>
      </c>
    </row>
    <row r="934" spans="1:11" x14ac:dyDescent="0.3">
      <c r="A934" s="3">
        <v>3655</v>
      </c>
      <c r="B934" s="3" t="s">
        <v>31</v>
      </c>
      <c r="C934" s="4">
        <v>45779</v>
      </c>
      <c r="D934" s="3" t="s">
        <v>38</v>
      </c>
      <c r="E934" s="3" t="s">
        <v>44</v>
      </c>
      <c r="F934" s="5">
        <v>3</v>
      </c>
      <c r="G934" s="6">
        <v>14.4</v>
      </c>
      <c r="H934" s="6">
        <v>43.2</v>
      </c>
      <c r="I934" s="6">
        <v>0</v>
      </c>
      <c r="J934" s="6">
        <v>43.2</v>
      </c>
      <c r="K934" s="5">
        <v>123</v>
      </c>
    </row>
    <row r="935" spans="1:11" x14ac:dyDescent="0.3">
      <c r="A935" s="3">
        <v>4271</v>
      </c>
      <c r="B935" s="3" t="s">
        <v>30</v>
      </c>
      <c r="C935" s="4">
        <v>45767</v>
      </c>
      <c r="D935" s="3" t="s">
        <v>20</v>
      </c>
      <c r="E935" s="3" t="s">
        <v>16</v>
      </c>
      <c r="F935" s="5">
        <v>3</v>
      </c>
      <c r="G935" s="6">
        <v>25.94</v>
      </c>
      <c r="H935" s="6">
        <v>77.819999999999993</v>
      </c>
      <c r="I935" s="6">
        <v>0</v>
      </c>
      <c r="J935" s="6">
        <v>77.819999999999993</v>
      </c>
      <c r="K935" s="5">
        <v>466</v>
      </c>
    </row>
    <row r="936" spans="1:11" x14ac:dyDescent="0.3">
      <c r="A936" s="3">
        <v>3267</v>
      </c>
      <c r="B936" s="3" t="s">
        <v>42</v>
      </c>
      <c r="C936" s="4">
        <v>45823</v>
      </c>
      <c r="D936" s="3" t="s">
        <v>20</v>
      </c>
      <c r="E936" s="3" t="s">
        <v>13</v>
      </c>
      <c r="F936" s="5">
        <v>3</v>
      </c>
      <c r="G936" s="6">
        <v>19.73</v>
      </c>
      <c r="H936" s="6">
        <v>59.19</v>
      </c>
      <c r="I936" s="6">
        <v>5.92</v>
      </c>
      <c r="J936" s="6">
        <v>53.27</v>
      </c>
      <c r="K936" s="5">
        <v>131</v>
      </c>
    </row>
    <row r="937" spans="1:11" x14ac:dyDescent="0.3">
      <c r="A937" s="3">
        <v>5096</v>
      </c>
      <c r="B937" s="3" t="s">
        <v>42</v>
      </c>
      <c r="C937" s="4">
        <v>45185</v>
      </c>
      <c r="D937" s="3" t="s">
        <v>15</v>
      </c>
      <c r="E937" s="3" t="s">
        <v>41</v>
      </c>
      <c r="F937" s="5">
        <v>2</v>
      </c>
      <c r="G937" s="6">
        <v>1.79</v>
      </c>
      <c r="H937" s="6">
        <v>3.58</v>
      </c>
      <c r="I937" s="6">
        <v>0.36</v>
      </c>
      <c r="J937" s="6">
        <v>3.22</v>
      </c>
      <c r="K937" s="5">
        <v>408</v>
      </c>
    </row>
    <row r="938" spans="1:11" x14ac:dyDescent="0.3">
      <c r="A938" s="3">
        <v>8873</v>
      </c>
      <c r="B938" s="3" t="s">
        <v>26</v>
      </c>
      <c r="C938" s="4">
        <v>45823</v>
      </c>
      <c r="D938" s="3" t="s">
        <v>38</v>
      </c>
      <c r="E938" s="3" t="s">
        <v>16</v>
      </c>
      <c r="F938" s="5">
        <v>4</v>
      </c>
      <c r="G938" s="6">
        <v>19.75</v>
      </c>
      <c r="H938" s="6">
        <v>79</v>
      </c>
      <c r="I938" s="6">
        <v>15.8</v>
      </c>
      <c r="J938" s="6">
        <v>63.2</v>
      </c>
      <c r="K938" s="5">
        <v>18</v>
      </c>
    </row>
    <row r="939" spans="1:11" x14ac:dyDescent="0.3">
      <c r="A939" s="3">
        <v>7081</v>
      </c>
      <c r="B939" s="3" t="s">
        <v>30</v>
      </c>
      <c r="C939" s="4">
        <v>45575</v>
      </c>
      <c r="D939" s="3" t="s">
        <v>34</v>
      </c>
      <c r="E939" s="3" t="s">
        <v>39</v>
      </c>
      <c r="F939" s="5">
        <v>3</v>
      </c>
      <c r="G939" s="6">
        <v>23.89</v>
      </c>
      <c r="H939" s="6">
        <v>71.67</v>
      </c>
      <c r="I939" s="6">
        <v>0</v>
      </c>
      <c r="J939" s="6">
        <v>71.67</v>
      </c>
      <c r="K939" s="5">
        <v>142</v>
      </c>
    </row>
    <row r="940" spans="1:11" x14ac:dyDescent="0.3">
      <c r="A940" s="3">
        <v>2680</v>
      </c>
      <c r="B940" s="3" t="s">
        <v>31</v>
      </c>
      <c r="C940" s="4">
        <v>45697</v>
      </c>
      <c r="D940" s="3" t="s">
        <v>45</v>
      </c>
      <c r="E940" s="3" t="s">
        <v>39</v>
      </c>
      <c r="F940" s="5">
        <v>1</v>
      </c>
      <c r="G940" s="6">
        <v>25.92</v>
      </c>
      <c r="H940" s="6">
        <v>25.92</v>
      </c>
      <c r="I940" s="6">
        <v>2.19</v>
      </c>
      <c r="J940" s="6">
        <v>23.73</v>
      </c>
      <c r="K940" s="5">
        <v>42</v>
      </c>
    </row>
    <row r="941" spans="1:11" x14ac:dyDescent="0.3">
      <c r="A941" s="3">
        <v>9452</v>
      </c>
      <c r="B941" s="3" t="s">
        <v>11</v>
      </c>
      <c r="C941" s="4">
        <v>45806</v>
      </c>
      <c r="D941" s="3" t="s">
        <v>20</v>
      </c>
      <c r="E941" s="3" t="s">
        <v>23</v>
      </c>
      <c r="F941" s="5">
        <v>1</v>
      </c>
      <c r="G941" s="6">
        <v>12.5</v>
      </c>
      <c r="H941" s="6">
        <v>12.5</v>
      </c>
      <c r="I941" s="6">
        <v>2.5</v>
      </c>
      <c r="J941" s="6">
        <v>10</v>
      </c>
      <c r="K941" s="5">
        <v>429</v>
      </c>
    </row>
    <row r="942" spans="1:11" x14ac:dyDescent="0.3">
      <c r="A942" s="3">
        <v>3042</v>
      </c>
      <c r="B942" s="3" t="s">
        <v>11</v>
      </c>
      <c r="C942" s="4">
        <v>45366</v>
      </c>
      <c r="D942" s="3" t="s">
        <v>28</v>
      </c>
      <c r="E942" s="3" t="s">
        <v>46</v>
      </c>
      <c r="F942" s="5">
        <v>1</v>
      </c>
      <c r="G942" s="6">
        <v>16.13</v>
      </c>
      <c r="H942" s="6">
        <v>16.13</v>
      </c>
      <c r="I942" s="6">
        <v>1.61</v>
      </c>
      <c r="J942" s="6">
        <v>14.52</v>
      </c>
      <c r="K942" s="5">
        <v>424</v>
      </c>
    </row>
    <row r="943" spans="1:11" x14ac:dyDescent="0.3">
      <c r="A943" s="3">
        <v>2374</v>
      </c>
      <c r="B943" s="3" t="s">
        <v>11</v>
      </c>
      <c r="C943" s="4">
        <v>45737</v>
      </c>
      <c r="D943" s="3" t="s">
        <v>17</v>
      </c>
      <c r="E943" s="3" t="s">
        <v>48</v>
      </c>
      <c r="F943" s="5">
        <v>3</v>
      </c>
      <c r="G943" s="6">
        <v>10.54</v>
      </c>
      <c r="H943" s="6">
        <v>31.62</v>
      </c>
      <c r="I943" s="6">
        <v>0</v>
      </c>
      <c r="J943" s="6">
        <v>31.62</v>
      </c>
      <c r="K943" s="5">
        <v>299</v>
      </c>
    </row>
    <row r="944" spans="1:11" x14ac:dyDescent="0.3">
      <c r="A944" s="3">
        <v>3626</v>
      </c>
      <c r="B944" s="3" t="s">
        <v>42</v>
      </c>
      <c r="C944" s="4">
        <v>45356</v>
      </c>
      <c r="D944" s="3" t="s">
        <v>20</v>
      </c>
      <c r="E944" s="3" t="s">
        <v>44</v>
      </c>
      <c r="F944" s="5">
        <v>2</v>
      </c>
      <c r="G944" s="6">
        <v>4.09</v>
      </c>
      <c r="H944" s="6">
        <v>8.18</v>
      </c>
      <c r="I944" s="6">
        <v>0.82</v>
      </c>
      <c r="J944" s="6">
        <v>7.36</v>
      </c>
      <c r="K944" s="5">
        <v>109</v>
      </c>
    </row>
    <row r="945" spans="1:11" x14ac:dyDescent="0.3">
      <c r="A945" s="3">
        <v>8361</v>
      </c>
      <c r="B945" s="3" t="s">
        <v>24</v>
      </c>
      <c r="C945" s="4">
        <v>45848</v>
      </c>
      <c r="D945" s="3" t="s">
        <v>35</v>
      </c>
      <c r="E945" s="3" t="s">
        <v>40</v>
      </c>
      <c r="F945" s="5">
        <v>4</v>
      </c>
      <c r="G945" s="6">
        <v>16.46</v>
      </c>
      <c r="H945" s="6">
        <v>65.84</v>
      </c>
      <c r="I945" s="6">
        <v>9.8800000000000008</v>
      </c>
      <c r="J945" s="6">
        <v>55.96</v>
      </c>
      <c r="K945" s="5">
        <v>358</v>
      </c>
    </row>
    <row r="946" spans="1:11" x14ac:dyDescent="0.3">
      <c r="A946" s="3">
        <v>9410</v>
      </c>
      <c r="B946" s="3" t="s">
        <v>14</v>
      </c>
      <c r="C946" s="4">
        <v>45259</v>
      </c>
      <c r="D946" s="3" t="s">
        <v>20</v>
      </c>
      <c r="E946" s="3" t="s">
        <v>47</v>
      </c>
      <c r="F946" s="5">
        <v>2</v>
      </c>
      <c r="G946" s="6">
        <v>28.93</v>
      </c>
      <c r="H946" s="6">
        <v>57.86</v>
      </c>
      <c r="I946" s="6">
        <v>8.68</v>
      </c>
      <c r="J946" s="6">
        <v>49.18</v>
      </c>
      <c r="K946" s="5">
        <v>450</v>
      </c>
    </row>
    <row r="947" spans="1:11" x14ac:dyDescent="0.3">
      <c r="A947" s="3">
        <v>8167</v>
      </c>
      <c r="B947" s="3" t="s">
        <v>26</v>
      </c>
      <c r="C947" s="4">
        <v>45216</v>
      </c>
      <c r="D947" s="3" t="s">
        <v>22</v>
      </c>
      <c r="E947" s="3" t="s">
        <v>37</v>
      </c>
      <c r="F947" s="5">
        <v>1</v>
      </c>
      <c r="G947" s="6">
        <v>19.71</v>
      </c>
      <c r="H947" s="6">
        <v>19.71</v>
      </c>
      <c r="I947" s="6">
        <v>0</v>
      </c>
      <c r="J947" s="6">
        <v>19.71</v>
      </c>
      <c r="K947" s="5">
        <v>463</v>
      </c>
    </row>
    <row r="948" spans="1:11" x14ac:dyDescent="0.3">
      <c r="A948" s="3">
        <v>4637</v>
      </c>
      <c r="B948" s="3" t="s">
        <v>31</v>
      </c>
      <c r="C948" s="4">
        <v>45779</v>
      </c>
      <c r="D948" s="3" t="s">
        <v>27</v>
      </c>
      <c r="E948" s="3" t="s">
        <v>25</v>
      </c>
      <c r="F948" s="5">
        <v>3</v>
      </c>
      <c r="G948" s="6">
        <v>17.02</v>
      </c>
      <c r="H948" s="6">
        <v>51.06</v>
      </c>
      <c r="I948" s="6">
        <v>0</v>
      </c>
      <c r="J948" s="6">
        <v>51.06</v>
      </c>
      <c r="K948" s="5">
        <v>158</v>
      </c>
    </row>
    <row r="949" spans="1:11" x14ac:dyDescent="0.3">
      <c r="A949" s="3">
        <v>8391</v>
      </c>
      <c r="B949" s="3" t="s">
        <v>11</v>
      </c>
      <c r="C949" s="4">
        <v>45832</v>
      </c>
      <c r="D949" s="3" t="s">
        <v>38</v>
      </c>
      <c r="E949" s="3" t="s">
        <v>25</v>
      </c>
      <c r="F949" s="5">
        <v>4</v>
      </c>
      <c r="G949" s="6">
        <v>12.26</v>
      </c>
      <c r="H949" s="6">
        <v>49.04</v>
      </c>
      <c r="I949" s="6">
        <v>7.36</v>
      </c>
      <c r="J949" s="6">
        <v>41.68</v>
      </c>
      <c r="K949" s="5">
        <v>465</v>
      </c>
    </row>
    <row r="950" spans="1:11" x14ac:dyDescent="0.3">
      <c r="A950" s="3">
        <v>6727</v>
      </c>
      <c r="B950" s="3" t="s">
        <v>30</v>
      </c>
      <c r="C950" s="4">
        <v>45867</v>
      </c>
      <c r="D950" s="3" t="s">
        <v>15</v>
      </c>
      <c r="E950" s="3" t="s">
        <v>25</v>
      </c>
      <c r="F950" s="5">
        <v>3</v>
      </c>
      <c r="G950" s="6">
        <v>7.09</v>
      </c>
      <c r="H950" s="6">
        <v>21.27</v>
      </c>
      <c r="I950" s="6">
        <v>2.13</v>
      </c>
      <c r="J950" s="6">
        <v>19.14</v>
      </c>
      <c r="K950" s="5">
        <v>455</v>
      </c>
    </row>
    <row r="951" spans="1:11" x14ac:dyDescent="0.3">
      <c r="A951" s="3">
        <v>1436</v>
      </c>
      <c r="B951" s="3" t="s">
        <v>36</v>
      </c>
      <c r="C951" s="4">
        <v>45467</v>
      </c>
      <c r="D951" s="3" t="s">
        <v>27</v>
      </c>
      <c r="E951" s="3" t="s">
        <v>16</v>
      </c>
      <c r="F951" s="5">
        <v>1</v>
      </c>
      <c r="G951" s="6">
        <v>8.94</v>
      </c>
      <c r="H951" s="6">
        <v>8.94</v>
      </c>
      <c r="I951" s="6">
        <v>0.89</v>
      </c>
      <c r="J951" s="6">
        <v>8.0500000000000007</v>
      </c>
      <c r="K951" s="5">
        <v>41</v>
      </c>
    </row>
    <row r="952" spans="1:11" x14ac:dyDescent="0.3">
      <c r="A952" s="3">
        <v>1872</v>
      </c>
      <c r="B952" s="3" t="s">
        <v>24</v>
      </c>
      <c r="C952" s="4">
        <v>45452</v>
      </c>
      <c r="D952" s="3" t="s">
        <v>22</v>
      </c>
      <c r="E952" s="3" t="s">
        <v>16</v>
      </c>
      <c r="F952" s="5">
        <v>1</v>
      </c>
      <c r="G952" s="6">
        <v>24.9</v>
      </c>
      <c r="H952" s="6">
        <v>24.9</v>
      </c>
      <c r="I952" s="6">
        <v>1.27</v>
      </c>
      <c r="J952" s="6">
        <v>23.63</v>
      </c>
      <c r="K952" s="5">
        <v>357</v>
      </c>
    </row>
    <row r="953" spans="1:11" x14ac:dyDescent="0.3">
      <c r="A953" s="3">
        <v>9224</v>
      </c>
      <c r="B953" s="3" t="s">
        <v>24</v>
      </c>
      <c r="C953" s="4">
        <v>45435</v>
      </c>
      <c r="D953" s="3" t="s">
        <v>28</v>
      </c>
      <c r="E953" s="3" t="s">
        <v>18</v>
      </c>
      <c r="F953" s="5">
        <v>3</v>
      </c>
      <c r="G953" s="6">
        <v>14.13</v>
      </c>
      <c r="H953" s="6">
        <v>42.39</v>
      </c>
      <c r="I953" s="6">
        <v>0</v>
      </c>
      <c r="J953" s="6">
        <v>42.39</v>
      </c>
      <c r="K953" s="5">
        <v>14</v>
      </c>
    </row>
    <row r="954" spans="1:11" x14ac:dyDescent="0.3">
      <c r="A954" s="3">
        <v>4862</v>
      </c>
      <c r="B954" s="3" t="s">
        <v>19</v>
      </c>
      <c r="C954" s="4">
        <v>45444</v>
      </c>
      <c r="D954" s="3" t="s">
        <v>27</v>
      </c>
      <c r="E954" s="3" t="s">
        <v>33</v>
      </c>
      <c r="F954" s="5">
        <v>2</v>
      </c>
      <c r="G954" s="6">
        <v>1.08</v>
      </c>
      <c r="H954" s="6">
        <v>2.16</v>
      </c>
      <c r="I954" s="6">
        <v>0.32</v>
      </c>
      <c r="J954" s="6">
        <v>1.84</v>
      </c>
      <c r="K954" s="5">
        <v>102</v>
      </c>
    </row>
    <row r="955" spans="1:11" x14ac:dyDescent="0.3">
      <c r="A955" s="3">
        <v>2337</v>
      </c>
      <c r="B955" s="3" t="s">
        <v>11</v>
      </c>
      <c r="C955" s="4">
        <v>45436</v>
      </c>
      <c r="D955" s="3" t="s">
        <v>15</v>
      </c>
      <c r="E955" s="3" t="s">
        <v>29</v>
      </c>
      <c r="F955" s="5">
        <v>2</v>
      </c>
      <c r="G955" s="6">
        <v>15.96</v>
      </c>
      <c r="H955" s="6">
        <v>31.92</v>
      </c>
      <c r="I955" s="6">
        <v>3.74</v>
      </c>
      <c r="J955" s="6">
        <v>28.18</v>
      </c>
      <c r="K955" s="5">
        <v>496</v>
      </c>
    </row>
    <row r="956" spans="1:11" x14ac:dyDescent="0.3">
      <c r="A956" s="3">
        <v>4678</v>
      </c>
      <c r="B956" s="3" t="s">
        <v>36</v>
      </c>
      <c r="C956" s="4">
        <v>45166</v>
      </c>
      <c r="D956" s="3" t="s">
        <v>45</v>
      </c>
      <c r="E956" s="3" t="s">
        <v>47</v>
      </c>
      <c r="F956" s="5">
        <v>2</v>
      </c>
      <c r="G956" s="6">
        <v>8.5500000000000007</v>
      </c>
      <c r="H956" s="6">
        <v>17.100000000000001</v>
      </c>
      <c r="I956" s="6">
        <v>2.56</v>
      </c>
      <c r="J956" s="6">
        <v>14.54</v>
      </c>
      <c r="K956" s="5">
        <v>351</v>
      </c>
    </row>
    <row r="957" spans="1:11" x14ac:dyDescent="0.3">
      <c r="A957" s="3">
        <v>6221</v>
      </c>
      <c r="B957" s="3" t="s">
        <v>42</v>
      </c>
      <c r="C957" s="4">
        <v>45867</v>
      </c>
      <c r="D957" s="3" t="s">
        <v>15</v>
      </c>
      <c r="E957" s="3" t="s">
        <v>16</v>
      </c>
      <c r="F957" s="5">
        <v>3</v>
      </c>
      <c r="G957" s="6">
        <v>6.26</v>
      </c>
      <c r="H957" s="6">
        <v>18.78</v>
      </c>
      <c r="I957" s="6">
        <v>1.9</v>
      </c>
      <c r="J957" s="6">
        <v>16.88</v>
      </c>
      <c r="K957" s="5">
        <v>448</v>
      </c>
    </row>
    <row r="958" spans="1:11" x14ac:dyDescent="0.3">
      <c r="A958" s="3">
        <v>2623</v>
      </c>
      <c r="B958" s="3" t="s">
        <v>31</v>
      </c>
      <c r="C958" s="4">
        <v>45796</v>
      </c>
      <c r="D958" s="3" t="s">
        <v>38</v>
      </c>
      <c r="E958" s="3" t="s">
        <v>25</v>
      </c>
      <c r="F958" s="5">
        <v>1</v>
      </c>
      <c r="G958" s="6">
        <v>29.24</v>
      </c>
      <c r="H958" s="6">
        <v>29.24</v>
      </c>
      <c r="I958" s="6">
        <v>0</v>
      </c>
      <c r="J958" s="6">
        <v>29.24</v>
      </c>
      <c r="K958" s="5">
        <v>101</v>
      </c>
    </row>
    <row r="959" spans="1:11" x14ac:dyDescent="0.3">
      <c r="A959" s="3">
        <v>6493</v>
      </c>
      <c r="B959" s="3" t="s">
        <v>19</v>
      </c>
      <c r="C959" s="4">
        <v>45759</v>
      </c>
      <c r="D959" s="3" t="s">
        <v>12</v>
      </c>
      <c r="E959" s="3" t="s">
        <v>32</v>
      </c>
      <c r="F959" s="5">
        <v>5</v>
      </c>
      <c r="G959" s="6">
        <v>13.43</v>
      </c>
      <c r="H959" s="6">
        <v>67.150000000000006</v>
      </c>
      <c r="I959" s="6">
        <v>4.83</v>
      </c>
      <c r="J959" s="6">
        <v>62.32</v>
      </c>
      <c r="K959" s="5">
        <v>133</v>
      </c>
    </row>
    <row r="960" spans="1:11" x14ac:dyDescent="0.3">
      <c r="A960" s="3">
        <v>3392</v>
      </c>
      <c r="B960" s="3" t="s">
        <v>19</v>
      </c>
      <c r="C960" s="4">
        <v>45251</v>
      </c>
      <c r="D960" s="3" t="s">
        <v>28</v>
      </c>
      <c r="E960" s="3" t="s">
        <v>48</v>
      </c>
      <c r="F960" s="5">
        <v>1</v>
      </c>
      <c r="G960" s="6">
        <v>21.83</v>
      </c>
      <c r="H960" s="6">
        <v>21.83</v>
      </c>
      <c r="I960" s="6">
        <v>0</v>
      </c>
      <c r="J960" s="6">
        <v>21.83</v>
      </c>
      <c r="K960" s="5">
        <v>222</v>
      </c>
    </row>
    <row r="961" spans="1:11" x14ac:dyDescent="0.3">
      <c r="A961" s="3">
        <v>1627</v>
      </c>
      <c r="B961" s="3" t="s">
        <v>26</v>
      </c>
      <c r="C961" s="4">
        <v>45367</v>
      </c>
      <c r="D961" s="3" t="s">
        <v>15</v>
      </c>
      <c r="E961" s="3" t="s">
        <v>25</v>
      </c>
      <c r="F961" s="5">
        <v>2</v>
      </c>
      <c r="G961" s="6">
        <v>6.52</v>
      </c>
      <c r="H961" s="6">
        <v>13.04</v>
      </c>
      <c r="I961" s="6">
        <v>1.96</v>
      </c>
      <c r="J961" s="6">
        <v>11.08</v>
      </c>
      <c r="K961" s="5">
        <v>441</v>
      </c>
    </row>
    <row r="962" spans="1:11" x14ac:dyDescent="0.3">
      <c r="A962" s="3">
        <v>8740</v>
      </c>
      <c r="B962" s="3" t="s">
        <v>26</v>
      </c>
      <c r="C962" s="4">
        <v>45685</v>
      </c>
      <c r="D962" s="3" t="s">
        <v>20</v>
      </c>
      <c r="E962" s="3" t="s">
        <v>41</v>
      </c>
      <c r="F962" s="5">
        <v>4</v>
      </c>
      <c r="G962" s="6">
        <v>25.82</v>
      </c>
      <c r="H962" s="6">
        <v>103.28</v>
      </c>
      <c r="I962" s="6">
        <v>15.49</v>
      </c>
      <c r="J962" s="6">
        <v>87.79</v>
      </c>
      <c r="K962" s="5">
        <v>307</v>
      </c>
    </row>
    <row r="963" spans="1:11" x14ac:dyDescent="0.3">
      <c r="A963" s="3">
        <v>3273</v>
      </c>
      <c r="B963" s="3" t="s">
        <v>42</v>
      </c>
      <c r="C963" s="4">
        <v>45734</v>
      </c>
      <c r="D963" s="3" t="s">
        <v>20</v>
      </c>
      <c r="E963" s="3" t="s">
        <v>29</v>
      </c>
      <c r="F963" s="5">
        <v>4</v>
      </c>
      <c r="G963" s="6">
        <v>23.97</v>
      </c>
      <c r="H963" s="6">
        <v>95.88</v>
      </c>
      <c r="I963" s="6">
        <v>14.38</v>
      </c>
      <c r="J963" s="6">
        <v>81.5</v>
      </c>
      <c r="K963" s="5">
        <v>14</v>
      </c>
    </row>
    <row r="964" spans="1:11" x14ac:dyDescent="0.3">
      <c r="A964" s="3">
        <v>8685</v>
      </c>
      <c r="B964" s="3" t="s">
        <v>42</v>
      </c>
      <c r="C964" s="4">
        <v>45493</v>
      </c>
      <c r="D964" s="3" t="s">
        <v>28</v>
      </c>
      <c r="E964" s="3" t="s">
        <v>33</v>
      </c>
      <c r="F964" s="5">
        <v>2</v>
      </c>
      <c r="G964" s="6">
        <v>11.71</v>
      </c>
      <c r="H964" s="6">
        <v>23.42</v>
      </c>
      <c r="I964" s="6">
        <v>1.04</v>
      </c>
      <c r="J964" s="6">
        <v>22.38</v>
      </c>
      <c r="K964" s="5">
        <v>350</v>
      </c>
    </row>
    <row r="965" spans="1:11" x14ac:dyDescent="0.3">
      <c r="A965" s="3">
        <v>1086</v>
      </c>
      <c r="B965" s="3" t="s">
        <v>19</v>
      </c>
      <c r="C965" s="4">
        <v>45848</v>
      </c>
      <c r="D965" s="3" t="s">
        <v>22</v>
      </c>
      <c r="E965" s="3" t="s">
        <v>32</v>
      </c>
      <c r="F965" s="5">
        <v>2</v>
      </c>
      <c r="G965" s="6">
        <v>21.68</v>
      </c>
      <c r="H965" s="6">
        <v>43.36</v>
      </c>
      <c r="I965" s="6">
        <v>0</v>
      </c>
      <c r="J965" s="6">
        <v>43.36</v>
      </c>
      <c r="K965" s="5">
        <v>362</v>
      </c>
    </row>
    <row r="966" spans="1:11" x14ac:dyDescent="0.3">
      <c r="A966" s="3">
        <v>2298</v>
      </c>
      <c r="B966" s="3" t="s">
        <v>30</v>
      </c>
      <c r="C966" s="4">
        <v>45159</v>
      </c>
      <c r="D966" s="3" t="s">
        <v>15</v>
      </c>
      <c r="E966" s="3" t="s">
        <v>48</v>
      </c>
      <c r="F966" s="5">
        <v>5</v>
      </c>
      <c r="G966" s="6">
        <v>2.69</v>
      </c>
      <c r="H966" s="6">
        <v>13.45</v>
      </c>
      <c r="I966" s="6">
        <v>1.34</v>
      </c>
      <c r="J966" s="6">
        <v>12.11</v>
      </c>
      <c r="K966" s="5">
        <v>170</v>
      </c>
    </row>
    <row r="967" spans="1:11" x14ac:dyDescent="0.3">
      <c r="A967" s="3">
        <v>5193</v>
      </c>
      <c r="B967" s="3" t="s">
        <v>36</v>
      </c>
      <c r="C967" s="4">
        <v>45312</v>
      </c>
      <c r="D967" s="3" t="s">
        <v>28</v>
      </c>
      <c r="E967" s="3" t="s">
        <v>40</v>
      </c>
      <c r="F967" s="5">
        <v>1</v>
      </c>
      <c r="G967" s="6">
        <v>8.35</v>
      </c>
      <c r="H967" s="6">
        <v>8.35</v>
      </c>
      <c r="I967" s="6">
        <v>1.25</v>
      </c>
      <c r="J967" s="6">
        <v>7.1</v>
      </c>
      <c r="K967" s="5">
        <v>317</v>
      </c>
    </row>
    <row r="968" spans="1:11" x14ac:dyDescent="0.3">
      <c r="A968" s="3">
        <v>3449</v>
      </c>
      <c r="B968" s="3" t="s">
        <v>24</v>
      </c>
      <c r="C968" s="4">
        <v>45571</v>
      </c>
      <c r="D968" s="3" t="s">
        <v>27</v>
      </c>
      <c r="E968" s="3" t="s">
        <v>23</v>
      </c>
      <c r="F968" s="5">
        <v>2</v>
      </c>
      <c r="G968" s="6">
        <v>29.06</v>
      </c>
      <c r="H968" s="6">
        <v>58.12</v>
      </c>
      <c r="I968" s="6">
        <v>1.72</v>
      </c>
      <c r="J968" s="6">
        <v>56.4</v>
      </c>
      <c r="K968" s="5">
        <v>286</v>
      </c>
    </row>
    <row r="969" spans="1:11" x14ac:dyDescent="0.3">
      <c r="A969" s="3">
        <v>9647</v>
      </c>
      <c r="B969" s="3" t="s">
        <v>19</v>
      </c>
      <c r="C969" s="4">
        <v>45473</v>
      </c>
      <c r="D969" s="3" t="s">
        <v>38</v>
      </c>
      <c r="E969" s="3" t="s">
        <v>47</v>
      </c>
      <c r="F969" s="5">
        <v>3</v>
      </c>
      <c r="G969" s="6">
        <v>26.45</v>
      </c>
      <c r="H969" s="6">
        <v>79.349999999999994</v>
      </c>
      <c r="I969" s="6">
        <v>11.9</v>
      </c>
      <c r="J969" s="6">
        <v>67.45</v>
      </c>
      <c r="K969" s="5">
        <v>67</v>
      </c>
    </row>
    <row r="970" spans="1:11" x14ac:dyDescent="0.3">
      <c r="A970" s="3">
        <v>2821</v>
      </c>
      <c r="B970" s="3" t="s">
        <v>14</v>
      </c>
      <c r="C970" s="4">
        <v>45747</v>
      </c>
      <c r="D970" s="3" t="s">
        <v>20</v>
      </c>
      <c r="E970" s="3" t="s">
        <v>41</v>
      </c>
      <c r="F970" s="5">
        <v>3</v>
      </c>
      <c r="G970" s="6">
        <v>4.38</v>
      </c>
      <c r="H970" s="6">
        <v>13.14</v>
      </c>
      <c r="I970" s="6">
        <v>1.31</v>
      </c>
      <c r="J970" s="6">
        <v>11.83</v>
      </c>
      <c r="K970" s="5">
        <v>22</v>
      </c>
    </row>
    <row r="971" spans="1:11" x14ac:dyDescent="0.3">
      <c r="A971" s="3">
        <v>5720</v>
      </c>
      <c r="B971" s="3" t="s">
        <v>30</v>
      </c>
      <c r="C971" s="4">
        <v>45329</v>
      </c>
      <c r="D971" s="3" t="s">
        <v>22</v>
      </c>
      <c r="E971" s="3" t="s">
        <v>16</v>
      </c>
      <c r="F971" s="5">
        <v>3</v>
      </c>
      <c r="G971" s="6">
        <v>27.17</v>
      </c>
      <c r="H971" s="6">
        <v>81.510000000000005</v>
      </c>
      <c r="I971" s="6">
        <v>2.25</v>
      </c>
      <c r="J971" s="6">
        <v>79.260000000000005</v>
      </c>
      <c r="K971" s="5">
        <v>134</v>
      </c>
    </row>
    <row r="972" spans="1:11" x14ac:dyDescent="0.3">
      <c r="A972" s="3">
        <v>5934</v>
      </c>
      <c r="B972" s="3" t="s">
        <v>19</v>
      </c>
      <c r="C972" s="4">
        <v>45239</v>
      </c>
      <c r="D972" s="3" t="s">
        <v>22</v>
      </c>
      <c r="E972" s="3" t="s">
        <v>47</v>
      </c>
      <c r="F972" s="5">
        <v>2</v>
      </c>
      <c r="G972" s="6">
        <v>17.100000000000001</v>
      </c>
      <c r="H972" s="6">
        <v>34.200000000000003</v>
      </c>
      <c r="I972" s="6">
        <v>1.76</v>
      </c>
      <c r="J972" s="6">
        <v>32.44</v>
      </c>
      <c r="K972" s="5">
        <v>472</v>
      </c>
    </row>
    <row r="973" spans="1:11" x14ac:dyDescent="0.3">
      <c r="A973" s="3">
        <v>1782</v>
      </c>
      <c r="B973" s="3" t="s">
        <v>31</v>
      </c>
      <c r="C973" s="4">
        <v>45330</v>
      </c>
      <c r="D973" s="3" t="s">
        <v>17</v>
      </c>
      <c r="E973" s="3" t="s">
        <v>29</v>
      </c>
      <c r="F973" s="5">
        <v>1</v>
      </c>
      <c r="G973" s="6">
        <v>14.63</v>
      </c>
      <c r="H973" s="6">
        <v>14.63</v>
      </c>
      <c r="I973" s="6">
        <v>1.46</v>
      </c>
      <c r="J973" s="6">
        <v>13.17</v>
      </c>
      <c r="K973" s="5">
        <v>83</v>
      </c>
    </row>
    <row r="974" spans="1:11" x14ac:dyDescent="0.3">
      <c r="A974" s="3">
        <v>7878</v>
      </c>
      <c r="B974" s="3" t="s">
        <v>11</v>
      </c>
      <c r="C974" s="4">
        <v>45641</v>
      </c>
      <c r="D974" s="3" t="s">
        <v>45</v>
      </c>
      <c r="E974" s="3" t="s">
        <v>40</v>
      </c>
      <c r="F974" s="5">
        <v>4</v>
      </c>
      <c r="G974" s="6">
        <v>11.33</v>
      </c>
      <c r="H974" s="6">
        <v>45.32</v>
      </c>
      <c r="I974" s="6">
        <v>4.53</v>
      </c>
      <c r="J974" s="6">
        <v>40.79</v>
      </c>
      <c r="K974" s="5">
        <v>363</v>
      </c>
    </row>
    <row r="975" spans="1:11" x14ac:dyDescent="0.3">
      <c r="A975" s="3">
        <v>8489</v>
      </c>
      <c r="B975" s="3" t="s">
        <v>26</v>
      </c>
      <c r="C975" s="4">
        <v>45193</v>
      </c>
      <c r="D975" s="3" t="s">
        <v>15</v>
      </c>
      <c r="E975" s="3" t="s">
        <v>41</v>
      </c>
      <c r="F975" s="5">
        <v>1</v>
      </c>
      <c r="G975" s="6">
        <v>11.13</v>
      </c>
      <c r="H975" s="6">
        <v>11.13</v>
      </c>
      <c r="I975" s="6">
        <v>2.23</v>
      </c>
      <c r="J975" s="6">
        <v>8.9</v>
      </c>
      <c r="K975" s="5">
        <v>104</v>
      </c>
    </row>
    <row r="976" spans="1:11" x14ac:dyDescent="0.3">
      <c r="A976" s="3">
        <v>2816</v>
      </c>
      <c r="B976" s="3" t="s">
        <v>19</v>
      </c>
      <c r="C976" s="4">
        <v>45794</v>
      </c>
      <c r="D976" s="3" t="s">
        <v>38</v>
      </c>
      <c r="E976" s="3" t="s">
        <v>13</v>
      </c>
      <c r="F976" s="5">
        <v>5</v>
      </c>
      <c r="G976" s="6">
        <v>26.83</v>
      </c>
      <c r="H976" s="6">
        <v>134.15</v>
      </c>
      <c r="I976" s="6">
        <v>4.99</v>
      </c>
      <c r="J976" s="6">
        <v>129.16</v>
      </c>
      <c r="K976" s="5">
        <v>299</v>
      </c>
    </row>
    <row r="977" spans="1:11" x14ac:dyDescent="0.3">
      <c r="A977" s="3">
        <v>9189</v>
      </c>
      <c r="B977" s="3" t="s">
        <v>31</v>
      </c>
      <c r="C977" s="4">
        <v>45608</v>
      </c>
      <c r="D977" s="3" t="s">
        <v>38</v>
      </c>
      <c r="E977" s="3" t="s">
        <v>29</v>
      </c>
      <c r="F977" s="5">
        <v>4</v>
      </c>
      <c r="G977" s="6">
        <v>27.68</v>
      </c>
      <c r="H977" s="6">
        <v>110.72</v>
      </c>
      <c r="I977" s="6">
        <v>0</v>
      </c>
      <c r="J977" s="6">
        <v>110.72</v>
      </c>
      <c r="K977" s="5">
        <v>126</v>
      </c>
    </row>
    <row r="978" spans="1:11" x14ac:dyDescent="0.3">
      <c r="A978" s="3">
        <v>9782</v>
      </c>
      <c r="B978" s="3" t="s">
        <v>11</v>
      </c>
      <c r="C978" s="4">
        <v>45157</v>
      </c>
      <c r="D978" s="3" t="s">
        <v>22</v>
      </c>
      <c r="E978" s="3" t="s">
        <v>39</v>
      </c>
      <c r="F978" s="5">
        <v>3</v>
      </c>
      <c r="G978" s="6">
        <v>20.75</v>
      </c>
      <c r="H978" s="6">
        <v>62.25</v>
      </c>
      <c r="I978" s="6">
        <v>6.23</v>
      </c>
      <c r="J978" s="6">
        <v>56.02</v>
      </c>
      <c r="K978" s="5">
        <v>348</v>
      </c>
    </row>
    <row r="979" spans="1:11" x14ac:dyDescent="0.3">
      <c r="A979" s="3">
        <v>9443</v>
      </c>
      <c r="B979" s="3" t="s">
        <v>36</v>
      </c>
      <c r="C979" s="4">
        <v>45591</v>
      </c>
      <c r="D979" s="3" t="s">
        <v>28</v>
      </c>
      <c r="E979" s="3" t="s">
        <v>48</v>
      </c>
      <c r="F979" s="5">
        <v>3</v>
      </c>
      <c r="G979" s="6">
        <v>5.45</v>
      </c>
      <c r="H979" s="6">
        <v>16.350000000000001</v>
      </c>
      <c r="I979" s="6">
        <v>0</v>
      </c>
      <c r="J979" s="6">
        <v>16.350000000000001</v>
      </c>
      <c r="K979" s="5">
        <v>41</v>
      </c>
    </row>
    <row r="980" spans="1:11" x14ac:dyDescent="0.3">
      <c r="A980" s="3">
        <v>4963</v>
      </c>
      <c r="B980" s="3" t="s">
        <v>26</v>
      </c>
      <c r="C980" s="4">
        <v>45703</v>
      </c>
      <c r="D980" s="3" t="s">
        <v>45</v>
      </c>
      <c r="E980" s="3" t="s">
        <v>13</v>
      </c>
      <c r="F980" s="5">
        <v>5</v>
      </c>
      <c r="G980" s="6">
        <v>20.07</v>
      </c>
      <c r="H980" s="6">
        <v>100.35</v>
      </c>
      <c r="I980" s="6">
        <v>0</v>
      </c>
      <c r="J980" s="6">
        <v>100.35</v>
      </c>
      <c r="K980" s="5">
        <v>168</v>
      </c>
    </row>
    <row r="981" spans="1:11" x14ac:dyDescent="0.3">
      <c r="A981" s="3">
        <v>3352</v>
      </c>
      <c r="B981" s="3" t="s">
        <v>26</v>
      </c>
      <c r="C981" s="4">
        <v>45371</v>
      </c>
      <c r="D981" s="3" t="s">
        <v>22</v>
      </c>
      <c r="E981" s="3" t="s">
        <v>41</v>
      </c>
      <c r="F981" s="5">
        <v>2</v>
      </c>
      <c r="G981" s="6">
        <v>26.03</v>
      </c>
      <c r="H981" s="6">
        <v>52.06</v>
      </c>
      <c r="I981" s="6">
        <v>7.81</v>
      </c>
      <c r="J981" s="6">
        <v>44.25</v>
      </c>
      <c r="K981" s="5">
        <v>410</v>
      </c>
    </row>
    <row r="982" spans="1:11" x14ac:dyDescent="0.3">
      <c r="A982" s="3">
        <v>8032</v>
      </c>
      <c r="B982" s="3" t="s">
        <v>31</v>
      </c>
      <c r="C982" s="4">
        <v>45146</v>
      </c>
      <c r="D982" s="3" t="s">
        <v>15</v>
      </c>
      <c r="E982" s="3" t="s">
        <v>18</v>
      </c>
      <c r="F982" s="5">
        <v>5</v>
      </c>
      <c r="G982" s="6">
        <v>12.05</v>
      </c>
      <c r="H982" s="6">
        <v>60.25</v>
      </c>
      <c r="I982" s="6">
        <v>12.05</v>
      </c>
      <c r="J982" s="6">
        <v>48.2</v>
      </c>
      <c r="K982" s="5">
        <v>204</v>
      </c>
    </row>
    <row r="983" spans="1:11" x14ac:dyDescent="0.3">
      <c r="A983" s="3">
        <v>6780</v>
      </c>
      <c r="B983" s="3" t="s">
        <v>42</v>
      </c>
      <c r="C983" s="4">
        <v>45331</v>
      </c>
      <c r="D983" s="3" t="s">
        <v>20</v>
      </c>
      <c r="E983" s="3" t="s">
        <v>43</v>
      </c>
      <c r="F983" s="5">
        <v>1</v>
      </c>
      <c r="G983" s="6">
        <v>25.71</v>
      </c>
      <c r="H983" s="6">
        <v>25.71</v>
      </c>
      <c r="I983" s="6">
        <v>2.57</v>
      </c>
      <c r="J983" s="6">
        <v>23.14</v>
      </c>
      <c r="K983" s="5">
        <v>83</v>
      </c>
    </row>
    <row r="984" spans="1:11" x14ac:dyDescent="0.3">
      <c r="A984" s="3">
        <v>7825</v>
      </c>
      <c r="B984" s="3" t="s">
        <v>30</v>
      </c>
      <c r="C984" s="4">
        <v>45290</v>
      </c>
      <c r="D984" s="3" t="s">
        <v>27</v>
      </c>
      <c r="E984" s="3" t="s">
        <v>41</v>
      </c>
      <c r="F984" s="5">
        <v>1</v>
      </c>
      <c r="G984" s="6">
        <v>9.65</v>
      </c>
      <c r="H984" s="6">
        <v>9.65</v>
      </c>
      <c r="I984" s="6">
        <v>0</v>
      </c>
      <c r="J984" s="6">
        <v>9.65</v>
      </c>
      <c r="K984" s="5">
        <v>410</v>
      </c>
    </row>
    <row r="985" spans="1:11" x14ac:dyDescent="0.3">
      <c r="A985" s="3">
        <v>2402</v>
      </c>
      <c r="B985" s="3" t="s">
        <v>30</v>
      </c>
      <c r="C985" s="4">
        <v>45551</v>
      </c>
      <c r="D985" s="3" t="s">
        <v>27</v>
      </c>
      <c r="E985" s="3" t="s">
        <v>41</v>
      </c>
      <c r="F985" s="5">
        <v>3</v>
      </c>
      <c r="G985" s="6">
        <v>20.29</v>
      </c>
      <c r="H985" s="6">
        <v>60.87</v>
      </c>
      <c r="I985" s="6">
        <v>1.8</v>
      </c>
      <c r="J985" s="6">
        <v>59.07</v>
      </c>
      <c r="K985" s="5">
        <v>426</v>
      </c>
    </row>
    <row r="986" spans="1:11" x14ac:dyDescent="0.3">
      <c r="A986" s="3">
        <v>6908</v>
      </c>
      <c r="B986" s="3" t="s">
        <v>26</v>
      </c>
      <c r="C986" s="4">
        <v>45197</v>
      </c>
      <c r="D986" s="3" t="s">
        <v>20</v>
      </c>
      <c r="E986" s="3" t="s">
        <v>47</v>
      </c>
      <c r="F986" s="5">
        <v>3</v>
      </c>
      <c r="G986" s="6">
        <v>17.32</v>
      </c>
      <c r="H986" s="6">
        <v>51.96</v>
      </c>
      <c r="I986" s="6">
        <v>5.2</v>
      </c>
      <c r="J986" s="6">
        <v>46.76</v>
      </c>
      <c r="K986" s="5">
        <v>216</v>
      </c>
    </row>
    <row r="987" spans="1:11" x14ac:dyDescent="0.3">
      <c r="A987" s="3">
        <v>9618</v>
      </c>
      <c r="B987" s="3" t="s">
        <v>36</v>
      </c>
      <c r="C987" s="4">
        <v>45567</v>
      </c>
      <c r="D987" s="3" t="s">
        <v>28</v>
      </c>
      <c r="E987" s="3" t="s">
        <v>29</v>
      </c>
      <c r="F987" s="5">
        <v>4</v>
      </c>
      <c r="G987" s="6">
        <v>19.28</v>
      </c>
      <c r="H987" s="6">
        <v>77.12</v>
      </c>
      <c r="I987" s="6">
        <v>2.37</v>
      </c>
      <c r="J987" s="6">
        <v>74.75</v>
      </c>
      <c r="K987" s="5">
        <v>47</v>
      </c>
    </row>
    <row r="988" spans="1:11" x14ac:dyDescent="0.3">
      <c r="A988" s="3">
        <v>9312</v>
      </c>
      <c r="B988" s="3" t="s">
        <v>26</v>
      </c>
      <c r="C988" s="4">
        <v>45755</v>
      </c>
      <c r="D988" s="3" t="s">
        <v>27</v>
      </c>
      <c r="E988" s="3" t="s">
        <v>25</v>
      </c>
      <c r="F988" s="5">
        <v>2</v>
      </c>
      <c r="G988" s="6">
        <v>27.98</v>
      </c>
      <c r="H988" s="6">
        <v>55.96</v>
      </c>
      <c r="I988" s="6">
        <v>8.39</v>
      </c>
      <c r="J988" s="6">
        <v>47.57</v>
      </c>
      <c r="K988" s="5">
        <v>269</v>
      </c>
    </row>
    <row r="989" spans="1:11" x14ac:dyDescent="0.3">
      <c r="A989" s="3">
        <v>9316</v>
      </c>
      <c r="B989" s="3" t="s">
        <v>26</v>
      </c>
      <c r="C989" s="4">
        <v>45575</v>
      </c>
      <c r="D989" s="3" t="s">
        <v>20</v>
      </c>
      <c r="E989" s="3" t="s">
        <v>43</v>
      </c>
      <c r="F989" s="5">
        <v>4</v>
      </c>
      <c r="G989" s="6">
        <v>9.6999999999999993</v>
      </c>
      <c r="H989" s="6">
        <v>38.799999999999997</v>
      </c>
      <c r="I989" s="6">
        <v>7.76</v>
      </c>
      <c r="J989" s="6">
        <v>31.04</v>
      </c>
      <c r="K989" s="5">
        <v>65</v>
      </c>
    </row>
    <row r="990" spans="1:11" x14ac:dyDescent="0.3">
      <c r="A990" s="3">
        <v>1333</v>
      </c>
      <c r="B990" s="3" t="s">
        <v>14</v>
      </c>
      <c r="C990" s="4">
        <v>45448</v>
      </c>
      <c r="D990" s="3" t="s">
        <v>20</v>
      </c>
      <c r="E990" s="3" t="s">
        <v>37</v>
      </c>
      <c r="F990" s="5">
        <v>5</v>
      </c>
      <c r="G990" s="6">
        <v>2.37</v>
      </c>
      <c r="H990" s="6">
        <v>11.85</v>
      </c>
      <c r="I990" s="6">
        <v>1.43</v>
      </c>
      <c r="J990" s="6">
        <v>10.42</v>
      </c>
      <c r="K990" s="5">
        <v>39</v>
      </c>
    </row>
    <row r="991" spans="1:11" x14ac:dyDescent="0.3">
      <c r="A991" s="3">
        <v>8702</v>
      </c>
      <c r="B991" s="3" t="s">
        <v>24</v>
      </c>
      <c r="C991" s="4">
        <v>45178</v>
      </c>
      <c r="D991" s="3" t="s">
        <v>20</v>
      </c>
      <c r="E991" s="3" t="s">
        <v>48</v>
      </c>
      <c r="F991" s="5">
        <v>4</v>
      </c>
      <c r="G991" s="6">
        <v>20.149999999999999</v>
      </c>
      <c r="H991" s="6">
        <v>80.599999999999994</v>
      </c>
      <c r="I991" s="6">
        <v>12.09</v>
      </c>
      <c r="J991" s="6">
        <v>68.510000000000005</v>
      </c>
      <c r="K991" s="5">
        <v>291</v>
      </c>
    </row>
    <row r="992" spans="1:11" x14ac:dyDescent="0.3">
      <c r="A992" s="3">
        <v>7338</v>
      </c>
      <c r="B992" s="3" t="s">
        <v>30</v>
      </c>
      <c r="C992" s="4">
        <v>45434</v>
      </c>
      <c r="D992" s="3" t="s">
        <v>28</v>
      </c>
      <c r="E992" s="3" t="s">
        <v>43</v>
      </c>
      <c r="F992" s="5">
        <v>5</v>
      </c>
      <c r="G992" s="6">
        <v>1.46</v>
      </c>
      <c r="H992" s="6">
        <v>7.3</v>
      </c>
      <c r="I992" s="6">
        <v>1.46</v>
      </c>
      <c r="J992" s="6">
        <v>5.84</v>
      </c>
      <c r="K992" s="5">
        <v>379</v>
      </c>
    </row>
    <row r="993" spans="1:11" x14ac:dyDescent="0.3">
      <c r="A993" s="3">
        <v>5155</v>
      </c>
      <c r="B993" s="3" t="s">
        <v>19</v>
      </c>
      <c r="C993" s="4">
        <v>45725</v>
      </c>
      <c r="D993" s="3" t="s">
        <v>20</v>
      </c>
      <c r="E993" s="3" t="s">
        <v>40</v>
      </c>
      <c r="F993" s="5">
        <v>1</v>
      </c>
      <c r="G993" s="6">
        <v>13.06</v>
      </c>
      <c r="H993" s="6">
        <v>13.06</v>
      </c>
      <c r="I993" s="6">
        <v>1.96</v>
      </c>
      <c r="J993" s="6">
        <v>11.1</v>
      </c>
      <c r="K993" s="5">
        <v>360</v>
      </c>
    </row>
    <row r="994" spans="1:11" x14ac:dyDescent="0.3">
      <c r="A994" s="3">
        <v>1266</v>
      </c>
      <c r="B994" s="3" t="s">
        <v>26</v>
      </c>
      <c r="C994" s="4">
        <v>45422</v>
      </c>
      <c r="D994" s="3" t="s">
        <v>27</v>
      </c>
      <c r="E994" s="3" t="s">
        <v>33</v>
      </c>
      <c r="F994" s="5">
        <v>5</v>
      </c>
      <c r="G994" s="6">
        <v>24.42</v>
      </c>
      <c r="H994" s="6">
        <v>122.1</v>
      </c>
      <c r="I994" s="6">
        <v>24.42</v>
      </c>
      <c r="J994" s="6">
        <v>97.68</v>
      </c>
      <c r="K994" s="5">
        <v>174</v>
      </c>
    </row>
    <row r="995" spans="1:11" x14ac:dyDescent="0.3">
      <c r="A995" s="3">
        <v>2106</v>
      </c>
      <c r="B995" s="3" t="s">
        <v>19</v>
      </c>
      <c r="C995" s="4">
        <v>45412</v>
      </c>
      <c r="D995" s="3" t="s">
        <v>15</v>
      </c>
      <c r="E995" s="3" t="s">
        <v>13</v>
      </c>
      <c r="F995" s="5">
        <v>1</v>
      </c>
      <c r="G995" s="6">
        <v>13.57</v>
      </c>
      <c r="H995" s="6">
        <v>13.57</v>
      </c>
      <c r="I995" s="6">
        <v>1.36</v>
      </c>
      <c r="J995" s="6">
        <v>12.21</v>
      </c>
      <c r="K995" s="5">
        <v>9</v>
      </c>
    </row>
    <row r="996" spans="1:11" x14ac:dyDescent="0.3">
      <c r="A996" s="3">
        <v>4950</v>
      </c>
      <c r="B996" s="3" t="s">
        <v>11</v>
      </c>
      <c r="C996" s="4">
        <v>45714</v>
      </c>
      <c r="D996" s="3" t="s">
        <v>12</v>
      </c>
      <c r="E996" s="3" t="s">
        <v>29</v>
      </c>
      <c r="F996" s="5">
        <v>4</v>
      </c>
      <c r="G996" s="6">
        <v>14.33</v>
      </c>
      <c r="H996" s="6">
        <v>57.32</v>
      </c>
      <c r="I996" s="6">
        <v>8.6</v>
      </c>
      <c r="J996" s="6">
        <v>48.72</v>
      </c>
      <c r="K996" s="5">
        <v>207</v>
      </c>
    </row>
    <row r="997" spans="1:11" x14ac:dyDescent="0.3">
      <c r="A997" s="3">
        <v>2698</v>
      </c>
      <c r="B997" s="3" t="s">
        <v>36</v>
      </c>
      <c r="C997" s="4">
        <v>45744</v>
      </c>
      <c r="D997" s="3" t="s">
        <v>27</v>
      </c>
      <c r="E997" s="3" t="s">
        <v>32</v>
      </c>
      <c r="F997" s="5">
        <v>3</v>
      </c>
      <c r="G997" s="6">
        <v>3.53</v>
      </c>
      <c r="H997" s="6">
        <v>10.59</v>
      </c>
      <c r="I997" s="6">
        <v>2.12</v>
      </c>
      <c r="J997" s="6">
        <v>8.4700000000000006</v>
      </c>
      <c r="K997" s="5">
        <v>69</v>
      </c>
    </row>
    <row r="998" spans="1:11" x14ac:dyDescent="0.3">
      <c r="A998" s="3">
        <v>6447</v>
      </c>
      <c r="B998" s="3" t="s">
        <v>11</v>
      </c>
      <c r="C998" s="4">
        <v>45248</v>
      </c>
      <c r="D998" s="3" t="s">
        <v>12</v>
      </c>
      <c r="E998" s="3" t="s">
        <v>44</v>
      </c>
      <c r="F998" s="5">
        <v>1</v>
      </c>
      <c r="G998" s="6">
        <v>7.06</v>
      </c>
      <c r="H998" s="6">
        <v>7.06</v>
      </c>
      <c r="I998" s="6">
        <v>0</v>
      </c>
      <c r="J998" s="6">
        <v>7.06</v>
      </c>
      <c r="K998" s="5">
        <v>332</v>
      </c>
    </row>
    <row r="999" spans="1:11" x14ac:dyDescent="0.3">
      <c r="A999" s="3">
        <v>1726</v>
      </c>
      <c r="B999" s="3" t="s">
        <v>42</v>
      </c>
      <c r="C999" s="4">
        <v>45418</v>
      </c>
      <c r="D999" s="3" t="s">
        <v>20</v>
      </c>
      <c r="E999" s="3" t="s">
        <v>18</v>
      </c>
      <c r="F999" s="5">
        <v>2</v>
      </c>
      <c r="G999" s="6">
        <v>3.49</v>
      </c>
      <c r="H999" s="6">
        <v>6.98</v>
      </c>
      <c r="I999" s="6">
        <v>1.4</v>
      </c>
      <c r="J999" s="6">
        <v>5.58</v>
      </c>
      <c r="K999" s="5">
        <v>394</v>
      </c>
    </row>
    <row r="1000" spans="1:11" x14ac:dyDescent="0.3">
      <c r="A1000" s="3">
        <v>9945</v>
      </c>
      <c r="B1000" s="3" t="s">
        <v>26</v>
      </c>
      <c r="C1000" s="4">
        <v>45407</v>
      </c>
      <c r="D1000" s="3" t="s">
        <v>20</v>
      </c>
      <c r="E1000" s="3" t="s">
        <v>39</v>
      </c>
      <c r="F1000" s="5">
        <v>1</v>
      </c>
      <c r="G1000" s="6">
        <v>5.81</v>
      </c>
      <c r="H1000" s="6">
        <v>5.81</v>
      </c>
      <c r="I1000" s="6">
        <v>0.57999999999999996</v>
      </c>
      <c r="J1000" s="6">
        <v>5.23</v>
      </c>
      <c r="K1000" s="5">
        <v>78</v>
      </c>
    </row>
    <row r="1001" spans="1:11" x14ac:dyDescent="0.3">
      <c r="A1001" s="3">
        <v>3868</v>
      </c>
      <c r="B1001" s="3" t="s">
        <v>26</v>
      </c>
      <c r="C1001" s="4">
        <v>45789</v>
      </c>
      <c r="D1001" s="3" t="s">
        <v>12</v>
      </c>
      <c r="E1001" s="3" t="s">
        <v>33</v>
      </c>
      <c r="F1001" s="5">
        <v>5</v>
      </c>
      <c r="G1001" s="6">
        <v>8.0299999999999994</v>
      </c>
      <c r="H1001" s="6">
        <v>40.15</v>
      </c>
      <c r="I1001" s="6">
        <v>2.34</v>
      </c>
      <c r="J1001" s="6">
        <v>37.81</v>
      </c>
      <c r="K1001" s="5">
        <v>150</v>
      </c>
    </row>
    <row r="1002" spans="1:11" x14ac:dyDescent="0.3">
      <c r="A1002" s="3">
        <v>8612</v>
      </c>
      <c r="B1002" s="3" t="s">
        <v>11</v>
      </c>
      <c r="C1002" s="4">
        <v>45685</v>
      </c>
      <c r="D1002" s="3" t="s">
        <v>27</v>
      </c>
      <c r="E1002" s="3" t="s">
        <v>16</v>
      </c>
      <c r="F1002" s="5">
        <v>4</v>
      </c>
      <c r="G1002" s="6">
        <v>25.6</v>
      </c>
      <c r="H1002" s="6">
        <v>102.4</v>
      </c>
      <c r="I1002" s="6">
        <v>2.95</v>
      </c>
      <c r="J1002" s="6">
        <v>99.45</v>
      </c>
      <c r="K1002" s="5">
        <v>377</v>
      </c>
    </row>
    <row r="1003" spans="1:11" x14ac:dyDescent="0.3">
      <c r="A1003" s="3">
        <v>8840</v>
      </c>
      <c r="B1003" s="3" t="s">
        <v>26</v>
      </c>
      <c r="C1003" s="4">
        <v>45635</v>
      </c>
      <c r="D1003" s="3" t="s">
        <v>38</v>
      </c>
      <c r="E1003" s="3" t="s">
        <v>47</v>
      </c>
      <c r="F1003" s="5">
        <v>2</v>
      </c>
      <c r="G1003" s="6">
        <v>21.7</v>
      </c>
      <c r="H1003" s="6">
        <v>43.4</v>
      </c>
      <c r="I1003" s="6">
        <v>4.34</v>
      </c>
      <c r="J1003" s="6">
        <v>39.06</v>
      </c>
      <c r="K1003" s="5">
        <v>270</v>
      </c>
    </row>
    <row r="1004" spans="1:11" x14ac:dyDescent="0.3">
      <c r="A1004" s="3">
        <v>3986</v>
      </c>
      <c r="B1004" s="3" t="s">
        <v>36</v>
      </c>
      <c r="C1004" s="4">
        <v>45775</v>
      </c>
      <c r="D1004" s="3" t="s">
        <v>38</v>
      </c>
      <c r="E1004" s="3" t="s">
        <v>43</v>
      </c>
      <c r="F1004" s="5">
        <v>3</v>
      </c>
      <c r="G1004" s="6">
        <v>26.88</v>
      </c>
      <c r="H1004" s="6">
        <v>80.64</v>
      </c>
      <c r="I1004" s="6">
        <v>2.98</v>
      </c>
      <c r="J1004" s="6">
        <v>77.66</v>
      </c>
      <c r="K1004" s="5">
        <v>213</v>
      </c>
    </row>
    <row r="1005" spans="1:11" x14ac:dyDescent="0.3">
      <c r="A1005" s="3">
        <v>3209</v>
      </c>
      <c r="B1005" s="3" t="s">
        <v>36</v>
      </c>
      <c r="C1005" s="4">
        <v>45194</v>
      </c>
      <c r="D1005" s="3" t="s">
        <v>45</v>
      </c>
      <c r="E1005" s="3" t="s">
        <v>16</v>
      </c>
      <c r="F1005" s="5">
        <v>1</v>
      </c>
      <c r="G1005" s="6">
        <v>5.67</v>
      </c>
      <c r="H1005" s="6">
        <v>5.67</v>
      </c>
      <c r="I1005" s="6">
        <v>0.56999999999999995</v>
      </c>
      <c r="J1005" s="6">
        <v>5.0999999999999996</v>
      </c>
      <c r="K1005" s="5">
        <v>371</v>
      </c>
    </row>
    <row r="1006" spans="1:11" x14ac:dyDescent="0.3">
      <c r="A1006" s="3">
        <v>8498</v>
      </c>
      <c r="B1006" s="3" t="s">
        <v>36</v>
      </c>
      <c r="C1006" s="4">
        <v>45173</v>
      </c>
      <c r="D1006" s="3" t="s">
        <v>45</v>
      </c>
      <c r="E1006" s="3" t="s">
        <v>25</v>
      </c>
      <c r="F1006" s="5">
        <v>5</v>
      </c>
      <c r="G1006" s="6">
        <v>7.36</v>
      </c>
      <c r="H1006" s="6">
        <v>36.799999999999997</v>
      </c>
      <c r="I1006" s="6">
        <v>4.41</v>
      </c>
      <c r="J1006" s="6">
        <v>32.39</v>
      </c>
      <c r="K1006" s="5">
        <v>465</v>
      </c>
    </row>
    <row r="1007" spans="1:11" x14ac:dyDescent="0.3">
      <c r="A1007" s="3">
        <v>5807</v>
      </c>
      <c r="B1007" s="3" t="s">
        <v>26</v>
      </c>
      <c r="C1007" s="4">
        <v>45301</v>
      </c>
      <c r="D1007" s="3" t="s">
        <v>34</v>
      </c>
      <c r="E1007" s="3" t="s">
        <v>37</v>
      </c>
      <c r="F1007" s="5">
        <v>4</v>
      </c>
      <c r="G1007" s="6">
        <v>28.82</v>
      </c>
      <c r="H1007" s="6">
        <v>115.28</v>
      </c>
      <c r="I1007" s="6">
        <v>11.53</v>
      </c>
      <c r="J1007" s="6">
        <v>103.75</v>
      </c>
      <c r="K1007" s="5">
        <v>426</v>
      </c>
    </row>
    <row r="1008" spans="1:11" x14ac:dyDescent="0.3">
      <c r="A1008" s="3">
        <v>1717</v>
      </c>
      <c r="B1008" s="3" t="s">
        <v>19</v>
      </c>
      <c r="C1008" s="4">
        <v>45759</v>
      </c>
      <c r="D1008" s="3" t="s">
        <v>28</v>
      </c>
      <c r="E1008" s="3" t="s">
        <v>44</v>
      </c>
      <c r="F1008" s="5">
        <v>3</v>
      </c>
      <c r="G1008" s="6">
        <v>21.02</v>
      </c>
      <c r="H1008" s="6">
        <v>63.06</v>
      </c>
      <c r="I1008" s="6">
        <v>12.61</v>
      </c>
      <c r="J1008" s="6">
        <v>50.45</v>
      </c>
      <c r="K1008" s="5">
        <v>44</v>
      </c>
    </row>
    <row r="1009" spans="1:11" x14ac:dyDescent="0.3">
      <c r="A1009" s="3">
        <v>4268</v>
      </c>
      <c r="B1009" s="3" t="s">
        <v>19</v>
      </c>
      <c r="C1009" s="4">
        <v>45833</v>
      </c>
      <c r="D1009" s="3" t="s">
        <v>17</v>
      </c>
      <c r="E1009" s="3" t="s">
        <v>29</v>
      </c>
      <c r="F1009" s="5">
        <v>5</v>
      </c>
      <c r="G1009" s="6">
        <v>15.26</v>
      </c>
      <c r="H1009" s="6">
        <v>76.3</v>
      </c>
      <c r="I1009" s="6">
        <v>7.63</v>
      </c>
      <c r="J1009" s="6">
        <v>68.67</v>
      </c>
      <c r="K1009" s="5">
        <v>406</v>
      </c>
    </row>
    <row r="1010" spans="1:11" x14ac:dyDescent="0.3">
      <c r="A1010" s="3">
        <v>1686</v>
      </c>
      <c r="B1010" s="3" t="s">
        <v>30</v>
      </c>
      <c r="C1010" s="4">
        <v>45390</v>
      </c>
      <c r="D1010" s="3" t="s">
        <v>17</v>
      </c>
      <c r="E1010" s="3" t="s">
        <v>44</v>
      </c>
      <c r="F1010" s="5">
        <v>5</v>
      </c>
      <c r="G1010" s="6">
        <v>2.35</v>
      </c>
      <c r="H1010" s="6">
        <v>11.75</v>
      </c>
      <c r="I1010" s="6">
        <v>1.76</v>
      </c>
      <c r="J1010" s="6">
        <v>9.99</v>
      </c>
      <c r="K1010" s="5">
        <v>9</v>
      </c>
    </row>
    <row r="1011" spans="1:11" x14ac:dyDescent="0.3">
      <c r="A1011" s="3">
        <v>6080</v>
      </c>
      <c r="B1011" s="3" t="s">
        <v>36</v>
      </c>
      <c r="C1011" s="4">
        <v>45545</v>
      </c>
      <c r="D1011" s="3" t="s">
        <v>27</v>
      </c>
      <c r="E1011" s="3" t="s">
        <v>29</v>
      </c>
      <c r="F1011" s="5">
        <v>2</v>
      </c>
      <c r="G1011" s="6">
        <v>25</v>
      </c>
      <c r="H1011" s="6">
        <v>50</v>
      </c>
      <c r="I1011" s="6">
        <v>2.35</v>
      </c>
      <c r="J1011" s="6">
        <v>47.65</v>
      </c>
      <c r="K1011" s="5">
        <v>457</v>
      </c>
    </row>
    <row r="1012" spans="1:11" x14ac:dyDescent="0.3">
      <c r="A1012" s="3">
        <v>7524</v>
      </c>
      <c r="B1012" s="3" t="s">
        <v>11</v>
      </c>
      <c r="C1012" s="4">
        <v>45778</v>
      </c>
      <c r="D1012" s="3" t="s">
        <v>28</v>
      </c>
      <c r="E1012" s="3" t="s">
        <v>25</v>
      </c>
      <c r="F1012" s="5">
        <v>1</v>
      </c>
      <c r="G1012" s="6">
        <v>17.29</v>
      </c>
      <c r="H1012" s="6">
        <v>17.29</v>
      </c>
      <c r="I1012" s="6">
        <v>2.59</v>
      </c>
      <c r="J1012" s="6">
        <v>14.7</v>
      </c>
      <c r="K1012" s="5">
        <v>249</v>
      </c>
    </row>
    <row r="1013" spans="1:11" x14ac:dyDescent="0.3">
      <c r="A1013" s="3">
        <v>9897</v>
      </c>
      <c r="B1013" s="3" t="s">
        <v>36</v>
      </c>
      <c r="C1013" s="4">
        <v>45512</v>
      </c>
      <c r="D1013" s="3" t="s">
        <v>12</v>
      </c>
      <c r="E1013" s="3" t="s">
        <v>18</v>
      </c>
      <c r="F1013" s="5">
        <v>3</v>
      </c>
      <c r="G1013" s="6">
        <v>26.98</v>
      </c>
      <c r="H1013" s="6">
        <v>80.94</v>
      </c>
      <c r="I1013" s="6">
        <v>0</v>
      </c>
      <c r="J1013" s="6">
        <v>80.94</v>
      </c>
      <c r="K1013" s="5">
        <v>436</v>
      </c>
    </row>
    <row r="1014" spans="1:11" x14ac:dyDescent="0.3">
      <c r="A1014" s="3">
        <v>5150</v>
      </c>
      <c r="B1014" s="3" t="s">
        <v>31</v>
      </c>
      <c r="C1014" s="4">
        <v>45173</v>
      </c>
      <c r="D1014" s="3" t="s">
        <v>45</v>
      </c>
      <c r="E1014" s="3" t="s">
        <v>33</v>
      </c>
      <c r="F1014" s="5">
        <v>1</v>
      </c>
      <c r="G1014" s="6">
        <v>29.26</v>
      </c>
      <c r="H1014" s="6">
        <v>29.26</v>
      </c>
      <c r="I1014" s="6">
        <v>1.17</v>
      </c>
      <c r="J1014" s="6">
        <v>28.09</v>
      </c>
      <c r="K1014" s="5">
        <v>400</v>
      </c>
    </row>
    <row r="1015" spans="1:11" x14ac:dyDescent="0.3">
      <c r="A1015" s="3">
        <v>4131</v>
      </c>
      <c r="B1015" s="3" t="s">
        <v>11</v>
      </c>
      <c r="C1015" s="4">
        <v>45367</v>
      </c>
      <c r="D1015" s="3" t="s">
        <v>34</v>
      </c>
      <c r="E1015" s="3" t="s">
        <v>48</v>
      </c>
      <c r="F1015" s="5">
        <v>2</v>
      </c>
      <c r="G1015" s="6">
        <v>27.41</v>
      </c>
      <c r="H1015" s="6">
        <v>54.82</v>
      </c>
      <c r="I1015" s="6">
        <v>0</v>
      </c>
      <c r="J1015" s="6">
        <v>54.82</v>
      </c>
      <c r="K1015" s="5">
        <v>80</v>
      </c>
    </row>
    <row r="1016" spans="1:11" x14ac:dyDescent="0.3">
      <c r="A1016" s="3">
        <v>6848</v>
      </c>
      <c r="B1016" s="3" t="s">
        <v>26</v>
      </c>
      <c r="C1016" s="4">
        <v>45814</v>
      </c>
      <c r="D1016" s="3" t="s">
        <v>38</v>
      </c>
      <c r="E1016" s="3" t="s">
        <v>47</v>
      </c>
      <c r="F1016" s="5">
        <v>1</v>
      </c>
      <c r="G1016" s="6">
        <v>5.46</v>
      </c>
      <c r="H1016" s="6">
        <v>5.46</v>
      </c>
      <c r="I1016" s="6">
        <v>1.0900000000000001</v>
      </c>
      <c r="J1016" s="6">
        <v>4.37</v>
      </c>
      <c r="K1016" s="5">
        <v>186</v>
      </c>
    </row>
    <row r="1017" spans="1:11" x14ac:dyDescent="0.3">
      <c r="A1017" s="3">
        <v>1783</v>
      </c>
      <c r="B1017" s="3" t="s">
        <v>11</v>
      </c>
      <c r="C1017" s="4">
        <v>45817</v>
      </c>
      <c r="D1017" s="3" t="s">
        <v>17</v>
      </c>
      <c r="E1017" s="3" t="s">
        <v>33</v>
      </c>
      <c r="F1017" s="5">
        <v>4</v>
      </c>
      <c r="G1017" s="6">
        <v>23.3</v>
      </c>
      <c r="H1017" s="6">
        <v>93.2</v>
      </c>
      <c r="I1017" s="6">
        <v>9.32</v>
      </c>
      <c r="J1017" s="6">
        <v>83.88</v>
      </c>
      <c r="K1017" s="5">
        <v>3</v>
      </c>
    </row>
    <row r="1018" spans="1:11" x14ac:dyDescent="0.3">
      <c r="A1018" s="3">
        <v>6438</v>
      </c>
      <c r="B1018" s="3" t="s">
        <v>36</v>
      </c>
      <c r="C1018" s="4">
        <v>45357</v>
      </c>
      <c r="D1018" s="3" t="s">
        <v>35</v>
      </c>
      <c r="E1018" s="3" t="s">
        <v>46</v>
      </c>
      <c r="F1018" s="5">
        <v>2</v>
      </c>
      <c r="G1018" s="6">
        <v>3.46</v>
      </c>
      <c r="H1018" s="6">
        <v>6.92</v>
      </c>
      <c r="I1018" s="6">
        <v>1.04</v>
      </c>
      <c r="J1018" s="6">
        <v>5.88</v>
      </c>
      <c r="K1018" s="5">
        <v>190</v>
      </c>
    </row>
    <row r="1019" spans="1:11" x14ac:dyDescent="0.3">
      <c r="A1019" s="3">
        <v>3039</v>
      </c>
      <c r="B1019" s="3" t="s">
        <v>42</v>
      </c>
      <c r="C1019" s="4">
        <v>45765</v>
      </c>
      <c r="D1019" s="3" t="s">
        <v>34</v>
      </c>
      <c r="E1019" s="3" t="s">
        <v>46</v>
      </c>
      <c r="F1019" s="5">
        <v>4</v>
      </c>
      <c r="G1019" s="6">
        <v>23.82</v>
      </c>
      <c r="H1019" s="6">
        <v>95.28</v>
      </c>
      <c r="I1019" s="6">
        <v>9.5299999999999994</v>
      </c>
      <c r="J1019" s="6">
        <v>85.75</v>
      </c>
      <c r="K1019" s="5">
        <v>70</v>
      </c>
    </row>
    <row r="1020" spans="1:11" x14ac:dyDescent="0.3">
      <c r="A1020" s="3">
        <v>7029</v>
      </c>
      <c r="B1020" s="3" t="s">
        <v>24</v>
      </c>
      <c r="C1020" s="4">
        <v>45484</v>
      </c>
      <c r="D1020" s="3" t="s">
        <v>45</v>
      </c>
      <c r="E1020" s="3" t="s">
        <v>46</v>
      </c>
      <c r="F1020" s="5">
        <v>3</v>
      </c>
      <c r="G1020" s="6">
        <v>28.36</v>
      </c>
      <c r="H1020" s="6">
        <v>85.08</v>
      </c>
      <c r="I1020" s="6">
        <v>3.87</v>
      </c>
      <c r="J1020" s="6">
        <v>81.209999999999994</v>
      </c>
      <c r="K1020" s="5">
        <v>226</v>
      </c>
    </row>
    <row r="1021" spans="1:11" x14ac:dyDescent="0.3">
      <c r="A1021" s="3">
        <v>7553</v>
      </c>
      <c r="B1021" s="3" t="s">
        <v>14</v>
      </c>
      <c r="C1021" s="4">
        <v>45722</v>
      </c>
      <c r="D1021" s="3" t="s">
        <v>15</v>
      </c>
      <c r="E1021" s="3" t="s">
        <v>43</v>
      </c>
      <c r="F1021" s="5">
        <v>3</v>
      </c>
      <c r="G1021" s="6">
        <v>10.119999999999999</v>
      </c>
      <c r="H1021" s="6">
        <v>30.36</v>
      </c>
      <c r="I1021" s="6">
        <v>3.04</v>
      </c>
      <c r="J1021" s="6">
        <v>27.32</v>
      </c>
      <c r="K1021" s="5">
        <v>395</v>
      </c>
    </row>
    <row r="1022" spans="1:11" x14ac:dyDescent="0.3">
      <c r="A1022" s="3">
        <v>8204</v>
      </c>
      <c r="B1022" s="3" t="s">
        <v>31</v>
      </c>
      <c r="C1022" s="4">
        <v>45839</v>
      </c>
      <c r="D1022" s="3" t="s">
        <v>20</v>
      </c>
      <c r="E1022" s="3" t="s">
        <v>40</v>
      </c>
      <c r="F1022" s="5">
        <v>2</v>
      </c>
      <c r="G1022" s="6">
        <v>27.16</v>
      </c>
      <c r="H1022" s="6">
        <v>54.32</v>
      </c>
      <c r="I1022" s="6">
        <v>5.43</v>
      </c>
      <c r="J1022" s="6">
        <v>48.89</v>
      </c>
      <c r="K1022" s="5">
        <v>29</v>
      </c>
    </row>
    <row r="1023" spans="1:11" x14ac:dyDescent="0.3">
      <c r="A1023" s="3">
        <v>7334</v>
      </c>
      <c r="B1023" s="3" t="s">
        <v>24</v>
      </c>
      <c r="C1023" s="4">
        <v>45408</v>
      </c>
      <c r="D1023" s="3" t="s">
        <v>27</v>
      </c>
      <c r="E1023" s="3" t="s">
        <v>18</v>
      </c>
      <c r="F1023" s="5">
        <v>3</v>
      </c>
      <c r="G1023" s="6">
        <v>21.91</v>
      </c>
      <c r="H1023" s="6">
        <v>65.73</v>
      </c>
      <c r="I1023" s="6">
        <v>4.3099999999999996</v>
      </c>
      <c r="J1023" s="6">
        <v>61.42</v>
      </c>
      <c r="K1023" s="5">
        <v>160</v>
      </c>
    </row>
    <row r="1024" spans="1:11" x14ac:dyDescent="0.3">
      <c r="A1024" s="3">
        <v>4060</v>
      </c>
      <c r="B1024" s="3" t="s">
        <v>14</v>
      </c>
      <c r="C1024" s="4">
        <v>45530</v>
      </c>
      <c r="D1024" s="3" t="s">
        <v>28</v>
      </c>
      <c r="E1024" s="3" t="s">
        <v>41</v>
      </c>
      <c r="F1024" s="5">
        <v>4</v>
      </c>
      <c r="G1024" s="6">
        <v>13.93</v>
      </c>
      <c r="H1024" s="6">
        <v>55.72</v>
      </c>
      <c r="I1024" s="6">
        <v>0</v>
      </c>
      <c r="J1024" s="6">
        <v>55.72</v>
      </c>
      <c r="K1024" s="5">
        <v>105</v>
      </c>
    </row>
    <row r="1025" spans="1:11" x14ac:dyDescent="0.3">
      <c r="A1025" s="3">
        <v>9151</v>
      </c>
      <c r="B1025" s="3" t="s">
        <v>36</v>
      </c>
      <c r="C1025" s="4">
        <v>45430</v>
      </c>
      <c r="D1025" s="3" t="s">
        <v>27</v>
      </c>
      <c r="E1025" s="3" t="s">
        <v>32</v>
      </c>
      <c r="F1025" s="5">
        <v>2</v>
      </c>
      <c r="G1025" s="6">
        <v>26.54</v>
      </c>
      <c r="H1025" s="6">
        <v>53.08</v>
      </c>
      <c r="I1025" s="6">
        <v>2.34</v>
      </c>
      <c r="J1025" s="6">
        <v>50.74</v>
      </c>
      <c r="K1025" s="5">
        <v>43</v>
      </c>
    </row>
    <row r="1026" spans="1:11" x14ac:dyDescent="0.3">
      <c r="A1026" s="3">
        <v>9507</v>
      </c>
      <c r="B1026" s="3" t="s">
        <v>19</v>
      </c>
      <c r="C1026" s="4">
        <v>45352</v>
      </c>
      <c r="D1026" s="3" t="s">
        <v>38</v>
      </c>
      <c r="E1026" s="3" t="s">
        <v>18</v>
      </c>
      <c r="F1026" s="5">
        <v>3</v>
      </c>
      <c r="G1026" s="6">
        <v>7.19</v>
      </c>
      <c r="H1026" s="6">
        <v>21.57</v>
      </c>
      <c r="I1026" s="6">
        <v>2.36</v>
      </c>
      <c r="J1026" s="6">
        <v>19.21</v>
      </c>
      <c r="K1026" s="5">
        <v>261</v>
      </c>
    </row>
    <row r="1027" spans="1:11" x14ac:dyDescent="0.3">
      <c r="A1027" s="3">
        <v>2353</v>
      </c>
      <c r="B1027" s="3" t="s">
        <v>19</v>
      </c>
      <c r="C1027" s="4">
        <v>45709</v>
      </c>
      <c r="D1027" s="3" t="s">
        <v>12</v>
      </c>
      <c r="E1027" s="3" t="s">
        <v>39</v>
      </c>
      <c r="F1027" s="5">
        <v>5</v>
      </c>
      <c r="G1027" s="6">
        <v>18.170000000000002</v>
      </c>
      <c r="H1027" s="6">
        <v>90.85</v>
      </c>
      <c r="I1027" s="6">
        <v>0</v>
      </c>
      <c r="J1027" s="6">
        <v>90.85</v>
      </c>
      <c r="K1027" s="5">
        <v>123</v>
      </c>
    </row>
    <row r="1028" spans="1:11" x14ac:dyDescent="0.3">
      <c r="A1028" s="3">
        <v>7955</v>
      </c>
      <c r="B1028" s="3" t="s">
        <v>24</v>
      </c>
      <c r="C1028" s="4">
        <v>45206</v>
      </c>
      <c r="D1028" s="3" t="s">
        <v>38</v>
      </c>
      <c r="E1028" s="3" t="s">
        <v>48</v>
      </c>
      <c r="F1028" s="5">
        <v>1</v>
      </c>
      <c r="G1028" s="6">
        <v>25.4</v>
      </c>
      <c r="H1028" s="6">
        <v>25.4</v>
      </c>
      <c r="I1028" s="6">
        <v>1.19</v>
      </c>
      <c r="J1028" s="6">
        <v>24.21</v>
      </c>
      <c r="K1028" s="5">
        <v>132</v>
      </c>
    </row>
    <row r="1029" spans="1:11" x14ac:dyDescent="0.3">
      <c r="A1029" s="3">
        <v>8055</v>
      </c>
      <c r="B1029" s="3" t="s">
        <v>11</v>
      </c>
      <c r="C1029" s="4">
        <v>45612</v>
      </c>
      <c r="D1029" s="3" t="s">
        <v>45</v>
      </c>
      <c r="E1029" s="3" t="s">
        <v>37</v>
      </c>
      <c r="F1029" s="5">
        <v>5</v>
      </c>
      <c r="G1029" s="6">
        <v>22.36</v>
      </c>
      <c r="H1029" s="6">
        <v>111.8</v>
      </c>
      <c r="I1029" s="6">
        <v>22.36</v>
      </c>
      <c r="J1029" s="6">
        <v>89.44</v>
      </c>
      <c r="K1029" s="5">
        <v>232</v>
      </c>
    </row>
    <row r="1030" spans="1:11" x14ac:dyDescent="0.3">
      <c r="A1030" s="3">
        <v>3956</v>
      </c>
      <c r="B1030" s="3" t="s">
        <v>14</v>
      </c>
      <c r="C1030" s="4">
        <v>45568</v>
      </c>
      <c r="D1030" s="3" t="s">
        <v>28</v>
      </c>
      <c r="E1030" s="3" t="s">
        <v>25</v>
      </c>
      <c r="F1030" s="5">
        <v>3</v>
      </c>
      <c r="G1030" s="6">
        <v>9.67</v>
      </c>
      <c r="H1030" s="6">
        <v>29.01</v>
      </c>
      <c r="I1030" s="6">
        <v>0</v>
      </c>
      <c r="J1030" s="6">
        <v>29.01</v>
      </c>
      <c r="K1030" s="5">
        <v>341</v>
      </c>
    </row>
    <row r="1031" spans="1:11" x14ac:dyDescent="0.3">
      <c r="A1031" s="3">
        <v>5813</v>
      </c>
      <c r="B1031" s="3" t="s">
        <v>24</v>
      </c>
      <c r="C1031" s="4">
        <v>45394</v>
      </c>
      <c r="D1031" s="3" t="s">
        <v>38</v>
      </c>
      <c r="E1031" s="3" t="s">
        <v>25</v>
      </c>
      <c r="F1031" s="5">
        <v>1</v>
      </c>
      <c r="G1031" s="6">
        <v>10.5</v>
      </c>
      <c r="H1031" s="6">
        <v>10.5</v>
      </c>
      <c r="I1031" s="6">
        <v>1.57</v>
      </c>
      <c r="J1031" s="6">
        <v>8.93</v>
      </c>
      <c r="K1031" s="5">
        <v>298</v>
      </c>
    </row>
    <row r="1032" spans="1:11" x14ac:dyDescent="0.3">
      <c r="A1032" s="3">
        <v>2680</v>
      </c>
      <c r="B1032" s="3" t="s">
        <v>26</v>
      </c>
      <c r="C1032" s="4">
        <v>45207</v>
      </c>
      <c r="D1032" s="3" t="s">
        <v>15</v>
      </c>
      <c r="E1032" s="3" t="s">
        <v>41</v>
      </c>
      <c r="F1032" s="5">
        <v>4</v>
      </c>
      <c r="G1032" s="6">
        <v>25.01</v>
      </c>
      <c r="H1032" s="6">
        <v>100.04</v>
      </c>
      <c r="I1032" s="6">
        <v>2.7</v>
      </c>
      <c r="J1032" s="6">
        <v>97.34</v>
      </c>
      <c r="K1032" s="5">
        <v>41</v>
      </c>
    </row>
    <row r="1033" spans="1:11" x14ac:dyDescent="0.3">
      <c r="A1033" s="3">
        <v>6372</v>
      </c>
      <c r="B1033" s="3" t="s">
        <v>19</v>
      </c>
      <c r="C1033" s="4">
        <v>45658</v>
      </c>
      <c r="D1033" s="3" t="s">
        <v>45</v>
      </c>
      <c r="E1033" s="3" t="s">
        <v>44</v>
      </c>
      <c r="F1033" s="5">
        <v>4</v>
      </c>
      <c r="G1033" s="6">
        <v>3.25</v>
      </c>
      <c r="H1033" s="6">
        <v>13</v>
      </c>
      <c r="I1033" s="6">
        <v>3.24</v>
      </c>
      <c r="J1033" s="6">
        <v>9.76</v>
      </c>
      <c r="K1033" s="5">
        <v>346</v>
      </c>
    </row>
    <row r="1034" spans="1:11" x14ac:dyDescent="0.3">
      <c r="A1034" s="3">
        <v>5843</v>
      </c>
      <c r="B1034" s="3" t="s">
        <v>24</v>
      </c>
      <c r="C1034" s="4">
        <v>45383</v>
      </c>
      <c r="D1034" s="3" t="s">
        <v>35</v>
      </c>
      <c r="E1034" s="3" t="s">
        <v>47</v>
      </c>
      <c r="F1034" s="5">
        <v>4</v>
      </c>
      <c r="G1034" s="6">
        <v>29.89</v>
      </c>
      <c r="H1034" s="6">
        <v>119.56</v>
      </c>
      <c r="I1034" s="6">
        <v>0</v>
      </c>
      <c r="J1034" s="6">
        <v>119.56</v>
      </c>
      <c r="K1034" s="5">
        <v>352</v>
      </c>
    </row>
    <row r="1035" spans="1:11" x14ac:dyDescent="0.3">
      <c r="A1035" s="3">
        <v>8305</v>
      </c>
      <c r="B1035" s="3" t="s">
        <v>24</v>
      </c>
      <c r="C1035" s="4">
        <v>45613</v>
      </c>
      <c r="D1035" s="3" t="s">
        <v>34</v>
      </c>
      <c r="E1035" s="3" t="s">
        <v>41</v>
      </c>
      <c r="F1035" s="5">
        <v>5</v>
      </c>
      <c r="G1035" s="6">
        <v>4.68</v>
      </c>
      <c r="H1035" s="6">
        <v>23.4</v>
      </c>
      <c r="I1035" s="6">
        <v>4.68</v>
      </c>
      <c r="J1035" s="6">
        <v>18.72</v>
      </c>
      <c r="K1035" s="5">
        <v>364</v>
      </c>
    </row>
    <row r="1036" spans="1:11" x14ac:dyDescent="0.3">
      <c r="A1036" s="3">
        <v>7981</v>
      </c>
      <c r="B1036" s="3" t="s">
        <v>14</v>
      </c>
      <c r="C1036" s="4">
        <v>45274</v>
      </c>
      <c r="D1036" s="3" t="s">
        <v>38</v>
      </c>
      <c r="E1036" s="3" t="s">
        <v>48</v>
      </c>
      <c r="F1036" s="5">
        <v>2</v>
      </c>
      <c r="G1036" s="6">
        <v>14.2</v>
      </c>
      <c r="H1036" s="6">
        <v>28.4</v>
      </c>
      <c r="I1036" s="6">
        <v>2.48</v>
      </c>
      <c r="J1036" s="6">
        <v>25.92</v>
      </c>
      <c r="K1036" s="5">
        <v>16</v>
      </c>
    </row>
    <row r="1037" spans="1:11" x14ac:dyDescent="0.3">
      <c r="A1037" s="3">
        <v>8272</v>
      </c>
      <c r="B1037" s="3" t="s">
        <v>11</v>
      </c>
      <c r="C1037" s="4">
        <v>45418</v>
      </c>
      <c r="D1037" s="3" t="s">
        <v>28</v>
      </c>
      <c r="E1037" s="3" t="s">
        <v>16</v>
      </c>
      <c r="F1037" s="5">
        <v>1</v>
      </c>
      <c r="G1037" s="6">
        <v>4.5</v>
      </c>
      <c r="H1037" s="6">
        <v>4.5</v>
      </c>
      <c r="I1037" s="6">
        <v>3.09</v>
      </c>
      <c r="J1037" s="6">
        <v>1.41</v>
      </c>
      <c r="K1037" s="5">
        <v>292</v>
      </c>
    </row>
    <row r="1038" spans="1:11" x14ac:dyDescent="0.3">
      <c r="A1038" s="3">
        <v>8325</v>
      </c>
      <c r="B1038" s="3" t="s">
        <v>11</v>
      </c>
      <c r="C1038" s="4">
        <v>45177</v>
      </c>
      <c r="D1038" s="3" t="s">
        <v>22</v>
      </c>
      <c r="E1038" s="3" t="s">
        <v>37</v>
      </c>
      <c r="F1038" s="5">
        <v>3</v>
      </c>
      <c r="G1038" s="6">
        <v>9.7799999999999994</v>
      </c>
      <c r="H1038" s="6">
        <v>29.34</v>
      </c>
      <c r="I1038" s="6">
        <v>5.87</v>
      </c>
      <c r="J1038" s="6">
        <v>23.47</v>
      </c>
      <c r="K1038" s="5">
        <v>248</v>
      </c>
    </row>
    <row r="1039" spans="1:11" x14ac:dyDescent="0.3">
      <c r="A1039" s="3">
        <v>6776</v>
      </c>
      <c r="B1039" s="3" t="s">
        <v>19</v>
      </c>
      <c r="C1039" s="4">
        <v>45622</v>
      </c>
      <c r="D1039" s="3" t="s">
        <v>28</v>
      </c>
      <c r="E1039" s="3" t="s">
        <v>16</v>
      </c>
      <c r="F1039" s="5">
        <v>1</v>
      </c>
      <c r="G1039" s="6">
        <v>28.16</v>
      </c>
      <c r="H1039" s="6">
        <v>28.16</v>
      </c>
      <c r="I1039" s="6">
        <v>5.63</v>
      </c>
      <c r="J1039" s="6">
        <v>22.53</v>
      </c>
      <c r="K1039" s="5">
        <v>156</v>
      </c>
    </row>
    <row r="1040" spans="1:11" x14ac:dyDescent="0.3">
      <c r="A1040" s="3">
        <v>8126</v>
      </c>
      <c r="B1040" s="3" t="s">
        <v>19</v>
      </c>
      <c r="C1040" s="4">
        <v>45358</v>
      </c>
      <c r="D1040" s="3" t="s">
        <v>45</v>
      </c>
      <c r="E1040" s="3" t="s">
        <v>39</v>
      </c>
      <c r="F1040" s="5">
        <v>1</v>
      </c>
      <c r="G1040" s="6">
        <v>16.87</v>
      </c>
      <c r="H1040" s="6">
        <v>16.87</v>
      </c>
      <c r="I1040" s="6">
        <v>1.69</v>
      </c>
      <c r="J1040" s="6">
        <v>15.18</v>
      </c>
      <c r="K1040" s="5">
        <v>34</v>
      </c>
    </row>
    <row r="1041" spans="1:11" x14ac:dyDescent="0.3">
      <c r="A1041" s="3">
        <v>1939</v>
      </c>
      <c r="B1041" s="3" t="s">
        <v>26</v>
      </c>
      <c r="C1041" s="4">
        <v>45203</v>
      </c>
      <c r="D1041" s="3" t="s">
        <v>28</v>
      </c>
      <c r="E1041" s="3" t="s">
        <v>37</v>
      </c>
      <c r="F1041" s="5">
        <v>5</v>
      </c>
      <c r="G1041" s="6">
        <v>14.11</v>
      </c>
      <c r="H1041" s="6">
        <v>70.55</v>
      </c>
      <c r="I1041" s="6">
        <v>7.05</v>
      </c>
      <c r="J1041" s="6">
        <v>63.5</v>
      </c>
      <c r="K1041" s="5">
        <v>172</v>
      </c>
    </row>
    <row r="1042" spans="1:11" x14ac:dyDescent="0.3">
      <c r="A1042" s="3">
        <v>7655</v>
      </c>
      <c r="B1042" s="3" t="s">
        <v>19</v>
      </c>
      <c r="C1042" s="4">
        <v>45427</v>
      </c>
      <c r="D1042" s="3" t="s">
        <v>34</v>
      </c>
      <c r="E1042" s="3" t="s">
        <v>46</v>
      </c>
      <c r="F1042" s="5">
        <v>4</v>
      </c>
      <c r="G1042" s="6">
        <v>23.08</v>
      </c>
      <c r="H1042" s="6">
        <v>92.32</v>
      </c>
      <c r="I1042" s="6">
        <v>18.46</v>
      </c>
      <c r="J1042" s="6">
        <v>73.86</v>
      </c>
      <c r="K1042" s="5">
        <v>341</v>
      </c>
    </row>
    <row r="1043" spans="1:11" x14ac:dyDescent="0.3">
      <c r="A1043" s="3">
        <v>9406</v>
      </c>
      <c r="B1043" s="3" t="s">
        <v>36</v>
      </c>
      <c r="C1043" s="4">
        <v>45767</v>
      </c>
      <c r="D1043" s="3" t="s">
        <v>15</v>
      </c>
      <c r="E1043" s="3" t="s">
        <v>16</v>
      </c>
      <c r="F1043" s="5">
        <v>4</v>
      </c>
      <c r="G1043" s="6">
        <v>7.74</v>
      </c>
      <c r="H1043" s="6">
        <v>30.96</v>
      </c>
      <c r="I1043" s="6">
        <v>1.18</v>
      </c>
      <c r="J1043" s="6">
        <v>29.78</v>
      </c>
      <c r="K1043" s="5">
        <v>202</v>
      </c>
    </row>
    <row r="1044" spans="1:11" x14ac:dyDescent="0.3">
      <c r="A1044" s="3">
        <v>3621</v>
      </c>
      <c r="B1044" s="3" t="s">
        <v>26</v>
      </c>
      <c r="C1044" s="4">
        <v>45169</v>
      </c>
      <c r="D1044" s="3" t="s">
        <v>35</v>
      </c>
      <c r="E1044" s="3" t="s">
        <v>43</v>
      </c>
      <c r="F1044" s="5">
        <v>2</v>
      </c>
      <c r="G1044" s="6">
        <v>21.5</v>
      </c>
      <c r="H1044" s="6">
        <v>43</v>
      </c>
      <c r="I1044" s="6">
        <v>3.58</v>
      </c>
      <c r="J1044" s="6">
        <v>39.42</v>
      </c>
      <c r="K1044" s="5">
        <v>292</v>
      </c>
    </row>
    <row r="1045" spans="1:11" x14ac:dyDescent="0.3">
      <c r="A1045" s="3">
        <v>3339</v>
      </c>
      <c r="B1045" s="3" t="s">
        <v>14</v>
      </c>
      <c r="C1045" s="4">
        <v>45804</v>
      </c>
      <c r="D1045" s="3" t="s">
        <v>15</v>
      </c>
      <c r="E1045" s="3" t="s">
        <v>44</v>
      </c>
      <c r="F1045" s="5">
        <v>5</v>
      </c>
      <c r="G1045" s="6">
        <v>16.7</v>
      </c>
      <c r="H1045" s="6">
        <v>83.5</v>
      </c>
      <c r="I1045" s="6">
        <v>3.09</v>
      </c>
      <c r="J1045" s="6">
        <v>80.41</v>
      </c>
      <c r="K1045" s="5">
        <v>387</v>
      </c>
    </row>
    <row r="1046" spans="1:11" x14ac:dyDescent="0.3">
      <c r="A1046" s="3">
        <v>8179</v>
      </c>
      <c r="B1046" s="3" t="s">
        <v>26</v>
      </c>
      <c r="C1046" s="4">
        <v>45172</v>
      </c>
      <c r="D1046" s="3" t="s">
        <v>38</v>
      </c>
      <c r="E1046" s="3" t="s">
        <v>39</v>
      </c>
      <c r="F1046" s="5">
        <v>1</v>
      </c>
      <c r="G1046" s="6">
        <v>20.079999999999998</v>
      </c>
      <c r="H1046" s="6">
        <v>20.079999999999998</v>
      </c>
      <c r="I1046" s="6">
        <v>2.1</v>
      </c>
      <c r="J1046" s="6">
        <v>17.98</v>
      </c>
      <c r="K1046" s="5">
        <v>272</v>
      </c>
    </row>
    <row r="1047" spans="1:11" x14ac:dyDescent="0.3">
      <c r="A1047" s="3">
        <v>3068</v>
      </c>
      <c r="B1047" s="3" t="s">
        <v>42</v>
      </c>
      <c r="C1047" s="4">
        <v>45197</v>
      </c>
      <c r="D1047" s="3" t="s">
        <v>17</v>
      </c>
      <c r="E1047" s="3" t="s">
        <v>33</v>
      </c>
      <c r="F1047" s="5">
        <v>1</v>
      </c>
      <c r="G1047" s="6">
        <v>24.39</v>
      </c>
      <c r="H1047" s="6">
        <v>24.39</v>
      </c>
      <c r="I1047" s="6">
        <v>2.44</v>
      </c>
      <c r="J1047" s="6">
        <v>21.95</v>
      </c>
      <c r="K1047" s="5">
        <v>310</v>
      </c>
    </row>
    <row r="1048" spans="1:11" x14ac:dyDescent="0.3">
      <c r="A1048" s="3">
        <v>4866</v>
      </c>
      <c r="B1048" s="3" t="s">
        <v>31</v>
      </c>
      <c r="C1048" s="4">
        <v>45749</v>
      </c>
      <c r="D1048" s="3" t="s">
        <v>45</v>
      </c>
      <c r="E1048" s="3" t="s">
        <v>39</v>
      </c>
      <c r="F1048" s="5">
        <v>3</v>
      </c>
      <c r="G1048" s="6">
        <v>13.66</v>
      </c>
      <c r="H1048" s="6">
        <v>40.98</v>
      </c>
      <c r="I1048" s="6">
        <v>2.27</v>
      </c>
      <c r="J1048" s="6">
        <v>38.71</v>
      </c>
      <c r="K1048" s="5">
        <v>212</v>
      </c>
    </row>
    <row r="1049" spans="1:11" x14ac:dyDescent="0.3">
      <c r="A1049" s="3">
        <v>7001</v>
      </c>
      <c r="B1049" s="3" t="s">
        <v>30</v>
      </c>
      <c r="C1049" s="4">
        <v>45426</v>
      </c>
      <c r="D1049" s="3" t="s">
        <v>15</v>
      </c>
      <c r="E1049" s="3" t="s">
        <v>48</v>
      </c>
      <c r="F1049" s="5">
        <v>1</v>
      </c>
      <c r="G1049" s="6">
        <v>16.7</v>
      </c>
      <c r="H1049" s="6">
        <v>16.7</v>
      </c>
      <c r="I1049" s="6">
        <v>3.34</v>
      </c>
      <c r="J1049" s="6">
        <v>13.36</v>
      </c>
      <c r="K1049" s="5">
        <v>146</v>
      </c>
    </row>
    <row r="1050" spans="1:11" x14ac:dyDescent="0.3">
      <c r="A1050" s="3">
        <v>7272</v>
      </c>
      <c r="B1050" s="3" t="s">
        <v>30</v>
      </c>
      <c r="C1050" s="4">
        <v>45585</v>
      </c>
      <c r="D1050" s="3" t="s">
        <v>15</v>
      </c>
      <c r="E1050" s="3" t="s">
        <v>41</v>
      </c>
      <c r="F1050" s="5">
        <v>3</v>
      </c>
      <c r="G1050" s="6">
        <v>28.6</v>
      </c>
      <c r="H1050" s="6">
        <v>85.8</v>
      </c>
      <c r="I1050" s="6">
        <v>3.46</v>
      </c>
      <c r="J1050" s="6">
        <v>82.34</v>
      </c>
      <c r="K1050" s="5">
        <v>347</v>
      </c>
    </row>
    <row r="1051" spans="1:11" x14ac:dyDescent="0.3">
      <c r="A1051" s="3">
        <v>1530</v>
      </c>
      <c r="B1051" s="3" t="s">
        <v>36</v>
      </c>
      <c r="C1051" s="4">
        <v>45614</v>
      </c>
      <c r="D1051" s="3" t="s">
        <v>34</v>
      </c>
      <c r="E1051" s="3" t="s">
        <v>39</v>
      </c>
      <c r="F1051" s="5">
        <v>1</v>
      </c>
      <c r="G1051" s="6">
        <v>9.6300000000000008</v>
      </c>
      <c r="H1051" s="6">
        <v>9.6300000000000008</v>
      </c>
      <c r="I1051" s="6">
        <v>1.93</v>
      </c>
      <c r="J1051" s="6">
        <v>7.7</v>
      </c>
      <c r="K1051" s="5">
        <v>50</v>
      </c>
    </row>
    <row r="1052" spans="1:11" x14ac:dyDescent="0.3">
      <c r="A1052" s="3">
        <v>3513</v>
      </c>
      <c r="B1052" s="3" t="s">
        <v>24</v>
      </c>
      <c r="C1052" s="4">
        <v>45672</v>
      </c>
      <c r="D1052" s="3" t="s">
        <v>22</v>
      </c>
      <c r="E1052" s="3" t="s">
        <v>13</v>
      </c>
      <c r="F1052" s="5">
        <v>4</v>
      </c>
      <c r="G1052" s="6">
        <v>28.3</v>
      </c>
      <c r="H1052" s="6">
        <v>113.2</v>
      </c>
      <c r="I1052" s="6">
        <v>1.81</v>
      </c>
      <c r="J1052" s="6">
        <v>111.39</v>
      </c>
      <c r="K1052" s="5">
        <v>460</v>
      </c>
    </row>
    <row r="1053" spans="1:11" x14ac:dyDescent="0.3">
      <c r="A1053" s="3">
        <v>8371</v>
      </c>
      <c r="B1053" s="3" t="s">
        <v>42</v>
      </c>
      <c r="C1053" s="4">
        <v>45433</v>
      </c>
      <c r="D1053" s="3" t="s">
        <v>45</v>
      </c>
      <c r="E1053" s="3" t="s">
        <v>46</v>
      </c>
      <c r="F1053" s="5">
        <v>5</v>
      </c>
      <c r="G1053" s="6">
        <v>12.16</v>
      </c>
      <c r="H1053" s="6">
        <v>60.8</v>
      </c>
      <c r="I1053" s="6">
        <v>2.27</v>
      </c>
      <c r="J1053" s="6">
        <v>58.53</v>
      </c>
      <c r="K1053" s="5">
        <v>58</v>
      </c>
    </row>
    <row r="1054" spans="1:11" x14ac:dyDescent="0.3">
      <c r="A1054" s="3">
        <v>7095</v>
      </c>
      <c r="B1054" s="3" t="s">
        <v>14</v>
      </c>
      <c r="C1054" s="4">
        <v>45489</v>
      </c>
      <c r="D1054" s="3" t="s">
        <v>20</v>
      </c>
      <c r="E1054" s="3" t="s">
        <v>43</v>
      </c>
      <c r="F1054" s="5">
        <v>4</v>
      </c>
      <c r="G1054" s="6">
        <v>1.83</v>
      </c>
      <c r="H1054" s="6">
        <v>7.32</v>
      </c>
      <c r="I1054" s="6">
        <v>2.08</v>
      </c>
      <c r="J1054" s="6">
        <v>5.24</v>
      </c>
      <c r="K1054" s="5">
        <v>324</v>
      </c>
    </row>
    <row r="1055" spans="1:11" x14ac:dyDescent="0.3">
      <c r="A1055" s="3">
        <v>2259</v>
      </c>
      <c r="B1055" s="3" t="s">
        <v>11</v>
      </c>
      <c r="C1055" s="4">
        <v>45590</v>
      </c>
      <c r="D1055" s="3" t="s">
        <v>17</v>
      </c>
      <c r="E1055" s="3" t="s">
        <v>18</v>
      </c>
      <c r="F1055" s="5">
        <v>2</v>
      </c>
      <c r="G1055" s="6">
        <v>9.82</v>
      </c>
      <c r="H1055" s="6">
        <v>19.64</v>
      </c>
      <c r="I1055" s="6">
        <v>4.3899999999999997</v>
      </c>
      <c r="J1055" s="6">
        <v>15.25</v>
      </c>
      <c r="K1055" s="5">
        <v>208</v>
      </c>
    </row>
    <row r="1056" spans="1:11" x14ac:dyDescent="0.3">
      <c r="A1056" s="3">
        <v>3255</v>
      </c>
      <c r="B1056" s="3" t="s">
        <v>14</v>
      </c>
      <c r="C1056" s="4">
        <v>45556</v>
      </c>
      <c r="D1056" s="3" t="s">
        <v>17</v>
      </c>
      <c r="E1056" s="3" t="s">
        <v>41</v>
      </c>
      <c r="F1056" s="5">
        <v>3</v>
      </c>
      <c r="G1056" s="6">
        <v>16.66</v>
      </c>
      <c r="H1056" s="6">
        <v>49.98</v>
      </c>
      <c r="I1056" s="6">
        <v>4.8099999999999996</v>
      </c>
      <c r="J1056" s="6">
        <v>45.17</v>
      </c>
      <c r="K1056" s="5">
        <v>86</v>
      </c>
    </row>
    <row r="1057" spans="1:11" x14ac:dyDescent="0.3">
      <c r="A1057" s="3">
        <v>7012</v>
      </c>
      <c r="B1057" s="3" t="s">
        <v>14</v>
      </c>
      <c r="C1057" s="4">
        <v>45454</v>
      </c>
      <c r="D1057" s="3" t="s">
        <v>45</v>
      </c>
      <c r="E1057" s="3" t="s">
        <v>40</v>
      </c>
      <c r="F1057" s="5">
        <v>1</v>
      </c>
      <c r="G1057" s="6">
        <v>24.56</v>
      </c>
      <c r="H1057" s="6">
        <v>24.56</v>
      </c>
      <c r="I1057" s="6">
        <v>0</v>
      </c>
      <c r="J1057" s="6">
        <v>24.56</v>
      </c>
      <c r="K1057" s="5">
        <v>492</v>
      </c>
    </row>
    <row r="1058" spans="1:11" x14ac:dyDescent="0.3">
      <c r="A1058" s="3">
        <v>6150</v>
      </c>
      <c r="B1058" s="3" t="s">
        <v>19</v>
      </c>
      <c r="C1058" s="4">
        <v>45649</v>
      </c>
      <c r="D1058" s="3" t="s">
        <v>12</v>
      </c>
      <c r="E1058" s="3" t="s">
        <v>40</v>
      </c>
      <c r="F1058" s="5">
        <v>4</v>
      </c>
      <c r="G1058" s="6">
        <v>8.92</v>
      </c>
      <c r="H1058" s="6">
        <v>35.68</v>
      </c>
      <c r="I1058" s="6">
        <v>5.35</v>
      </c>
      <c r="J1058" s="6">
        <v>30.33</v>
      </c>
      <c r="K1058" s="5">
        <v>128</v>
      </c>
    </row>
    <row r="1059" spans="1:11" x14ac:dyDescent="0.3">
      <c r="A1059" s="3">
        <v>5566</v>
      </c>
      <c r="B1059" s="3" t="s">
        <v>42</v>
      </c>
      <c r="C1059" s="4">
        <v>45338</v>
      </c>
      <c r="D1059" s="3" t="s">
        <v>28</v>
      </c>
      <c r="E1059" s="3" t="s">
        <v>46</v>
      </c>
      <c r="F1059" s="5">
        <v>3</v>
      </c>
      <c r="G1059" s="6">
        <v>2.31</v>
      </c>
      <c r="H1059" s="6">
        <v>6.93</v>
      </c>
      <c r="I1059" s="6">
        <v>1.04</v>
      </c>
      <c r="J1059" s="6">
        <v>5.89</v>
      </c>
      <c r="K1059" s="5">
        <v>378</v>
      </c>
    </row>
    <row r="1060" spans="1:11" x14ac:dyDescent="0.3">
      <c r="A1060" s="3">
        <v>2858</v>
      </c>
      <c r="B1060" s="3" t="s">
        <v>11</v>
      </c>
      <c r="C1060" s="4">
        <v>45165</v>
      </c>
      <c r="D1060" s="3" t="s">
        <v>20</v>
      </c>
      <c r="E1060" s="3" t="s">
        <v>48</v>
      </c>
      <c r="F1060" s="5">
        <v>2</v>
      </c>
      <c r="G1060" s="6">
        <v>22.02</v>
      </c>
      <c r="H1060" s="6">
        <v>44.04</v>
      </c>
      <c r="I1060" s="6">
        <v>8.81</v>
      </c>
      <c r="J1060" s="6">
        <v>35.229999999999997</v>
      </c>
      <c r="K1060" s="5">
        <v>143</v>
      </c>
    </row>
    <row r="1061" spans="1:11" x14ac:dyDescent="0.3">
      <c r="A1061" s="3">
        <v>4048</v>
      </c>
      <c r="B1061" s="3" t="s">
        <v>14</v>
      </c>
      <c r="C1061" s="4">
        <v>45532</v>
      </c>
      <c r="D1061" s="3" t="s">
        <v>22</v>
      </c>
      <c r="E1061" s="3" t="s">
        <v>21</v>
      </c>
      <c r="F1061" s="5">
        <v>3</v>
      </c>
      <c r="G1061" s="6">
        <v>29.4</v>
      </c>
      <c r="H1061" s="6">
        <v>88.2</v>
      </c>
      <c r="I1061" s="6">
        <v>13.23</v>
      </c>
      <c r="J1061" s="6">
        <v>74.97</v>
      </c>
      <c r="K1061" s="5">
        <v>362</v>
      </c>
    </row>
    <row r="1062" spans="1:11" x14ac:dyDescent="0.3">
      <c r="A1062" s="3">
        <v>9482</v>
      </c>
      <c r="B1062" s="3" t="s">
        <v>42</v>
      </c>
      <c r="C1062" s="4">
        <v>45445</v>
      </c>
      <c r="D1062" s="3" t="s">
        <v>27</v>
      </c>
      <c r="E1062" s="3" t="s">
        <v>21</v>
      </c>
      <c r="F1062" s="5">
        <v>3</v>
      </c>
      <c r="G1062" s="6">
        <v>7.1</v>
      </c>
      <c r="H1062" s="6">
        <v>21.3</v>
      </c>
      <c r="I1062" s="6">
        <v>4.66</v>
      </c>
      <c r="J1062" s="6">
        <v>16.64</v>
      </c>
      <c r="K1062" s="5">
        <v>491</v>
      </c>
    </row>
    <row r="1063" spans="1:11" x14ac:dyDescent="0.3">
      <c r="A1063" s="3">
        <v>2929</v>
      </c>
      <c r="B1063" s="3" t="s">
        <v>19</v>
      </c>
      <c r="C1063" s="4">
        <v>45348</v>
      </c>
      <c r="D1063" s="3" t="s">
        <v>27</v>
      </c>
      <c r="E1063" s="3" t="s">
        <v>39</v>
      </c>
      <c r="F1063" s="5">
        <v>5</v>
      </c>
      <c r="G1063" s="6">
        <v>14.81</v>
      </c>
      <c r="H1063" s="6">
        <v>74.05</v>
      </c>
      <c r="I1063" s="6">
        <v>0</v>
      </c>
      <c r="J1063" s="6">
        <v>74.05</v>
      </c>
      <c r="K1063" s="5">
        <v>461</v>
      </c>
    </row>
    <row r="1064" spans="1:11" x14ac:dyDescent="0.3">
      <c r="A1064" s="3">
        <v>5264</v>
      </c>
      <c r="B1064" s="3" t="s">
        <v>19</v>
      </c>
      <c r="C1064" s="4">
        <v>45691</v>
      </c>
      <c r="D1064" s="3" t="s">
        <v>20</v>
      </c>
      <c r="E1064" s="3" t="s">
        <v>18</v>
      </c>
      <c r="F1064" s="5">
        <v>4</v>
      </c>
      <c r="G1064" s="6">
        <v>23.1</v>
      </c>
      <c r="H1064" s="6">
        <v>92.4</v>
      </c>
      <c r="I1064" s="6">
        <v>0</v>
      </c>
      <c r="J1064" s="6">
        <v>92.4</v>
      </c>
      <c r="K1064" s="5">
        <v>275</v>
      </c>
    </row>
    <row r="1065" spans="1:11" x14ac:dyDescent="0.3">
      <c r="A1065" s="3">
        <v>8311</v>
      </c>
      <c r="B1065" s="3" t="s">
        <v>11</v>
      </c>
      <c r="C1065" s="4">
        <v>45311</v>
      </c>
      <c r="D1065" s="3" t="s">
        <v>38</v>
      </c>
      <c r="E1065" s="3" t="s">
        <v>39</v>
      </c>
      <c r="F1065" s="5">
        <v>4</v>
      </c>
      <c r="G1065" s="6">
        <v>20.49</v>
      </c>
      <c r="H1065" s="6">
        <v>81.96</v>
      </c>
      <c r="I1065" s="6">
        <v>2.4300000000000002</v>
      </c>
      <c r="J1065" s="6">
        <v>79.53</v>
      </c>
      <c r="K1065" s="5">
        <v>180</v>
      </c>
    </row>
    <row r="1066" spans="1:11" x14ac:dyDescent="0.3">
      <c r="A1066" s="3">
        <v>5678</v>
      </c>
      <c r="B1066" s="3" t="s">
        <v>19</v>
      </c>
      <c r="C1066" s="4">
        <v>45684</v>
      </c>
      <c r="D1066" s="3" t="s">
        <v>12</v>
      </c>
      <c r="E1066" s="3" t="s">
        <v>48</v>
      </c>
      <c r="F1066" s="5">
        <v>4</v>
      </c>
      <c r="G1066" s="6">
        <v>11.73</v>
      </c>
      <c r="H1066" s="6">
        <v>46.92</v>
      </c>
      <c r="I1066" s="6">
        <v>1.89</v>
      </c>
      <c r="J1066" s="6">
        <v>45.03</v>
      </c>
      <c r="K1066" s="5">
        <v>98</v>
      </c>
    </row>
    <row r="1067" spans="1:11" x14ac:dyDescent="0.3">
      <c r="A1067" s="3">
        <v>9047</v>
      </c>
      <c r="B1067" s="3" t="s">
        <v>31</v>
      </c>
      <c r="C1067" s="4">
        <v>45300</v>
      </c>
      <c r="D1067" s="3" t="s">
        <v>35</v>
      </c>
      <c r="E1067" s="3" t="s">
        <v>23</v>
      </c>
      <c r="F1067" s="5">
        <v>2</v>
      </c>
      <c r="G1067" s="6">
        <v>3.6</v>
      </c>
      <c r="H1067" s="6">
        <v>7.2</v>
      </c>
      <c r="I1067" s="6">
        <v>0</v>
      </c>
      <c r="J1067" s="6">
        <v>7.2</v>
      </c>
      <c r="K1067" s="5">
        <v>314</v>
      </c>
    </row>
    <row r="1068" spans="1:11" x14ac:dyDescent="0.3">
      <c r="A1068" s="3">
        <v>3009</v>
      </c>
      <c r="B1068" s="3" t="s">
        <v>42</v>
      </c>
      <c r="C1068" s="4">
        <v>45250</v>
      </c>
      <c r="D1068" s="3" t="s">
        <v>17</v>
      </c>
      <c r="E1068" s="3" t="s">
        <v>47</v>
      </c>
      <c r="F1068" s="5">
        <v>3</v>
      </c>
      <c r="G1068" s="6">
        <v>2.06</v>
      </c>
      <c r="H1068" s="6">
        <v>6.18</v>
      </c>
      <c r="I1068" s="6">
        <v>1.78</v>
      </c>
      <c r="J1068" s="6">
        <v>4.4000000000000004</v>
      </c>
      <c r="K1068" s="5">
        <v>252</v>
      </c>
    </row>
    <row r="1069" spans="1:11" x14ac:dyDescent="0.3">
      <c r="A1069" s="3">
        <v>2213</v>
      </c>
      <c r="B1069" s="3" t="s">
        <v>24</v>
      </c>
      <c r="C1069" s="4">
        <v>45496</v>
      </c>
      <c r="D1069" s="3" t="s">
        <v>15</v>
      </c>
      <c r="E1069" s="3" t="s">
        <v>13</v>
      </c>
      <c r="F1069" s="5">
        <v>5</v>
      </c>
      <c r="G1069" s="6">
        <v>15.5</v>
      </c>
      <c r="H1069" s="6">
        <v>77.5</v>
      </c>
      <c r="I1069" s="6">
        <v>0</v>
      </c>
      <c r="J1069" s="6">
        <v>77.5</v>
      </c>
      <c r="K1069" s="5">
        <v>87</v>
      </c>
    </row>
    <row r="1070" spans="1:11" x14ac:dyDescent="0.3">
      <c r="A1070" s="3">
        <v>3828</v>
      </c>
      <c r="B1070" s="3" t="s">
        <v>19</v>
      </c>
      <c r="C1070" s="4">
        <v>45843</v>
      </c>
      <c r="D1070" s="3" t="s">
        <v>15</v>
      </c>
      <c r="E1070" s="3" t="s">
        <v>41</v>
      </c>
      <c r="F1070" s="5">
        <v>1</v>
      </c>
      <c r="G1070" s="6">
        <v>4.6900000000000004</v>
      </c>
      <c r="H1070" s="6">
        <v>4.6900000000000004</v>
      </c>
      <c r="I1070" s="6">
        <v>3.92</v>
      </c>
      <c r="J1070" s="6">
        <v>0.77</v>
      </c>
      <c r="K1070" s="5">
        <v>477</v>
      </c>
    </row>
    <row r="1071" spans="1:11" x14ac:dyDescent="0.3">
      <c r="A1071" s="3">
        <v>8292</v>
      </c>
      <c r="B1071" s="3" t="s">
        <v>30</v>
      </c>
      <c r="C1071" s="4">
        <v>45213</v>
      </c>
      <c r="D1071" s="3" t="s">
        <v>17</v>
      </c>
      <c r="E1071" s="3" t="s">
        <v>39</v>
      </c>
      <c r="F1071" s="5">
        <v>5</v>
      </c>
      <c r="G1071" s="6">
        <v>18.809999999999999</v>
      </c>
      <c r="H1071" s="6">
        <v>94.05</v>
      </c>
      <c r="I1071" s="6">
        <v>4.75</v>
      </c>
      <c r="J1071" s="6">
        <v>89.3</v>
      </c>
      <c r="K1071" s="5">
        <v>348</v>
      </c>
    </row>
    <row r="1072" spans="1:11" x14ac:dyDescent="0.3">
      <c r="A1072" s="3">
        <v>6236</v>
      </c>
      <c r="B1072" s="3" t="s">
        <v>31</v>
      </c>
      <c r="C1072" s="4">
        <v>45663</v>
      </c>
      <c r="D1072" s="3" t="s">
        <v>22</v>
      </c>
      <c r="E1072" s="3" t="s">
        <v>16</v>
      </c>
      <c r="F1072" s="5">
        <v>4</v>
      </c>
      <c r="G1072" s="6">
        <v>8.94</v>
      </c>
      <c r="H1072" s="6">
        <v>35.76</v>
      </c>
      <c r="I1072" s="6">
        <v>3.58</v>
      </c>
      <c r="J1072" s="6">
        <v>32.18</v>
      </c>
      <c r="K1072" s="5">
        <v>348</v>
      </c>
    </row>
    <row r="1073" spans="1:11" x14ac:dyDescent="0.3">
      <c r="A1073" s="3">
        <v>6692</v>
      </c>
      <c r="B1073" s="3" t="s">
        <v>36</v>
      </c>
      <c r="C1073" s="4">
        <v>45696</v>
      </c>
      <c r="D1073" s="3" t="s">
        <v>38</v>
      </c>
      <c r="E1073" s="3" t="s">
        <v>40</v>
      </c>
      <c r="F1073" s="5">
        <v>2</v>
      </c>
      <c r="G1073" s="6">
        <v>2.35</v>
      </c>
      <c r="H1073" s="6">
        <v>4.7</v>
      </c>
      <c r="I1073" s="6">
        <v>2.8</v>
      </c>
      <c r="J1073" s="6">
        <v>1.9</v>
      </c>
      <c r="K1073" s="5">
        <v>470</v>
      </c>
    </row>
    <row r="1074" spans="1:11" x14ac:dyDescent="0.3">
      <c r="A1074" s="3">
        <v>2063</v>
      </c>
      <c r="B1074" s="3" t="s">
        <v>31</v>
      </c>
      <c r="C1074" s="4">
        <v>45572</v>
      </c>
      <c r="D1074" s="3" t="s">
        <v>20</v>
      </c>
      <c r="E1074" s="3" t="s">
        <v>44</v>
      </c>
      <c r="F1074" s="5">
        <v>3</v>
      </c>
      <c r="G1074" s="6">
        <v>3.36</v>
      </c>
      <c r="H1074" s="6">
        <v>10.08</v>
      </c>
      <c r="I1074" s="6">
        <v>0</v>
      </c>
      <c r="J1074" s="6">
        <v>10.08</v>
      </c>
      <c r="K1074" s="5">
        <v>292</v>
      </c>
    </row>
    <row r="1075" spans="1:11" x14ac:dyDescent="0.3">
      <c r="A1075" s="3">
        <v>9882</v>
      </c>
      <c r="B1075" s="3" t="s">
        <v>42</v>
      </c>
      <c r="C1075" s="4">
        <v>45370</v>
      </c>
      <c r="D1075" s="3" t="s">
        <v>20</v>
      </c>
      <c r="E1075" s="3" t="s">
        <v>43</v>
      </c>
      <c r="F1075" s="5">
        <v>2</v>
      </c>
      <c r="G1075" s="6">
        <v>6.7</v>
      </c>
      <c r="H1075" s="6">
        <v>13.4</v>
      </c>
      <c r="I1075" s="6">
        <v>3.5</v>
      </c>
      <c r="J1075" s="6">
        <v>9.9</v>
      </c>
      <c r="K1075" s="5">
        <v>168</v>
      </c>
    </row>
    <row r="1076" spans="1:11" x14ac:dyDescent="0.3">
      <c r="A1076" s="3">
        <v>5914</v>
      </c>
      <c r="B1076" s="3" t="s">
        <v>11</v>
      </c>
      <c r="C1076" s="4">
        <v>45806</v>
      </c>
      <c r="D1076" s="3" t="s">
        <v>12</v>
      </c>
      <c r="E1076" s="3" t="s">
        <v>47</v>
      </c>
      <c r="F1076" s="5">
        <v>4</v>
      </c>
      <c r="G1076" s="6">
        <v>24.42</v>
      </c>
      <c r="H1076" s="6">
        <v>97.68</v>
      </c>
      <c r="I1076" s="6">
        <v>14.65</v>
      </c>
      <c r="J1076" s="6">
        <v>83.03</v>
      </c>
      <c r="K1076" s="5">
        <v>303</v>
      </c>
    </row>
    <row r="1077" spans="1:11" x14ac:dyDescent="0.3">
      <c r="A1077" s="3">
        <v>3580</v>
      </c>
      <c r="B1077" s="3" t="s">
        <v>42</v>
      </c>
      <c r="C1077" s="4">
        <v>45697</v>
      </c>
      <c r="D1077" s="3" t="s">
        <v>15</v>
      </c>
      <c r="E1077" s="3" t="s">
        <v>47</v>
      </c>
      <c r="F1077" s="5">
        <v>2</v>
      </c>
      <c r="G1077" s="6">
        <v>28.8</v>
      </c>
      <c r="H1077" s="6">
        <v>57.6</v>
      </c>
      <c r="I1077" s="6">
        <v>8.64</v>
      </c>
      <c r="J1077" s="6">
        <v>48.96</v>
      </c>
      <c r="K1077" s="5">
        <v>426</v>
      </c>
    </row>
    <row r="1078" spans="1:11" x14ac:dyDescent="0.3">
      <c r="A1078" s="3">
        <v>3852</v>
      </c>
      <c r="B1078" s="3" t="s">
        <v>14</v>
      </c>
      <c r="C1078" s="4">
        <v>45761</v>
      </c>
      <c r="D1078" s="3" t="s">
        <v>17</v>
      </c>
      <c r="E1078" s="3" t="s">
        <v>43</v>
      </c>
      <c r="F1078" s="5">
        <v>5</v>
      </c>
      <c r="G1078" s="6">
        <v>18.96</v>
      </c>
      <c r="H1078" s="6">
        <v>94.8</v>
      </c>
      <c r="I1078" s="6">
        <v>0</v>
      </c>
      <c r="J1078" s="6">
        <v>94.8</v>
      </c>
      <c r="K1078" s="5">
        <v>391</v>
      </c>
    </row>
    <row r="1079" spans="1:11" x14ac:dyDescent="0.3">
      <c r="A1079" s="3">
        <v>6922</v>
      </c>
      <c r="B1079" s="3" t="s">
        <v>26</v>
      </c>
      <c r="C1079" s="4">
        <v>45540</v>
      </c>
      <c r="D1079" s="3" t="s">
        <v>28</v>
      </c>
      <c r="E1079" s="3" t="s">
        <v>48</v>
      </c>
      <c r="F1079" s="5">
        <v>1</v>
      </c>
      <c r="G1079" s="6">
        <v>29.25</v>
      </c>
      <c r="H1079" s="6">
        <v>29.25</v>
      </c>
      <c r="I1079" s="6">
        <v>2.93</v>
      </c>
      <c r="J1079" s="6">
        <v>26.32</v>
      </c>
      <c r="K1079" s="5">
        <v>469</v>
      </c>
    </row>
    <row r="1080" spans="1:11" x14ac:dyDescent="0.3">
      <c r="A1080" s="3">
        <v>4673</v>
      </c>
      <c r="B1080" s="3" t="s">
        <v>36</v>
      </c>
      <c r="C1080" s="4">
        <v>45239</v>
      </c>
      <c r="D1080" s="3" t="s">
        <v>15</v>
      </c>
      <c r="E1080" s="3" t="s">
        <v>41</v>
      </c>
      <c r="F1080" s="5">
        <v>1</v>
      </c>
      <c r="G1080" s="6">
        <v>27.64</v>
      </c>
      <c r="H1080" s="6">
        <v>27.64</v>
      </c>
      <c r="I1080" s="6">
        <v>4.1500000000000004</v>
      </c>
      <c r="J1080" s="6">
        <v>23.49</v>
      </c>
      <c r="K1080" s="5">
        <v>226</v>
      </c>
    </row>
    <row r="1081" spans="1:11" x14ac:dyDescent="0.3">
      <c r="A1081" s="3">
        <v>4292</v>
      </c>
      <c r="B1081" s="3" t="s">
        <v>24</v>
      </c>
      <c r="C1081" s="4">
        <v>45760</v>
      </c>
      <c r="D1081" s="3" t="s">
        <v>15</v>
      </c>
      <c r="E1081" s="3" t="s">
        <v>48</v>
      </c>
      <c r="F1081" s="5">
        <v>1</v>
      </c>
      <c r="G1081" s="6">
        <v>17.21</v>
      </c>
      <c r="H1081" s="6">
        <v>17.21</v>
      </c>
      <c r="I1081" s="6">
        <v>1.72</v>
      </c>
      <c r="J1081" s="6">
        <v>15.49</v>
      </c>
      <c r="K1081" s="5">
        <v>150</v>
      </c>
    </row>
    <row r="1082" spans="1:11" x14ac:dyDescent="0.3">
      <c r="A1082" s="3">
        <v>3275</v>
      </c>
      <c r="B1082" s="3" t="s">
        <v>11</v>
      </c>
      <c r="C1082" s="4">
        <v>45328</v>
      </c>
      <c r="D1082" s="3" t="s">
        <v>28</v>
      </c>
      <c r="E1082" s="3" t="s">
        <v>16</v>
      </c>
      <c r="F1082" s="5">
        <v>2</v>
      </c>
      <c r="G1082" s="6">
        <v>26.06</v>
      </c>
      <c r="H1082" s="6">
        <v>52.12</v>
      </c>
      <c r="I1082" s="6">
        <v>5.21</v>
      </c>
      <c r="J1082" s="6">
        <v>46.91</v>
      </c>
      <c r="K1082" s="5">
        <v>403</v>
      </c>
    </row>
    <row r="1083" spans="1:11" x14ac:dyDescent="0.3">
      <c r="A1083" s="3">
        <v>9094</v>
      </c>
      <c r="B1083" s="3" t="s">
        <v>24</v>
      </c>
      <c r="C1083" s="4">
        <v>45165</v>
      </c>
      <c r="D1083" s="3" t="s">
        <v>45</v>
      </c>
      <c r="E1083" s="3" t="s">
        <v>16</v>
      </c>
      <c r="F1083" s="5">
        <v>5</v>
      </c>
      <c r="G1083" s="6">
        <v>18.95</v>
      </c>
      <c r="H1083" s="6">
        <v>94.75</v>
      </c>
      <c r="I1083" s="6">
        <v>9.4700000000000006</v>
      </c>
      <c r="J1083" s="6">
        <v>85.28</v>
      </c>
      <c r="K1083" s="5">
        <v>173</v>
      </c>
    </row>
    <row r="1084" spans="1:11" x14ac:dyDescent="0.3">
      <c r="A1084" s="3">
        <v>6912</v>
      </c>
      <c r="B1084" s="3" t="s">
        <v>14</v>
      </c>
      <c r="C1084" s="4">
        <v>45575</v>
      </c>
      <c r="D1084" s="3" t="s">
        <v>22</v>
      </c>
      <c r="E1084" s="3" t="s">
        <v>44</v>
      </c>
      <c r="F1084" s="5">
        <v>1</v>
      </c>
      <c r="G1084" s="6">
        <v>3.97</v>
      </c>
      <c r="H1084" s="6">
        <v>3.97</v>
      </c>
      <c r="I1084" s="6">
        <v>4.16</v>
      </c>
      <c r="J1084" s="6">
        <v>-0.19</v>
      </c>
      <c r="K1084" s="5">
        <v>304</v>
      </c>
    </row>
    <row r="1085" spans="1:11" x14ac:dyDescent="0.3">
      <c r="A1085" s="3">
        <v>7044</v>
      </c>
      <c r="B1085" s="3" t="s">
        <v>42</v>
      </c>
      <c r="C1085" s="4">
        <v>45508</v>
      </c>
      <c r="D1085" s="3" t="s">
        <v>28</v>
      </c>
      <c r="E1085" s="3" t="s">
        <v>41</v>
      </c>
      <c r="F1085" s="5">
        <v>5</v>
      </c>
      <c r="G1085" s="6">
        <v>8.42</v>
      </c>
      <c r="H1085" s="6">
        <v>42.1</v>
      </c>
      <c r="I1085" s="6">
        <v>0</v>
      </c>
      <c r="J1085" s="6">
        <v>42.1</v>
      </c>
      <c r="K1085" s="5">
        <v>215</v>
      </c>
    </row>
    <row r="1086" spans="1:11" x14ac:dyDescent="0.3">
      <c r="A1086" s="3">
        <v>3126</v>
      </c>
      <c r="B1086" s="3" t="s">
        <v>26</v>
      </c>
      <c r="C1086" s="4">
        <v>45620</v>
      </c>
      <c r="D1086" s="3" t="s">
        <v>34</v>
      </c>
      <c r="E1086" s="3" t="s">
        <v>25</v>
      </c>
      <c r="F1086" s="5">
        <v>2</v>
      </c>
      <c r="G1086" s="6">
        <v>24.1</v>
      </c>
      <c r="H1086" s="6">
        <v>48.2</v>
      </c>
      <c r="I1086" s="6">
        <v>7.23</v>
      </c>
      <c r="J1086" s="6">
        <v>40.97</v>
      </c>
      <c r="K1086" s="5">
        <v>30</v>
      </c>
    </row>
    <row r="1087" spans="1:11" x14ac:dyDescent="0.3">
      <c r="A1087" s="3">
        <v>2412</v>
      </c>
      <c r="B1087" s="3" t="s">
        <v>24</v>
      </c>
      <c r="C1087" s="4">
        <v>45196</v>
      </c>
      <c r="D1087" s="3" t="s">
        <v>38</v>
      </c>
      <c r="E1087" s="3" t="s">
        <v>23</v>
      </c>
      <c r="F1087" s="5">
        <v>3</v>
      </c>
      <c r="G1087" s="6">
        <v>17.920000000000002</v>
      </c>
      <c r="H1087" s="6">
        <v>53.76</v>
      </c>
      <c r="I1087" s="6">
        <v>10.75</v>
      </c>
      <c r="J1087" s="6">
        <v>43.01</v>
      </c>
      <c r="K1087" s="5">
        <v>277</v>
      </c>
    </row>
    <row r="1088" spans="1:11" x14ac:dyDescent="0.3">
      <c r="A1088" s="3">
        <v>6067</v>
      </c>
      <c r="B1088" s="3" t="s">
        <v>26</v>
      </c>
      <c r="C1088" s="4">
        <v>45454</v>
      </c>
      <c r="D1088" s="3" t="s">
        <v>35</v>
      </c>
      <c r="E1088" s="3" t="s">
        <v>21</v>
      </c>
      <c r="F1088" s="5">
        <v>3</v>
      </c>
      <c r="G1088" s="6">
        <v>11.69</v>
      </c>
      <c r="H1088" s="6">
        <v>35.07</v>
      </c>
      <c r="I1088" s="6">
        <v>1.95</v>
      </c>
      <c r="J1088" s="6">
        <v>33.119999999999997</v>
      </c>
      <c r="K1088" s="5">
        <v>4</v>
      </c>
    </row>
    <row r="1089" spans="1:11" x14ac:dyDescent="0.3">
      <c r="A1089" s="3">
        <v>8842</v>
      </c>
      <c r="B1089" s="3" t="s">
        <v>14</v>
      </c>
      <c r="C1089" s="4">
        <v>45553</v>
      </c>
      <c r="D1089" s="3" t="s">
        <v>12</v>
      </c>
      <c r="E1089" s="3" t="s">
        <v>16</v>
      </c>
      <c r="F1089" s="5">
        <v>3</v>
      </c>
      <c r="G1089" s="6">
        <v>6.66</v>
      </c>
      <c r="H1089" s="6">
        <v>19.98</v>
      </c>
      <c r="I1089" s="6">
        <v>2.37</v>
      </c>
      <c r="J1089" s="6">
        <v>17.61</v>
      </c>
      <c r="K1089" s="5">
        <v>102</v>
      </c>
    </row>
    <row r="1090" spans="1:11" x14ac:dyDescent="0.3">
      <c r="A1090" s="3">
        <v>7730</v>
      </c>
      <c r="B1090" s="3" t="s">
        <v>26</v>
      </c>
      <c r="C1090" s="4">
        <v>45742</v>
      </c>
      <c r="D1090" s="3" t="s">
        <v>45</v>
      </c>
      <c r="E1090" s="3" t="s">
        <v>21</v>
      </c>
      <c r="F1090" s="5">
        <v>5</v>
      </c>
      <c r="G1090" s="6">
        <v>17.41</v>
      </c>
      <c r="H1090" s="6">
        <v>87.05</v>
      </c>
      <c r="I1090" s="6">
        <v>8.7100000000000009</v>
      </c>
      <c r="J1090" s="6">
        <v>78.34</v>
      </c>
      <c r="K1090" s="5">
        <v>171</v>
      </c>
    </row>
    <row r="1091" spans="1:11" x14ac:dyDescent="0.3">
      <c r="A1091" s="3">
        <v>7708</v>
      </c>
      <c r="B1091" s="3" t="s">
        <v>36</v>
      </c>
      <c r="C1091" s="4">
        <v>45784</v>
      </c>
      <c r="D1091" s="3" t="s">
        <v>34</v>
      </c>
      <c r="E1091" s="3" t="s">
        <v>48</v>
      </c>
      <c r="F1091" s="5">
        <v>4</v>
      </c>
      <c r="G1091" s="6">
        <v>26.4</v>
      </c>
      <c r="H1091" s="6">
        <v>105.6</v>
      </c>
      <c r="I1091" s="6">
        <v>10.56</v>
      </c>
      <c r="J1091" s="6">
        <v>95.04</v>
      </c>
      <c r="K1091" s="5">
        <v>466</v>
      </c>
    </row>
    <row r="1092" spans="1:11" x14ac:dyDescent="0.3">
      <c r="A1092" s="3">
        <v>2208</v>
      </c>
      <c r="B1092" s="3" t="s">
        <v>42</v>
      </c>
      <c r="C1092" s="4">
        <v>45242</v>
      </c>
      <c r="D1092" s="3" t="s">
        <v>12</v>
      </c>
      <c r="E1092" s="3" t="s">
        <v>25</v>
      </c>
      <c r="F1092" s="5">
        <v>2</v>
      </c>
      <c r="G1092" s="6">
        <v>14.52</v>
      </c>
      <c r="H1092" s="6">
        <v>29.04</v>
      </c>
      <c r="I1092" s="6">
        <v>2.9</v>
      </c>
      <c r="J1092" s="6">
        <v>26.14</v>
      </c>
      <c r="K1092" s="5">
        <v>109</v>
      </c>
    </row>
    <row r="1093" spans="1:11" x14ac:dyDescent="0.3">
      <c r="A1093" s="3">
        <v>6194</v>
      </c>
      <c r="B1093" s="3" t="s">
        <v>36</v>
      </c>
      <c r="C1093" s="4">
        <v>45643</v>
      </c>
      <c r="D1093" s="3" t="s">
        <v>20</v>
      </c>
      <c r="E1093" s="3" t="s">
        <v>44</v>
      </c>
      <c r="F1093" s="5">
        <v>4</v>
      </c>
      <c r="G1093" s="6">
        <v>6.33</v>
      </c>
      <c r="H1093" s="6">
        <v>25.32</v>
      </c>
      <c r="I1093" s="6">
        <v>1.29</v>
      </c>
      <c r="J1093" s="6">
        <v>24.03</v>
      </c>
      <c r="K1093" s="5">
        <v>3</v>
      </c>
    </row>
    <row r="1094" spans="1:11" x14ac:dyDescent="0.3">
      <c r="A1094" s="3">
        <v>2215</v>
      </c>
      <c r="B1094" s="3" t="s">
        <v>31</v>
      </c>
      <c r="C1094" s="4">
        <v>45494</v>
      </c>
      <c r="D1094" s="3" t="s">
        <v>38</v>
      </c>
      <c r="E1094" s="3" t="s">
        <v>48</v>
      </c>
      <c r="F1094" s="5">
        <v>2</v>
      </c>
      <c r="G1094" s="6">
        <v>9.42</v>
      </c>
      <c r="H1094" s="6">
        <v>18.84</v>
      </c>
      <c r="I1094" s="6">
        <v>4.9000000000000004</v>
      </c>
      <c r="J1094" s="6">
        <v>13.94</v>
      </c>
      <c r="K1094" s="5">
        <v>99</v>
      </c>
    </row>
    <row r="1095" spans="1:11" x14ac:dyDescent="0.3">
      <c r="A1095" s="3">
        <v>8632</v>
      </c>
      <c r="B1095" s="3" t="s">
        <v>42</v>
      </c>
      <c r="C1095" s="4">
        <v>45673</v>
      </c>
      <c r="D1095" s="3" t="s">
        <v>17</v>
      </c>
      <c r="E1095" s="3" t="s">
        <v>37</v>
      </c>
      <c r="F1095" s="5">
        <v>2</v>
      </c>
      <c r="G1095" s="6">
        <v>7.34</v>
      </c>
      <c r="H1095" s="6">
        <v>14.68</v>
      </c>
      <c r="I1095" s="6">
        <v>2.2000000000000002</v>
      </c>
      <c r="J1095" s="6">
        <v>12.48</v>
      </c>
      <c r="K1095" s="5">
        <v>134</v>
      </c>
    </row>
    <row r="1096" spans="1:11" x14ac:dyDescent="0.3">
      <c r="A1096" s="3">
        <v>9476</v>
      </c>
      <c r="B1096" s="3" t="s">
        <v>14</v>
      </c>
      <c r="C1096" s="4">
        <v>45412</v>
      </c>
      <c r="D1096" s="3" t="s">
        <v>17</v>
      </c>
      <c r="E1096" s="3" t="s">
        <v>29</v>
      </c>
      <c r="F1096" s="5">
        <v>2</v>
      </c>
      <c r="G1096" s="6">
        <v>1.61</v>
      </c>
      <c r="H1096" s="6">
        <v>3.22</v>
      </c>
      <c r="I1096" s="6">
        <v>1.08</v>
      </c>
      <c r="J1096" s="6">
        <v>2.14</v>
      </c>
      <c r="K1096" s="5">
        <v>431</v>
      </c>
    </row>
    <row r="1097" spans="1:11" x14ac:dyDescent="0.3">
      <c r="A1097" s="3">
        <v>3102</v>
      </c>
      <c r="B1097" s="3" t="s">
        <v>19</v>
      </c>
      <c r="C1097" s="4">
        <v>45826</v>
      </c>
      <c r="D1097" s="3" t="s">
        <v>20</v>
      </c>
      <c r="E1097" s="3" t="s">
        <v>48</v>
      </c>
      <c r="F1097" s="5">
        <v>3</v>
      </c>
      <c r="G1097" s="6">
        <v>28.14</v>
      </c>
      <c r="H1097" s="6">
        <v>84.42</v>
      </c>
      <c r="I1097" s="6">
        <v>16.88</v>
      </c>
      <c r="J1097" s="6">
        <v>67.540000000000006</v>
      </c>
      <c r="K1097" s="5">
        <v>156</v>
      </c>
    </row>
    <row r="1098" spans="1:11" x14ac:dyDescent="0.3">
      <c r="A1098" s="3">
        <v>3981</v>
      </c>
      <c r="B1098" s="3" t="s">
        <v>36</v>
      </c>
      <c r="C1098" s="4">
        <v>45741</v>
      </c>
      <c r="D1098" s="3" t="s">
        <v>22</v>
      </c>
      <c r="E1098" s="3" t="s">
        <v>29</v>
      </c>
      <c r="F1098" s="5">
        <v>5</v>
      </c>
      <c r="G1098" s="6">
        <v>29.33</v>
      </c>
      <c r="H1098" s="6">
        <v>146.65</v>
      </c>
      <c r="I1098" s="6">
        <v>0</v>
      </c>
      <c r="J1098" s="6">
        <v>146.65</v>
      </c>
      <c r="K1098" s="5">
        <v>319</v>
      </c>
    </row>
    <row r="1099" spans="1:11" x14ac:dyDescent="0.3">
      <c r="A1099" s="3">
        <v>3114</v>
      </c>
      <c r="B1099" s="3" t="s">
        <v>11</v>
      </c>
      <c r="C1099" s="4">
        <v>45481</v>
      </c>
      <c r="D1099" s="3" t="s">
        <v>15</v>
      </c>
      <c r="E1099" s="3" t="s">
        <v>41</v>
      </c>
      <c r="F1099" s="5">
        <v>2</v>
      </c>
      <c r="G1099" s="6">
        <v>24.04</v>
      </c>
      <c r="H1099" s="6">
        <v>48.08</v>
      </c>
      <c r="I1099" s="6">
        <v>0</v>
      </c>
      <c r="J1099" s="6">
        <v>48.08</v>
      </c>
      <c r="K1099" s="5">
        <v>98</v>
      </c>
    </row>
    <row r="1100" spans="1:11" x14ac:dyDescent="0.3">
      <c r="A1100" s="3">
        <v>9238</v>
      </c>
      <c r="B1100" s="3" t="s">
        <v>36</v>
      </c>
      <c r="C1100" s="4">
        <v>45852</v>
      </c>
      <c r="D1100" s="3" t="s">
        <v>22</v>
      </c>
      <c r="E1100" s="3" t="s">
        <v>16</v>
      </c>
      <c r="F1100" s="5">
        <v>2</v>
      </c>
      <c r="G1100" s="6">
        <v>27.7</v>
      </c>
      <c r="H1100" s="6">
        <v>55.4</v>
      </c>
      <c r="I1100" s="6">
        <v>2.1800000000000002</v>
      </c>
      <c r="J1100" s="6">
        <v>53.22</v>
      </c>
      <c r="K1100" s="5">
        <v>390</v>
      </c>
    </row>
    <row r="1101" spans="1:11" x14ac:dyDescent="0.3">
      <c r="A1101" s="3">
        <v>1907</v>
      </c>
      <c r="B1101" s="3" t="s">
        <v>19</v>
      </c>
      <c r="C1101" s="4">
        <v>45790</v>
      </c>
      <c r="D1101" s="3" t="s">
        <v>22</v>
      </c>
      <c r="E1101" s="3" t="s">
        <v>25</v>
      </c>
      <c r="F1101" s="5">
        <v>1</v>
      </c>
      <c r="G1101" s="6">
        <v>19.239999999999998</v>
      </c>
      <c r="H1101" s="6">
        <v>19.239999999999998</v>
      </c>
      <c r="I1101" s="6">
        <v>4.87</v>
      </c>
      <c r="J1101" s="6">
        <v>14.37</v>
      </c>
      <c r="K1101" s="5">
        <v>143</v>
      </c>
    </row>
    <row r="1102" spans="1:11" x14ac:dyDescent="0.3">
      <c r="A1102" s="3">
        <v>3034</v>
      </c>
      <c r="B1102" s="3" t="s">
        <v>26</v>
      </c>
      <c r="C1102" s="4">
        <v>45547</v>
      </c>
      <c r="D1102" s="3" t="s">
        <v>17</v>
      </c>
      <c r="E1102" s="3" t="s">
        <v>43</v>
      </c>
      <c r="F1102" s="5">
        <v>4</v>
      </c>
      <c r="G1102" s="6">
        <v>23.93</v>
      </c>
      <c r="H1102" s="6">
        <v>95.72</v>
      </c>
      <c r="I1102" s="6">
        <v>19.14</v>
      </c>
      <c r="J1102" s="6">
        <v>76.58</v>
      </c>
      <c r="K1102" s="5">
        <v>314</v>
      </c>
    </row>
    <row r="1103" spans="1:11" x14ac:dyDescent="0.3">
      <c r="A1103" s="3">
        <v>3507</v>
      </c>
      <c r="B1103" s="3" t="s">
        <v>14</v>
      </c>
      <c r="C1103" s="4">
        <v>45381</v>
      </c>
      <c r="D1103" s="3" t="s">
        <v>20</v>
      </c>
      <c r="E1103" s="3" t="s">
        <v>46</v>
      </c>
      <c r="F1103" s="5">
        <v>3</v>
      </c>
      <c r="G1103" s="6">
        <v>15.45</v>
      </c>
      <c r="H1103" s="6">
        <v>46.35</v>
      </c>
      <c r="I1103" s="6">
        <v>6.95</v>
      </c>
      <c r="J1103" s="6">
        <v>39.4</v>
      </c>
      <c r="K1103" s="5">
        <v>237</v>
      </c>
    </row>
    <row r="1104" spans="1:11" x14ac:dyDescent="0.3">
      <c r="A1104" s="3">
        <v>3697</v>
      </c>
      <c r="B1104" s="3" t="s">
        <v>36</v>
      </c>
      <c r="C1104" s="4">
        <v>45270</v>
      </c>
      <c r="D1104" s="3" t="s">
        <v>38</v>
      </c>
      <c r="E1104" s="3" t="s">
        <v>47</v>
      </c>
      <c r="F1104" s="5">
        <v>4</v>
      </c>
      <c r="G1104" s="6">
        <v>14.73</v>
      </c>
      <c r="H1104" s="6">
        <v>58.92</v>
      </c>
      <c r="I1104" s="6">
        <v>0</v>
      </c>
      <c r="J1104" s="6">
        <v>58.92</v>
      </c>
      <c r="K1104" s="5">
        <v>297</v>
      </c>
    </row>
    <row r="1105" spans="1:11" x14ac:dyDescent="0.3">
      <c r="A1105" s="3">
        <v>6286</v>
      </c>
      <c r="B1105" s="3" t="s">
        <v>31</v>
      </c>
      <c r="C1105" s="4">
        <v>45871</v>
      </c>
      <c r="D1105" s="3" t="s">
        <v>17</v>
      </c>
      <c r="E1105" s="3" t="s">
        <v>25</v>
      </c>
      <c r="F1105" s="5">
        <v>2</v>
      </c>
      <c r="G1105" s="6">
        <v>14.1</v>
      </c>
      <c r="H1105" s="6">
        <v>28.2</v>
      </c>
      <c r="I1105" s="6">
        <v>5.64</v>
      </c>
      <c r="J1105" s="6">
        <v>22.56</v>
      </c>
      <c r="K1105" s="5">
        <v>120</v>
      </c>
    </row>
    <row r="1106" spans="1:11" x14ac:dyDescent="0.3">
      <c r="A1106" s="3">
        <v>4694</v>
      </c>
      <c r="B1106" s="3" t="s">
        <v>30</v>
      </c>
      <c r="C1106" s="4">
        <v>45413</v>
      </c>
      <c r="D1106" s="3" t="s">
        <v>20</v>
      </c>
      <c r="E1106" s="3" t="s">
        <v>32</v>
      </c>
      <c r="F1106" s="5">
        <v>5</v>
      </c>
      <c r="G1106" s="6">
        <v>5.55</v>
      </c>
      <c r="H1106" s="6">
        <v>27.75</v>
      </c>
      <c r="I1106" s="6">
        <v>4.16</v>
      </c>
      <c r="J1106" s="6">
        <v>23.59</v>
      </c>
      <c r="K1106" s="5">
        <v>431</v>
      </c>
    </row>
    <row r="1107" spans="1:11" x14ac:dyDescent="0.3">
      <c r="A1107" s="3">
        <v>9501</v>
      </c>
      <c r="B1107" s="3" t="s">
        <v>14</v>
      </c>
      <c r="C1107" s="4">
        <v>45840</v>
      </c>
      <c r="D1107" s="3" t="s">
        <v>15</v>
      </c>
      <c r="E1107" s="3" t="s">
        <v>41</v>
      </c>
      <c r="F1107" s="5">
        <v>1</v>
      </c>
      <c r="G1107" s="6">
        <v>9.5500000000000007</v>
      </c>
      <c r="H1107" s="6">
        <v>9.5500000000000007</v>
      </c>
      <c r="I1107" s="6">
        <v>1.91</v>
      </c>
      <c r="J1107" s="6">
        <v>7.64</v>
      </c>
      <c r="K1107" s="5">
        <v>265</v>
      </c>
    </row>
    <row r="1108" spans="1:11" x14ac:dyDescent="0.3">
      <c r="A1108" s="3">
        <v>5653</v>
      </c>
      <c r="B1108" s="3" t="s">
        <v>31</v>
      </c>
      <c r="C1108" s="4">
        <v>45802</v>
      </c>
      <c r="D1108" s="3" t="s">
        <v>45</v>
      </c>
      <c r="E1108" s="3" t="s">
        <v>46</v>
      </c>
      <c r="F1108" s="5">
        <v>5</v>
      </c>
      <c r="G1108" s="6">
        <v>10.74</v>
      </c>
      <c r="H1108" s="6">
        <v>53.7</v>
      </c>
      <c r="I1108" s="6">
        <v>5.37</v>
      </c>
      <c r="J1108" s="6">
        <v>48.33</v>
      </c>
      <c r="K1108" s="5">
        <v>230</v>
      </c>
    </row>
    <row r="1109" spans="1:11" x14ac:dyDescent="0.3">
      <c r="A1109" s="3">
        <v>2292</v>
      </c>
      <c r="B1109" s="3" t="s">
        <v>24</v>
      </c>
      <c r="C1109" s="4">
        <v>45339</v>
      </c>
      <c r="D1109" s="3" t="s">
        <v>22</v>
      </c>
      <c r="E1109" s="3" t="s">
        <v>47</v>
      </c>
      <c r="F1109" s="5">
        <v>3</v>
      </c>
      <c r="G1109" s="6">
        <v>8.91</v>
      </c>
      <c r="H1109" s="6">
        <v>26.73</v>
      </c>
      <c r="I1109" s="6">
        <v>2.67</v>
      </c>
      <c r="J1109" s="6">
        <v>24.06</v>
      </c>
      <c r="K1109" s="5">
        <v>12</v>
      </c>
    </row>
    <row r="1110" spans="1:11" x14ac:dyDescent="0.3">
      <c r="A1110" s="3">
        <v>4216</v>
      </c>
      <c r="B1110" s="3" t="s">
        <v>42</v>
      </c>
      <c r="C1110" s="4">
        <v>45638</v>
      </c>
      <c r="D1110" s="3" t="s">
        <v>35</v>
      </c>
      <c r="E1110" s="3" t="s">
        <v>43</v>
      </c>
      <c r="F1110" s="5">
        <v>3</v>
      </c>
      <c r="G1110" s="6">
        <v>27.13</v>
      </c>
      <c r="H1110" s="6">
        <v>81.39</v>
      </c>
      <c r="I1110" s="6">
        <v>12.21</v>
      </c>
      <c r="J1110" s="6">
        <v>69.180000000000007</v>
      </c>
      <c r="K1110" s="5">
        <v>150</v>
      </c>
    </row>
    <row r="1111" spans="1:11" x14ac:dyDescent="0.3">
      <c r="A1111" s="3">
        <v>5496</v>
      </c>
      <c r="B1111" s="3" t="s">
        <v>42</v>
      </c>
      <c r="C1111" s="4">
        <v>45242</v>
      </c>
      <c r="D1111" s="3" t="s">
        <v>15</v>
      </c>
      <c r="E1111" s="3" t="s">
        <v>48</v>
      </c>
      <c r="F1111" s="5">
        <v>1</v>
      </c>
      <c r="G1111" s="6">
        <v>11.44</v>
      </c>
      <c r="H1111" s="6">
        <v>11.44</v>
      </c>
      <c r="I1111" s="6">
        <v>1.72</v>
      </c>
      <c r="J1111" s="6">
        <v>9.7200000000000006</v>
      </c>
      <c r="K1111" s="5">
        <v>279</v>
      </c>
    </row>
    <row r="1112" spans="1:11" x14ac:dyDescent="0.3">
      <c r="A1112" s="3">
        <v>5961</v>
      </c>
      <c r="B1112" s="3" t="s">
        <v>42</v>
      </c>
      <c r="C1112" s="4">
        <v>45622</v>
      </c>
      <c r="D1112" s="3" t="s">
        <v>27</v>
      </c>
      <c r="E1112" s="3" t="s">
        <v>21</v>
      </c>
      <c r="F1112" s="5">
        <v>3</v>
      </c>
      <c r="G1112" s="6">
        <v>9.77</v>
      </c>
      <c r="H1112" s="6">
        <v>29.31</v>
      </c>
      <c r="I1112" s="6">
        <v>5.86</v>
      </c>
      <c r="J1112" s="6">
        <v>23.45</v>
      </c>
      <c r="K1112" s="5">
        <v>417</v>
      </c>
    </row>
    <row r="1113" spans="1:11" x14ac:dyDescent="0.3">
      <c r="A1113" s="3">
        <v>9740</v>
      </c>
      <c r="B1113" s="3" t="s">
        <v>19</v>
      </c>
      <c r="C1113" s="4">
        <v>45217</v>
      </c>
      <c r="D1113" s="3" t="s">
        <v>38</v>
      </c>
      <c r="E1113" s="3" t="s">
        <v>13</v>
      </c>
      <c r="F1113" s="5">
        <v>1</v>
      </c>
      <c r="G1113" s="6">
        <v>23.32</v>
      </c>
      <c r="H1113" s="6">
        <v>23.32</v>
      </c>
      <c r="I1113" s="6">
        <v>2.33</v>
      </c>
      <c r="J1113" s="6">
        <v>20.99</v>
      </c>
      <c r="K1113" s="5">
        <v>144</v>
      </c>
    </row>
    <row r="1114" spans="1:11" x14ac:dyDescent="0.3">
      <c r="A1114" s="3">
        <v>9234</v>
      </c>
      <c r="B1114" s="3" t="s">
        <v>24</v>
      </c>
      <c r="C1114" s="4">
        <v>45642</v>
      </c>
      <c r="D1114" s="3" t="s">
        <v>28</v>
      </c>
      <c r="E1114" s="3" t="s">
        <v>39</v>
      </c>
      <c r="F1114" s="5">
        <v>4</v>
      </c>
      <c r="G1114" s="6">
        <v>19.96</v>
      </c>
      <c r="H1114" s="6">
        <v>79.84</v>
      </c>
      <c r="I1114" s="6">
        <v>7.98</v>
      </c>
      <c r="J1114" s="6">
        <v>71.86</v>
      </c>
      <c r="K1114" s="5">
        <v>389</v>
      </c>
    </row>
    <row r="1115" spans="1:11" x14ac:dyDescent="0.3">
      <c r="A1115" s="3">
        <v>3762</v>
      </c>
      <c r="B1115" s="3"/>
      <c r="C1115" s="4">
        <v>45604</v>
      </c>
      <c r="D1115" s="3" t="s">
        <v>17</v>
      </c>
      <c r="E1115" s="3" t="s">
        <v>44</v>
      </c>
      <c r="F1115" s="5">
        <v>4</v>
      </c>
      <c r="G1115" s="6">
        <v>7.77</v>
      </c>
      <c r="H1115" s="6">
        <v>31.08</v>
      </c>
      <c r="I1115" s="6">
        <v>0</v>
      </c>
      <c r="J1115" s="6">
        <v>31.08</v>
      </c>
      <c r="K1115" s="5">
        <v>300</v>
      </c>
    </row>
    <row r="1116" spans="1:11" x14ac:dyDescent="0.3">
      <c r="A1116" s="3">
        <v>3526</v>
      </c>
      <c r="B1116" s="3" t="s">
        <v>26</v>
      </c>
      <c r="C1116" s="4">
        <v>45277</v>
      </c>
      <c r="D1116" s="3" t="s">
        <v>22</v>
      </c>
      <c r="E1116" s="3" t="s">
        <v>43</v>
      </c>
      <c r="F1116" s="5">
        <v>3</v>
      </c>
      <c r="G1116" s="6">
        <v>25.52</v>
      </c>
      <c r="H1116" s="6">
        <v>76.56</v>
      </c>
      <c r="I1116" s="6">
        <v>15.31</v>
      </c>
      <c r="J1116" s="6">
        <v>61.25</v>
      </c>
      <c r="K1116" s="5">
        <v>219</v>
      </c>
    </row>
    <row r="1117" spans="1:11" x14ac:dyDescent="0.3">
      <c r="A1117" s="3">
        <v>6531</v>
      </c>
      <c r="B1117" s="3" t="s">
        <v>26</v>
      </c>
      <c r="C1117" s="4">
        <v>45799</v>
      </c>
      <c r="D1117" s="3" t="s">
        <v>45</v>
      </c>
      <c r="E1117" s="3" t="s">
        <v>18</v>
      </c>
      <c r="F1117" s="5">
        <v>1</v>
      </c>
      <c r="G1117" s="6">
        <v>11.86</v>
      </c>
      <c r="H1117" s="6">
        <v>11.86</v>
      </c>
      <c r="I1117" s="6">
        <v>1.78</v>
      </c>
      <c r="J1117" s="6">
        <v>10.08</v>
      </c>
      <c r="K1117" s="5">
        <v>295</v>
      </c>
    </row>
    <row r="1118" spans="1:11" x14ac:dyDescent="0.3">
      <c r="A1118" s="3">
        <v>1674</v>
      </c>
      <c r="B1118" s="3" t="s">
        <v>31</v>
      </c>
      <c r="C1118" s="4">
        <v>45785</v>
      </c>
      <c r="D1118" s="3" t="s">
        <v>45</v>
      </c>
      <c r="E1118" s="3" t="s">
        <v>23</v>
      </c>
      <c r="F1118" s="5">
        <v>3</v>
      </c>
      <c r="G1118" s="6">
        <v>7.53</v>
      </c>
      <c r="H1118" s="6">
        <v>22.59</v>
      </c>
      <c r="I1118" s="6">
        <v>0</v>
      </c>
      <c r="J1118" s="6">
        <v>22.59</v>
      </c>
      <c r="K1118" s="5">
        <v>217</v>
      </c>
    </row>
    <row r="1119" spans="1:11" x14ac:dyDescent="0.3">
      <c r="A1119" s="3">
        <v>1464</v>
      </c>
      <c r="B1119" s="3" t="s">
        <v>14</v>
      </c>
      <c r="C1119" s="4">
        <v>45208</v>
      </c>
      <c r="D1119" s="3" t="s">
        <v>35</v>
      </c>
      <c r="E1119" s="3" t="s">
        <v>21</v>
      </c>
      <c r="F1119" s="5">
        <v>5</v>
      </c>
      <c r="G1119" s="6">
        <v>1.66</v>
      </c>
      <c r="H1119" s="6">
        <v>8.3000000000000007</v>
      </c>
      <c r="I1119" s="6">
        <v>1.66</v>
      </c>
      <c r="J1119" s="6">
        <v>6.64</v>
      </c>
      <c r="K1119" s="5">
        <v>402</v>
      </c>
    </row>
    <row r="1120" spans="1:11" x14ac:dyDescent="0.3">
      <c r="A1120" s="3">
        <v>1744</v>
      </c>
      <c r="B1120" s="3" t="s">
        <v>19</v>
      </c>
      <c r="C1120" s="4">
        <v>45643</v>
      </c>
      <c r="D1120" s="3" t="s">
        <v>22</v>
      </c>
      <c r="E1120" s="3" t="s">
        <v>32</v>
      </c>
      <c r="F1120" s="5">
        <v>4</v>
      </c>
      <c r="G1120" s="6">
        <v>6.91</v>
      </c>
      <c r="H1120" s="6">
        <v>27.64</v>
      </c>
      <c r="I1120" s="6">
        <v>2.5499999999999998</v>
      </c>
      <c r="J1120" s="6">
        <v>25.09</v>
      </c>
      <c r="K1120" s="5">
        <v>200</v>
      </c>
    </row>
    <row r="1121" spans="1:11" x14ac:dyDescent="0.3">
      <c r="A1121" s="3">
        <v>5336</v>
      </c>
      <c r="B1121" s="3" t="s">
        <v>26</v>
      </c>
      <c r="C1121" s="4">
        <v>45650</v>
      </c>
      <c r="D1121" s="3" t="s">
        <v>15</v>
      </c>
      <c r="E1121" s="3" t="s">
        <v>21</v>
      </c>
      <c r="F1121" s="5">
        <v>5</v>
      </c>
      <c r="G1121" s="6">
        <v>28.89</v>
      </c>
      <c r="H1121" s="6">
        <v>144.44999999999999</v>
      </c>
      <c r="I1121" s="6">
        <v>1.69</v>
      </c>
      <c r="J1121" s="6">
        <v>142.76</v>
      </c>
      <c r="K1121" s="5">
        <v>327</v>
      </c>
    </row>
    <row r="1122" spans="1:11" x14ac:dyDescent="0.3">
      <c r="A1122" s="3">
        <v>4453</v>
      </c>
      <c r="B1122" s="3" t="s">
        <v>14</v>
      </c>
      <c r="C1122" s="4">
        <v>45740</v>
      </c>
      <c r="D1122" s="3" t="s">
        <v>34</v>
      </c>
      <c r="E1122" s="3" t="s">
        <v>40</v>
      </c>
      <c r="F1122" s="5">
        <v>5</v>
      </c>
      <c r="G1122" s="6">
        <v>15.16</v>
      </c>
      <c r="H1122" s="6">
        <v>75.8</v>
      </c>
      <c r="I1122" s="6">
        <v>4.6500000000000004</v>
      </c>
      <c r="J1122" s="6">
        <v>71.150000000000006</v>
      </c>
      <c r="K1122" s="5">
        <v>95</v>
      </c>
    </row>
    <row r="1123" spans="1:11" x14ac:dyDescent="0.3">
      <c r="A1123" s="3">
        <v>7825</v>
      </c>
      <c r="B1123" s="3" t="s">
        <v>24</v>
      </c>
      <c r="C1123" s="4">
        <v>45625</v>
      </c>
      <c r="D1123" s="3" t="s">
        <v>35</v>
      </c>
      <c r="E1123" s="3" t="s">
        <v>44</v>
      </c>
      <c r="F1123" s="5">
        <v>2</v>
      </c>
      <c r="G1123" s="6">
        <v>9.43</v>
      </c>
      <c r="H1123" s="6">
        <v>18.86</v>
      </c>
      <c r="I1123" s="6">
        <v>1.89</v>
      </c>
      <c r="J1123" s="6">
        <v>16.97</v>
      </c>
      <c r="K1123" s="5">
        <v>268</v>
      </c>
    </row>
    <row r="1124" spans="1:11" x14ac:dyDescent="0.3">
      <c r="A1124" s="3">
        <v>1496</v>
      </c>
      <c r="B1124" s="3" t="s">
        <v>31</v>
      </c>
      <c r="C1124" s="4">
        <v>45531</v>
      </c>
      <c r="D1124" s="3" t="s">
        <v>22</v>
      </c>
      <c r="E1124" s="3" t="s">
        <v>46</v>
      </c>
      <c r="F1124" s="5">
        <v>1</v>
      </c>
      <c r="G1124" s="6">
        <v>5.97</v>
      </c>
      <c r="H1124" s="6">
        <v>5.97</v>
      </c>
      <c r="I1124" s="6">
        <v>0.6</v>
      </c>
      <c r="J1124" s="6">
        <v>5.37</v>
      </c>
      <c r="K1124" s="5">
        <v>440</v>
      </c>
    </row>
    <row r="1125" spans="1:11" x14ac:dyDescent="0.3">
      <c r="A1125" s="3">
        <v>9938</v>
      </c>
      <c r="B1125" s="3" t="s">
        <v>19</v>
      </c>
      <c r="C1125" s="4">
        <v>45369</v>
      </c>
      <c r="D1125" s="3" t="s">
        <v>15</v>
      </c>
      <c r="E1125" s="3" t="s">
        <v>41</v>
      </c>
      <c r="F1125" s="5">
        <v>5</v>
      </c>
      <c r="G1125" s="6">
        <v>13.12</v>
      </c>
      <c r="H1125" s="6">
        <v>65.599999999999994</v>
      </c>
      <c r="I1125" s="6">
        <v>6.56</v>
      </c>
      <c r="J1125" s="6">
        <v>59.04</v>
      </c>
      <c r="K1125" s="5">
        <v>380</v>
      </c>
    </row>
    <row r="1126" spans="1:11" x14ac:dyDescent="0.3">
      <c r="A1126" s="3">
        <v>5949</v>
      </c>
      <c r="B1126" s="3" t="s">
        <v>42</v>
      </c>
      <c r="C1126" s="4">
        <v>45520</v>
      </c>
      <c r="D1126" s="3" t="s">
        <v>34</v>
      </c>
      <c r="E1126" s="3" t="s">
        <v>44</v>
      </c>
      <c r="F1126" s="5">
        <v>3</v>
      </c>
      <c r="G1126" s="6">
        <v>13.52</v>
      </c>
      <c r="H1126" s="6">
        <v>40.56</v>
      </c>
      <c r="I1126" s="6">
        <v>8.11</v>
      </c>
      <c r="J1126" s="6">
        <v>32.450000000000003</v>
      </c>
      <c r="K1126" s="5">
        <v>363</v>
      </c>
    </row>
    <row r="1127" spans="1:11" x14ac:dyDescent="0.3">
      <c r="A1127" s="3">
        <v>5012</v>
      </c>
      <c r="B1127" s="3" t="s">
        <v>30</v>
      </c>
      <c r="C1127" s="4">
        <v>45770</v>
      </c>
      <c r="D1127" s="3" t="s">
        <v>28</v>
      </c>
      <c r="E1127" s="3" t="s">
        <v>44</v>
      </c>
      <c r="F1127" s="5">
        <v>5</v>
      </c>
      <c r="G1127" s="6">
        <v>21.78</v>
      </c>
      <c r="H1127" s="6">
        <v>108.9</v>
      </c>
      <c r="I1127" s="6">
        <v>21.78</v>
      </c>
      <c r="J1127" s="6">
        <v>87.12</v>
      </c>
      <c r="K1127" s="5">
        <v>234</v>
      </c>
    </row>
    <row r="1128" spans="1:11" x14ac:dyDescent="0.3">
      <c r="A1128" s="3">
        <v>7653</v>
      </c>
      <c r="B1128" s="3" t="s">
        <v>31</v>
      </c>
      <c r="C1128" s="4">
        <v>45376</v>
      </c>
      <c r="D1128" s="3" t="s">
        <v>34</v>
      </c>
      <c r="E1128" s="3" t="s">
        <v>33</v>
      </c>
      <c r="F1128" s="5">
        <v>1</v>
      </c>
      <c r="G1128" s="6">
        <v>24.9</v>
      </c>
      <c r="H1128" s="6">
        <v>24.9</v>
      </c>
      <c r="I1128" s="6">
        <v>2.3199999999999998</v>
      </c>
      <c r="J1128" s="6">
        <v>22.58</v>
      </c>
      <c r="K1128" s="5">
        <v>309</v>
      </c>
    </row>
    <row r="1129" spans="1:11" x14ac:dyDescent="0.3">
      <c r="A1129" s="3">
        <v>8430</v>
      </c>
      <c r="B1129" s="3" t="s">
        <v>26</v>
      </c>
      <c r="C1129" s="4">
        <v>45201</v>
      </c>
      <c r="D1129" s="3" t="s">
        <v>45</v>
      </c>
      <c r="E1129" s="3" t="s">
        <v>33</v>
      </c>
      <c r="F1129" s="5">
        <v>5</v>
      </c>
      <c r="G1129" s="6">
        <v>2.12</v>
      </c>
      <c r="H1129" s="6">
        <v>10.6</v>
      </c>
      <c r="I1129" s="6">
        <v>0</v>
      </c>
      <c r="J1129" s="6">
        <v>10.6</v>
      </c>
      <c r="K1129" s="5">
        <v>46</v>
      </c>
    </row>
    <row r="1130" spans="1:11" x14ac:dyDescent="0.3">
      <c r="A1130" s="3">
        <v>1981</v>
      </c>
      <c r="B1130" s="3" t="s">
        <v>26</v>
      </c>
      <c r="C1130" s="4">
        <v>45267</v>
      </c>
      <c r="D1130" s="3" t="s">
        <v>22</v>
      </c>
      <c r="E1130" s="3" t="s">
        <v>37</v>
      </c>
      <c r="F1130" s="5">
        <v>4</v>
      </c>
      <c r="G1130" s="6">
        <v>18.77</v>
      </c>
      <c r="H1130" s="6">
        <v>75.08</v>
      </c>
      <c r="I1130" s="6">
        <v>7.51</v>
      </c>
      <c r="J1130" s="6">
        <v>67.569999999999993</v>
      </c>
      <c r="K1130" s="5">
        <v>414</v>
      </c>
    </row>
    <row r="1131" spans="1:11" x14ac:dyDescent="0.3">
      <c r="A1131" s="3">
        <v>8202</v>
      </c>
      <c r="B1131" s="3" t="s">
        <v>42</v>
      </c>
      <c r="C1131" s="4">
        <v>45467</v>
      </c>
      <c r="D1131" s="3" t="s">
        <v>34</v>
      </c>
      <c r="E1131" s="3" t="s">
        <v>16</v>
      </c>
      <c r="F1131" s="5">
        <v>4</v>
      </c>
      <c r="G1131" s="6">
        <v>12.15</v>
      </c>
      <c r="H1131" s="6">
        <v>48.6</v>
      </c>
      <c r="I1131" s="6">
        <v>0</v>
      </c>
      <c r="J1131" s="6">
        <v>48.6</v>
      </c>
      <c r="K1131" s="5">
        <v>337</v>
      </c>
    </row>
    <row r="1132" spans="1:11" x14ac:dyDescent="0.3">
      <c r="A1132" s="3">
        <v>8933</v>
      </c>
      <c r="B1132" s="3" t="s">
        <v>11</v>
      </c>
      <c r="C1132" s="4">
        <v>45505</v>
      </c>
      <c r="D1132" s="3" t="s">
        <v>20</v>
      </c>
      <c r="E1132" s="3" t="s">
        <v>40</v>
      </c>
      <c r="F1132" s="5">
        <v>2</v>
      </c>
      <c r="G1132" s="6">
        <v>26.67</v>
      </c>
      <c r="H1132" s="6">
        <v>53.34</v>
      </c>
      <c r="I1132" s="6">
        <v>0</v>
      </c>
      <c r="J1132" s="6">
        <v>53.34</v>
      </c>
      <c r="K1132" s="5">
        <v>80</v>
      </c>
    </row>
    <row r="1133" spans="1:11" x14ac:dyDescent="0.3">
      <c r="A1133" s="3">
        <v>4342</v>
      </c>
      <c r="B1133" s="3" t="s">
        <v>14</v>
      </c>
      <c r="C1133" s="4">
        <v>45409</v>
      </c>
      <c r="D1133" s="3" t="s">
        <v>35</v>
      </c>
      <c r="E1133" s="3" t="s">
        <v>43</v>
      </c>
      <c r="F1133" s="5">
        <v>2</v>
      </c>
      <c r="G1133" s="6">
        <v>27.34</v>
      </c>
      <c r="H1133" s="6">
        <v>54.68</v>
      </c>
      <c r="I1133" s="6">
        <v>8.1999999999999993</v>
      </c>
      <c r="J1133" s="6">
        <v>46.48</v>
      </c>
      <c r="K1133" s="5">
        <v>210</v>
      </c>
    </row>
    <row r="1134" spans="1:11" x14ac:dyDescent="0.3">
      <c r="A1134" s="3">
        <v>3353</v>
      </c>
      <c r="B1134" s="3" t="s">
        <v>11</v>
      </c>
      <c r="C1134" s="4">
        <v>45387</v>
      </c>
      <c r="D1134" s="3" t="s">
        <v>15</v>
      </c>
      <c r="E1134" s="3" t="s">
        <v>46</v>
      </c>
      <c r="F1134" s="5">
        <v>3</v>
      </c>
      <c r="G1134" s="6">
        <v>12.88</v>
      </c>
      <c r="H1134" s="6">
        <v>38.64</v>
      </c>
      <c r="I1134" s="6">
        <v>7.73</v>
      </c>
      <c r="J1134" s="6">
        <v>30.91</v>
      </c>
      <c r="K1134" s="5">
        <v>84</v>
      </c>
    </row>
    <row r="1135" spans="1:11" x14ac:dyDescent="0.3">
      <c r="A1135" s="3">
        <v>6231</v>
      </c>
      <c r="B1135" s="3" t="s">
        <v>14</v>
      </c>
      <c r="C1135" s="4">
        <v>45715</v>
      </c>
      <c r="D1135" s="3" t="s">
        <v>12</v>
      </c>
      <c r="E1135" s="3" t="s">
        <v>33</v>
      </c>
      <c r="F1135" s="5">
        <v>1</v>
      </c>
      <c r="G1135" s="6">
        <v>3.11</v>
      </c>
      <c r="H1135" s="6">
        <v>3.11</v>
      </c>
      <c r="I1135" s="6">
        <v>0.31</v>
      </c>
      <c r="J1135" s="6">
        <v>2.8</v>
      </c>
      <c r="K1135" s="5">
        <v>355</v>
      </c>
    </row>
    <row r="1136" spans="1:11" x14ac:dyDescent="0.3">
      <c r="A1136" s="3">
        <v>6658</v>
      </c>
      <c r="B1136" s="3"/>
      <c r="C1136" s="4">
        <v>45454</v>
      </c>
      <c r="D1136" s="3" t="s">
        <v>20</v>
      </c>
      <c r="E1136" s="3" t="s">
        <v>44</v>
      </c>
      <c r="F1136" s="5">
        <v>4</v>
      </c>
      <c r="G1136" s="6">
        <v>2.09</v>
      </c>
      <c r="H1136" s="6">
        <v>8.36</v>
      </c>
      <c r="I1136" s="6">
        <v>0</v>
      </c>
      <c r="J1136" s="6">
        <v>8.36</v>
      </c>
      <c r="K1136" s="5">
        <v>128</v>
      </c>
    </row>
    <row r="1137" spans="1:11" x14ac:dyDescent="0.3">
      <c r="A1137" s="3">
        <v>3142</v>
      </c>
      <c r="B1137" s="3" t="s">
        <v>19</v>
      </c>
      <c r="C1137" s="4">
        <v>45735</v>
      </c>
      <c r="D1137" s="3" t="s">
        <v>22</v>
      </c>
      <c r="E1137" s="3" t="s">
        <v>33</v>
      </c>
      <c r="F1137" s="5">
        <v>4</v>
      </c>
      <c r="G1137" s="6">
        <v>14.37</v>
      </c>
      <c r="H1137" s="6">
        <v>57.48</v>
      </c>
      <c r="I1137" s="6">
        <v>0</v>
      </c>
      <c r="J1137" s="6">
        <v>57.48</v>
      </c>
      <c r="K1137" s="5">
        <v>42</v>
      </c>
    </row>
    <row r="1138" spans="1:11" x14ac:dyDescent="0.3">
      <c r="A1138" s="3">
        <v>7070</v>
      </c>
      <c r="B1138" s="3" t="s">
        <v>26</v>
      </c>
      <c r="C1138" s="4">
        <v>45544</v>
      </c>
      <c r="D1138" s="3" t="s">
        <v>34</v>
      </c>
      <c r="E1138" s="3" t="s">
        <v>47</v>
      </c>
      <c r="F1138" s="5">
        <v>3</v>
      </c>
      <c r="G1138" s="6">
        <v>25.4</v>
      </c>
      <c r="H1138" s="6">
        <v>76.2</v>
      </c>
      <c r="I1138" s="6">
        <v>1.4</v>
      </c>
      <c r="J1138" s="6">
        <v>74.8</v>
      </c>
      <c r="K1138" s="5">
        <v>87</v>
      </c>
    </row>
    <row r="1139" spans="1:11" x14ac:dyDescent="0.3">
      <c r="A1139" s="3">
        <v>2739</v>
      </c>
      <c r="B1139" s="3" t="s">
        <v>30</v>
      </c>
      <c r="C1139" s="4">
        <v>45392</v>
      </c>
      <c r="D1139" s="3" t="s">
        <v>15</v>
      </c>
      <c r="E1139" s="3" t="s">
        <v>18</v>
      </c>
      <c r="F1139" s="5">
        <v>4</v>
      </c>
      <c r="G1139" s="6">
        <v>5.88</v>
      </c>
      <c r="H1139" s="6">
        <v>23.52</v>
      </c>
      <c r="I1139" s="6">
        <v>0</v>
      </c>
      <c r="J1139" s="6">
        <v>23.52</v>
      </c>
      <c r="K1139" s="5">
        <v>343</v>
      </c>
    </row>
    <row r="1140" spans="1:11" x14ac:dyDescent="0.3">
      <c r="A1140" s="3">
        <v>4960</v>
      </c>
      <c r="B1140" s="3" t="s">
        <v>30</v>
      </c>
      <c r="C1140" s="4">
        <v>45507</v>
      </c>
      <c r="D1140" s="3" t="s">
        <v>34</v>
      </c>
      <c r="E1140" s="3" t="s">
        <v>33</v>
      </c>
      <c r="F1140" s="5">
        <v>3</v>
      </c>
      <c r="G1140" s="6">
        <v>6.15</v>
      </c>
      <c r="H1140" s="6">
        <v>18.45</v>
      </c>
      <c r="I1140" s="6">
        <v>0</v>
      </c>
      <c r="J1140" s="6">
        <v>18.45</v>
      </c>
      <c r="K1140" s="5">
        <v>365</v>
      </c>
    </row>
    <row r="1141" spans="1:11" x14ac:dyDescent="0.3">
      <c r="A1141" s="3">
        <v>3007</v>
      </c>
      <c r="B1141" s="3" t="s">
        <v>14</v>
      </c>
      <c r="C1141" s="4">
        <v>45352</v>
      </c>
      <c r="D1141" s="3" t="s">
        <v>17</v>
      </c>
      <c r="E1141" s="3" t="s">
        <v>33</v>
      </c>
      <c r="F1141" s="5">
        <v>1</v>
      </c>
      <c r="G1141" s="6">
        <v>25.25</v>
      </c>
      <c r="H1141" s="6">
        <v>25.25</v>
      </c>
      <c r="I1141" s="6">
        <v>2.5299999999999998</v>
      </c>
      <c r="J1141" s="6">
        <v>22.72</v>
      </c>
      <c r="K1141" s="5">
        <v>415</v>
      </c>
    </row>
    <row r="1142" spans="1:11" x14ac:dyDescent="0.3">
      <c r="A1142" s="3">
        <v>8366</v>
      </c>
      <c r="B1142" s="3" t="s">
        <v>30</v>
      </c>
      <c r="C1142" s="4">
        <v>45337</v>
      </c>
      <c r="D1142" s="3" t="s">
        <v>45</v>
      </c>
      <c r="E1142" s="3" t="s">
        <v>40</v>
      </c>
      <c r="F1142" s="5">
        <v>5</v>
      </c>
      <c r="G1142" s="6">
        <v>1.1299999999999999</v>
      </c>
      <c r="H1142" s="6">
        <v>5.65</v>
      </c>
      <c r="I1142" s="6">
        <v>1.1299999999999999</v>
      </c>
      <c r="J1142" s="6">
        <v>4.5199999999999996</v>
      </c>
      <c r="K1142" s="5">
        <v>395</v>
      </c>
    </row>
    <row r="1143" spans="1:11" x14ac:dyDescent="0.3">
      <c r="A1143" s="3">
        <v>3308</v>
      </c>
      <c r="B1143" s="3" t="s">
        <v>42</v>
      </c>
      <c r="C1143" s="4">
        <v>45220</v>
      </c>
      <c r="D1143" s="3" t="s">
        <v>22</v>
      </c>
      <c r="E1143" s="3" t="s">
        <v>25</v>
      </c>
      <c r="F1143" s="5">
        <v>2</v>
      </c>
      <c r="G1143" s="6">
        <v>3.64</v>
      </c>
      <c r="H1143" s="6">
        <v>7.28</v>
      </c>
      <c r="I1143" s="6">
        <v>2.35</v>
      </c>
      <c r="J1143" s="6">
        <v>4.93</v>
      </c>
      <c r="K1143" s="5">
        <v>215</v>
      </c>
    </row>
    <row r="1144" spans="1:11" x14ac:dyDescent="0.3">
      <c r="A1144" s="3">
        <v>1829</v>
      </c>
      <c r="B1144" s="3" t="s">
        <v>42</v>
      </c>
      <c r="C1144" s="4">
        <v>45370</v>
      </c>
      <c r="D1144" s="3" t="s">
        <v>27</v>
      </c>
      <c r="E1144" s="3" t="s">
        <v>43</v>
      </c>
      <c r="F1144" s="5">
        <v>2</v>
      </c>
      <c r="G1144" s="6">
        <v>28.79</v>
      </c>
      <c r="H1144" s="6">
        <v>57.58</v>
      </c>
      <c r="I1144" s="6">
        <v>0</v>
      </c>
      <c r="J1144" s="6">
        <v>57.58</v>
      </c>
      <c r="K1144" s="5">
        <v>49</v>
      </c>
    </row>
    <row r="1145" spans="1:11" x14ac:dyDescent="0.3">
      <c r="A1145" s="3">
        <v>7293</v>
      </c>
      <c r="B1145" s="3" t="s">
        <v>19</v>
      </c>
      <c r="C1145" s="4">
        <v>45816</v>
      </c>
      <c r="D1145" s="3" t="s">
        <v>12</v>
      </c>
      <c r="E1145" s="3" t="s">
        <v>16</v>
      </c>
      <c r="F1145" s="5">
        <v>5</v>
      </c>
      <c r="G1145" s="6">
        <v>4.1100000000000003</v>
      </c>
      <c r="H1145" s="6">
        <v>20.55</v>
      </c>
      <c r="I1145" s="6">
        <v>3.51</v>
      </c>
      <c r="J1145" s="6">
        <v>17.04</v>
      </c>
      <c r="K1145" s="5">
        <v>167</v>
      </c>
    </row>
    <row r="1146" spans="1:11" x14ac:dyDescent="0.3">
      <c r="A1146" s="3">
        <v>7850</v>
      </c>
      <c r="B1146" s="3" t="s">
        <v>42</v>
      </c>
      <c r="C1146" s="4">
        <v>45337</v>
      </c>
      <c r="D1146" s="3" t="s">
        <v>38</v>
      </c>
      <c r="E1146" s="3" t="s">
        <v>32</v>
      </c>
      <c r="F1146" s="5">
        <v>4</v>
      </c>
      <c r="G1146" s="6">
        <v>4.49</v>
      </c>
      <c r="H1146" s="6">
        <v>17.96</v>
      </c>
      <c r="I1146" s="6">
        <v>2.69</v>
      </c>
      <c r="J1146" s="6">
        <v>15.27</v>
      </c>
      <c r="K1146" s="5">
        <v>109</v>
      </c>
    </row>
    <row r="1147" spans="1:11" x14ac:dyDescent="0.3">
      <c r="A1147" s="3">
        <v>3616</v>
      </c>
      <c r="B1147" s="3" t="s">
        <v>36</v>
      </c>
      <c r="C1147" s="4">
        <v>45776</v>
      </c>
      <c r="D1147" s="3" t="s">
        <v>34</v>
      </c>
      <c r="E1147" s="3" t="s">
        <v>39</v>
      </c>
      <c r="F1147" s="5">
        <v>4</v>
      </c>
      <c r="G1147" s="6">
        <v>19.96</v>
      </c>
      <c r="H1147" s="6">
        <v>79.84</v>
      </c>
      <c r="I1147" s="6">
        <v>15.97</v>
      </c>
      <c r="J1147" s="6">
        <v>63.87</v>
      </c>
      <c r="K1147" s="5">
        <v>6</v>
      </c>
    </row>
    <row r="1148" spans="1:11" x14ac:dyDescent="0.3">
      <c r="A1148" s="3">
        <v>6364</v>
      </c>
      <c r="B1148" s="3" t="s">
        <v>26</v>
      </c>
      <c r="C1148" s="4">
        <v>45870</v>
      </c>
      <c r="D1148" s="3" t="s">
        <v>17</v>
      </c>
      <c r="E1148" s="3" t="s">
        <v>43</v>
      </c>
      <c r="F1148" s="5">
        <v>3</v>
      </c>
      <c r="G1148" s="6">
        <v>19.84</v>
      </c>
      <c r="H1148" s="6">
        <v>59.52</v>
      </c>
      <c r="I1148" s="6">
        <v>4.54</v>
      </c>
      <c r="J1148" s="6">
        <v>54.98</v>
      </c>
      <c r="K1148" s="5">
        <v>188</v>
      </c>
    </row>
    <row r="1149" spans="1:11" x14ac:dyDescent="0.3">
      <c r="A1149" s="3">
        <v>6123</v>
      </c>
      <c r="B1149" s="3" t="s">
        <v>24</v>
      </c>
      <c r="C1149" s="4">
        <v>45292</v>
      </c>
      <c r="D1149" s="3" t="s">
        <v>35</v>
      </c>
      <c r="E1149" s="3" t="s">
        <v>47</v>
      </c>
      <c r="F1149" s="5">
        <v>1</v>
      </c>
      <c r="G1149" s="6">
        <v>21.65</v>
      </c>
      <c r="H1149" s="6">
        <v>21.65</v>
      </c>
      <c r="I1149" s="6">
        <v>3.25</v>
      </c>
      <c r="J1149" s="6">
        <v>18.399999999999999</v>
      </c>
      <c r="K1149" s="5">
        <v>405</v>
      </c>
    </row>
    <row r="1150" spans="1:11" x14ac:dyDescent="0.3">
      <c r="A1150" s="3">
        <v>3610</v>
      </c>
      <c r="B1150" s="3" t="s">
        <v>11</v>
      </c>
      <c r="C1150" s="4">
        <v>45532</v>
      </c>
      <c r="D1150" s="3" t="s">
        <v>28</v>
      </c>
      <c r="E1150" s="3" t="s">
        <v>21</v>
      </c>
      <c r="F1150" s="5">
        <v>4</v>
      </c>
      <c r="G1150" s="6">
        <v>20.65</v>
      </c>
      <c r="H1150" s="6">
        <v>82.6</v>
      </c>
      <c r="I1150" s="6">
        <v>12.39</v>
      </c>
      <c r="J1150" s="6">
        <v>70.209999999999994</v>
      </c>
      <c r="K1150" s="5">
        <v>497</v>
      </c>
    </row>
    <row r="1151" spans="1:11" x14ac:dyDescent="0.3">
      <c r="A1151" s="3">
        <v>9433</v>
      </c>
      <c r="B1151" s="3" t="s">
        <v>19</v>
      </c>
      <c r="C1151" s="4">
        <v>45507</v>
      </c>
      <c r="D1151" s="3" t="s">
        <v>27</v>
      </c>
      <c r="E1151" s="3" t="s">
        <v>21</v>
      </c>
      <c r="F1151" s="5">
        <v>4</v>
      </c>
      <c r="G1151" s="6">
        <v>2.95</v>
      </c>
      <c r="H1151" s="6">
        <v>11.8</v>
      </c>
      <c r="I1151" s="6">
        <v>1.18</v>
      </c>
      <c r="J1151" s="6">
        <v>10.62</v>
      </c>
      <c r="K1151" s="5">
        <v>9</v>
      </c>
    </row>
    <row r="1152" spans="1:11" x14ac:dyDescent="0.3">
      <c r="A1152" s="3">
        <v>9171</v>
      </c>
      <c r="B1152" s="3" t="s">
        <v>14</v>
      </c>
      <c r="C1152" s="4">
        <v>45827</v>
      </c>
      <c r="D1152" s="3" t="s">
        <v>27</v>
      </c>
      <c r="E1152" s="3" t="s">
        <v>25</v>
      </c>
      <c r="F1152" s="5">
        <v>5</v>
      </c>
      <c r="G1152" s="6">
        <v>18.03</v>
      </c>
      <c r="H1152" s="6">
        <v>90.15</v>
      </c>
      <c r="I1152" s="6">
        <v>3.47</v>
      </c>
      <c r="J1152" s="6">
        <v>86.68</v>
      </c>
      <c r="K1152" s="5">
        <v>6</v>
      </c>
    </row>
    <row r="1153" spans="1:11" x14ac:dyDescent="0.3">
      <c r="A1153" s="3">
        <v>6055</v>
      </c>
      <c r="B1153" s="3" t="s">
        <v>11</v>
      </c>
      <c r="C1153" s="4">
        <v>45531</v>
      </c>
      <c r="D1153" s="3" t="s">
        <v>35</v>
      </c>
      <c r="E1153" s="3" t="s">
        <v>25</v>
      </c>
      <c r="F1153" s="5">
        <v>4</v>
      </c>
      <c r="G1153" s="6">
        <v>22.95</v>
      </c>
      <c r="H1153" s="6">
        <v>91.8</v>
      </c>
      <c r="I1153" s="6">
        <v>1.55</v>
      </c>
      <c r="J1153" s="6">
        <v>90.25</v>
      </c>
      <c r="K1153" s="5">
        <v>317</v>
      </c>
    </row>
    <row r="1154" spans="1:11" x14ac:dyDescent="0.3">
      <c r="A1154" s="3">
        <v>1379</v>
      </c>
      <c r="B1154" s="3" t="s">
        <v>26</v>
      </c>
      <c r="C1154" s="4">
        <v>45214</v>
      </c>
      <c r="D1154" s="3" t="s">
        <v>35</v>
      </c>
      <c r="E1154" s="3" t="s">
        <v>44</v>
      </c>
      <c r="F1154" s="5">
        <v>2</v>
      </c>
      <c r="G1154" s="6">
        <v>11.89</v>
      </c>
      <c r="H1154" s="6">
        <v>23.78</v>
      </c>
      <c r="I1154" s="6">
        <v>4.76</v>
      </c>
      <c r="J1154" s="6">
        <v>19.02</v>
      </c>
      <c r="K1154" s="5">
        <v>328</v>
      </c>
    </row>
    <row r="1155" spans="1:11" x14ac:dyDescent="0.3">
      <c r="A1155" s="3">
        <v>7442</v>
      </c>
      <c r="B1155" s="3" t="s">
        <v>26</v>
      </c>
      <c r="C1155" s="4">
        <v>45537</v>
      </c>
      <c r="D1155" s="3" t="s">
        <v>22</v>
      </c>
      <c r="E1155" s="3" t="s">
        <v>41</v>
      </c>
      <c r="F1155" s="5">
        <v>3</v>
      </c>
      <c r="G1155" s="6">
        <v>10.199999999999999</v>
      </c>
      <c r="H1155" s="6">
        <v>30.6</v>
      </c>
      <c r="I1155" s="6">
        <v>4.17</v>
      </c>
      <c r="J1155" s="6">
        <v>26.43</v>
      </c>
      <c r="K1155" s="5">
        <v>402</v>
      </c>
    </row>
    <row r="1156" spans="1:11" x14ac:dyDescent="0.3">
      <c r="A1156" s="3">
        <v>8491</v>
      </c>
      <c r="B1156" s="3" t="s">
        <v>24</v>
      </c>
      <c r="C1156" s="4">
        <v>45331</v>
      </c>
      <c r="D1156" s="3" t="s">
        <v>27</v>
      </c>
      <c r="E1156" s="3" t="s">
        <v>37</v>
      </c>
      <c r="F1156" s="5">
        <v>1</v>
      </c>
      <c r="G1156" s="6">
        <v>7.63</v>
      </c>
      <c r="H1156" s="6">
        <v>7.63</v>
      </c>
      <c r="I1156" s="6">
        <v>1.1399999999999999</v>
      </c>
      <c r="J1156" s="6">
        <v>6.49</v>
      </c>
      <c r="K1156" s="5">
        <v>375</v>
      </c>
    </row>
    <row r="1157" spans="1:11" x14ac:dyDescent="0.3">
      <c r="A1157" s="3">
        <v>4524</v>
      </c>
      <c r="B1157" s="3" t="s">
        <v>42</v>
      </c>
      <c r="C1157" s="4">
        <v>45598</v>
      </c>
      <c r="D1157" s="3" t="s">
        <v>17</v>
      </c>
      <c r="E1157" s="3" t="s">
        <v>18</v>
      </c>
      <c r="F1157" s="5">
        <v>1</v>
      </c>
      <c r="G1157" s="6">
        <v>27.28</v>
      </c>
      <c r="H1157" s="6">
        <v>27.28</v>
      </c>
      <c r="I1157" s="6">
        <v>0</v>
      </c>
      <c r="J1157" s="6">
        <v>27.28</v>
      </c>
      <c r="K1157" s="5">
        <v>340</v>
      </c>
    </row>
    <row r="1158" spans="1:11" x14ac:dyDescent="0.3">
      <c r="A1158" s="3">
        <v>6781</v>
      </c>
      <c r="B1158" s="3" t="s">
        <v>42</v>
      </c>
      <c r="C1158" s="4">
        <v>45182</v>
      </c>
      <c r="D1158" s="3" t="s">
        <v>28</v>
      </c>
      <c r="E1158" s="3" t="s">
        <v>32</v>
      </c>
      <c r="F1158" s="5">
        <v>5</v>
      </c>
      <c r="G1158" s="6">
        <v>10.32</v>
      </c>
      <c r="H1158" s="6">
        <v>51.6</v>
      </c>
      <c r="I1158" s="6">
        <v>4.4800000000000004</v>
      </c>
      <c r="J1158" s="6">
        <v>47.12</v>
      </c>
      <c r="K1158" s="5">
        <v>226</v>
      </c>
    </row>
    <row r="1159" spans="1:11" x14ac:dyDescent="0.3">
      <c r="A1159" s="3">
        <v>1828</v>
      </c>
      <c r="B1159" s="3" t="s">
        <v>11</v>
      </c>
      <c r="C1159" s="4">
        <v>45363</v>
      </c>
      <c r="D1159" s="3" t="s">
        <v>17</v>
      </c>
      <c r="E1159" s="3" t="s">
        <v>40</v>
      </c>
      <c r="F1159" s="5">
        <v>2</v>
      </c>
      <c r="G1159" s="6">
        <v>28.2</v>
      </c>
      <c r="H1159" s="6">
        <v>56.4</v>
      </c>
      <c r="I1159" s="6">
        <v>11.28</v>
      </c>
      <c r="J1159" s="6">
        <v>45.12</v>
      </c>
      <c r="K1159" s="5">
        <v>64</v>
      </c>
    </row>
    <row r="1160" spans="1:11" x14ac:dyDescent="0.3">
      <c r="A1160" s="3">
        <v>9108</v>
      </c>
      <c r="B1160" s="3" t="s">
        <v>14</v>
      </c>
      <c r="C1160" s="4">
        <v>45609</v>
      </c>
      <c r="D1160" s="3" t="s">
        <v>17</v>
      </c>
      <c r="E1160" s="3" t="s">
        <v>25</v>
      </c>
      <c r="F1160" s="5">
        <v>5</v>
      </c>
      <c r="G1160" s="6">
        <v>3.26</v>
      </c>
      <c r="H1160" s="6">
        <v>16.3</v>
      </c>
      <c r="I1160" s="6">
        <v>2.44</v>
      </c>
      <c r="J1160" s="6">
        <v>13.86</v>
      </c>
      <c r="K1160" s="5">
        <v>371</v>
      </c>
    </row>
    <row r="1161" spans="1:11" x14ac:dyDescent="0.3">
      <c r="A1161" s="3">
        <v>8710</v>
      </c>
      <c r="B1161" s="3" t="s">
        <v>19</v>
      </c>
      <c r="C1161" s="4">
        <v>45366</v>
      </c>
      <c r="D1161" s="3" t="s">
        <v>17</v>
      </c>
      <c r="E1161" s="3" t="s">
        <v>25</v>
      </c>
      <c r="F1161" s="5">
        <v>4</v>
      </c>
      <c r="G1161" s="6">
        <v>6.11</v>
      </c>
      <c r="H1161" s="6">
        <v>24.44</v>
      </c>
      <c r="I1161" s="6">
        <v>3.67</v>
      </c>
      <c r="J1161" s="6">
        <v>20.77</v>
      </c>
      <c r="K1161" s="5">
        <v>127</v>
      </c>
    </row>
    <row r="1162" spans="1:11" x14ac:dyDescent="0.3">
      <c r="A1162" s="3">
        <v>9793</v>
      </c>
      <c r="B1162" s="3" t="s">
        <v>26</v>
      </c>
      <c r="C1162" s="4">
        <v>45151</v>
      </c>
      <c r="D1162" s="3" t="s">
        <v>27</v>
      </c>
      <c r="E1162" s="3" t="s">
        <v>44</v>
      </c>
      <c r="F1162" s="5">
        <v>3</v>
      </c>
      <c r="G1162" s="6">
        <v>26</v>
      </c>
      <c r="H1162" s="6">
        <v>78</v>
      </c>
      <c r="I1162" s="6">
        <v>11.7</v>
      </c>
      <c r="J1162" s="6">
        <v>66.3</v>
      </c>
      <c r="K1162" s="5">
        <v>246</v>
      </c>
    </row>
    <row r="1163" spans="1:11" x14ac:dyDescent="0.3">
      <c r="A1163" s="3">
        <v>2761</v>
      </c>
      <c r="B1163" s="3" t="s">
        <v>24</v>
      </c>
      <c r="C1163" s="4">
        <v>45479</v>
      </c>
      <c r="D1163" s="3" t="s">
        <v>20</v>
      </c>
      <c r="E1163" s="3" t="s">
        <v>29</v>
      </c>
      <c r="F1163" s="5">
        <v>4</v>
      </c>
      <c r="G1163" s="6">
        <v>13.79</v>
      </c>
      <c r="H1163" s="6">
        <v>55.16</v>
      </c>
      <c r="I1163" s="6">
        <v>11.03</v>
      </c>
      <c r="J1163" s="6">
        <v>44.13</v>
      </c>
      <c r="K1163" s="5">
        <v>258</v>
      </c>
    </row>
    <row r="1164" spans="1:11" x14ac:dyDescent="0.3">
      <c r="A1164" s="3">
        <v>3194</v>
      </c>
      <c r="B1164" s="3" t="s">
        <v>26</v>
      </c>
      <c r="C1164" s="4">
        <v>45830</v>
      </c>
      <c r="D1164" s="3" t="s">
        <v>12</v>
      </c>
      <c r="E1164" s="3" t="s">
        <v>32</v>
      </c>
      <c r="F1164" s="5">
        <v>4</v>
      </c>
      <c r="G1164" s="6">
        <v>25.76</v>
      </c>
      <c r="H1164" s="6">
        <v>103.04</v>
      </c>
      <c r="I1164" s="6">
        <v>3.15</v>
      </c>
      <c r="J1164" s="6">
        <v>99.89</v>
      </c>
      <c r="K1164" s="5">
        <v>388</v>
      </c>
    </row>
    <row r="1165" spans="1:11" x14ac:dyDescent="0.3">
      <c r="A1165" s="3">
        <v>5333</v>
      </c>
      <c r="B1165" s="3" t="s">
        <v>14</v>
      </c>
      <c r="C1165" s="4">
        <v>45710</v>
      </c>
      <c r="D1165" s="3" t="s">
        <v>34</v>
      </c>
      <c r="E1165" s="3" t="s">
        <v>13</v>
      </c>
      <c r="F1165" s="5">
        <v>4</v>
      </c>
      <c r="G1165" s="6">
        <v>14.44</v>
      </c>
      <c r="H1165" s="6">
        <v>57.76</v>
      </c>
      <c r="I1165" s="6">
        <v>5.78</v>
      </c>
      <c r="J1165" s="6">
        <v>51.98</v>
      </c>
      <c r="K1165" s="5">
        <v>232</v>
      </c>
    </row>
    <row r="1166" spans="1:11" x14ac:dyDescent="0.3">
      <c r="A1166" s="3">
        <v>6992</v>
      </c>
      <c r="B1166" s="3" t="s">
        <v>14</v>
      </c>
      <c r="C1166" s="4">
        <v>45738</v>
      </c>
      <c r="D1166" s="3" t="s">
        <v>28</v>
      </c>
      <c r="E1166" s="3" t="s">
        <v>47</v>
      </c>
      <c r="F1166" s="5">
        <v>1</v>
      </c>
      <c r="G1166" s="6">
        <v>10.65</v>
      </c>
      <c r="H1166" s="6">
        <v>10.65</v>
      </c>
      <c r="I1166" s="6">
        <v>2.13</v>
      </c>
      <c r="J1166" s="6">
        <v>8.52</v>
      </c>
      <c r="K1166" s="5">
        <v>366</v>
      </c>
    </row>
    <row r="1167" spans="1:11" x14ac:dyDescent="0.3">
      <c r="A1167" s="3">
        <v>7606</v>
      </c>
      <c r="B1167" s="3" t="s">
        <v>19</v>
      </c>
      <c r="C1167" s="4">
        <v>45429</v>
      </c>
      <c r="D1167" s="3" t="s">
        <v>17</v>
      </c>
      <c r="E1167" s="3" t="s">
        <v>39</v>
      </c>
      <c r="F1167" s="5">
        <v>1</v>
      </c>
      <c r="G1167" s="6">
        <v>25.98</v>
      </c>
      <c r="H1167" s="6">
        <v>25.98</v>
      </c>
      <c r="I1167" s="6">
        <v>2.6</v>
      </c>
      <c r="J1167" s="6">
        <v>23.38</v>
      </c>
      <c r="K1167" s="5">
        <v>373</v>
      </c>
    </row>
    <row r="1168" spans="1:11" x14ac:dyDescent="0.3">
      <c r="A1168" s="3">
        <v>1741</v>
      </c>
      <c r="B1168" s="3" t="s">
        <v>24</v>
      </c>
      <c r="C1168" s="4">
        <v>45456</v>
      </c>
      <c r="D1168" s="3" t="s">
        <v>20</v>
      </c>
      <c r="E1168" s="3" t="s">
        <v>32</v>
      </c>
      <c r="F1168" s="5">
        <v>3</v>
      </c>
      <c r="G1168" s="6">
        <v>12.13</v>
      </c>
      <c r="H1168" s="6">
        <v>36.39</v>
      </c>
      <c r="I1168" s="6">
        <v>3.64</v>
      </c>
      <c r="J1168" s="6">
        <v>32.75</v>
      </c>
      <c r="K1168" s="5">
        <v>157</v>
      </c>
    </row>
    <row r="1169" spans="1:11" x14ac:dyDescent="0.3">
      <c r="A1169" s="3">
        <v>1838</v>
      </c>
      <c r="B1169" s="3" t="s">
        <v>31</v>
      </c>
      <c r="C1169" s="4">
        <v>45587</v>
      </c>
      <c r="D1169" s="3" t="s">
        <v>15</v>
      </c>
      <c r="E1169" s="3" t="s">
        <v>32</v>
      </c>
      <c r="F1169" s="5">
        <v>5</v>
      </c>
      <c r="G1169" s="6">
        <v>5.7</v>
      </c>
      <c r="H1169" s="6">
        <v>28.5</v>
      </c>
      <c r="I1169" s="6">
        <v>4.2699999999999996</v>
      </c>
      <c r="J1169" s="6">
        <v>24.23</v>
      </c>
      <c r="K1169" s="5">
        <v>390</v>
      </c>
    </row>
    <row r="1170" spans="1:11" x14ac:dyDescent="0.3">
      <c r="A1170" s="3">
        <v>4189</v>
      </c>
      <c r="B1170" s="3" t="s">
        <v>36</v>
      </c>
      <c r="C1170" s="4">
        <v>45426</v>
      </c>
      <c r="D1170" s="3" t="s">
        <v>38</v>
      </c>
      <c r="E1170" s="3" t="s">
        <v>47</v>
      </c>
      <c r="F1170" s="5">
        <v>3</v>
      </c>
      <c r="G1170" s="6">
        <v>21.19</v>
      </c>
      <c r="H1170" s="6">
        <v>63.57</v>
      </c>
      <c r="I1170" s="6">
        <v>6.36</v>
      </c>
      <c r="J1170" s="6">
        <v>57.21</v>
      </c>
      <c r="K1170" s="5">
        <v>333</v>
      </c>
    </row>
    <row r="1171" spans="1:11" x14ac:dyDescent="0.3">
      <c r="A1171" s="3">
        <v>5728</v>
      </c>
      <c r="B1171" s="3" t="s">
        <v>42</v>
      </c>
      <c r="C1171" s="4">
        <v>45202</v>
      </c>
      <c r="D1171" s="3" t="s">
        <v>17</v>
      </c>
      <c r="E1171" s="3" t="s">
        <v>47</v>
      </c>
      <c r="F1171" s="5">
        <v>1</v>
      </c>
      <c r="G1171" s="6">
        <v>27.71</v>
      </c>
      <c r="H1171" s="6">
        <v>27.71</v>
      </c>
      <c r="I1171" s="6">
        <v>0</v>
      </c>
      <c r="J1171" s="6">
        <v>27.71</v>
      </c>
      <c r="K1171" s="5">
        <v>185</v>
      </c>
    </row>
    <row r="1172" spans="1:11" x14ac:dyDescent="0.3">
      <c r="A1172" s="3">
        <v>7329</v>
      </c>
      <c r="B1172" s="3" t="s">
        <v>19</v>
      </c>
      <c r="C1172" s="4">
        <v>45536</v>
      </c>
      <c r="D1172" s="3" t="s">
        <v>35</v>
      </c>
      <c r="E1172" s="3" t="s">
        <v>33</v>
      </c>
      <c r="F1172" s="5">
        <v>2</v>
      </c>
      <c r="G1172" s="6">
        <v>8.36</v>
      </c>
      <c r="H1172" s="6">
        <v>16.72</v>
      </c>
      <c r="I1172" s="6">
        <v>1.47</v>
      </c>
      <c r="J1172" s="6">
        <v>15.25</v>
      </c>
      <c r="K1172" s="5">
        <v>308</v>
      </c>
    </row>
    <row r="1173" spans="1:11" x14ac:dyDescent="0.3">
      <c r="A1173" s="3">
        <v>8378</v>
      </c>
      <c r="B1173" s="3" t="s">
        <v>11</v>
      </c>
      <c r="C1173" s="4">
        <v>45738</v>
      </c>
      <c r="D1173" s="3" t="s">
        <v>27</v>
      </c>
      <c r="E1173" s="3" t="s">
        <v>32</v>
      </c>
      <c r="F1173" s="5">
        <v>4</v>
      </c>
      <c r="G1173" s="6">
        <v>21.47</v>
      </c>
      <c r="H1173" s="6">
        <v>85.88</v>
      </c>
      <c r="I1173" s="6">
        <v>4.6399999999999997</v>
      </c>
      <c r="J1173" s="6">
        <v>81.239999999999995</v>
      </c>
      <c r="K1173" s="5">
        <v>498</v>
      </c>
    </row>
    <row r="1174" spans="1:11" x14ac:dyDescent="0.3">
      <c r="A1174" s="3">
        <v>5582</v>
      </c>
      <c r="B1174" s="3" t="s">
        <v>24</v>
      </c>
      <c r="C1174" s="4">
        <v>45786</v>
      </c>
      <c r="D1174" s="3" t="s">
        <v>34</v>
      </c>
      <c r="E1174" s="3" t="s">
        <v>16</v>
      </c>
      <c r="F1174" s="5">
        <v>3</v>
      </c>
      <c r="G1174" s="6">
        <v>21.05</v>
      </c>
      <c r="H1174" s="6">
        <v>63.15</v>
      </c>
      <c r="I1174" s="6">
        <v>2.23</v>
      </c>
      <c r="J1174" s="6">
        <v>60.92</v>
      </c>
      <c r="K1174" s="5">
        <v>256</v>
      </c>
    </row>
    <row r="1175" spans="1:11" x14ac:dyDescent="0.3">
      <c r="A1175" s="3">
        <v>2946</v>
      </c>
      <c r="B1175" s="3" t="s">
        <v>24</v>
      </c>
      <c r="C1175" s="4">
        <v>45244</v>
      </c>
      <c r="D1175" s="3" t="s">
        <v>15</v>
      </c>
      <c r="E1175" s="3" t="s">
        <v>48</v>
      </c>
      <c r="F1175" s="5">
        <v>5</v>
      </c>
      <c r="G1175" s="6">
        <v>23.51</v>
      </c>
      <c r="H1175" s="6">
        <v>117.55</v>
      </c>
      <c r="I1175" s="6">
        <v>17.63</v>
      </c>
      <c r="J1175" s="6">
        <v>99.92</v>
      </c>
      <c r="K1175" s="5">
        <v>176</v>
      </c>
    </row>
    <row r="1176" spans="1:11" x14ac:dyDescent="0.3">
      <c r="A1176" s="3">
        <v>2584</v>
      </c>
      <c r="B1176" s="3" t="s">
        <v>42</v>
      </c>
      <c r="C1176" s="4">
        <v>45450</v>
      </c>
      <c r="D1176" s="3" t="s">
        <v>20</v>
      </c>
      <c r="E1176" s="3" t="s">
        <v>37</v>
      </c>
      <c r="F1176" s="5">
        <v>1</v>
      </c>
      <c r="G1176" s="6">
        <v>29.61</v>
      </c>
      <c r="H1176" s="6">
        <v>29.61</v>
      </c>
      <c r="I1176" s="6">
        <v>1.39</v>
      </c>
      <c r="J1176" s="6">
        <v>28.22</v>
      </c>
      <c r="K1176" s="5">
        <v>417</v>
      </c>
    </row>
    <row r="1177" spans="1:11" x14ac:dyDescent="0.3">
      <c r="A1177" s="3">
        <v>7114</v>
      </c>
      <c r="B1177" s="3" t="s">
        <v>24</v>
      </c>
      <c r="C1177" s="4">
        <v>45762</v>
      </c>
      <c r="D1177" s="3" t="s">
        <v>38</v>
      </c>
      <c r="E1177" s="3" t="s">
        <v>16</v>
      </c>
      <c r="F1177" s="5">
        <v>3</v>
      </c>
      <c r="G1177" s="6">
        <v>22.25</v>
      </c>
      <c r="H1177" s="6">
        <v>66.75</v>
      </c>
      <c r="I1177" s="6">
        <v>10.01</v>
      </c>
      <c r="J1177" s="6">
        <v>56.74</v>
      </c>
      <c r="K1177" s="5">
        <v>87</v>
      </c>
    </row>
    <row r="1178" spans="1:11" x14ac:dyDescent="0.3">
      <c r="A1178" s="3">
        <v>6555</v>
      </c>
      <c r="B1178" s="3" t="s">
        <v>19</v>
      </c>
      <c r="C1178" s="4">
        <v>45578</v>
      </c>
      <c r="D1178" s="3" t="s">
        <v>34</v>
      </c>
      <c r="E1178" s="3" t="s">
        <v>44</v>
      </c>
      <c r="F1178" s="5">
        <v>4</v>
      </c>
      <c r="G1178" s="6">
        <v>6.27</v>
      </c>
      <c r="H1178" s="6">
        <v>25.08</v>
      </c>
      <c r="I1178" s="6">
        <v>2.5099999999999998</v>
      </c>
      <c r="J1178" s="6">
        <v>22.57</v>
      </c>
      <c r="K1178" s="5">
        <v>485</v>
      </c>
    </row>
    <row r="1179" spans="1:11" x14ac:dyDescent="0.3">
      <c r="A1179" s="3">
        <v>6990</v>
      </c>
      <c r="B1179" s="3" t="s">
        <v>42</v>
      </c>
      <c r="C1179" s="4">
        <v>45731</v>
      </c>
      <c r="D1179" s="3" t="s">
        <v>34</v>
      </c>
      <c r="E1179" s="3" t="s">
        <v>44</v>
      </c>
      <c r="F1179" s="5">
        <v>1</v>
      </c>
      <c r="G1179" s="6">
        <v>22.74</v>
      </c>
      <c r="H1179" s="6">
        <v>22.74</v>
      </c>
      <c r="I1179" s="6">
        <v>3.41</v>
      </c>
      <c r="J1179" s="6">
        <v>19.329999999999998</v>
      </c>
      <c r="K1179" s="5">
        <v>414</v>
      </c>
    </row>
    <row r="1180" spans="1:11" x14ac:dyDescent="0.3">
      <c r="A1180" s="3">
        <v>3363</v>
      </c>
      <c r="B1180" s="3" t="s">
        <v>24</v>
      </c>
      <c r="C1180" s="4">
        <v>45299</v>
      </c>
      <c r="D1180" s="3" t="s">
        <v>45</v>
      </c>
      <c r="E1180" s="3" t="s">
        <v>48</v>
      </c>
      <c r="F1180" s="5">
        <v>2</v>
      </c>
      <c r="G1180" s="6">
        <v>3.3</v>
      </c>
      <c r="H1180" s="6">
        <v>6.6</v>
      </c>
      <c r="I1180" s="6">
        <v>2.11</v>
      </c>
      <c r="J1180" s="6">
        <v>4.49</v>
      </c>
      <c r="K1180" s="5">
        <v>43</v>
      </c>
    </row>
    <row r="1181" spans="1:11" x14ac:dyDescent="0.3">
      <c r="A1181" s="3">
        <v>9341</v>
      </c>
      <c r="B1181" s="3" t="s">
        <v>36</v>
      </c>
      <c r="C1181" s="4">
        <v>45456</v>
      </c>
      <c r="D1181" s="3" t="s">
        <v>12</v>
      </c>
      <c r="E1181" s="3" t="s">
        <v>25</v>
      </c>
      <c r="F1181" s="5">
        <v>4</v>
      </c>
      <c r="G1181" s="6">
        <v>15.06</v>
      </c>
      <c r="H1181" s="6">
        <v>60.24</v>
      </c>
      <c r="I1181" s="6">
        <v>1.24</v>
      </c>
      <c r="J1181" s="6">
        <v>59</v>
      </c>
      <c r="K1181" s="5">
        <v>389</v>
      </c>
    </row>
    <row r="1182" spans="1:11" x14ac:dyDescent="0.3">
      <c r="A1182" s="3">
        <v>9193</v>
      </c>
      <c r="B1182" s="3" t="s">
        <v>31</v>
      </c>
      <c r="C1182" s="4">
        <v>45176</v>
      </c>
      <c r="D1182" s="3" t="s">
        <v>27</v>
      </c>
      <c r="E1182" s="3" t="s">
        <v>40</v>
      </c>
      <c r="F1182" s="5">
        <v>1</v>
      </c>
      <c r="G1182" s="6">
        <v>7.11</v>
      </c>
      <c r="H1182" s="6">
        <v>7.11</v>
      </c>
      <c r="I1182" s="6">
        <v>0.71</v>
      </c>
      <c r="J1182" s="6">
        <v>6.4</v>
      </c>
      <c r="K1182" s="5">
        <v>405</v>
      </c>
    </row>
    <row r="1183" spans="1:11" x14ac:dyDescent="0.3">
      <c r="A1183" s="3">
        <v>1742</v>
      </c>
      <c r="B1183" s="3" t="s">
        <v>14</v>
      </c>
      <c r="C1183" s="4">
        <v>45175</v>
      </c>
      <c r="D1183" s="3" t="s">
        <v>35</v>
      </c>
      <c r="E1183" s="3" t="s">
        <v>47</v>
      </c>
      <c r="F1183" s="5">
        <v>4</v>
      </c>
      <c r="G1183" s="6">
        <v>22.94</v>
      </c>
      <c r="H1183" s="6">
        <v>91.76</v>
      </c>
      <c r="I1183" s="6">
        <v>13.76</v>
      </c>
      <c r="J1183" s="6">
        <v>78</v>
      </c>
      <c r="K1183" s="5">
        <v>309</v>
      </c>
    </row>
    <row r="1184" spans="1:11" x14ac:dyDescent="0.3">
      <c r="A1184" s="3">
        <v>3245</v>
      </c>
      <c r="B1184" s="3" t="s">
        <v>36</v>
      </c>
      <c r="C1184" s="4">
        <v>45699</v>
      </c>
      <c r="D1184" s="3" t="s">
        <v>27</v>
      </c>
      <c r="E1184" s="3" t="s">
        <v>21</v>
      </c>
      <c r="F1184" s="5">
        <v>3</v>
      </c>
      <c r="G1184" s="6">
        <v>24.68</v>
      </c>
      <c r="H1184" s="6">
        <v>74.040000000000006</v>
      </c>
      <c r="I1184" s="6">
        <v>0</v>
      </c>
      <c r="J1184" s="6">
        <v>74.040000000000006</v>
      </c>
      <c r="K1184" s="5">
        <v>481</v>
      </c>
    </row>
    <row r="1185" spans="1:11" x14ac:dyDescent="0.3">
      <c r="A1185" s="3">
        <v>6456</v>
      </c>
      <c r="B1185" s="3" t="s">
        <v>24</v>
      </c>
      <c r="C1185" s="4">
        <v>45769</v>
      </c>
      <c r="D1185" s="3" t="s">
        <v>20</v>
      </c>
      <c r="E1185" s="3" t="s">
        <v>40</v>
      </c>
      <c r="F1185" s="5">
        <v>3</v>
      </c>
      <c r="G1185" s="6">
        <v>26.31</v>
      </c>
      <c r="H1185" s="6">
        <v>78.930000000000007</v>
      </c>
      <c r="I1185" s="6">
        <v>2.83</v>
      </c>
      <c r="J1185" s="6">
        <v>76.099999999999994</v>
      </c>
      <c r="K1185" s="5">
        <v>412</v>
      </c>
    </row>
    <row r="1186" spans="1:11" x14ac:dyDescent="0.3">
      <c r="A1186" s="3">
        <v>8761</v>
      </c>
      <c r="B1186" s="3" t="s">
        <v>24</v>
      </c>
      <c r="C1186" s="4">
        <v>45548</v>
      </c>
      <c r="D1186" s="3" t="s">
        <v>34</v>
      </c>
      <c r="E1186" s="3" t="s">
        <v>39</v>
      </c>
      <c r="F1186" s="5">
        <v>5</v>
      </c>
      <c r="G1186" s="6">
        <v>4.55</v>
      </c>
      <c r="H1186" s="6">
        <v>22.75</v>
      </c>
      <c r="I1186" s="6">
        <v>0</v>
      </c>
      <c r="J1186" s="6">
        <v>22.75</v>
      </c>
      <c r="K1186" s="5">
        <v>271</v>
      </c>
    </row>
    <row r="1187" spans="1:11" x14ac:dyDescent="0.3">
      <c r="A1187" s="3">
        <v>8487</v>
      </c>
      <c r="B1187" s="3" t="s">
        <v>42</v>
      </c>
      <c r="C1187" s="4">
        <v>45260</v>
      </c>
      <c r="D1187" s="3" t="s">
        <v>22</v>
      </c>
      <c r="E1187" s="3" t="s">
        <v>33</v>
      </c>
      <c r="F1187" s="5">
        <v>5</v>
      </c>
      <c r="G1187" s="6">
        <v>20.89</v>
      </c>
      <c r="H1187" s="6">
        <v>104.45</v>
      </c>
      <c r="I1187" s="6">
        <v>2.65</v>
      </c>
      <c r="J1187" s="6">
        <v>101.8</v>
      </c>
      <c r="K1187" s="5">
        <v>445</v>
      </c>
    </row>
    <row r="1188" spans="1:11" x14ac:dyDescent="0.3">
      <c r="A1188" s="3">
        <v>9446</v>
      </c>
      <c r="B1188" s="3" t="s">
        <v>42</v>
      </c>
      <c r="C1188" s="4">
        <v>45253</v>
      </c>
      <c r="D1188" s="3" t="s">
        <v>12</v>
      </c>
      <c r="E1188" s="3" t="s">
        <v>21</v>
      </c>
      <c r="F1188" s="5">
        <v>1</v>
      </c>
      <c r="G1188" s="6">
        <v>19.37</v>
      </c>
      <c r="H1188" s="6">
        <v>19.37</v>
      </c>
      <c r="I1188" s="6">
        <v>0</v>
      </c>
      <c r="J1188" s="6">
        <v>19.37</v>
      </c>
      <c r="K1188" s="5">
        <v>447</v>
      </c>
    </row>
    <row r="1189" spans="1:11" x14ac:dyDescent="0.3">
      <c r="A1189" s="3">
        <v>6373</v>
      </c>
      <c r="B1189" s="3" t="s">
        <v>36</v>
      </c>
      <c r="C1189" s="4">
        <v>45868</v>
      </c>
      <c r="D1189" s="3" t="s">
        <v>27</v>
      </c>
      <c r="E1189" s="3" t="s">
        <v>33</v>
      </c>
      <c r="F1189" s="5">
        <v>2</v>
      </c>
      <c r="G1189" s="6">
        <v>18.59</v>
      </c>
      <c r="H1189" s="6">
        <v>37.18</v>
      </c>
      <c r="I1189" s="6">
        <v>5.58</v>
      </c>
      <c r="J1189" s="6">
        <v>31.6</v>
      </c>
      <c r="K1189" s="5">
        <v>204</v>
      </c>
    </row>
    <row r="1190" spans="1:11" x14ac:dyDescent="0.3">
      <c r="A1190" s="3">
        <v>6218</v>
      </c>
      <c r="B1190" s="3" t="s">
        <v>24</v>
      </c>
      <c r="C1190" s="4">
        <v>45271</v>
      </c>
      <c r="D1190" s="3" t="s">
        <v>45</v>
      </c>
      <c r="E1190" s="3" t="s">
        <v>48</v>
      </c>
      <c r="F1190" s="5">
        <v>4</v>
      </c>
      <c r="G1190" s="6">
        <v>9.51</v>
      </c>
      <c r="H1190" s="6">
        <v>38.04</v>
      </c>
      <c r="I1190" s="6">
        <v>4.5</v>
      </c>
      <c r="J1190" s="6">
        <v>33.54</v>
      </c>
      <c r="K1190" s="5">
        <v>99</v>
      </c>
    </row>
    <row r="1191" spans="1:11" x14ac:dyDescent="0.3">
      <c r="A1191" s="3">
        <v>7438</v>
      </c>
      <c r="B1191" s="3" t="s">
        <v>14</v>
      </c>
      <c r="C1191" s="4">
        <v>45623</v>
      </c>
      <c r="D1191" s="3" t="s">
        <v>12</v>
      </c>
      <c r="E1191" s="3" t="s">
        <v>41</v>
      </c>
      <c r="F1191" s="5">
        <v>4</v>
      </c>
      <c r="G1191" s="6">
        <v>24.1</v>
      </c>
      <c r="H1191" s="6">
        <v>96.4</v>
      </c>
      <c r="I1191" s="6">
        <v>19.28</v>
      </c>
      <c r="J1191" s="6">
        <v>77.12</v>
      </c>
      <c r="K1191" s="5">
        <v>154</v>
      </c>
    </row>
    <row r="1192" spans="1:11" x14ac:dyDescent="0.3">
      <c r="A1192" s="3">
        <v>5902</v>
      </c>
      <c r="B1192" s="3" t="s">
        <v>26</v>
      </c>
      <c r="C1192" s="4">
        <v>45606</v>
      </c>
      <c r="D1192" s="3" t="s">
        <v>15</v>
      </c>
      <c r="E1192" s="3" t="s">
        <v>47</v>
      </c>
      <c r="F1192" s="5">
        <v>5</v>
      </c>
      <c r="G1192" s="6">
        <v>7.98</v>
      </c>
      <c r="H1192" s="6">
        <v>39.9</v>
      </c>
      <c r="I1192" s="6">
        <v>0</v>
      </c>
      <c r="J1192" s="6">
        <v>39.9</v>
      </c>
      <c r="K1192" s="5">
        <v>108</v>
      </c>
    </row>
    <row r="1193" spans="1:11" x14ac:dyDescent="0.3">
      <c r="A1193" s="3">
        <v>6511</v>
      </c>
      <c r="B1193" s="3" t="s">
        <v>11</v>
      </c>
      <c r="C1193" s="4">
        <v>45539</v>
      </c>
      <c r="D1193" s="3" t="s">
        <v>15</v>
      </c>
      <c r="E1193" s="3" t="s">
        <v>16</v>
      </c>
      <c r="F1193" s="5">
        <v>1</v>
      </c>
      <c r="G1193" s="6">
        <v>5.64</v>
      </c>
      <c r="H1193" s="6">
        <v>5.64</v>
      </c>
      <c r="I1193" s="6">
        <v>0.56000000000000005</v>
      </c>
      <c r="J1193" s="6">
        <v>5.08</v>
      </c>
      <c r="K1193" s="5">
        <v>475</v>
      </c>
    </row>
    <row r="1194" spans="1:11" x14ac:dyDescent="0.3">
      <c r="A1194" s="3">
        <v>9351</v>
      </c>
      <c r="B1194" s="3" t="s">
        <v>30</v>
      </c>
      <c r="C1194" s="4">
        <v>45558</v>
      </c>
      <c r="D1194" s="3" t="s">
        <v>17</v>
      </c>
      <c r="E1194" s="3" t="s">
        <v>13</v>
      </c>
      <c r="F1194" s="5">
        <v>4</v>
      </c>
      <c r="G1194" s="6">
        <v>28.58</v>
      </c>
      <c r="H1194" s="6">
        <v>114.32</v>
      </c>
      <c r="I1194" s="6">
        <v>0</v>
      </c>
      <c r="J1194" s="6">
        <v>114.32</v>
      </c>
      <c r="K1194" s="5">
        <v>343</v>
      </c>
    </row>
    <row r="1195" spans="1:11" x14ac:dyDescent="0.3">
      <c r="A1195" s="3">
        <v>9025</v>
      </c>
      <c r="B1195" s="3" t="s">
        <v>19</v>
      </c>
      <c r="C1195" s="4">
        <v>45695</v>
      </c>
      <c r="D1195" s="3" t="s">
        <v>38</v>
      </c>
      <c r="E1195" s="3" t="s">
        <v>47</v>
      </c>
      <c r="F1195" s="5">
        <v>1</v>
      </c>
      <c r="G1195" s="6">
        <v>24.06</v>
      </c>
      <c r="H1195" s="6">
        <v>24.06</v>
      </c>
      <c r="I1195" s="6">
        <v>4.07</v>
      </c>
      <c r="J1195" s="6">
        <v>19.989999999999998</v>
      </c>
      <c r="K1195" s="5">
        <v>170</v>
      </c>
    </row>
    <row r="1196" spans="1:11" x14ac:dyDescent="0.3">
      <c r="A1196" s="3">
        <v>5911</v>
      </c>
      <c r="B1196" s="3" t="s">
        <v>11</v>
      </c>
      <c r="C1196" s="4">
        <v>45513</v>
      </c>
      <c r="D1196" s="3" t="s">
        <v>27</v>
      </c>
      <c r="E1196" s="3" t="s">
        <v>21</v>
      </c>
      <c r="F1196" s="5">
        <v>4</v>
      </c>
      <c r="G1196" s="6">
        <v>27.38</v>
      </c>
      <c r="H1196" s="6">
        <v>109.52</v>
      </c>
      <c r="I1196" s="6">
        <v>0</v>
      </c>
      <c r="J1196" s="6">
        <v>109.52</v>
      </c>
      <c r="K1196" s="5">
        <v>380</v>
      </c>
    </row>
    <row r="1197" spans="1:11" x14ac:dyDescent="0.3">
      <c r="A1197" s="3">
        <v>1272</v>
      </c>
      <c r="B1197" s="3" t="s">
        <v>14</v>
      </c>
      <c r="C1197" s="4">
        <v>45431</v>
      </c>
      <c r="D1197" s="3" t="s">
        <v>20</v>
      </c>
      <c r="E1197" s="3" t="s">
        <v>25</v>
      </c>
      <c r="F1197" s="5">
        <v>2</v>
      </c>
      <c r="G1197" s="6">
        <v>8.5</v>
      </c>
      <c r="H1197" s="6">
        <v>17</v>
      </c>
      <c r="I1197" s="6">
        <v>1.36</v>
      </c>
      <c r="J1197" s="6">
        <v>15.64</v>
      </c>
      <c r="K1197" s="5">
        <v>148</v>
      </c>
    </row>
    <row r="1198" spans="1:11" x14ac:dyDescent="0.3">
      <c r="A1198" s="3">
        <v>6427</v>
      </c>
      <c r="B1198" s="3" t="s">
        <v>42</v>
      </c>
      <c r="C1198" s="4">
        <v>45668</v>
      </c>
      <c r="D1198" s="3" t="s">
        <v>15</v>
      </c>
      <c r="E1198" s="3" t="s">
        <v>23</v>
      </c>
      <c r="F1198" s="5">
        <v>2</v>
      </c>
      <c r="G1198" s="6">
        <v>25.74</v>
      </c>
      <c r="H1198" s="6">
        <v>51.48</v>
      </c>
      <c r="I1198" s="6">
        <v>3.95</v>
      </c>
      <c r="J1198" s="6">
        <v>47.53</v>
      </c>
      <c r="K1198" s="5">
        <v>488</v>
      </c>
    </row>
    <row r="1199" spans="1:11" x14ac:dyDescent="0.3">
      <c r="A1199" s="3">
        <v>2795</v>
      </c>
      <c r="B1199" s="3" t="s">
        <v>30</v>
      </c>
      <c r="C1199" s="4">
        <v>45468</v>
      </c>
      <c r="D1199" s="3" t="s">
        <v>12</v>
      </c>
      <c r="E1199" s="3" t="s">
        <v>18</v>
      </c>
      <c r="F1199" s="5">
        <v>2</v>
      </c>
      <c r="G1199" s="6">
        <v>25.56</v>
      </c>
      <c r="H1199" s="6">
        <v>51.12</v>
      </c>
      <c r="I1199" s="6">
        <v>7.67</v>
      </c>
      <c r="J1199" s="6">
        <v>43.45</v>
      </c>
      <c r="K1199" s="5">
        <v>216</v>
      </c>
    </row>
    <row r="1200" spans="1:11" x14ac:dyDescent="0.3">
      <c r="A1200" s="3">
        <v>6040</v>
      </c>
      <c r="B1200" s="3" t="s">
        <v>19</v>
      </c>
      <c r="C1200" s="4">
        <v>45763</v>
      </c>
      <c r="D1200" s="3" t="s">
        <v>38</v>
      </c>
      <c r="E1200" s="3" t="s">
        <v>25</v>
      </c>
      <c r="F1200" s="5">
        <v>1</v>
      </c>
      <c r="G1200" s="6">
        <v>12.45</v>
      </c>
      <c r="H1200" s="6">
        <v>12.45</v>
      </c>
      <c r="I1200" s="6">
        <v>1.87</v>
      </c>
      <c r="J1200" s="6">
        <v>10.58</v>
      </c>
      <c r="K1200" s="5">
        <v>275</v>
      </c>
    </row>
    <row r="1201" spans="1:11" x14ac:dyDescent="0.3">
      <c r="A1201" s="3">
        <v>1436</v>
      </c>
      <c r="B1201" s="3" t="s">
        <v>19</v>
      </c>
      <c r="C1201" s="4">
        <v>45608</v>
      </c>
      <c r="D1201" s="3" t="s">
        <v>35</v>
      </c>
      <c r="E1201" s="3" t="s">
        <v>25</v>
      </c>
      <c r="F1201" s="5">
        <v>4</v>
      </c>
      <c r="G1201" s="6">
        <v>20.71</v>
      </c>
      <c r="H1201" s="6">
        <v>82.84</v>
      </c>
      <c r="I1201" s="6">
        <v>16.57</v>
      </c>
      <c r="J1201" s="6">
        <v>66.27</v>
      </c>
      <c r="K1201" s="5">
        <v>75</v>
      </c>
    </row>
    <row r="1202" spans="1:11" x14ac:dyDescent="0.3">
      <c r="A1202" s="3">
        <v>8775</v>
      </c>
      <c r="B1202" s="3" t="s">
        <v>31</v>
      </c>
      <c r="C1202" s="4">
        <v>45351</v>
      </c>
      <c r="D1202" s="3" t="s">
        <v>28</v>
      </c>
      <c r="E1202" s="3" t="s">
        <v>21</v>
      </c>
      <c r="F1202" s="5">
        <v>3</v>
      </c>
      <c r="G1202" s="6">
        <v>15.56</v>
      </c>
      <c r="H1202" s="6">
        <v>46.68</v>
      </c>
      <c r="I1202" s="6">
        <v>7</v>
      </c>
      <c r="J1202" s="6">
        <v>39.68</v>
      </c>
      <c r="K1202" s="5">
        <v>352</v>
      </c>
    </row>
    <row r="1203" spans="1:11" x14ac:dyDescent="0.3">
      <c r="A1203" s="3">
        <v>4728</v>
      </c>
      <c r="B1203" s="3" t="s">
        <v>26</v>
      </c>
      <c r="C1203" s="4">
        <v>45705</v>
      </c>
      <c r="D1203" s="3" t="s">
        <v>27</v>
      </c>
      <c r="E1203" s="3" t="s">
        <v>44</v>
      </c>
      <c r="F1203" s="5">
        <v>4</v>
      </c>
      <c r="G1203" s="6">
        <v>9.44</v>
      </c>
      <c r="H1203" s="6">
        <v>37.76</v>
      </c>
      <c r="I1203" s="6">
        <v>4.92</v>
      </c>
      <c r="J1203" s="6">
        <v>32.840000000000003</v>
      </c>
      <c r="K1203" s="5">
        <v>494</v>
      </c>
    </row>
    <row r="1204" spans="1:11" x14ac:dyDescent="0.3">
      <c r="A1204" s="3">
        <v>1841</v>
      </c>
      <c r="B1204" s="3" t="s">
        <v>36</v>
      </c>
      <c r="C1204" s="4">
        <v>45598</v>
      </c>
      <c r="D1204" s="3" t="s">
        <v>34</v>
      </c>
      <c r="E1204" s="3" t="s">
        <v>44</v>
      </c>
      <c r="F1204" s="5">
        <v>2</v>
      </c>
      <c r="G1204" s="6">
        <v>21.3</v>
      </c>
      <c r="H1204" s="6">
        <v>42.6</v>
      </c>
      <c r="I1204" s="6">
        <v>4.26</v>
      </c>
      <c r="J1204" s="6">
        <v>38.340000000000003</v>
      </c>
      <c r="K1204" s="5">
        <v>26</v>
      </c>
    </row>
    <row r="1205" spans="1:11" x14ac:dyDescent="0.3">
      <c r="A1205" s="3">
        <v>8871</v>
      </c>
      <c r="B1205" s="3" t="s">
        <v>24</v>
      </c>
      <c r="C1205" s="4">
        <v>45277</v>
      </c>
      <c r="D1205" s="3" t="s">
        <v>35</v>
      </c>
      <c r="E1205" s="3" t="s">
        <v>29</v>
      </c>
      <c r="F1205" s="5">
        <v>1</v>
      </c>
      <c r="G1205" s="6">
        <v>16.88</v>
      </c>
      <c r="H1205" s="6">
        <v>16.88</v>
      </c>
      <c r="I1205" s="6">
        <v>0</v>
      </c>
      <c r="J1205" s="6">
        <v>16.88</v>
      </c>
      <c r="K1205" s="5">
        <v>172</v>
      </c>
    </row>
    <row r="1206" spans="1:11" x14ac:dyDescent="0.3">
      <c r="A1206" s="3">
        <v>9589</v>
      </c>
      <c r="B1206" s="3" t="s">
        <v>26</v>
      </c>
      <c r="C1206" s="4">
        <v>45633</v>
      </c>
      <c r="D1206" s="3" t="s">
        <v>22</v>
      </c>
      <c r="E1206" s="3" t="s">
        <v>32</v>
      </c>
      <c r="F1206" s="5">
        <v>4</v>
      </c>
      <c r="G1206" s="6">
        <v>3.07</v>
      </c>
      <c r="H1206" s="6">
        <v>12.28</v>
      </c>
      <c r="I1206" s="6">
        <v>1.84</v>
      </c>
      <c r="J1206" s="6">
        <v>10.44</v>
      </c>
      <c r="K1206" s="5">
        <v>372</v>
      </c>
    </row>
    <row r="1207" spans="1:11" x14ac:dyDescent="0.3">
      <c r="A1207" s="3">
        <v>7229</v>
      </c>
      <c r="B1207" s="3" t="s">
        <v>42</v>
      </c>
      <c r="C1207" s="4">
        <v>45259</v>
      </c>
      <c r="D1207" s="3" t="s">
        <v>38</v>
      </c>
      <c r="E1207" s="3" t="s">
        <v>32</v>
      </c>
      <c r="F1207" s="5">
        <v>1</v>
      </c>
      <c r="G1207" s="6">
        <v>4.79</v>
      </c>
      <c r="H1207" s="6">
        <v>4.79</v>
      </c>
      <c r="I1207" s="6">
        <v>0</v>
      </c>
      <c r="J1207" s="6">
        <v>4.79</v>
      </c>
      <c r="K1207" s="5">
        <v>385</v>
      </c>
    </row>
    <row r="1208" spans="1:11" x14ac:dyDescent="0.3">
      <c r="A1208" s="3">
        <v>4968</v>
      </c>
      <c r="B1208" s="3" t="s">
        <v>30</v>
      </c>
      <c r="C1208" s="4">
        <v>45169</v>
      </c>
      <c r="D1208" s="3" t="s">
        <v>45</v>
      </c>
      <c r="E1208" s="3" t="s">
        <v>29</v>
      </c>
      <c r="F1208" s="5">
        <v>5</v>
      </c>
      <c r="G1208" s="6">
        <v>4.9800000000000004</v>
      </c>
      <c r="H1208" s="6">
        <v>24.9</v>
      </c>
      <c r="I1208" s="6">
        <v>3.73</v>
      </c>
      <c r="J1208" s="6">
        <v>21.17</v>
      </c>
      <c r="K1208" s="5">
        <v>356</v>
      </c>
    </row>
    <row r="1209" spans="1:11" x14ac:dyDescent="0.3">
      <c r="A1209" s="3">
        <v>2800</v>
      </c>
      <c r="B1209" s="3" t="s">
        <v>19</v>
      </c>
      <c r="C1209" s="4">
        <v>45293</v>
      </c>
      <c r="D1209" s="3" t="s">
        <v>17</v>
      </c>
      <c r="E1209" s="3" t="s">
        <v>44</v>
      </c>
      <c r="F1209" s="5">
        <v>2</v>
      </c>
      <c r="G1209" s="6">
        <v>22.31</v>
      </c>
      <c r="H1209" s="6">
        <v>44.62</v>
      </c>
      <c r="I1209" s="6">
        <v>0</v>
      </c>
      <c r="J1209" s="6">
        <v>44.62</v>
      </c>
      <c r="K1209" s="5">
        <v>4</v>
      </c>
    </row>
    <row r="1210" spans="1:11" x14ac:dyDescent="0.3">
      <c r="A1210" s="3">
        <v>1310</v>
      </c>
      <c r="B1210" s="3" t="s">
        <v>11</v>
      </c>
      <c r="C1210" s="4">
        <v>45487</v>
      </c>
      <c r="D1210" s="3" t="s">
        <v>27</v>
      </c>
      <c r="E1210" s="3" t="s">
        <v>41</v>
      </c>
      <c r="F1210" s="5">
        <v>4</v>
      </c>
      <c r="G1210" s="6">
        <v>28.55</v>
      </c>
      <c r="H1210" s="6">
        <v>114.2</v>
      </c>
      <c r="I1210" s="6">
        <v>1.38</v>
      </c>
      <c r="J1210" s="6">
        <v>112.82</v>
      </c>
      <c r="K1210" s="5">
        <v>218</v>
      </c>
    </row>
    <row r="1211" spans="1:11" x14ac:dyDescent="0.3">
      <c r="A1211" s="3">
        <v>6139</v>
      </c>
      <c r="B1211" s="3" t="s">
        <v>26</v>
      </c>
      <c r="C1211" s="4">
        <v>45470</v>
      </c>
      <c r="D1211" s="3" t="s">
        <v>34</v>
      </c>
      <c r="E1211" s="3" t="s">
        <v>40</v>
      </c>
      <c r="F1211" s="5">
        <v>1</v>
      </c>
      <c r="G1211" s="6">
        <v>29.42</v>
      </c>
      <c r="H1211" s="6">
        <v>29.42</v>
      </c>
      <c r="I1211" s="6">
        <v>2.74</v>
      </c>
      <c r="J1211" s="6">
        <v>26.68</v>
      </c>
      <c r="K1211" s="5">
        <v>332</v>
      </c>
    </row>
    <row r="1212" spans="1:11" x14ac:dyDescent="0.3">
      <c r="A1212" s="3">
        <v>3481</v>
      </c>
      <c r="B1212" s="3" t="s">
        <v>19</v>
      </c>
      <c r="C1212" s="4">
        <v>45465</v>
      </c>
      <c r="D1212" s="3" t="s">
        <v>27</v>
      </c>
      <c r="E1212" s="3" t="s">
        <v>32</v>
      </c>
      <c r="F1212" s="5">
        <v>2</v>
      </c>
      <c r="G1212" s="6">
        <v>1.98</v>
      </c>
      <c r="H1212" s="6">
        <v>3.96</v>
      </c>
      <c r="I1212" s="6">
        <v>0.4</v>
      </c>
      <c r="J1212" s="6">
        <v>3.56</v>
      </c>
      <c r="K1212" s="5">
        <v>123</v>
      </c>
    </row>
    <row r="1213" spans="1:11" x14ac:dyDescent="0.3">
      <c r="A1213" s="3">
        <v>4340</v>
      </c>
      <c r="B1213" s="3" t="s">
        <v>30</v>
      </c>
      <c r="C1213" s="4">
        <v>45463</v>
      </c>
      <c r="D1213" s="3" t="s">
        <v>28</v>
      </c>
      <c r="E1213" s="3" t="s">
        <v>29</v>
      </c>
      <c r="F1213" s="5">
        <v>4</v>
      </c>
      <c r="G1213" s="6">
        <v>23.49</v>
      </c>
      <c r="H1213" s="6">
        <v>93.96</v>
      </c>
      <c r="I1213" s="6">
        <v>9.4</v>
      </c>
      <c r="J1213" s="6">
        <v>84.56</v>
      </c>
      <c r="K1213" s="5">
        <v>407</v>
      </c>
    </row>
    <row r="1214" spans="1:11" x14ac:dyDescent="0.3">
      <c r="A1214" s="3">
        <v>9221</v>
      </c>
      <c r="B1214" s="3" t="s">
        <v>24</v>
      </c>
      <c r="C1214" s="4">
        <v>45746</v>
      </c>
      <c r="D1214" s="3" t="s">
        <v>35</v>
      </c>
      <c r="E1214" s="3" t="s">
        <v>33</v>
      </c>
      <c r="F1214" s="5">
        <v>3</v>
      </c>
      <c r="G1214" s="6">
        <v>1.33</v>
      </c>
      <c r="H1214" s="6">
        <v>3.99</v>
      </c>
      <c r="I1214" s="6">
        <v>2.96</v>
      </c>
      <c r="J1214" s="6">
        <v>1.03</v>
      </c>
      <c r="K1214" s="5">
        <v>59</v>
      </c>
    </row>
    <row r="1215" spans="1:11" x14ac:dyDescent="0.3">
      <c r="A1215" s="3">
        <v>8726</v>
      </c>
      <c r="B1215" s="3" t="s">
        <v>14</v>
      </c>
      <c r="C1215" s="4">
        <v>45822</v>
      </c>
      <c r="D1215" s="3" t="s">
        <v>17</v>
      </c>
      <c r="E1215" s="3" t="s">
        <v>39</v>
      </c>
      <c r="F1215" s="5">
        <v>5</v>
      </c>
      <c r="G1215" s="6">
        <v>17.61</v>
      </c>
      <c r="H1215" s="6">
        <v>88.05</v>
      </c>
      <c r="I1215" s="6">
        <v>13.21</v>
      </c>
      <c r="J1215" s="6">
        <v>74.84</v>
      </c>
      <c r="K1215" s="5">
        <v>293</v>
      </c>
    </row>
    <row r="1216" spans="1:11" x14ac:dyDescent="0.3">
      <c r="A1216" s="3">
        <v>2020</v>
      </c>
      <c r="B1216" s="3" t="s">
        <v>11</v>
      </c>
      <c r="C1216" s="4">
        <v>45693</v>
      </c>
      <c r="D1216" s="3" t="s">
        <v>28</v>
      </c>
      <c r="E1216" s="3" t="s">
        <v>29</v>
      </c>
      <c r="F1216" s="5">
        <v>4</v>
      </c>
      <c r="G1216" s="6">
        <v>15.03</v>
      </c>
      <c r="H1216" s="6">
        <v>60.12</v>
      </c>
      <c r="I1216" s="6">
        <v>9.02</v>
      </c>
      <c r="J1216" s="6">
        <v>51.1</v>
      </c>
      <c r="K1216" s="5">
        <v>330</v>
      </c>
    </row>
    <row r="1217" spans="1:11" x14ac:dyDescent="0.3">
      <c r="A1217" s="3">
        <v>3262</v>
      </c>
      <c r="B1217" s="3" t="s">
        <v>19</v>
      </c>
      <c r="C1217" s="4">
        <v>45547</v>
      </c>
      <c r="D1217" s="3" t="s">
        <v>15</v>
      </c>
      <c r="E1217" s="3" t="s">
        <v>21</v>
      </c>
      <c r="F1217" s="5">
        <v>1</v>
      </c>
      <c r="G1217" s="6">
        <v>21.69</v>
      </c>
      <c r="H1217" s="6">
        <v>21.69</v>
      </c>
      <c r="I1217" s="6">
        <v>2.17</v>
      </c>
      <c r="J1217" s="6">
        <v>19.52</v>
      </c>
      <c r="K1217" s="5">
        <v>441</v>
      </c>
    </row>
    <row r="1218" spans="1:11" x14ac:dyDescent="0.3">
      <c r="A1218" s="3">
        <v>4397</v>
      </c>
      <c r="B1218" s="3" t="s">
        <v>31</v>
      </c>
      <c r="C1218" s="4">
        <v>45580</v>
      </c>
      <c r="D1218" s="3" t="s">
        <v>20</v>
      </c>
      <c r="E1218" s="3" t="s">
        <v>18</v>
      </c>
      <c r="F1218" s="5">
        <v>5</v>
      </c>
      <c r="G1218" s="6">
        <v>23.71</v>
      </c>
      <c r="H1218" s="6">
        <v>118.55</v>
      </c>
      <c r="I1218" s="6">
        <v>3.08</v>
      </c>
      <c r="J1218" s="6">
        <v>115.47</v>
      </c>
      <c r="K1218" s="5">
        <v>271</v>
      </c>
    </row>
    <row r="1219" spans="1:11" x14ac:dyDescent="0.3">
      <c r="A1219" s="3">
        <v>6325</v>
      </c>
      <c r="B1219" s="3" t="s">
        <v>14</v>
      </c>
      <c r="C1219" s="4">
        <v>45659</v>
      </c>
      <c r="D1219" s="3" t="s">
        <v>27</v>
      </c>
      <c r="E1219" s="3" t="s">
        <v>48</v>
      </c>
      <c r="F1219" s="5">
        <v>2</v>
      </c>
      <c r="G1219" s="6">
        <v>28.99</v>
      </c>
      <c r="H1219" s="6">
        <v>57.98</v>
      </c>
      <c r="I1219" s="6">
        <v>11.6</v>
      </c>
      <c r="J1219" s="6">
        <v>46.38</v>
      </c>
      <c r="K1219" s="5">
        <v>459</v>
      </c>
    </row>
    <row r="1220" spans="1:11" x14ac:dyDescent="0.3">
      <c r="A1220" s="3">
        <v>8837</v>
      </c>
      <c r="B1220" s="3" t="s">
        <v>19</v>
      </c>
      <c r="C1220" s="4">
        <v>45553</v>
      </c>
      <c r="D1220" s="3" t="s">
        <v>12</v>
      </c>
      <c r="E1220" s="3" t="s">
        <v>18</v>
      </c>
      <c r="F1220" s="5">
        <v>4</v>
      </c>
      <c r="G1220" s="6">
        <v>24.2</v>
      </c>
      <c r="H1220" s="6">
        <v>96.8</v>
      </c>
      <c r="I1220" s="6">
        <v>19.36</v>
      </c>
      <c r="J1220" s="6">
        <v>77.44</v>
      </c>
      <c r="K1220" s="5">
        <v>62</v>
      </c>
    </row>
    <row r="1221" spans="1:11" x14ac:dyDescent="0.3">
      <c r="A1221" s="3">
        <v>7173</v>
      </c>
      <c r="B1221" s="3" t="s">
        <v>42</v>
      </c>
      <c r="C1221" s="4">
        <v>45388</v>
      </c>
      <c r="D1221" s="3" t="s">
        <v>27</v>
      </c>
      <c r="E1221" s="3" t="s">
        <v>29</v>
      </c>
      <c r="F1221" s="5">
        <v>1</v>
      </c>
      <c r="G1221" s="6">
        <v>17.3</v>
      </c>
      <c r="H1221" s="6">
        <v>17.3</v>
      </c>
      <c r="I1221" s="6">
        <v>4.92</v>
      </c>
      <c r="J1221" s="6">
        <v>12.38</v>
      </c>
      <c r="K1221" s="5">
        <v>435</v>
      </c>
    </row>
    <row r="1222" spans="1:11" x14ac:dyDescent="0.3">
      <c r="A1222" s="3">
        <v>3837</v>
      </c>
      <c r="B1222" s="3" t="s">
        <v>14</v>
      </c>
      <c r="C1222" s="4">
        <v>45502</v>
      </c>
      <c r="D1222" s="3" t="s">
        <v>35</v>
      </c>
      <c r="E1222" s="3" t="s">
        <v>23</v>
      </c>
      <c r="F1222" s="5">
        <v>5</v>
      </c>
      <c r="G1222" s="6">
        <v>5.97</v>
      </c>
      <c r="H1222" s="6">
        <v>29.85</v>
      </c>
      <c r="I1222" s="6">
        <v>5.97</v>
      </c>
      <c r="J1222" s="6">
        <v>23.88</v>
      </c>
      <c r="K1222" s="5">
        <v>500</v>
      </c>
    </row>
    <row r="1223" spans="1:11" x14ac:dyDescent="0.3">
      <c r="A1223" s="3">
        <v>9734</v>
      </c>
      <c r="B1223" s="3" t="s">
        <v>30</v>
      </c>
      <c r="C1223" s="4">
        <v>45410</v>
      </c>
      <c r="D1223" s="3" t="s">
        <v>12</v>
      </c>
      <c r="E1223" s="3" t="s">
        <v>46</v>
      </c>
      <c r="F1223" s="5">
        <v>3</v>
      </c>
      <c r="G1223" s="6">
        <v>20.11</v>
      </c>
      <c r="H1223" s="6">
        <v>60.33</v>
      </c>
      <c r="I1223" s="6">
        <v>2.96</v>
      </c>
      <c r="J1223" s="6">
        <v>57.37</v>
      </c>
      <c r="K1223" s="5">
        <v>227</v>
      </c>
    </row>
    <row r="1224" spans="1:11" x14ac:dyDescent="0.3">
      <c r="A1224" s="3">
        <v>9950</v>
      </c>
      <c r="B1224" s="3" t="s">
        <v>36</v>
      </c>
      <c r="C1224" s="4">
        <v>45420</v>
      </c>
      <c r="D1224" s="3" t="s">
        <v>38</v>
      </c>
      <c r="E1224" s="3" t="s">
        <v>23</v>
      </c>
      <c r="F1224" s="5">
        <v>5</v>
      </c>
      <c r="G1224" s="6">
        <v>16.600000000000001</v>
      </c>
      <c r="H1224" s="6">
        <v>83</v>
      </c>
      <c r="I1224" s="6">
        <v>0</v>
      </c>
      <c r="J1224" s="6">
        <v>83</v>
      </c>
      <c r="K1224" s="5">
        <v>107</v>
      </c>
    </row>
    <row r="1225" spans="1:11" x14ac:dyDescent="0.3">
      <c r="A1225" s="3">
        <v>5331</v>
      </c>
      <c r="B1225" s="3" t="s">
        <v>31</v>
      </c>
      <c r="C1225" s="4">
        <v>45618</v>
      </c>
      <c r="D1225" s="3" t="s">
        <v>17</v>
      </c>
      <c r="E1225" s="3" t="s">
        <v>40</v>
      </c>
      <c r="F1225" s="5">
        <v>2</v>
      </c>
      <c r="G1225" s="6">
        <v>5.0999999999999996</v>
      </c>
      <c r="H1225" s="6">
        <v>10.199999999999999</v>
      </c>
      <c r="I1225" s="6">
        <v>2.04</v>
      </c>
      <c r="J1225" s="6">
        <v>8.16</v>
      </c>
      <c r="K1225" s="5">
        <v>438</v>
      </c>
    </row>
    <row r="1226" spans="1:11" x14ac:dyDescent="0.3">
      <c r="A1226" s="3">
        <v>8932</v>
      </c>
      <c r="B1226" s="3" t="s">
        <v>14</v>
      </c>
      <c r="C1226" s="4">
        <v>45294</v>
      </c>
      <c r="D1226" s="3" t="s">
        <v>17</v>
      </c>
      <c r="E1226" s="3" t="s">
        <v>23</v>
      </c>
      <c r="F1226" s="5">
        <v>3</v>
      </c>
      <c r="G1226" s="6">
        <v>4.72</v>
      </c>
      <c r="H1226" s="6">
        <v>14.16</v>
      </c>
      <c r="I1226" s="6">
        <v>3.2</v>
      </c>
      <c r="J1226" s="6">
        <v>10.96</v>
      </c>
      <c r="K1226" s="5">
        <v>318</v>
      </c>
    </row>
    <row r="1227" spans="1:11" x14ac:dyDescent="0.3">
      <c r="A1227" s="3">
        <v>5038</v>
      </c>
      <c r="B1227" s="3" t="s">
        <v>30</v>
      </c>
      <c r="C1227" s="4">
        <v>45361</v>
      </c>
      <c r="D1227" s="3" t="s">
        <v>20</v>
      </c>
      <c r="E1227" s="3" t="s">
        <v>29</v>
      </c>
      <c r="F1227" s="5">
        <v>4</v>
      </c>
      <c r="G1227" s="6">
        <v>14.22</v>
      </c>
      <c r="H1227" s="6">
        <v>56.88</v>
      </c>
      <c r="I1227" s="6">
        <v>0</v>
      </c>
      <c r="J1227" s="6">
        <v>56.88</v>
      </c>
      <c r="K1227" s="5">
        <v>483</v>
      </c>
    </row>
    <row r="1228" spans="1:11" x14ac:dyDescent="0.3">
      <c r="A1228" s="3">
        <v>5890</v>
      </c>
      <c r="B1228" s="3"/>
      <c r="C1228" s="4">
        <v>45319</v>
      </c>
      <c r="D1228" s="3" t="s">
        <v>34</v>
      </c>
      <c r="E1228" s="3" t="s">
        <v>18</v>
      </c>
      <c r="F1228" s="5">
        <v>2</v>
      </c>
      <c r="G1228" s="6">
        <v>3.04</v>
      </c>
      <c r="H1228" s="6">
        <v>6.08</v>
      </c>
      <c r="I1228" s="6">
        <v>0</v>
      </c>
      <c r="J1228" s="6">
        <v>6.08</v>
      </c>
      <c r="K1228" s="5">
        <v>375</v>
      </c>
    </row>
    <row r="1229" spans="1:11" x14ac:dyDescent="0.3">
      <c r="A1229" s="3">
        <v>5876</v>
      </c>
      <c r="B1229" s="3" t="s">
        <v>42</v>
      </c>
      <c r="C1229" s="4">
        <v>45743</v>
      </c>
      <c r="D1229" s="3" t="s">
        <v>22</v>
      </c>
      <c r="E1229" s="3" t="s">
        <v>46</v>
      </c>
      <c r="F1229" s="5">
        <v>5</v>
      </c>
      <c r="G1229" s="6">
        <v>5.75</v>
      </c>
      <c r="H1229" s="6">
        <v>28.75</v>
      </c>
      <c r="I1229" s="6">
        <v>4.3099999999999996</v>
      </c>
      <c r="J1229" s="6">
        <v>24.44</v>
      </c>
      <c r="K1229" s="5">
        <v>420</v>
      </c>
    </row>
    <row r="1230" spans="1:11" x14ac:dyDescent="0.3">
      <c r="A1230" s="3">
        <v>5735</v>
      </c>
      <c r="B1230" s="3" t="s">
        <v>24</v>
      </c>
      <c r="C1230" s="4">
        <v>45692</v>
      </c>
      <c r="D1230" s="3" t="s">
        <v>20</v>
      </c>
      <c r="E1230" s="3" t="s">
        <v>39</v>
      </c>
      <c r="F1230" s="5">
        <v>5</v>
      </c>
      <c r="G1230" s="6">
        <v>8.17</v>
      </c>
      <c r="H1230" s="6">
        <v>40.85</v>
      </c>
      <c r="I1230" s="6">
        <v>1.44</v>
      </c>
      <c r="J1230" s="6">
        <v>39.409999999999997</v>
      </c>
      <c r="K1230" s="5">
        <v>138</v>
      </c>
    </row>
    <row r="1231" spans="1:11" x14ac:dyDescent="0.3">
      <c r="A1231" s="3">
        <v>4396</v>
      </c>
      <c r="B1231" s="3" t="s">
        <v>14</v>
      </c>
      <c r="C1231" s="4">
        <v>45681</v>
      </c>
      <c r="D1231" s="3" t="s">
        <v>20</v>
      </c>
      <c r="E1231" s="3" t="s">
        <v>43</v>
      </c>
      <c r="F1231" s="5">
        <v>3</v>
      </c>
      <c r="G1231" s="6">
        <v>19.559999999999999</v>
      </c>
      <c r="H1231" s="6">
        <v>58.68</v>
      </c>
      <c r="I1231" s="6">
        <v>8.8000000000000007</v>
      </c>
      <c r="J1231" s="6">
        <v>49.88</v>
      </c>
      <c r="K1231" s="5">
        <v>185</v>
      </c>
    </row>
    <row r="1232" spans="1:11" x14ac:dyDescent="0.3">
      <c r="A1232" s="3">
        <v>9011</v>
      </c>
      <c r="B1232" s="3" t="s">
        <v>19</v>
      </c>
      <c r="C1232" s="4">
        <v>45391</v>
      </c>
      <c r="D1232" s="3" t="s">
        <v>17</v>
      </c>
      <c r="E1232" s="3" t="s">
        <v>13</v>
      </c>
      <c r="F1232" s="5">
        <v>1</v>
      </c>
      <c r="G1232" s="6">
        <v>3.83</v>
      </c>
      <c r="H1232" s="6">
        <v>3.83</v>
      </c>
      <c r="I1232" s="6">
        <v>0.38</v>
      </c>
      <c r="J1232" s="6">
        <v>3.45</v>
      </c>
      <c r="K1232" s="5">
        <v>496</v>
      </c>
    </row>
    <row r="1233" spans="1:11" x14ac:dyDescent="0.3">
      <c r="A1233" s="3">
        <v>8861</v>
      </c>
      <c r="B1233" s="3" t="s">
        <v>11</v>
      </c>
      <c r="C1233" s="4">
        <v>45415</v>
      </c>
      <c r="D1233" s="3" t="s">
        <v>15</v>
      </c>
      <c r="E1233" s="3" t="s">
        <v>29</v>
      </c>
      <c r="F1233" s="5">
        <v>5</v>
      </c>
      <c r="G1233" s="6">
        <v>22.11</v>
      </c>
      <c r="H1233" s="6">
        <v>110.55</v>
      </c>
      <c r="I1233" s="6">
        <v>3.12</v>
      </c>
      <c r="J1233" s="6">
        <v>107.43</v>
      </c>
      <c r="K1233" s="5">
        <v>156</v>
      </c>
    </row>
    <row r="1234" spans="1:11" x14ac:dyDescent="0.3">
      <c r="A1234" s="3">
        <v>5480</v>
      </c>
      <c r="B1234" s="3" t="s">
        <v>30</v>
      </c>
      <c r="C1234" s="4">
        <v>45368</v>
      </c>
      <c r="D1234" s="3" t="s">
        <v>38</v>
      </c>
      <c r="E1234" s="3" t="s">
        <v>13</v>
      </c>
      <c r="F1234" s="5">
        <v>5</v>
      </c>
      <c r="G1234" s="6">
        <v>3.86</v>
      </c>
      <c r="H1234" s="6">
        <v>19.3</v>
      </c>
      <c r="I1234" s="6">
        <v>2.9</v>
      </c>
      <c r="J1234" s="6">
        <v>16.399999999999999</v>
      </c>
      <c r="K1234" s="5">
        <v>24</v>
      </c>
    </row>
    <row r="1235" spans="1:11" x14ac:dyDescent="0.3">
      <c r="A1235" s="3">
        <v>2996</v>
      </c>
      <c r="B1235" s="3" t="s">
        <v>24</v>
      </c>
      <c r="C1235" s="4">
        <v>45590</v>
      </c>
      <c r="D1235" s="3" t="s">
        <v>34</v>
      </c>
      <c r="E1235" s="3" t="s">
        <v>23</v>
      </c>
      <c r="F1235" s="5">
        <v>5</v>
      </c>
      <c r="G1235" s="6">
        <v>16.989999999999998</v>
      </c>
      <c r="H1235" s="6">
        <v>84.95</v>
      </c>
      <c r="I1235" s="6">
        <v>8.5</v>
      </c>
      <c r="J1235" s="6">
        <v>76.45</v>
      </c>
      <c r="K1235" s="5">
        <v>451</v>
      </c>
    </row>
    <row r="1236" spans="1:11" x14ac:dyDescent="0.3">
      <c r="A1236" s="3">
        <v>9899</v>
      </c>
      <c r="B1236" s="3" t="s">
        <v>19</v>
      </c>
      <c r="C1236" s="4">
        <v>45439</v>
      </c>
      <c r="D1236" s="3" t="s">
        <v>35</v>
      </c>
      <c r="E1236" s="3" t="s">
        <v>39</v>
      </c>
      <c r="F1236" s="5">
        <v>5</v>
      </c>
      <c r="G1236" s="6">
        <v>21.67</v>
      </c>
      <c r="H1236" s="6">
        <v>108.35</v>
      </c>
      <c r="I1236" s="6">
        <v>21.67</v>
      </c>
      <c r="J1236" s="6">
        <v>86.68</v>
      </c>
      <c r="K1236" s="5">
        <v>336</v>
      </c>
    </row>
    <row r="1237" spans="1:11" x14ac:dyDescent="0.3">
      <c r="A1237" s="3">
        <v>7464</v>
      </c>
      <c r="B1237" s="3" t="s">
        <v>24</v>
      </c>
      <c r="C1237" s="4">
        <v>45780</v>
      </c>
      <c r="D1237" s="3" t="s">
        <v>28</v>
      </c>
      <c r="E1237" s="3" t="s">
        <v>13</v>
      </c>
      <c r="F1237" s="5">
        <v>1</v>
      </c>
      <c r="G1237" s="6">
        <v>27.62</v>
      </c>
      <c r="H1237" s="6">
        <v>27.62</v>
      </c>
      <c r="I1237" s="6">
        <v>0</v>
      </c>
      <c r="J1237" s="6">
        <v>27.62</v>
      </c>
      <c r="K1237" s="5">
        <v>327</v>
      </c>
    </row>
    <row r="1238" spans="1:11" x14ac:dyDescent="0.3">
      <c r="A1238" s="3">
        <v>6654</v>
      </c>
      <c r="B1238" s="3" t="s">
        <v>42</v>
      </c>
      <c r="C1238" s="4">
        <v>45745</v>
      </c>
      <c r="D1238" s="3" t="s">
        <v>27</v>
      </c>
      <c r="E1238" s="3" t="s">
        <v>16</v>
      </c>
      <c r="F1238" s="5">
        <v>4</v>
      </c>
      <c r="G1238" s="6">
        <v>6.3</v>
      </c>
      <c r="H1238" s="6">
        <v>25.2</v>
      </c>
      <c r="I1238" s="6">
        <v>2.15</v>
      </c>
      <c r="J1238" s="6">
        <v>23.05</v>
      </c>
      <c r="K1238" s="5">
        <v>181</v>
      </c>
    </row>
    <row r="1239" spans="1:11" x14ac:dyDescent="0.3">
      <c r="A1239" s="3">
        <v>3399</v>
      </c>
      <c r="B1239" s="3" t="s">
        <v>24</v>
      </c>
      <c r="C1239" s="4">
        <v>45370</v>
      </c>
      <c r="D1239" s="3" t="s">
        <v>38</v>
      </c>
      <c r="E1239" s="3" t="s">
        <v>25</v>
      </c>
      <c r="F1239" s="5">
        <v>3</v>
      </c>
      <c r="G1239" s="6">
        <v>19.420000000000002</v>
      </c>
      <c r="H1239" s="6">
        <v>58.26</v>
      </c>
      <c r="I1239" s="6">
        <v>5.83</v>
      </c>
      <c r="J1239" s="6">
        <v>52.43</v>
      </c>
      <c r="K1239" s="5">
        <v>44</v>
      </c>
    </row>
    <row r="1240" spans="1:11" x14ac:dyDescent="0.3">
      <c r="A1240" s="3">
        <v>1689</v>
      </c>
      <c r="B1240" s="3" t="s">
        <v>36</v>
      </c>
      <c r="C1240" s="4">
        <v>45368</v>
      </c>
      <c r="D1240" s="3" t="s">
        <v>15</v>
      </c>
      <c r="E1240" s="3" t="s">
        <v>43</v>
      </c>
      <c r="F1240" s="5">
        <v>1</v>
      </c>
      <c r="G1240" s="6">
        <v>22.16</v>
      </c>
      <c r="H1240" s="6">
        <v>22.16</v>
      </c>
      <c r="I1240" s="6">
        <v>4.43</v>
      </c>
      <c r="J1240" s="6">
        <v>17.73</v>
      </c>
      <c r="K1240" s="5">
        <v>483</v>
      </c>
    </row>
    <row r="1241" spans="1:11" x14ac:dyDescent="0.3">
      <c r="A1241" s="3">
        <v>2294</v>
      </c>
      <c r="B1241" s="3" t="s">
        <v>31</v>
      </c>
      <c r="C1241" s="4">
        <v>45414</v>
      </c>
      <c r="D1241" s="3" t="s">
        <v>15</v>
      </c>
      <c r="E1241" s="3" t="s">
        <v>37</v>
      </c>
      <c r="F1241" s="5">
        <v>5</v>
      </c>
      <c r="G1241" s="6">
        <v>27.95</v>
      </c>
      <c r="H1241" s="6">
        <v>139.75</v>
      </c>
      <c r="I1241" s="6">
        <v>13.98</v>
      </c>
      <c r="J1241" s="6">
        <v>125.77</v>
      </c>
      <c r="K1241" s="5">
        <v>413</v>
      </c>
    </row>
    <row r="1242" spans="1:11" x14ac:dyDescent="0.3">
      <c r="A1242" s="3">
        <v>8247</v>
      </c>
      <c r="B1242" s="3" t="s">
        <v>14</v>
      </c>
      <c r="C1242" s="4">
        <v>45654</v>
      </c>
      <c r="D1242" s="3" t="s">
        <v>34</v>
      </c>
      <c r="E1242" s="3" t="s">
        <v>47</v>
      </c>
      <c r="F1242" s="5">
        <v>4</v>
      </c>
      <c r="G1242" s="6">
        <v>15.93</v>
      </c>
      <c r="H1242" s="6">
        <v>63.72</v>
      </c>
      <c r="I1242" s="6">
        <v>6.37</v>
      </c>
      <c r="J1242" s="6">
        <v>57.35</v>
      </c>
      <c r="K1242" s="5">
        <v>346</v>
      </c>
    </row>
    <row r="1243" spans="1:11" x14ac:dyDescent="0.3">
      <c r="A1243" s="3">
        <v>5201</v>
      </c>
      <c r="B1243" s="3" t="s">
        <v>31</v>
      </c>
      <c r="C1243" s="4">
        <v>45725</v>
      </c>
      <c r="D1243" s="3" t="s">
        <v>28</v>
      </c>
      <c r="E1243" s="3" t="s">
        <v>44</v>
      </c>
      <c r="F1243" s="5">
        <v>1</v>
      </c>
      <c r="G1243" s="6">
        <v>21.7</v>
      </c>
      <c r="H1243" s="6">
        <v>21.7</v>
      </c>
      <c r="I1243" s="6">
        <v>4.34</v>
      </c>
      <c r="J1243" s="6">
        <v>17.36</v>
      </c>
      <c r="K1243" s="5">
        <v>359</v>
      </c>
    </row>
    <row r="1244" spans="1:11" x14ac:dyDescent="0.3">
      <c r="A1244" s="3">
        <v>8849</v>
      </c>
      <c r="B1244" s="3" t="s">
        <v>14</v>
      </c>
      <c r="C1244" s="4">
        <v>45311</v>
      </c>
      <c r="D1244" s="3" t="s">
        <v>27</v>
      </c>
      <c r="E1244" s="3" t="s">
        <v>40</v>
      </c>
      <c r="F1244" s="5">
        <v>5</v>
      </c>
      <c r="G1244" s="6">
        <v>14</v>
      </c>
      <c r="H1244" s="6">
        <v>70</v>
      </c>
      <c r="I1244" s="6">
        <v>14</v>
      </c>
      <c r="J1244" s="6">
        <v>56</v>
      </c>
      <c r="K1244" s="5">
        <v>86</v>
      </c>
    </row>
    <row r="1245" spans="1:11" x14ac:dyDescent="0.3">
      <c r="A1245" s="3">
        <v>4310</v>
      </c>
      <c r="B1245" s="3" t="s">
        <v>11</v>
      </c>
      <c r="C1245" s="4">
        <v>45788</v>
      </c>
      <c r="D1245" s="3" t="s">
        <v>22</v>
      </c>
      <c r="E1245" s="3" t="s">
        <v>41</v>
      </c>
      <c r="F1245" s="5">
        <v>5</v>
      </c>
      <c r="G1245" s="6">
        <v>11.24</v>
      </c>
      <c r="H1245" s="6">
        <v>56.2</v>
      </c>
      <c r="I1245" s="6">
        <v>5.62</v>
      </c>
      <c r="J1245" s="6">
        <v>50.58</v>
      </c>
      <c r="K1245" s="5">
        <v>26</v>
      </c>
    </row>
    <row r="1246" spans="1:11" x14ac:dyDescent="0.3">
      <c r="A1246" s="3">
        <v>9824</v>
      </c>
      <c r="B1246" s="3" t="s">
        <v>24</v>
      </c>
      <c r="C1246" s="4">
        <v>45355</v>
      </c>
      <c r="D1246" s="3" t="s">
        <v>34</v>
      </c>
      <c r="E1246" s="3" t="s">
        <v>23</v>
      </c>
      <c r="F1246" s="5">
        <v>1</v>
      </c>
      <c r="G1246" s="6">
        <v>10.79</v>
      </c>
      <c r="H1246" s="6">
        <v>10.79</v>
      </c>
      <c r="I1246" s="6">
        <v>4.4000000000000004</v>
      </c>
      <c r="J1246" s="6">
        <v>6.39</v>
      </c>
      <c r="K1246" s="5">
        <v>347</v>
      </c>
    </row>
    <row r="1247" spans="1:11" x14ac:dyDescent="0.3">
      <c r="A1247" s="3">
        <v>5450</v>
      </c>
      <c r="B1247" s="3" t="s">
        <v>11</v>
      </c>
      <c r="C1247" s="4">
        <v>45251</v>
      </c>
      <c r="D1247" s="3" t="s">
        <v>35</v>
      </c>
      <c r="E1247" s="3" t="s">
        <v>37</v>
      </c>
      <c r="F1247" s="5">
        <v>4</v>
      </c>
      <c r="G1247" s="6">
        <v>9.5</v>
      </c>
      <c r="H1247" s="6">
        <v>38</v>
      </c>
      <c r="I1247" s="6">
        <v>0</v>
      </c>
      <c r="J1247" s="6">
        <v>38</v>
      </c>
      <c r="K1247" s="5">
        <v>109</v>
      </c>
    </row>
    <row r="1248" spans="1:11" x14ac:dyDescent="0.3">
      <c r="A1248" s="3">
        <v>2789</v>
      </c>
      <c r="B1248" s="3" t="s">
        <v>24</v>
      </c>
      <c r="C1248" s="4">
        <v>45623</v>
      </c>
      <c r="D1248" s="3" t="s">
        <v>17</v>
      </c>
      <c r="E1248" s="3" t="s">
        <v>37</v>
      </c>
      <c r="F1248" s="5">
        <v>5</v>
      </c>
      <c r="G1248" s="6">
        <v>24.94</v>
      </c>
      <c r="H1248" s="6">
        <v>124.7</v>
      </c>
      <c r="I1248" s="6">
        <v>4.3899999999999997</v>
      </c>
      <c r="J1248" s="6">
        <v>120.31</v>
      </c>
      <c r="K1248" s="5">
        <v>18</v>
      </c>
    </row>
    <row r="1249" spans="1:11" x14ac:dyDescent="0.3">
      <c r="A1249" s="3">
        <v>4920</v>
      </c>
      <c r="B1249" s="3" t="s">
        <v>31</v>
      </c>
      <c r="C1249" s="4">
        <v>45333</v>
      </c>
      <c r="D1249" s="3" t="s">
        <v>22</v>
      </c>
      <c r="E1249" s="3" t="s">
        <v>39</v>
      </c>
      <c r="F1249" s="5">
        <v>5</v>
      </c>
      <c r="G1249" s="6">
        <v>14.34</v>
      </c>
      <c r="H1249" s="6">
        <v>71.7</v>
      </c>
      <c r="I1249" s="6">
        <v>1.02</v>
      </c>
      <c r="J1249" s="6">
        <v>70.680000000000007</v>
      </c>
      <c r="K1249" s="5">
        <v>152</v>
      </c>
    </row>
    <row r="1250" spans="1:11" x14ac:dyDescent="0.3">
      <c r="A1250" s="3">
        <v>1831</v>
      </c>
      <c r="B1250" s="3" t="s">
        <v>19</v>
      </c>
      <c r="C1250" s="4">
        <v>45665</v>
      </c>
      <c r="D1250" s="3" t="s">
        <v>20</v>
      </c>
      <c r="E1250" s="3" t="s">
        <v>23</v>
      </c>
      <c r="F1250" s="5">
        <v>1</v>
      </c>
      <c r="G1250" s="6">
        <v>3.93</v>
      </c>
      <c r="H1250" s="6">
        <v>3.93</v>
      </c>
      <c r="I1250" s="6">
        <v>3.12</v>
      </c>
      <c r="J1250" s="6">
        <v>0.81</v>
      </c>
      <c r="K1250" s="5">
        <v>251</v>
      </c>
    </row>
    <row r="1251" spans="1:11" x14ac:dyDescent="0.3">
      <c r="A1251" s="3">
        <v>9700</v>
      </c>
      <c r="B1251" s="3" t="s">
        <v>19</v>
      </c>
      <c r="C1251" s="4">
        <v>45320</v>
      </c>
      <c r="D1251" s="3" t="s">
        <v>20</v>
      </c>
      <c r="E1251" s="3" t="s">
        <v>48</v>
      </c>
      <c r="F1251" s="5">
        <v>4</v>
      </c>
      <c r="G1251" s="6">
        <v>1.19</v>
      </c>
      <c r="H1251" s="6">
        <v>4.76</v>
      </c>
      <c r="I1251" s="6">
        <v>0.95</v>
      </c>
      <c r="J1251" s="6">
        <v>3.81</v>
      </c>
      <c r="K1251" s="5">
        <v>393</v>
      </c>
    </row>
    <row r="1252" spans="1:11" x14ac:dyDescent="0.3">
      <c r="A1252" s="3">
        <v>4814</v>
      </c>
      <c r="B1252" s="3" t="s">
        <v>26</v>
      </c>
      <c r="C1252" s="4">
        <v>45185</v>
      </c>
      <c r="D1252" s="3" t="s">
        <v>20</v>
      </c>
      <c r="E1252" s="3" t="s">
        <v>23</v>
      </c>
      <c r="F1252" s="5">
        <v>3</v>
      </c>
      <c r="G1252" s="6">
        <v>11.56</v>
      </c>
      <c r="H1252" s="6">
        <v>34.68</v>
      </c>
      <c r="I1252" s="6">
        <v>4.25</v>
      </c>
      <c r="J1252" s="6">
        <v>30.43</v>
      </c>
      <c r="K1252" s="5">
        <v>456</v>
      </c>
    </row>
    <row r="1253" spans="1:11" x14ac:dyDescent="0.3">
      <c r="A1253" s="3">
        <v>2641</v>
      </c>
      <c r="B1253" s="3" t="s">
        <v>11</v>
      </c>
      <c r="C1253" s="4">
        <v>45466</v>
      </c>
      <c r="D1253" s="3" t="s">
        <v>45</v>
      </c>
      <c r="E1253" s="3" t="s">
        <v>33</v>
      </c>
      <c r="F1253" s="5">
        <v>2</v>
      </c>
      <c r="G1253" s="6">
        <v>5.05</v>
      </c>
      <c r="H1253" s="6">
        <v>10.1</v>
      </c>
      <c r="I1253" s="6">
        <v>2.44</v>
      </c>
      <c r="J1253" s="6">
        <v>7.66</v>
      </c>
      <c r="K1253" s="5">
        <v>382</v>
      </c>
    </row>
    <row r="1254" spans="1:11" x14ac:dyDescent="0.3">
      <c r="A1254" s="3">
        <v>6411</v>
      </c>
      <c r="B1254" s="3" t="s">
        <v>42</v>
      </c>
      <c r="C1254" s="4">
        <v>45702</v>
      </c>
      <c r="D1254" s="3" t="s">
        <v>15</v>
      </c>
      <c r="E1254" s="3" t="s">
        <v>44</v>
      </c>
      <c r="F1254" s="5">
        <v>3</v>
      </c>
      <c r="G1254" s="6">
        <v>2.16</v>
      </c>
      <c r="H1254" s="6">
        <v>6.48</v>
      </c>
      <c r="I1254" s="6">
        <v>0</v>
      </c>
      <c r="J1254" s="6">
        <v>6.48</v>
      </c>
      <c r="K1254" s="5">
        <v>202</v>
      </c>
    </row>
    <row r="1255" spans="1:11" x14ac:dyDescent="0.3">
      <c r="A1255" s="3">
        <v>8739</v>
      </c>
      <c r="B1255" s="3" t="s">
        <v>36</v>
      </c>
      <c r="C1255" s="4">
        <v>45223</v>
      </c>
      <c r="D1255" s="3" t="s">
        <v>12</v>
      </c>
      <c r="E1255" s="3" t="s">
        <v>29</v>
      </c>
      <c r="F1255" s="5">
        <v>2</v>
      </c>
      <c r="G1255" s="6">
        <v>28.49</v>
      </c>
      <c r="H1255" s="6">
        <v>56.98</v>
      </c>
      <c r="I1255" s="6">
        <v>2.68</v>
      </c>
      <c r="J1255" s="6">
        <v>54.3</v>
      </c>
      <c r="K1255" s="5">
        <v>491</v>
      </c>
    </row>
    <row r="1256" spans="1:11" x14ac:dyDescent="0.3">
      <c r="A1256" s="3">
        <v>3252</v>
      </c>
      <c r="B1256" s="3" t="s">
        <v>14</v>
      </c>
      <c r="C1256" s="4">
        <v>45149</v>
      </c>
      <c r="D1256" s="3" t="s">
        <v>45</v>
      </c>
      <c r="E1256" s="3" t="s">
        <v>41</v>
      </c>
      <c r="F1256" s="5">
        <v>3</v>
      </c>
      <c r="G1256" s="6">
        <v>22.77</v>
      </c>
      <c r="H1256" s="6">
        <v>68.31</v>
      </c>
      <c r="I1256" s="6">
        <v>3.9</v>
      </c>
      <c r="J1256" s="6">
        <v>64.41</v>
      </c>
      <c r="K1256" s="5">
        <v>399</v>
      </c>
    </row>
    <row r="1257" spans="1:11" x14ac:dyDescent="0.3">
      <c r="A1257" s="3">
        <v>3587</v>
      </c>
      <c r="B1257" s="3" t="s">
        <v>24</v>
      </c>
      <c r="C1257" s="4">
        <v>45461</v>
      </c>
      <c r="D1257" s="3" t="s">
        <v>34</v>
      </c>
      <c r="E1257" s="3" t="s">
        <v>48</v>
      </c>
      <c r="F1257" s="5">
        <v>1</v>
      </c>
      <c r="G1257" s="6">
        <v>23.98</v>
      </c>
      <c r="H1257" s="6">
        <v>23.98</v>
      </c>
      <c r="I1257" s="6">
        <v>3.6</v>
      </c>
      <c r="J1257" s="6">
        <v>20.38</v>
      </c>
      <c r="K1257" s="5">
        <v>64</v>
      </c>
    </row>
    <row r="1258" spans="1:11" x14ac:dyDescent="0.3">
      <c r="A1258" s="3">
        <v>8793</v>
      </c>
      <c r="B1258" s="3" t="s">
        <v>14</v>
      </c>
      <c r="C1258" s="4">
        <v>45515</v>
      </c>
      <c r="D1258" s="3" t="s">
        <v>12</v>
      </c>
      <c r="E1258" s="3" t="s">
        <v>25</v>
      </c>
      <c r="F1258" s="5">
        <v>1</v>
      </c>
      <c r="G1258" s="6">
        <v>20.66</v>
      </c>
      <c r="H1258" s="6">
        <v>20.66</v>
      </c>
      <c r="I1258" s="6">
        <v>3.95</v>
      </c>
      <c r="J1258" s="6">
        <v>16.71</v>
      </c>
      <c r="K1258" s="5">
        <v>175</v>
      </c>
    </row>
    <row r="1259" spans="1:11" x14ac:dyDescent="0.3">
      <c r="A1259" s="3">
        <v>4267</v>
      </c>
      <c r="B1259" s="3"/>
      <c r="C1259" s="4">
        <v>45732</v>
      </c>
      <c r="D1259" s="3" t="s">
        <v>45</v>
      </c>
      <c r="E1259" s="3" t="s">
        <v>37</v>
      </c>
      <c r="F1259" s="5">
        <v>3</v>
      </c>
      <c r="G1259" s="6">
        <v>15.08</v>
      </c>
      <c r="H1259" s="6">
        <v>45.24</v>
      </c>
      <c r="I1259" s="6">
        <v>9.0500000000000007</v>
      </c>
      <c r="J1259" s="6">
        <v>36.19</v>
      </c>
      <c r="K1259" s="5">
        <v>389</v>
      </c>
    </row>
    <row r="1260" spans="1:11" x14ac:dyDescent="0.3">
      <c r="A1260" s="3">
        <v>5706</v>
      </c>
      <c r="B1260" s="3" t="s">
        <v>19</v>
      </c>
      <c r="C1260" s="4">
        <v>45394</v>
      </c>
      <c r="D1260" s="3" t="s">
        <v>38</v>
      </c>
      <c r="E1260" s="3" t="s">
        <v>29</v>
      </c>
      <c r="F1260" s="5">
        <v>2</v>
      </c>
      <c r="G1260" s="6">
        <v>9.14</v>
      </c>
      <c r="H1260" s="6">
        <v>18.28</v>
      </c>
      <c r="I1260" s="6">
        <v>0</v>
      </c>
      <c r="J1260" s="6">
        <v>18.28</v>
      </c>
      <c r="K1260" s="5">
        <v>58</v>
      </c>
    </row>
    <row r="1261" spans="1:11" x14ac:dyDescent="0.3">
      <c r="A1261" s="3">
        <v>5676</v>
      </c>
      <c r="B1261" s="3" t="s">
        <v>42</v>
      </c>
      <c r="C1261" s="4">
        <v>45646</v>
      </c>
      <c r="D1261" s="3" t="s">
        <v>27</v>
      </c>
      <c r="E1261" s="3" t="s">
        <v>16</v>
      </c>
      <c r="F1261" s="5">
        <v>2</v>
      </c>
      <c r="G1261" s="6">
        <v>14.73</v>
      </c>
      <c r="H1261" s="6">
        <v>29.46</v>
      </c>
      <c r="I1261" s="6">
        <v>0</v>
      </c>
      <c r="J1261" s="6">
        <v>29.46</v>
      </c>
      <c r="K1261" s="5">
        <v>400</v>
      </c>
    </row>
    <row r="1262" spans="1:11" x14ac:dyDescent="0.3">
      <c r="A1262" s="3">
        <v>1969</v>
      </c>
      <c r="B1262" s="3" t="s">
        <v>14</v>
      </c>
      <c r="C1262" s="4">
        <v>45850</v>
      </c>
      <c r="D1262" s="3" t="s">
        <v>28</v>
      </c>
      <c r="E1262" s="3" t="s">
        <v>29</v>
      </c>
      <c r="F1262" s="5">
        <v>2</v>
      </c>
      <c r="G1262" s="6">
        <v>29.77</v>
      </c>
      <c r="H1262" s="6">
        <v>59.54</v>
      </c>
      <c r="I1262" s="6">
        <v>11.91</v>
      </c>
      <c r="J1262" s="6">
        <v>47.63</v>
      </c>
      <c r="K1262" s="5">
        <v>302</v>
      </c>
    </row>
    <row r="1263" spans="1:11" x14ac:dyDescent="0.3">
      <c r="A1263" s="3">
        <v>2465</v>
      </c>
      <c r="B1263" s="3" t="s">
        <v>11</v>
      </c>
      <c r="C1263" s="4">
        <v>45651</v>
      </c>
      <c r="D1263" s="3" t="s">
        <v>34</v>
      </c>
      <c r="E1263" s="3" t="s">
        <v>32</v>
      </c>
      <c r="F1263" s="5">
        <v>1</v>
      </c>
      <c r="G1263" s="6">
        <v>8.93</v>
      </c>
      <c r="H1263" s="6">
        <v>8.93</v>
      </c>
      <c r="I1263" s="6">
        <v>0.89</v>
      </c>
      <c r="J1263" s="6">
        <v>8.0399999999999991</v>
      </c>
      <c r="K1263" s="5">
        <v>98</v>
      </c>
    </row>
    <row r="1264" spans="1:11" x14ac:dyDescent="0.3">
      <c r="A1264" s="3">
        <v>4804</v>
      </c>
      <c r="B1264" s="3" t="s">
        <v>31</v>
      </c>
      <c r="C1264" s="4">
        <v>45560</v>
      </c>
      <c r="D1264" s="3" t="s">
        <v>28</v>
      </c>
      <c r="E1264" s="3" t="s">
        <v>44</v>
      </c>
      <c r="F1264" s="5">
        <v>1</v>
      </c>
      <c r="G1264" s="6">
        <v>26.06</v>
      </c>
      <c r="H1264" s="6">
        <v>26.06</v>
      </c>
      <c r="I1264" s="6">
        <v>2.23</v>
      </c>
      <c r="J1264" s="6">
        <v>23.83</v>
      </c>
      <c r="K1264" s="5">
        <v>194</v>
      </c>
    </row>
    <row r="1265" spans="1:11" x14ac:dyDescent="0.3">
      <c r="A1265" s="3">
        <v>1611</v>
      </c>
      <c r="B1265" s="3" t="s">
        <v>42</v>
      </c>
      <c r="C1265" s="4">
        <v>45854</v>
      </c>
      <c r="D1265" s="3" t="s">
        <v>17</v>
      </c>
      <c r="E1265" s="3" t="s">
        <v>21</v>
      </c>
      <c r="F1265" s="5">
        <v>4</v>
      </c>
      <c r="G1265" s="6">
        <v>14.89</v>
      </c>
      <c r="H1265" s="6">
        <v>59.56</v>
      </c>
      <c r="I1265" s="6">
        <v>0</v>
      </c>
      <c r="J1265" s="6">
        <v>59.56</v>
      </c>
      <c r="K1265" s="5">
        <v>261</v>
      </c>
    </row>
    <row r="1266" spans="1:11" x14ac:dyDescent="0.3">
      <c r="A1266" s="3">
        <v>3868</v>
      </c>
      <c r="B1266" s="3" t="s">
        <v>31</v>
      </c>
      <c r="C1266" s="4">
        <v>45469</v>
      </c>
      <c r="D1266" s="3" t="s">
        <v>35</v>
      </c>
      <c r="E1266" s="3" t="s">
        <v>48</v>
      </c>
      <c r="F1266" s="5">
        <v>3</v>
      </c>
      <c r="G1266" s="6">
        <v>11.53</v>
      </c>
      <c r="H1266" s="6">
        <v>34.590000000000003</v>
      </c>
      <c r="I1266" s="6">
        <v>0</v>
      </c>
      <c r="J1266" s="6">
        <v>34.590000000000003</v>
      </c>
      <c r="K1266" s="5">
        <v>482</v>
      </c>
    </row>
    <row r="1267" spans="1:11" x14ac:dyDescent="0.3">
      <c r="A1267" s="3">
        <v>3880</v>
      </c>
      <c r="B1267" s="3" t="s">
        <v>24</v>
      </c>
      <c r="C1267" s="4">
        <v>45870</v>
      </c>
      <c r="D1267" s="3" t="s">
        <v>17</v>
      </c>
      <c r="E1267" s="3" t="s">
        <v>21</v>
      </c>
      <c r="F1267" s="5">
        <v>1</v>
      </c>
      <c r="G1267" s="6">
        <v>6.26</v>
      </c>
      <c r="H1267" s="6">
        <v>6.26</v>
      </c>
      <c r="I1267" s="6">
        <v>0</v>
      </c>
      <c r="J1267" s="6">
        <v>6.26</v>
      </c>
      <c r="K1267" s="5">
        <v>0</v>
      </c>
    </row>
    <row r="1268" spans="1:11" x14ac:dyDescent="0.3">
      <c r="A1268" s="3">
        <v>1595</v>
      </c>
      <c r="B1268" s="3" t="s">
        <v>36</v>
      </c>
      <c r="C1268" s="4">
        <v>45794</v>
      </c>
      <c r="D1268" s="3" t="s">
        <v>17</v>
      </c>
      <c r="E1268" s="3" t="s">
        <v>37</v>
      </c>
      <c r="F1268" s="5">
        <v>4</v>
      </c>
      <c r="G1268" s="6">
        <v>9.11</v>
      </c>
      <c r="H1268" s="6">
        <v>36.44</v>
      </c>
      <c r="I1268" s="6">
        <v>3.64</v>
      </c>
      <c r="J1268" s="6">
        <v>32.799999999999997</v>
      </c>
      <c r="K1268" s="5">
        <v>310</v>
      </c>
    </row>
    <row r="1269" spans="1:11" x14ac:dyDescent="0.3">
      <c r="A1269" s="3">
        <v>7504</v>
      </c>
      <c r="B1269" s="3" t="s">
        <v>19</v>
      </c>
      <c r="C1269" s="4">
        <v>45757</v>
      </c>
      <c r="D1269" s="3" t="s">
        <v>35</v>
      </c>
      <c r="E1269" s="3" t="s">
        <v>47</v>
      </c>
      <c r="F1269" s="5">
        <v>3</v>
      </c>
      <c r="G1269" s="6">
        <v>10.68</v>
      </c>
      <c r="H1269" s="6">
        <v>32.04</v>
      </c>
      <c r="I1269" s="6">
        <v>0</v>
      </c>
      <c r="J1269" s="6">
        <v>32.04</v>
      </c>
      <c r="K1269" s="5">
        <v>57</v>
      </c>
    </row>
    <row r="1270" spans="1:11" x14ac:dyDescent="0.3">
      <c r="A1270" s="3">
        <v>9116</v>
      </c>
      <c r="B1270" s="3" t="s">
        <v>31</v>
      </c>
      <c r="C1270" s="4">
        <v>45289</v>
      </c>
      <c r="D1270" s="3" t="s">
        <v>27</v>
      </c>
      <c r="E1270" s="3" t="s">
        <v>18</v>
      </c>
      <c r="F1270" s="5">
        <v>2</v>
      </c>
      <c r="G1270" s="6">
        <v>10.6</v>
      </c>
      <c r="H1270" s="6">
        <v>21.2</v>
      </c>
      <c r="I1270" s="6">
        <v>0</v>
      </c>
      <c r="J1270" s="6">
        <v>21.2</v>
      </c>
      <c r="K1270" s="5">
        <v>379</v>
      </c>
    </row>
    <row r="1271" spans="1:11" x14ac:dyDescent="0.3">
      <c r="A1271" s="3">
        <v>5742</v>
      </c>
      <c r="B1271" s="3" t="s">
        <v>14</v>
      </c>
      <c r="C1271" s="4">
        <v>45825</v>
      </c>
      <c r="D1271" s="3" t="s">
        <v>28</v>
      </c>
      <c r="E1271" s="3" t="s">
        <v>23</v>
      </c>
      <c r="F1271" s="5">
        <v>2</v>
      </c>
      <c r="G1271" s="6">
        <v>19.850000000000001</v>
      </c>
      <c r="H1271" s="6">
        <v>39.700000000000003</v>
      </c>
      <c r="I1271" s="6">
        <v>4.55</v>
      </c>
      <c r="J1271" s="6">
        <v>35.15</v>
      </c>
      <c r="K1271" s="5">
        <v>107</v>
      </c>
    </row>
    <row r="1272" spans="1:11" x14ac:dyDescent="0.3">
      <c r="A1272" s="3">
        <v>1613</v>
      </c>
      <c r="B1272" s="3" t="s">
        <v>19</v>
      </c>
      <c r="C1272" s="4">
        <v>45152</v>
      </c>
      <c r="D1272" s="3" t="s">
        <v>27</v>
      </c>
      <c r="E1272" s="3" t="s">
        <v>48</v>
      </c>
      <c r="F1272" s="5">
        <v>1</v>
      </c>
      <c r="G1272" s="6">
        <v>18</v>
      </c>
      <c r="H1272" s="6">
        <v>18</v>
      </c>
      <c r="I1272" s="6">
        <v>3.6</v>
      </c>
      <c r="J1272" s="6">
        <v>14.4</v>
      </c>
      <c r="K1272" s="5">
        <v>467</v>
      </c>
    </row>
    <row r="1273" spans="1:11" x14ac:dyDescent="0.3">
      <c r="A1273" s="3">
        <v>5888</v>
      </c>
      <c r="B1273" s="3" t="s">
        <v>26</v>
      </c>
      <c r="C1273" s="4">
        <v>45586</v>
      </c>
      <c r="D1273" s="3" t="s">
        <v>15</v>
      </c>
      <c r="E1273" s="3" t="s">
        <v>43</v>
      </c>
      <c r="F1273" s="5">
        <v>5</v>
      </c>
      <c r="G1273" s="6">
        <v>18.940000000000001</v>
      </c>
      <c r="H1273" s="6">
        <v>94.7</v>
      </c>
      <c r="I1273" s="6">
        <v>18.940000000000001</v>
      </c>
      <c r="J1273" s="6">
        <v>75.760000000000005</v>
      </c>
      <c r="K1273" s="5">
        <v>154</v>
      </c>
    </row>
    <row r="1274" spans="1:11" x14ac:dyDescent="0.3">
      <c r="A1274" s="3">
        <v>2758</v>
      </c>
      <c r="B1274" s="3" t="s">
        <v>14</v>
      </c>
      <c r="C1274" s="4">
        <v>45866</v>
      </c>
      <c r="D1274" s="3" t="s">
        <v>34</v>
      </c>
      <c r="E1274" s="3" t="s">
        <v>40</v>
      </c>
      <c r="F1274" s="5">
        <v>2</v>
      </c>
      <c r="G1274" s="6">
        <v>6.55</v>
      </c>
      <c r="H1274" s="6">
        <v>13.1</v>
      </c>
      <c r="I1274" s="6">
        <v>4.9000000000000004</v>
      </c>
      <c r="J1274" s="6">
        <v>8.1999999999999993</v>
      </c>
      <c r="K1274" s="5">
        <v>281</v>
      </c>
    </row>
    <row r="1275" spans="1:11" x14ac:dyDescent="0.3">
      <c r="A1275" s="3">
        <v>6489</v>
      </c>
      <c r="B1275" s="3" t="s">
        <v>36</v>
      </c>
      <c r="C1275" s="4">
        <v>45366</v>
      </c>
      <c r="D1275" s="3" t="s">
        <v>45</v>
      </c>
      <c r="E1275" s="3" t="s">
        <v>48</v>
      </c>
      <c r="F1275" s="5">
        <v>4</v>
      </c>
      <c r="G1275" s="6">
        <v>2.95</v>
      </c>
      <c r="H1275" s="6">
        <v>11.8</v>
      </c>
      <c r="I1275" s="6">
        <v>2.36</v>
      </c>
      <c r="J1275" s="6">
        <v>9.44</v>
      </c>
      <c r="K1275" s="5">
        <v>214</v>
      </c>
    </row>
    <row r="1276" spans="1:11" x14ac:dyDescent="0.3">
      <c r="A1276" s="3">
        <v>8444</v>
      </c>
      <c r="B1276" s="3" t="s">
        <v>30</v>
      </c>
      <c r="C1276" s="4">
        <v>45643</v>
      </c>
      <c r="D1276" s="3" t="s">
        <v>34</v>
      </c>
      <c r="E1276" s="3" t="s">
        <v>37</v>
      </c>
      <c r="F1276" s="5">
        <v>1</v>
      </c>
      <c r="G1276" s="6">
        <v>28.71</v>
      </c>
      <c r="H1276" s="6">
        <v>28.71</v>
      </c>
      <c r="I1276" s="6">
        <v>0</v>
      </c>
      <c r="J1276" s="6">
        <v>28.71</v>
      </c>
      <c r="K1276" s="5">
        <v>31</v>
      </c>
    </row>
    <row r="1277" spans="1:11" x14ac:dyDescent="0.3">
      <c r="A1277" s="3">
        <v>9901</v>
      </c>
      <c r="B1277" s="3" t="s">
        <v>24</v>
      </c>
      <c r="C1277" s="4">
        <v>45552</v>
      </c>
      <c r="D1277" s="3" t="s">
        <v>45</v>
      </c>
      <c r="E1277" s="3" t="s">
        <v>18</v>
      </c>
      <c r="F1277" s="5">
        <v>5</v>
      </c>
      <c r="G1277" s="6">
        <v>29.16</v>
      </c>
      <c r="H1277" s="6">
        <v>145.80000000000001</v>
      </c>
      <c r="I1277" s="6">
        <v>2.54</v>
      </c>
      <c r="J1277" s="6">
        <v>143.26</v>
      </c>
      <c r="K1277" s="5">
        <v>84</v>
      </c>
    </row>
    <row r="1278" spans="1:11" x14ac:dyDescent="0.3">
      <c r="A1278" s="3">
        <v>9092</v>
      </c>
      <c r="B1278" s="3" t="s">
        <v>24</v>
      </c>
      <c r="C1278" s="4">
        <v>45835</v>
      </c>
      <c r="D1278" s="3" t="s">
        <v>20</v>
      </c>
      <c r="E1278" s="3" t="s">
        <v>13</v>
      </c>
      <c r="F1278" s="5">
        <v>2</v>
      </c>
      <c r="G1278" s="6">
        <v>6.33</v>
      </c>
      <c r="H1278" s="6">
        <v>12.66</v>
      </c>
      <c r="I1278" s="6">
        <v>3.79</v>
      </c>
      <c r="J1278" s="6">
        <v>8.8699999999999992</v>
      </c>
      <c r="K1278" s="5">
        <v>81</v>
      </c>
    </row>
    <row r="1279" spans="1:11" x14ac:dyDescent="0.3">
      <c r="A1279" s="3">
        <v>3198</v>
      </c>
      <c r="B1279" s="3" t="s">
        <v>14</v>
      </c>
      <c r="C1279" s="4">
        <v>45806</v>
      </c>
      <c r="D1279" s="3" t="s">
        <v>45</v>
      </c>
      <c r="E1279" s="3" t="s">
        <v>46</v>
      </c>
      <c r="F1279" s="5">
        <v>5</v>
      </c>
      <c r="G1279" s="6">
        <v>8.5</v>
      </c>
      <c r="H1279" s="6">
        <v>42.5</v>
      </c>
      <c r="I1279" s="6">
        <v>6.38</v>
      </c>
      <c r="J1279" s="6">
        <v>36.119999999999997</v>
      </c>
      <c r="K1279" s="5">
        <v>436</v>
      </c>
    </row>
    <row r="1280" spans="1:11" x14ac:dyDescent="0.3">
      <c r="A1280" s="3">
        <v>9261</v>
      </c>
      <c r="B1280" s="3" t="s">
        <v>30</v>
      </c>
      <c r="C1280" s="4">
        <v>45508</v>
      </c>
      <c r="D1280" s="3" t="s">
        <v>38</v>
      </c>
      <c r="E1280" s="3" t="s">
        <v>48</v>
      </c>
      <c r="F1280" s="5">
        <v>2</v>
      </c>
      <c r="G1280" s="6">
        <v>7.48</v>
      </c>
      <c r="H1280" s="6">
        <v>14.96</v>
      </c>
      <c r="I1280" s="6">
        <v>2.2400000000000002</v>
      </c>
      <c r="J1280" s="6">
        <v>12.72</v>
      </c>
      <c r="K1280" s="5">
        <v>273</v>
      </c>
    </row>
    <row r="1281" spans="1:11" x14ac:dyDescent="0.3">
      <c r="A1281" s="3">
        <v>5470</v>
      </c>
      <c r="B1281" s="3" t="s">
        <v>31</v>
      </c>
      <c r="C1281" s="4">
        <v>45294</v>
      </c>
      <c r="D1281" s="3" t="s">
        <v>27</v>
      </c>
      <c r="E1281" s="3" t="s">
        <v>41</v>
      </c>
      <c r="F1281" s="5">
        <v>3</v>
      </c>
      <c r="G1281" s="6">
        <v>27.88</v>
      </c>
      <c r="H1281" s="6">
        <v>83.64</v>
      </c>
      <c r="I1281" s="6">
        <v>0</v>
      </c>
      <c r="J1281" s="6">
        <v>83.64</v>
      </c>
      <c r="K1281" s="5">
        <v>138</v>
      </c>
    </row>
    <row r="1282" spans="1:11" x14ac:dyDescent="0.3">
      <c r="A1282" s="3">
        <v>2845</v>
      </c>
      <c r="B1282" s="3" t="s">
        <v>42</v>
      </c>
      <c r="C1282" s="4">
        <v>45401</v>
      </c>
      <c r="D1282" s="3" t="s">
        <v>17</v>
      </c>
      <c r="E1282" s="3" t="s">
        <v>18</v>
      </c>
      <c r="F1282" s="5">
        <v>1</v>
      </c>
      <c r="G1282" s="6">
        <v>1.03</v>
      </c>
      <c r="H1282" s="6">
        <v>1.03</v>
      </c>
      <c r="I1282" s="6">
        <v>0.15</v>
      </c>
      <c r="J1282" s="6">
        <v>0.88</v>
      </c>
      <c r="K1282" s="5">
        <v>177</v>
      </c>
    </row>
    <row r="1283" spans="1:11" x14ac:dyDescent="0.3">
      <c r="A1283" s="3">
        <v>3662</v>
      </c>
      <c r="B1283" s="3" t="s">
        <v>11</v>
      </c>
      <c r="C1283" s="4">
        <v>45712</v>
      </c>
      <c r="D1283" s="3" t="s">
        <v>38</v>
      </c>
      <c r="E1283" s="3" t="s">
        <v>13</v>
      </c>
      <c r="F1283" s="5">
        <v>2</v>
      </c>
      <c r="G1283" s="6">
        <v>12.83</v>
      </c>
      <c r="H1283" s="6">
        <v>25.66</v>
      </c>
      <c r="I1283" s="6">
        <v>3.85</v>
      </c>
      <c r="J1283" s="6">
        <v>21.81</v>
      </c>
      <c r="K1283" s="5">
        <v>313</v>
      </c>
    </row>
    <row r="1284" spans="1:11" x14ac:dyDescent="0.3">
      <c r="A1284" s="3">
        <v>8518</v>
      </c>
      <c r="B1284" s="3" t="s">
        <v>31</v>
      </c>
      <c r="C1284" s="4">
        <v>45648</v>
      </c>
      <c r="D1284" s="3" t="s">
        <v>27</v>
      </c>
      <c r="E1284" s="3" t="s">
        <v>39</v>
      </c>
      <c r="F1284" s="5">
        <v>3</v>
      </c>
      <c r="G1284" s="6">
        <v>7.35</v>
      </c>
      <c r="H1284" s="6">
        <v>22.05</v>
      </c>
      <c r="I1284" s="6">
        <v>4.41</v>
      </c>
      <c r="J1284" s="6">
        <v>17.64</v>
      </c>
      <c r="K1284" s="5">
        <v>494</v>
      </c>
    </row>
    <row r="1285" spans="1:11" x14ac:dyDescent="0.3">
      <c r="A1285" s="3">
        <v>5215</v>
      </c>
      <c r="B1285" s="3" t="s">
        <v>30</v>
      </c>
      <c r="C1285" s="4">
        <v>45703</v>
      </c>
      <c r="D1285" s="3" t="s">
        <v>12</v>
      </c>
      <c r="E1285" s="3" t="s">
        <v>18</v>
      </c>
      <c r="F1285" s="5">
        <v>5</v>
      </c>
      <c r="G1285" s="6">
        <v>4.08</v>
      </c>
      <c r="H1285" s="6">
        <v>20.399999999999999</v>
      </c>
      <c r="I1285" s="6">
        <v>0</v>
      </c>
      <c r="J1285" s="6">
        <v>20.399999999999999</v>
      </c>
      <c r="K1285" s="5">
        <v>381</v>
      </c>
    </row>
    <row r="1286" spans="1:11" x14ac:dyDescent="0.3">
      <c r="A1286" s="3">
        <v>4050</v>
      </c>
      <c r="B1286" s="3" t="s">
        <v>30</v>
      </c>
      <c r="C1286" s="4">
        <v>45155</v>
      </c>
      <c r="D1286" s="3" t="s">
        <v>27</v>
      </c>
      <c r="E1286" s="3" t="s">
        <v>18</v>
      </c>
      <c r="F1286" s="5">
        <v>2</v>
      </c>
      <c r="G1286" s="6">
        <v>24.68</v>
      </c>
      <c r="H1286" s="6">
        <v>49.36</v>
      </c>
      <c r="I1286" s="6">
        <v>7.4</v>
      </c>
      <c r="J1286" s="6">
        <v>41.96</v>
      </c>
      <c r="K1286" s="5">
        <v>112</v>
      </c>
    </row>
    <row r="1287" spans="1:11" x14ac:dyDescent="0.3">
      <c r="A1287" s="3">
        <v>6523</v>
      </c>
      <c r="B1287" s="3" t="s">
        <v>42</v>
      </c>
      <c r="C1287" s="4">
        <v>45759</v>
      </c>
      <c r="D1287" s="3" t="s">
        <v>28</v>
      </c>
      <c r="E1287" s="3" t="s">
        <v>32</v>
      </c>
      <c r="F1287" s="5">
        <v>2</v>
      </c>
      <c r="G1287" s="6">
        <v>13.93</v>
      </c>
      <c r="H1287" s="6">
        <v>27.86</v>
      </c>
      <c r="I1287" s="6">
        <v>4.18</v>
      </c>
      <c r="J1287" s="6">
        <v>23.68</v>
      </c>
      <c r="K1287" s="5">
        <v>373</v>
      </c>
    </row>
    <row r="1288" spans="1:11" x14ac:dyDescent="0.3">
      <c r="A1288" s="3">
        <v>5833</v>
      </c>
      <c r="B1288" s="3" t="s">
        <v>19</v>
      </c>
      <c r="C1288" s="4">
        <v>45586</v>
      </c>
      <c r="D1288" s="3" t="s">
        <v>45</v>
      </c>
      <c r="E1288" s="3" t="s">
        <v>43</v>
      </c>
      <c r="F1288" s="5">
        <v>4</v>
      </c>
      <c r="G1288" s="6">
        <v>6.25</v>
      </c>
      <c r="H1288" s="6">
        <v>25</v>
      </c>
      <c r="I1288" s="6">
        <v>5</v>
      </c>
      <c r="J1288" s="6">
        <v>20</v>
      </c>
      <c r="K1288" s="5">
        <v>94</v>
      </c>
    </row>
    <row r="1289" spans="1:11" x14ac:dyDescent="0.3">
      <c r="A1289" s="3">
        <v>4164</v>
      </c>
      <c r="B1289" s="3" t="s">
        <v>26</v>
      </c>
      <c r="C1289" s="4">
        <v>45281</v>
      </c>
      <c r="D1289" s="3" t="s">
        <v>34</v>
      </c>
      <c r="E1289" s="3" t="s">
        <v>37</v>
      </c>
      <c r="F1289" s="5">
        <v>1</v>
      </c>
      <c r="G1289" s="6">
        <v>9.98</v>
      </c>
      <c r="H1289" s="6">
        <v>9.98</v>
      </c>
      <c r="I1289" s="6">
        <v>1</v>
      </c>
      <c r="J1289" s="6">
        <v>8.98</v>
      </c>
      <c r="K1289" s="5">
        <v>453</v>
      </c>
    </row>
    <row r="1290" spans="1:11" x14ac:dyDescent="0.3">
      <c r="A1290" s="3">
        <v>7643</v>
      </c>
      <c r="B1290" s="3" t="s">
        <v>42</v>
      </c>
      <c r="C1290" s="4">
        <v>45787</v>
      </c>
      <c r="D1290" s="3" t="s">
        <v>15</v>
      </c>
      <c r="E1290" s="3" t="s">
        <v>41</v>
      </c>
      <c r="F1290" s="5">
        <v>1</v>
      </c>
      <c r="G1290" s="6">
        <v>13.36</v>
      </c>
      <c r="H1290" s="6">
        <v>13.36</v>
      </c>
      <c r="I1290" s="6">
        <v>3.9</v>
      </c>
      <c r="J1290" s="6">
        <v>9.4600000000000009</v>
      </c>
      <c r="K1290" s="5">
        <v>232</v>
      </c>
    </row>
    <row r="1291" spans="1:11" x14ac:dyDescent="0.3">
      <c r="A1291" s="3">
        <v>8007</v>
      </c>
      <c r="B1291" s="3" t="s">
        <v>19</v>
      </c>
      <c r="C1291" s="4">
        <v>45545</v>
      </c>
      <c r="D1291" s="3" t="s">
        <v>12</v>
      </c>
      <c r="E1291" s="3" t="s">
        <v>48</v>
      </c>
      <c r="F1291" s="5">
        <v>4</v>
      </c>
      <c r="G1291" s="6">
        <v>12.13</v>
      </c>
      <c r="H1291" s="6">
        <v>48.52</v>
      </c>
      <c r="I1291" s="6">
        <v>0</v>
      </c>
      <c r="J1291" s="6">
        <v>48.52</v>
      </c>
      <c r="K1291" s="5">
        <v>56</v>
      </c>
    </row>
    <row r="1292" spans="1:11" x14ac:dyDescent="0.3">
      <c r="A1292" s="3">
        <v>6372</v>
      </c>
      <c r="B1292" s="3" t="s">
        <v>31</v>
      </c>
      <c r="C1292" s="4">
        <v>45212</v>
      </c>
      <c r="D1292" s="3" t="s">
        <v>34</v>
      </c>
      <c r="E1292" s="3" t="s">
        <v>25</v>
      </c>
      <c r="F1292" s="5">
        <v>1</v>
      </c>
      <c r="G1292" s="6">
        <v>8.75</v>
      </c>
      <c r="H1292" s="6">
        <v>8.75</v>
      </c>
      <c r="I1292" s="6">
        <v>4.83</v>
      </c>
      <c r="J1292" s="6">
        <v>3.92</v>
      </c>
      <c r="K1292" s="5">
        <v>480</v>
      </c>
    </row>
    <row r="1293" spans="1:11" x14ac:dyDescent="0.3">
      <c r="A1293" s="3">
        <v>7567</v>
      </c>
      <c r="B1293" s="3" t="s">
        <v>11</v>
      </c>
      <c r="C1293" s="4">
        <v>45664</v>
      </c>
      <c r="D1293" s="3" t="s">
        <v>38</v>
      </c>
      <c r="E1293" s="3" t="s">
        <v>21</v>
      </c>
      <c r="F1293" s="5">
        <v>1</v>
      </c>
      <c r="G1293" s="6">
        <v>6.86</v>
      </c>
      <c r="H1293" s="6">
        <v>6.86</v>
      </c>
      <c r="I1293" s="6">
        <v>1.37</v>
      </c>
      <c r="J1293" s="6">
        <v>5.49</v>
      </c>
      <c r="K1293" s="5">
        <v>245</v>
      </c>
    </row>
    <row r="1294" spans="1:11" x14ac:dyDescent="0.3">
      <c r="A1294" s="3">
        <v>2562</v>
      </c>
      <c r="B1294" s="3" t="s">
        <v>30</v>
      </c>
      <c r="C1294" s="4">
        <v>45288</v>
      </c>
      <c r="D1294" s="3" t="s">
        <v>22</v>
      </c>
      <c r="E1294" s="3" t="s">
        <v>47</v>
      </c>
      <c r="F1294" s="5">
        <v>2</v>
      </c>
      <c r="G1294" s="6">
        <v>8.06</v>
      </c>
      <c r="H1294" s="6">
        <v>16.12</v>
      </c>
      <c r="I1294" s="6">
        <v>0</v>
      </c>
      <c r="J1294" s="6">
        <v>16.12</v>
      </c>
      <c r="K1294" s="5">
        <v>278</v>
      </c>
    </row>
    <row r="1295" spans="1:11" x14ac:dyDescent="0.3">
      <c r="A1295" s="3">
        <v>3303</v>
      </c>
      <c r="B1295" s="3" t="s">
        <v>14</v>
      </c>
      <c r="C1295" s="4">
        <v>45515</v>
      </c>
      <c r="D1295" s="3" t="s">
        <v>15</v>
      </c>
      <c r="E1295" s="3" t="s">
        <v>39</v>
      </c>
      <c r="F1295" s="5">
        <v>1</v>
      </c>
      <c r="G1295" s="6">
        <v>3.97</v>
      </c>
      <c r="H1295" s="6">
        <v>3.97</v>
      </c>
      <c r="I1295" s="6">
        <v>4.55</v>
      </c>
      <c r="J1295" s="6">
        <v>-0.57999999999999996</v>
      </c>
      <c r="K1295" s="5">
        <v>151</v>
      </c>
    </row>
    <row r="1296" spans="1:11" x14ac:dyDescent="0.3">
      <c r="A1296" s="3">
        <v>6301</v>
      </c>
      <c r="B1296" s="3" t="s">
        <v>24</v>
      </c>
      <c r="C1296" s="4">
        <v>45871</v>
      </c>
      <c r="D1296" s="3" t="s">
        <v>34</v>
      </c>
      <c r="E1296" s="3" t="s">
        <v>39</v>
      </c>
      <c r="F1296" s="5">
        <v>2</v>
      </c>
      <c r="G1296" s="6">
        <v>1.69</v>
      </c>
      <c r="H1296" s="6">
        <v>3.38</v>
      </c>
      <c r="I1296" s="6">
        <v>0.68</v>
      </c>
      <c r="J1296" s="6">
        <v>2.7</v>
      </c>
      <c r="K1296" s="5">
        <v>218</v>
      </c>
    </row>
    <row r="1297" spans="1:11" x14ac:dyDescent="0.3">
      <c r="A1297" s="3">
        <v>5064</v>
      </c>
      <c r="B1297" s="3" t="s">
        <v>36</v>
      </c>
      <c r="C1297" s="4">
        <v>45150</v>
      </c>
      <c r="D1297" s="3" t="s">
        <v>27</v>
      </c>
      <c r="E1297" s="3" t="s">
        <v>37</v>
      </c>
      <c r="F1297" s="5">
        <v>2</v>
      </c>
      <c r="G1297" s="6">
        <v>27.72</v>
      </c>
      <c r="H1297" s="6">
        <v>55.44</v>
      </c>
      <c r="I1297" s="6">
        <v>0</v>
      </c>
      <c r="J1297" s="6">
        <v>55.44</v>
      </c>
      <c r="K1297" s="5">
        <v>350</v>
      </c>
    </row>
    <row r="1298" spans="1:11" x14ac:dyDescent="0.3">
      <c r="A1298" s="3">
        <v>5272</v>
      </c>
      <c r="B1298" s="3" t="s">
        <v>11</v>
      </c>
      <c r="C1298" s="4">
        <v>45442</v>
      </c>
      <c r="D1298" s="3" t="s">
        <v>45</v>
      </c>
      <c r="E1298" s="3" t="s">
        <v>29</v>
      </c>
      <c r="F1298" s="5">
        <v>1</v>
      </c>
      <c r="G1298" s="6">
        <v>7.5</v>
      </c>
      <c r="H1298" s="6">
        <v>7.5</v>
      </c>
      <c r="I1298" s="6">
        <v>1.1200000000000001</v>
      </c>
      <c r="J1298" s="6">
        <v>6.38</v>
      </c>
      <c r="K1298" s="5">
        <v>489</v>
      </c>
    </row>
    <row r="1299" spans="1:11" x14ac:dyDescent="0.3">
      <c r="A1299" s="3">
        <v>4858</v>
      </c>
      <c r="B1299" s="3" t="s">
        <v>11</v>
      </c>
      <c r="C1299" s="4">
        <v>45491</v>
      </c>
      <c r="D1299" s="3" t="s">
        <v>28</v>
      </c>
      <c r="E1299" s="3" t="s">
        <v>21</v>
      </c>
      <c r="F1299" s="5">
        <v>1</v>
      </c>
      <c r="G1299" s="6">
        <v>11.44</v>
      </c>
      <c r="H1299" s="6">
        <v>11.44</v>
      </c>
      <c r="I1299" s="6">
        <v>3.42</v>
      </c>
      <c r="J1299" s="6">
        <v>8.02</v>
      </c>
      <c r="K1299" s="5">
        <v>473</v>
      </c>
    </row>
    <row r="1300" spans="1:11" x14ac:dyDescent="0.3">
      <c r="A1300" s="3">
        <v>5374</v>
      </c>
      <c r="B1300" s="3" t="s">
        <v>19</v>
      </c>
      <c r="C1300" s="4">
        <v>45401</v>
      </c>
      <c r="D1300" s="3" t="s">
        <v>20</v>
      </c>
      <c r="E1300" s="3" t="s">
        <v>46</v>
      </c>
      <c r="F1300" s="5">
        <v>3</v>
      </c>
      <c r="G1300" s="6">
        <v>18.38</v>
      </c>
      <c r="H1300" s="6">
        <v>55.14</v>
      </c>
      <c r="I1300" s="6">
        <v>11.03</v>
      </c>
      <c r="J1300" s="6">
        <v>44.11</v>
      </c>
      <c r="K1300" s="5">
        <v>347</v>
      </c>
    </row>
    <row r="1301" spans="1:11" x14ac:dyDescent="0.3">
      <c r="A1301" s="3">
        <v>5947</v>
      </c>
      <c r="B1301" s="3" t="s">
        <v>30</v>
      </c>
      <c r="C1301" s="4">
        <v>45597</v>
      </c>
      <c r="D1301" s="3" t="s">
        <v>28</v>
      </c>
      <c r="E1301" s="3" t="s">
        <v>37</v>
      </c>
      <c r="F1301" s="5">
        <v>3</v>
      </c>
      <c r="G1301" s="6">
        <v>26.38</v>
      </c>
      <c r="H1301" s="6">
        <v>79.14</v>
      </c>
      <c r="I1301" s="6">
        <v>0</v>
      </c>
      <c r="J1301" s="6">
        <v>79.14</v>
      </c>
      <c r="K1301" s="5">
        <v>138</v>
      </c>
    </row>
    <row r="1302" spans="1:11" x14ac:dyDescent="0.3">
      <c r="A1302" s="3">
        <v>1187</v>
      </c>
      <c r="B1302" s="3" t="s">
        <v>36</v>
      </c>
      <c r="C1302" s="4">
        <v>45348</v>
      </c>
      <c r="D1302" s="3" t="s">
        <v>35</v>
      </c>
      <c r="E1302" s="3" t="s">
        <v>43</v>
      </c>
      <c r="F1302" s="5">
        <v>1</v>
      </c>
      <c r="G1302" s="6">
        <v>25.98</v>
      </c>
      <c r="H1302" s="6">
        <v>25.98</v>
      </c>
      <c r="I1302" s="6">
        <v>0</v>
      </c>
      <c r="J1302" s="6">
        <v>25.98</v>
      </c>
      <c r="K1302" s="5">
        <v>500</v>
      </c>
    </row>
    <row r="1303" spans="1:11" x14ac:dyDescent="0.3">
      <c r="A1303" s="3">
        <v>6890</v>
      </c>
      <c r="B1303" s="3" t="s">
        <v>19</v>
      </c>
      <c r="C1303" s="4">
        <v>45683</v>
      </c>
      <c r="D1303" s="3" t="s">
        <v>22</v>
      </c>
      <c r="E1303" s="3" t="s">
        <v>41</v>
      </c>
      <c r="F1303" s="5">
        <v>4</v>
      </c>
      <c r="G1303" s="6">
        <v>13.94</v>
      </c>
      <c r="H1303" s="6">
        <v>55.76</v>
      </c>
      <c r="I1303" s="6">
        <v>1.45</v>
      </c>
      <c r="J1303" s="6">
        <v>54.31</v>
      </c>
      <c r="K1303" s="5">
        <v>407</v>
      </c>
    </row>
    <row r="1304" spans="1:11" x14ac:dyDescent="0.3">
      <c r="A1304" s="3">
        <v>4871</v>
      </c>
      <c r="B1304" s="3" t="s">
        <v>24</v>
      </c>
      <c r="C1304" s="4">
        <v>45193</v>
      </c>
      <c r="D1304" s="3" t="s">
        <v>35</v>
      </c>
      <c r="E1304" s="3" t="s">
        <v>41</v>
      </c>
      <c r="F1304" s="5">
        <v>1</v>
      </c>
      <c r="G1304" s="6">
        <v>10.36</v>
      </c>
      <c r="H1304" s="6">
        <v>10.36</v>
      </c>
      <c r="I1304" s="6">
        <v>1.04</v>
      </c>
      <c r="J1304" s="6">
        <v>9.32</v>
      </c>
      <c r="K1304" s="5">
        <v>65</v>
      </c>
    </row>
    <row r="1305" spans="1:11" x14ac:dyDescent="0.3">
      <c r="A1305" s="3">
        <v>2936</v>
      </c>
      <c r="B1305" s="3" t="s">
        <v>36</v>
      </c>
      <c r="C1305" s="4">
        <v>45506</v>
      </c>
      <c r="D1305" s="3" t="s">
        <v>22</v>
      </c>
      <c r="E1305" s="3" t="s">
        <v>47</v>
      </c>
      <c r="F1305" s="5">
        <v>4</v>
      </c>
      <c r="G1305" s="6">
        <v>14.95</v>
      </c>
      <c r="H1305" s="6">
        <v>59.8</v>
      </c>
      <c r="I1305" s="6">
        <v>4.17</v>
      </c>
      <c r="J1305" s="6">
        <v>55.63</v>
      </c>
      <c r="K1305" s="5">
        <v>498</v>
      </c>
    </row>
    <row r="1306" spans="1:11" x14ac:dyDescent="0.3">
      <c r="A1306" s="3">
        <v>6026</v>
      </c>
      <c r="B1306" s="3" t="s">
        <v>36</v>
      </c>
      <c r="C1306" s="4">
        <v>45269</v>
      </c>
      <c r="D1306" s="3" t="s">
        <v>34</v>
      </c>
      <c r="E1306" s="3" t="s">
        <v>25</v>
      </c>
      <c r="F1306" s="5">
        <v>4</v>
      </c>
      <c r="G1306" s="6">
        <v>13.13</v>
      </c>
      <c r="H1306" s="6">
        <v>52.52</v>
      </c>
      <c r="I1306" s="6">
        <v>3.14</v>
      </c>
      <c r="J1306" s="6">
        <v>49.38</v>
      </c>
      <c r="K1306" s="5">
        <v>254</v>
      </c>
    </row>
    <row r="1307" spans="1:11" x14ac:dyDescent="0.3">
      <c r="A1307" s="3">
        <v>7642</v>
      </c>
      <c r="B1307" s="3" t="s">
        <v>42</v>
      </c>
      <c r="C1307" s="4">
        <v>45677</v>
      </c>
      <c r="D1307" s="3" t="s">
        <v>20</v>
      </c>
      <c r="E1307" s="3" t="s">
        <v>43</v>
      </c>
      <c r="F1307" s="5">
        <v>5</v>
      </c>
      <c r="G1307" s="6">
        <v>21.72</v>
      </c>
      <c r="H1307" s="6">
        <v>108.6</v>
      </c>
      <c r="I1307" s="6">
        <v>0</v>
      </c>
      <c r="J1307" s="6">
        <v>108.6</v>
      </c>
      <c r="K1307" s="5">
        <v>269</v>
      </c>
    </row>
    <row r="1308" spans="1:11" x14ac:dyDescent="0.3">
      <c r="A1308" s="3">
        <v>9233</v>
      </c>
      <c r="B1308" s="3" t="s">
        <v>11</v>
      </c>
      <c r="C1308" s="4">
        <v>45861</v>
      </c>
      <c r="D1308" s="3" t="s">
        <v>17</v>
      </c>
      <c r="E1308" s="3" t="s">
        <v>23</v>
      </c>
      <c r="F1308" s="5">
        <v>1</v>
      </c>
      <c r="G1308" s="6">
        <v>6.89</v>
      </c>
      <c r="H1308" s="6">
        <v>6.89</v>
      </c>
      <c r="I1308" s="6">
        <v>1.03</v>
      </c>
      <c r="J1308" s="6">
        <v>5.86</v>
      </c>
      <c r="K1308" s="5">
        <v>435</v>
      </c>
    </row>
    <row r="1309" spans="1:11" x14ac:dyDescent="0.3">
      <c r="A1309" s="3">
        <v>6095</v>
      </c>
      <c r="B1309" s="3" t="s">
        <v>14</v>
      </c>
      <c r="C1309" s="4">
        <v>45681</v>
      </c>
      <c r="D1309" s="3" t="s">
        <v>45</v>
      </c>
      <c r="E1309" s="3" t="s">
        <v>41</v>
      </c>
      <c r="F1309" s="5">
        <v>1</v>
      </c>
      <c r="G1309" s="6">
        <v>2.72</v>
      </c>
      <c r="H1309" s="6">
        <v>2.72</v>
      </c>
      <c r="I1309" s="6">
        <v>0.54</v>
      </c>
      <c r="J1309" s="6">
        <v>2.1800000000000002</v>
      </c>
      <c r="K1309" s="5">
        <v>178</v>
      </c>
    </row>
    <row r="1310" spans="1:11" x14ac:dyDescent="0.3">
      <c r="A1310" s="3">
        <v>2923</v>
      </c>
      <c r="B1310" s="3" t="s">
        <v>30</v>
      </c>
      <c r="C1310" s="4">
        <v>45641</v>
      </c>
      <c r="D1310" s="3" t="s">
        <v>45</v>
      </c>
      <c r="E1310" s="3" t="s">
        <v>41</v>
      </c>
      <c r="F1310" s="5">
        <v>5</v>
      </c>
      <c r="G1310" s="6">
        <v>29.17</v>
      </c>
      <c r="H1310" s="6">
        <v>145.85</v>
      </c>
      <c r="I1310" s="6">
        <v>29.17</v>
      </c>
      <c r="J1310" s="6">
        <v>116.68</v>
      </c>
      <c r="K1310" s="5">
        <v>467</v>
      </c>
    </row>
    <row r="1311" spans="1:11" x14ac:dyDescent="0.3">
      <c r="A1311" s="3">
        <v>5833</v>
      </c>
      <c r="B1311" s="3" t="s">
        <v>42</v>
      </c>
      <c r="C1311" s="4">
        <v>45430</v>
      </c>
      <c r="D1311" s="3" t="s">
        <v>17</v>
      </c>
      <c r="E1311" s="3" t="s">
        <v>40</v>
      </c>
      <c r="F1311" s="5">
        <v>2</v>
      </c>
      <c r="G1311" s="6">
        <v>4.3899999999999997</v>
      </c>
      <c r="H1311" s="6">
        <v>8.7799999999999994</v>
      </c>
      <c r="I1311" s="6">
        <v>0.88</v>
      </c>
      <c r="J1311" s="6">
        <v>7.9</v>
      </c>
      <c r="K1311" s="5">
        <v>356</v>
      </c>
    </row>
    <row r="1312" spans="1:11" x14ac:dyDescent="0.3">
      <c r="A1312" s="3">
        <v>4618</v>
      </c>
      <c r="B1312" s="3" t="s">
        <v>31</v>
      </c>
      <c r="C1312" s="4">
        <v>45315</v>
      </c>
      <c r="D1312" s="3" t="s">
        <v>20</v>
      </c>
      <c r="E1312" s="3" t="s">
        <v>23</v>
      </c>
      <c r="F1312" s="5">
        <v>1</v>
      </c>
      <c r="G1312" s="6">
        <v>21.33</v>
      </c>
      <c r="H1312" s="6">
        <v>21.33</v>
      </c>
      <c r="I1312" s="6">
        <v>2.13</v>
      </c>
      <c r="J1312" s="6">
        <v>19.2</v>
      </c>
      <c r="K1312" s="5">
        <v>339</v>
      </c>
    </row>
    <row r="1313" spans="1:11" x14ac:dyDescent="0.3">
      <c r="A1313" s="3">
        <v>3188</v>
      </c>
      <c r="B1313" s="3" t="s">
        <v>19</v>
      </c>
      <c r="C1313" s="4">
        <v>45516</v>
      </c>
      <c r="D1313" s="3" t="s">
        <v>12</v>
      </c>
      <c r="E1313" s="3" t="s">
        <v>41</v>
      </c>
      <c r="F1313" s="5">
        <v>3</v>
      </c>
      <c r="G1313" s="6">
        <v>5.09</v>
      </c>
      <c r="H1313" s="6">
        <v>15.27</v>
      </c>
      <c r="I1313" s="6">
        <v>3.28</v>
      </c>
      <c r="J1313" s="6">
        <v>11.99</v>
      </c>
      <c r="K1313" s="5">
        <v>125</v>
      </c>
    </row>
    <row r="1314" spans="1:11" x14ac:dyDescent="0.3">
      <c r="A1314" s="3">
        <v>3509</v>
      </c>
      <c r="B1314" s="3" t="s">
        <v>24</v>
      </c>
      <c r="C1314" s="4">
        <v>45498</v>
      </c>
      <c r="D1314" s="3" t="s">
        <v>34</v>
      </c>
      <c r="E1314" s="3" t="s">
        <v>29</v>
      </c>
      <c r="F1314" s="5">
        <v>4</v>
      </c>
      <c r="G1314" s="6">
        <v>22.55</v>
      </c>
      <c r="H1314" s="6">
        <v>90.2</v>
      </c>
      <c r="I1314" s="6">
        <v>9.02</v>
      </c>
      <c r="J1314" s="6">
        <v>81.180000000000007</v>
      </c>
      <c r="K1314" s="5">
        <v>383</v>
      </c>
    </row>
    <row r="1315" spans="1:11" x14ac:dyDescent="0.3">
      <c r="A1315" s="3">
        <v>7121</v>
      </c>
      <c r="B1315" s="3" t="s">
        <v>24</v>
      </c>
      <c r="C1315" s="4">
        <v>45467</v>
      </c>
      <c r="D1315" s="3" t="s">
        <v>22</v>
      </c>
      <c r="E1315" s="3" t="s">
        <v>33</v>
      </c>
      <c r="F1315" s="5">
        <v>1</v>
      </c>
      <c r="G1315" s="6">
        <v>9.31</v>
      </c>
      <c r="H1315" s="6">
        <v>9.31</v>
      </c>
      <c r="I1315" s="6">
        <v>0</v>
      </c>
      <c r="J1315" s="6">
        <v>9.31</v>
      </c>
      <c r="K1315" s="5">
        <v>79</v>
      </c>
    </row>
    <row r="1316" spans="1:11" x14ac:dyDescent="0.3">
      <c r="A1316" s="3">
        <v>9998</v>
      </c>
      <c r="B1316" s="3" t="s">
        <v>31</v>
      </c>
      <c r="C1316" s="4">
        <v>45853</v>
      </c>
      <c r="D1316" s="3" t="s">
        <v>28</v>
      </c>
      <c r="E1316" s="3" t="s">
        <v>29</v>
      </c>
      <c r="F1316" s="5">
        <v>5</v>
      </c>
      <c r="G1316" s="6">
        <v>5.64</v>
      </c>
      <c r="H1316" s="6">
        <v>28.2</v>
      </c>
      <c r="I1316" s="6">
        <v>0</v>
      </c>
      <c r="J1316" s="6">
        <v>28.2</v>
      </c>
      <c r="K1316" s="5">
        <v>202</v>
      </c>
    </row>
    <row r="1317" spans="1:11" x14ac:dyDescent="0.3">
      <c r="A1317" s="3">
        <v>8714</v>
      </c>
      <c r="B1317" s="3" t="s">
        <v>26</v>
      </c>
      <c r="C1317" s="4">
        <v>45733</v>
      </c>
      <c r="D1317" s="3" t="s">
        <v>38</v>
      </c>
      <c r="E1317" s="3" t="s">
        <v>13</v>
      </c>
      <c r="F1317" s="5">
        <v>5</v>
      </c>
      <c r="G1317" s="6">
        <v>15.54</v>
      </c>
      <c r="H1317" s="6">
        <v>77.7</v>
      </c>
      <c r="I1317" s="6">
        <v>7.77</v>
      </c>
      <c r="J1317" s="6">
        <v>69.930000000000007</v>
      </c>
      <c r="K1317" s="5">
        <v>363</v>
      </c>
    </row>
    <row r="1318" spans="1:11" x14ac:dyDescent="0.3">
      <c r="A1318" s="3">
        <v>9806</v>
      </c>
      <c r="B1318" s="3" t="s">
        <v>19</v>
      </c>
      <c r="C1318" s="4">
        <v>45767</v>
      </c>
      <c r="D1318" s="3" t="s">
        <v>35</v>
      </c>
      <c r="E1318" s="3" t="s">
        <v>43</v>
      </c>
      <c r="F1318" s="5">
        <v>5</v>
      </c>
      <c r="G1318" s="6">
        <v>11.94</v>
      </c>
      <c r="H1318" s="6">
        <v>59.7</v>
      </c>
      <c r="I1318" s="6">
        <v>0</v>
      </c>
      <c r="J1318" s="6">
        <v>59.7</v>
      </c>
      <c r="K1318" s="5">
        <v>486</v>
      </c>
    </row>
    <row r="1319" spans="1:11" x14ac:dyDescent="0.3">
      <c r="A1319" s="3">
        <v>4578</v>
      </c>
      <c r="B1319" s="3" t="s">
        <v>42</v>
      </c>
      <c r="C1319" s="4">
        <v>45736</v>
      </c>
      <c r="D1319" s="3" t="s">
        <v>20</v>
      </c>
      <c r="E1319" s="3" t="s">
        <v>40</v>
      </c>
      <c r="F1319" s="5">
        <v>2</v>
      </c>
      <c r="G1319" s="6">
        <v>12.37</v>
      </c>
      <c r="H1319" s="6">
        <v>24.74</v>
      </c>
      <c r="I1319" s="6">
        <v>0</v>
      </c>
      <c r="J1319" s="6">
        <v>24.74</v>
      </c>
      <c r="K1319" s="5">
        <v>421</v>
      </c>
    </row>
    <row r="1320" spans="1:11" x14ac:dyDescent="0.3">
      <c r="A1320" s="3">
        <v>5054</v>
      </c>
      <c r="B1320" s="3" t="s">
        <v>26</v>
      </c>
      <c r="C1320" s="4">
        <v>45673</v>
      </c>
      <c r="D1320" s="3" t="s">
        <v>45</v>
      </c>
      <c r="E1320" s="3" t="s">
        <v>21</v>
      </c>
      <c r="F1320" s="5">
        <v>4</v>
      </c>
      <c r="G1320" s="6">
        <v>24.98</v>
      </c>
      <c r="H1320" s="6">
        <v>99.92</v>
      </c>
      <c r="I1320" s="6">
        <v>14.99</v>
      </c>
      <c r="J1320" s="6">
        <v>84.93</v>
      </c>
      <c r="K1320" s="5">
        <v>84</v>
      </c>
    </row>
    <row r="1321" spans="1:11" x14ac:dyDescent="0.3">
      <c r="A1321" s="3">
        <v>2341</v>
      </c>
      <c r="B1321" s="3" t="s">
        <v>24</v>
      </c>
      <c r="C1321" s="4">
        <v>45553</v>
      </c>
      <c r="D1321" s="3" t="s">
        <v>17</v>
      </c>
      <c r="E1321" s="3" t="s">
        <v>13</v>
      </c>
      <c r="F1321" s="5">
        <v>1</v>
      </c>
      <c r="G1321" s="6">
        <v>4.0199999999999996</v>
      </c>
      <c r="H1321" s="6">
        <v>4.0199999999999996</v>
      </c>
      <c r="I1321" s="6">
        <v>1.96</v>
      </c>
      <c r="J1321" s="6">
        <v>2.06</v>
      </c>
      <c r="K1321" s="5">
        <v>185</v>
      </c>
    </row>
    <row r="1322" spans="1:11" x14ac:dyDescent="0.3">
      <c r="A1322" s="3">
        <v>8319</v>
      </c>
      <c r="B1322" s="3" t="s">
        <v>19</v>
      </c>
      <c r="C1322" s="4">
        <v>45555</v>
      </c>
      <c r="D1322" s="3" t="s">
        <v>38</v>
      </c>
      <c r="E1322" s="3" t="s">
        <v>48</v>
      </c>
      <c r="F1322" s="5">
        <v>1</v>
      </c>
      <c r="G1322" s="6">
        <v>7.14</v>
      </c>
      <c r="H1322" s="6">
        <v>7.14</v>
      </c>
      <c r="I1322" s="6">
        <v>1.43</v>
      </c>
      <c r="J1322" s="6">
        <v>5.71</v>
      </c>
      <c r="K1322" s="5">
        <v>5</v>
      </c>
    </row>
    <row r="1323" spans="1:11" x14ac:dyDescent="0.3">
      <c r="A1323" s="3">
        <v>6927</v>
      </c>
      <c r="B1323" s="3" t="s">
        <v>14</v>
      </c>
      <c r="C1323" s="4">
        <v>45205</v>
      </c>
      <c r="D1323" s="3" t="s">
        <v>17</v>
      </c>
      <c r="E1323" s="3" t="s">
        <v>40</v>
      </c>
      <c r="F1323" s="5">
        <v>2</v>
      </c>
      <c r="G1323" s="6">
        <v>8.8000000000000007</v>
      </c>
      <c r="H1323" s="6">
        <v>17.600000000000001</v>
      </c>
      <c r="I1323" s="6">
        <v>4.95</v>
      </c>
      <c r="J1323" s="6">
        <v>12.65</v>
      </c>
      <c r="K1323" s="5">
        <v>500</v>
      </c>
    </row>
    <row r="1324" spans="1:11" x14ac:dyDescent="0.3">
      <c r="A1324" s="3">
        <v>2838</v>
      </c>
      <c r="B1324" s="3" t="s">
        <v>26</v>
      </c>
      <c r="C1324" s="4">
        <v>45192</v>
      </c>
      <c r="D1324" s="3" t="s">
        <v>12</v>
      </c>
      <c r="E1324" s="3" t="s">
        <v>40</v>
      </c>
      <c r="F1324" s="5">
        <v>3</v>
      </c>
      <c r="G1324" s="6">
        <v>3.69</v>
      </c>
      <c r="H1324" s="6">
        <v>11.07</v>
      </c>
      <c r="I1324" s="6">
        <v>1.66</v>
      </c>
      <c r="J1324" s="6">
        <v>9.41</v>
      </c>
      <c r="K1324" s="5">
        <v>158</v>
      </c>
    </row>
    <row r="1325" spans="1:11" x14ac:dyDescent="0.3">
      <c r="A1325" s="3">
        <v>9972</v>
      </c>
      <c r="B1325" s="3" t="s">
        <v>30</v>
      </c>
      <c r="C1325" s="4">
        <v>45846</v>
      </c>
      <c r="D1325" s="3" t="s">
        <v>20</v>
      </c>
      <c r="E1325" s="3" t="s">
        <v>46</v>
      </c>
      <c r="F1325" s="5">
        <v>2</v>
      </c>
      <c r="G1325" s="6">
        <v>10.11</v>
      </c>
      <c r="H1325" s="6">
        <v>20.22</v>
      </c>
      <c r="I1325" s="6">
        <v>4.04</v>
      </c>
      <c r="J1325" s="6">
        <v>16.18</v>
      </c>
      <c r="K1325" s="5">
        <v>200</v>
      </c>
    </row>
    <row r="1326" spans="1:11" x14ac:dyDescent="0.3">
      <c r="A1326" s="3">
        <v>9281</v>
      </c>
      <c r="B1326" s="3" t="s">
        <v>11</v>
      </c>
      <c r="C1326" s="4">
        <v>45302</v>
      </c>
      <c r="D1326" s="3" t="s">
        <v>22</v>
      </c>
      <c r="E1326" s="3" t="s">
        <v>16</v>
      </c>
      <c r="F1326" s="5">
        <v>5</v>
      </c>
      <c r="G1326" s="6">
        <v>3.92</v>
      </c>
      <c r="H1326" s="6">
        <v>19.600000000000001</v>
      </c>
      <c r="I1326" s="6">
        <v>3.35</v>
      </c>
      <c r="J1326" s="6">
        <v>16.25</v>
      </c>
      <c r="K1326" s="5">
        <v>413</v>
      </c>
    </row>
    <row r="1327" spans="1:11" x14ac:dyDescent="0.3">
      <c r="A1327" s="3">
        <v>9792</v>
      </c>
      <c r="B1327" s="3" t="s">
        <v>24</v>
      </c>
      <c r="C1327" s="4">
        <v>45261</v>
      </c>
      <c r="D1327" s="3" t="s">
        <v>45</v>
      </c>
      <c r="E1327" s="3" t="s">
        <v>40</v>
      </c>
      <c r="F1327" s="5">
        <v>3</v>
      </c>
      <c r="G1327" s="6">
        <v>5.67</v>
      </c>
      <c r="H1327" s="6">
        <v>17.010000000000002</v>
      </c>
      <c r="I1327" s="6">
        <v>4.54</v>
      </c>
      <c r="J1327" s="6">
        <v>12.47</v>
      </c>
      <c r="K1327" s="5">
        <v>349</v>
      </c>
    </row>
    <row r="1328" spans="1:11" x14ac:dyDescent="0.3">
      <c r="A1328" s="3">
        <v>3695</v>
      </c>
      <c r="B1328" s="3" t="s">
        <v>11</v>
      </c>
      <c r="C1328" s="4">
        <v>45399</v>
      </c>
      <c r="D1328" s="3" t="s">
        <v>17</v>
      </c>
      <c r="E1328" s="3" t="s">
        <v>44</v>
      </c>
      <c r="F1328" s="5">
        <v>2</v>
      </c>
      <c r="G1328" s="6">
        <v>23.29</v>
      </c>
      <c r="H1328" s="6">
        <v>46.58</v>
      </c>
      <c r="I1328" s="6">
        <v>4.66</v>
      </c>
      <c r="J1328" s="6">
        <v>41.92</v>
      </c>
      <c r="K1328" s="5">
        <v>82</v>
      </c>
    </row>
    <row r="1329" spans="1:11" x14ac:dyDescent="0.3">
      <c r="A1329" s="3">
        <v>9525</v>
      </c>
      <c r="B1329" s="3" t="s">
        <v>19</v>
      </c>
      <c r="C1329" s="4">
        <v>45488</v>
      </c>
      <c r="D1329" s="3" t="s">
        <v>22</v>
      </c>
      <c r="E1329" s="3" t="s">
        <v>37</v>
      </c>
      <c r="F1329" s="5">
        <v>3</v>
      </c>
      <c r="G1329" s="6">
        <v>19.07</v>
      </c>
      <c r="H1329" s="6">
        <v>57.21</v>
      </c>
      <c r="I1329" s="6">
        <v>4.5599999999999996</v>
      </c>
      <c r="J1329" s="6">
        <v>52.65</v>
      </c>
      <c r="K1329" s="5">
        <v>481</v>
      </c>
    </row>
    <row r="1330" spans="1:11" x14ac:dyDescent="0.3">
      <c r="A1330" s="3">
        <v>2904</v>
      </c>
      <c r="B1330" s="3" t="s">
        <v>24</v>
      </c>
      <c r="C1330" s="4">
        <v>45673</v>
      </c>
      <c r="D1330" s="3" t="s">
        <v>17</v>
      </c>
      <c r="E1330" s="3" t="s">
        <v>44</v>
      </c>
      <c r="F1330" s="5">
        <v>5</v>
      </c>
      <c r="G1330" s="6">
        <v>18.59</v>
      </c>
      <c r="H1330" s="6">
        <v>92.95</v>
      </c>
      <c r="I1330" s="6">
        <v>3.51</v>
      </c>
      <c r="J1330" s="6">
        <v>89.44</v>
      </c>
      <c r="K1330" s="5">
        <v>490</v>
      </c>
    </row>
    <row r="1331" spans="1:11" x14ac:dyDescent="0.3">
      <c r="A1331" s="3">
        <v>4365</v>
      </c>
      <c r="B1331" s="3" t="s">
        <v>26</v>
      </c>
      <c r="C1331" s="4">
        <v>45701</v>
      </c>
      <c r="D1331" s="3" t="s">
        <v>15</v>
      </c>
      <c r="E1331" s="3" t="s">
        <v>39</v>
      </c>
      <c r="F1331" s="5">
        <v>2</v>
      </c>
      <c r="G1331" s="6">
        <v>23.21</v>
      </c>
      <c r="H1331" s="6">
        <v>46.42</v>
      </c>
      <c r="I1331" s="6">
        <v>4.6399999999999997</v>
      </c>
      <c r="J1331" s="6">
        <v>41.78</v>
      </c>
      <c r="K1331" s="5">
        <v>158</v>
      </c>
    </row>
    <row r="1332" spans="1:11" x14ac:dyDescent="0.3">
      <c r="A1332" s="3">
        <v>9008</v>
      </c>
      <c r="B1332" s="3" t="s">
        <v>11</v>
      </c>
      <c r="C1332" s="4">
        <v>45215</v>
      </c>
      <c r="D1332" s="3" t="s">
        <v>45</v>
      </c>
      <c r="E1332" s="3" t="s">
        <v>21</v>
      </c>
      <c r="F1332" s="5">
        <v>2</v>
      </c>
      <c r="G1332" s="6">
        <v>28.08</v>
      </c>
      <c r="H1332" s="6">
        <v>56.16</v>
      </c>
      <c r="I1332" s="6">
        <v>8.42</v>
      </c>
      <c r="J1332" s="6">
        <v>47.74</v>
      </c>
      <c r="K1332" s="5">
        <v>82</v>
      </c>
    </row>
    <row r="1333" spans="1:11" x14ac:dyDescent="0.3">
      <c r="A1333" s="3">
        <v>9361</v>
      </c>
      <c r="B1333" s="3" t="s">
        <v>36</v>
      </c>
      <c r="C1333" s="4">
        <v>45491</v>
      </c>
      <c r="D1333" s="3" t="s">
        <v>22</v>
      </c>
      <c r="E1333" s="3" t="s">
        <v>43</v>
      </c>
      <c r="F1333" s="5">
        <v>1</v>
      </c>
      <c r="G1333" s="6">
        <v>6.19</v>
      </c>
      <c r="H1333" s="6">
        <v>6.19</v>
      </c>
      <c r="I1333" s="6">
        <v>0.93</v>
      </c>
      <c r="J1333" s="6">
        <v>5.26</v>
      </c>
      <c r="K1333" s="5">
        <v>395</v>
      </c>
    </row>
    <row r="1334" spans="1:11" x14ac:dyDescent="0.3">
      <c r="A1334" s="3">
        <v>1911</v>
      </c>
      <c r="B1334" s="3" t="s">
        <v>26</v>
      </c>
      <c r="C1334" s="4">
        <v>45497</v>
      </c>
      <c r="D1334" s="3" t="s">
        <v>35</v>
      </c>
      <c r="E1334" s="3" t="s">
        <v>33</v>
      </c>
      <c r="F1334" s="5">
        <v>2</v>
      </c>
      <c r="G1334" s="6">
        <v>28.25</v>
      </c>
      <c r="H1334" s="6">
        <v>56.5</v>
      </c>
      <c r="I1334" s="6">
        <v>2.4500000000000002</v>
      </c>
      <c r="J1334" s="6">
        <v>54.05</v>
      </c>
      <c r="K1334" s="5">
        <v>497</v>
      </c>
    </row>
    <row r="1335" spans="1:11" x14ac:dyDescent="0.3">
      <c r="A1335" s="3">
        <v>3161</v>
      </c>
      <c r="B1335" s="3" t="s">
        <v>30</v>
      </c>
      <c r="C1335" s="4">
        <v>45543</v>
      </c>
      <c r="D1335" s="3" t="s">
        <v>20</v>
      </c>
      <c r="E1335" s="3" t="s">
        <v>16</v>
      </c>
      <c r="F1335" s="5">
        <v>5</v>
      </c>
      <c r="G1335" s="6">
        <v>27.59</v>
      </c>
      <c r="H1335" s="6">
        <v>137.94999999999999</v>
      </c>
      <c r="I1335" s="6">
        <v>20.69</v>
      </c>
      <c r="J1335" s="6">
        <v>117.26</v>
      </c>
      <c r="K1335" s="5">
        <v>66</v>
      </c>
    </row>
    <row r="1336" spans="1:11" x14ac:dyDescent="0.3">
      <c r="A1336" s="3">
        <v>7806</v>
      </c>
      <c r="B1336" s="3" t="s">
        <v>14</v>
      </c>
      <c r="C1336" s="4">
        <v>45499</v>
      </c>
      <c r="D1336" s="3" t="s">
        <v>28</v>
      </c>
      <c r="E1336" s="3" t="s">
        <v>21</v>
      </c>
      <c r="F1336" s="5">
        <v>3</v>
      </c>
      <c r="G1336" s="6">
        <v>3.41</v>
      </c>
      <c r="H1336" s="6">
        <v>10.23</v>
      </c>
      <c r="I1336" s="6">
        <v>1.53</v>
      </c>
      <c r="J1336" s="6">
        <v>8.6999999999999993</v>
      </c>
      <c r="K1336" s="5">
        <v>211</v>
      </c>
    </row>
    <row r="1337" spans="1:11" x14ac:dyDescent="0.3">
      <c r="A1337" s="3">
        <v>1945</v>
      </c>
      <c r="B1337" s="3" t="s">
        <v>31</v>
      </c>
      <c r="C1337" s="4">
        <v>45579</v>
      </c>
      <c r="D1337" s="3" t="s">
        <v>28</v>
      </c>
      <c r="E1337" s="3" t="s">
        <v>40</v>
      </c>
      <c r="F1337" s="5">
        <v>2</v>
      </c>
      <c r="G1337" s="6">
        <v>21.28</v>
      </c>
      <c r="H1337" s="6">
        <v>42.56</v>
      </c>
      <c r="I1337" s="6">
        <v>8.51</v>
      </c>
      <c r="J1337" s="6">
        <v>34.049999999999997</v>
      </c>
      <c r="K1337" s="5">
        <v>287</v>
      </c>
    </row>
    <row r="1338" spans="1:11" x14ac:dyDescent="0.3">
      <c r="A1338" s="3">
        <v>8575</v>
      </c>
      <c r="B1338" s="3" t="s">
        <v>11</v>
      </c>
      <c r="C1338" s="4">
        <v>45667</v>
      </c>
      <c r="D1338" s="3" t="s">
        <v>35</v>
      </c>
      <c r="E1338" s="3" t="s">
        <v>32</v>
      </c>
      <c r="F1338" s="5">
        <v>2</v>
      </c>
      <c r="G1338" s="6">
        <v>17.52</v>
      </c>
      <c r="H1338" s="6">
        <v>35.04</v>
      </c>
      <c r="I1338" s="6">
        <v>7.01</v>
      </c>
      <c r="J1338" s="6">
        <v>28.03</v>
      </c>
      <c r="K1338" s="5">
        <v>437</v>
      </c>
    </row>
    <row r="1339" spans="1:11" x14ac:dyDescent="0.3">
      <c r="A1339" s="3">
        <v>6049</v>
      </c>
      <c r="B1339" s="3" t="s">
        <v>24</v>
      </c>
      <c r="C1339" s="4">
        <v>45706</v>
      </c>
      <c r="D1339" s="3" t="s">
        <v>45</v>
      </c>
      <c r="E1339" s="3" t="s">
        <v>43</v>
      </c>
      <c r="F1339" s="5">
        <v>3</v>
      </c>
      <c r="G1339" s="6">
        <v>14.5</v>
      </c>
      <c r="H1339" s="6">
        <v>43.5</v>
      </c>
      <c r="I1339" s="6">
        <v>1.34</v>
      </c>
      <c r="J1339" s="6">
        <v>42.16</v>
      </c>
      <c r="K1339" s="5">
        <v>328</v>
      </c>
    </row>
    <row r="1340" spans="1:11" x14ac:dyDescent="0.3">
      <c r="A1340" s="3">
        <v>1356</v>
      </c>
      <c r="B1340" s="3" t="s">
        <v>11</v>
      </c>
      <c r="C1340" s="4">
        <v>45452</v>
      </c>
      <c r="D1340" s="3" t="s">
        <v>20</v>
      </c>
      <c r="E1340" s="3" t="s">
        <v>16</v>
      </c>
      <c r="F1340" s="5">
        <v>2</v>
      </c>
      <c r="G1340" s="6">
        <v>12.63</v>
      </c>
      <c r="H1340" s="6">
        <v>25.26</v>
      </c>
      <c r="I1340" s="6">
        <v>3.79</v>
      </c>
      <c r="J1340" s="6">
        <v>21.47</v>
      </c>
      <c r="K1340" s="5">
        <v>33</v>
      </c>
    </row>
    <row r="1341" spans="1:11" x14ac:dyDescent="0.3">
      <c r="A1341" s="3">
        <v>5169</v>
      </c>
      <c r="B1341" s="3" t="s">
        <v>26</v>
      </c>
      <c r="C1341" s="4">
        <v>45779</v>
      </c>
      <c r="D1341" s="3" t="s">
        <v>17</v>
      </c>
      <c r="E1341" s="3" t="s">
        <v>47</v>
      </c>
      <c r="F1341" s="5">
        <v>1</v>
      </c>
      <c r="G1341" s="6">
        <v>9.06</v>
      </c>
      <c r="H1341" s="6">
        <v>9.06</v>
      </c>
      <c r="I1341" s="6">
        <v>0.91</v>
      </c>
      <c r="J1341" s="6">
        <v>8.15</v>
      </c>
      <c r="K1341" s="5">
        <v>19</v>
      </c>
    </row>
    <row r="1342" spans="1:11" x14ac:dyDescent="0.3">
      <c r="A1342" s="3">
        <v>1049</v>
      </c>
      <c r="B1342" s="3" t="s">
        <v>19</v>
      </c>
      <c r="C1342" s="4">
        <v>45724</v>
      </c>
      <c r="D1342" s="3" t="s">
        <v>27</v>
      </c>
      <c r="E1342" s="3" t="s">
        <v>44</v>
      </c>
      <c r="F1342" s="5">
        <v>3</v>
      </c>
      <c r="G1342" s="6">
        <v>17.47</v>
      </c>
      <c r="H1342" s="6">
        <v>52.41</v>
      </c>
      <c r="I1342" s="6">
        <v>4.75</v>
      </c>
      <c r="J1342" s="6">
        <v>47.66</v>
      </c>
      <c r="K1342" s="5">
        <v>307</v>
      </c>
    </row>
    <row r="1343" spans="1:11" x14ac:dyDescent="0.3">
      <c r="A1343" s="3">
        <v>4570</v>
      </c>
      <c r="B1343" s="3" t="s">
        <v>36</v>
      </c>
      <c r="C1343" s="4">
        <v>45594</v>
      </c>
      <c r="D1343" s="3" t="s">
        <v>20</v>
      </c>
      <c r="E1343" s="3" t="s">
        <v>47</v>
      </c>
      <c r="F1343" s="5">
        <v>2</v>
      </c>
      <c r="G1343" s="6">
        <v>2.56</v>
      </c>
      <c r="H1343" s="6">
        <v>5.12</v>
      </c>
      <c r="I1343" s="6">
        <v>0</v>
      </c>
      <c r="J1343" s="6">
        <v>5.12</v>
      </c>
      <c r="K1343" s="5">
        <v>444</v>
      </c>
    </row>
    <row r="1344" spans="1:11" x14ac:dyDescent="0.3">
      <c r="A1344" s="3">
        <v>2196</v>
      </c>
      <c r="B1344" s="3" t="s">
        <v>24</v>
      </c>
      <c r="C1344" s="4">
        <v>45180</v>
      </c>
      <c r="D1344" s="3" t="s">
        <v>35</v>
      </c>
      <c r="E1344" s="3" t="s">
        <v>13</v>
      </c>
      <c r="F1344" s="5">
        <v>2</v>
      </c>
      <c r="G1344" s="6">
        <v>3.41</v>
      </c>
      <c r="H1344" s="6">
        <v>6.82</v>
      </c>
      <c r="I1344" s="6">
        <v>0.68</v>
      </c>
      <c r="J1344" s="6">
        <v>6.14</v>
      </c>
      <c r="K1344" s="5">
        <v>35</v>
      </c>
    </row>
    <row r="1345" spans="1:11" x14ac:dyDescent="0.3">
      <c r="A1345" s="3">
        <v>7941</v>
      </c>
      <c r="B1345" s="3" t="s">
        <v>11</v>
      </c>
      <c r="C1345" s="4">
        <v>45412</v>
      </c>
      <c r="D1345" s="3" t="s">
        <v>35</v>
      </c>
      <c r="E1345" s="3" t="s">
        <v>33</v>
      </c>
      <c r="F1345" s="5">
        <v>4</v>
      </c>
      <c r="G1345" s="6">
        <v>16.21</v>
      </c>
      <c r="H1345" s="6">
        <v>64.84</v>
      </c>
      <c r="I1345" s="6">
        <v>12.97</v>
      </c>
      <c r="J1345" s="6">
        <v>51.87</v>
      </c>
      <c r="K1345" s="5">
        <v>342</v>
      </c>
    </row>
    <row r="1346" spans="1:11" x14ac:dyDescent="0.3">
      <c r="A1346" s="3">
        <v>2044</v>
      </c>
      <c r="B1346" s="3" t="s">
        <v>31</v>
      </c>
      <c r="C1346" s="4">
        <v>45565</v>
      </c>
      <c r="D1346" s="3" t="s">
        <v>15</v>
      </c>
      <c r="E1346" s="3" t="s">
        <v>16</v>
      </c>
      <c r="F1346" s="5">
        <v>3</v>
      </c>
      <c r="G1346" s="6">
        <v>28.93</v>
      </c>
      <c r="H1346" s="6">
        <v>86.79</v>
      </c>
      <c r="I1346" s="6">
        <v>17.36</v>
      </c>
      <c r="J1346" s="6">
        <v>69.430000000000007</v>
      </c>
      <c r="K1346" s="5">
        <v>152</v>
      </c>
    </row>
    <row r="1347" spans="1:11" x14ac:dyDescent="0.3">
      <c r="A1347" s="3">
        <v>1987</v>
      </c>
      <c r="B1347" s="3" t="s">
        <v>36</v>
      </c>
      <c r="C1347" s="4">
        <v>45870</v>
      </c>
      <c r="D1347" s="3" t="s">
        <v>20</v>
      </c>
      <c r="E1347" s="3" t="s">
        <v>47</v>
      </c>
      <c r="F1347" s="5">
        <v>4</v>
      </c>
      <c r="G1347" s="6">
        <v>16.52</v>
      </c>
      <c r="H1347" s="6">
        <v>66.08</v>
      </c>
      <c r="I1347" s="6">
        <v>0</v>
      </c>
      <c r="J1347" s="6">
        <v>66.08</v>
      </c>
      <c r="K1347" s="5">
        <v>401</v>
      </c>
    </row>
    <row r="1348" spans="1:11" x14ac:dyDescent="0.3">
      <c r="A1348" s="3">
        <v>2130</v>
      </c>
      <c r="B1348" s="3" t="s">
        <v>24</v>
      </c>
      <c r="C1348" s="4">
        <v>45870</v>
      </c>
      <c r="D1348" s="3" t="s">
        <v>22</v>
      </c>
      <c r="E1348" s="3" t="s">
        <v>32</v>
      </c>
      <c r="F1348" s="5">
        <v>1</v>
      </c>
      <c r="G1348" s="6">
        <v>17.260000000000002</v>
      </c>
      <c r="H1348" s="6">
        <v>17.260000000000002</v>
      </c>
      <c r="I1348" s="6">
        <v>3.89</v>
      </c>
      <c r="J1348" s="6">
        <v>13.37</v>
      </c>
      <c r="K1348" s="5">
        <v>457</v>
      </c>
    </row>
    <row r="1349" spans="1:11" x14ac:dyDescent="0.3">
      <c r="A1349" s="3">
        <v>8734</v>
      </c>
      <c r="B1349" s="3" t="s">
        <v>19</v>
      </c>
      <c r="C1349" s="4">
        <v>45169</v>
      </c>
      <c r="D1349" s="3" t="s">
        <v>22</v>
      </c>
      <c r="E1349" s="3" t="s">
        <v>21</v>
      </c>
      <c r="F1349" s="5">
        <v>1</v>
      </c>
      <c r="G1349" s="6">
        <v>5.35</v>
      </c>
      <c r="H1349" s="6">
        <v>5.35</v>
      </c>
      <c r="I1349" s="6">
        <v>0.54</v>
      </c>
      <c r="J1349" s="6">
        <v>4.8099999999999996</v>
      </c>
      <c r="K1349" s="5">
        <v>234</v>
      </c>
    </row>
    <row r="1350" spans="1:11" x14ac:dyDescent="0.3">
      <c r="A1350" s="3">
        <v>5703</v>
      </c>
      <c r="B1350" s="3" t="s">
        <v>36</v>
      </c>
      <c r="C1350" s="4">
        <v>45462</v>
      </c>
      <c r="D1350" s="3" t="s">
        <v>15</v>
      </c>
      <c r="E1350" s="3" t="s">
        <v>16</v>
      </c>
      <c r="F1350" s="5">
        <v>3</v>
      </c>
      <c r="G1350" s="6">
        <v>16.09</v>
      </c>
      <c r="H1350" s="6">
        <v>48.27</v>
      </c>
      <c r="I1350" s="6">
        <v>9.65</v>
      </c>
      <c r="J1350" s="6">
        <v>38.619999999999997</v>
      </c>
      <c r="K1350" s="5">
        <v>1</v>
      </c>
    </row>
    <row r="1351" spans="1:11" x14ac:dyDescent="0.3">
      <c r="A1351" s="3">
        <v>3948</v>
      </c>
      <c r="B1351" s="3" t="s">
        <v>26</v>
      </c>
      <c r="C1351" s="4">
        <v>45742</v>
      </c>
      <c r="D1351" s="3" t="s">
        <v>27</v>
      </c>
      <c r="E1351" s="3" t="s">
        <v>48</v>
      </c>
      <c r="F1351" s="5">
        <v>1</v>
      </c>
      <c r="G1351" s="6">
        <v>7.33</v>
      </c>
      <c r="H1351" s="6">
        <v>7.33</v>
      </c>
      <c r="I1351" s="6">
        <v>0</v>
      </c>
      <c r="J1351" s="6">
        <v>7.33</v>
      </c>
      <c r="K1351" s="5">
        <v>96</v>
      </c>
    </row>
    <row r="1352" spans="1:11" x14ac:dyDescent="0.3">
      <c r="A1352" s="3">
        <v>3218</v>
      </c>
      <c r="B1352" s="3" t="s">
        <v>14</v>
      </c>
      <c r="C1352" s="4">
        <v>45739</v>
      </c>
      <c r="D1352" s="3" t="s">
        <v>34</v>
      </c>
      <c r="E1352" s="3" t="s">
        <v>32</v>
      </c>
      <c r="F1352" s="5">
        <v>2</v>
      </c>
      <c r="G1352" s="6">
        <v>11.08</v>
      </c>
      <c r="H1352" s="6">
        <v>22.16</v>
      </c>
      <c r="I1352" s="6">
        <v>0</v>
      </c>
      <c r="J1352" s="6">
        <v>22.16</v>
      </c>
      <c r="K1352" s="5">
        <v>487</v>
      </c>
    </row>
    <row r="1353" spans="1:11" x14ac:dyDescent="0.3">
      <c r="A1353" s="3">
        <v>7887</v>
      </c>
      <c r="B1353" s="3"/>
      <c r="C1353" s="4">
        <v>45435</v>
      </c>
      <c r="D1353" s="3" t="s">
        <v>22</v>
      </c>
      <c r="E1353" s="3" t="s">
        <v>23</v>
      </c>
      <c r="F1353" s="5">
        <v>1</v>
      </c>
      <c r="G1353" s="6">
        <v>9.75</v>
      </c>
      <c r="H1353" s="6">
        <v>9.75</v>
      </c>
      <c r="I1353" s="6">
        <v>0</v>
      </c>
      <c r="J1353" s="6">
        <v>9.75</v>
      </c>
      <c r="K1353" s="5">
        <v>157</v>
      </c>
    </row>
    <row r="1354" spans="1:11" x14ac:dyDescent="0.3">
      <c r="A1354" s="3">
        <v>7266</v>
      </c>
      <c r="B1354" s="3" t="s">
        <v>26</v>
      </c>
      <c r="C1354" s="4">
        <v>45493</v>
      </c>
      <c r="D1354" s="3" t="s">
        <v>27</v>
      </c>
      <c r="E1354" s="3" t="s">
        <v>33</v>
      </c>
      <c r="F1354" s="5">
        <v>4</v>
      </c>
      <c r="G1354" s="6">
        <v>12.89</v>
      </c>
      <c r="H1354" s="6">
        <v>51.56</v>
      </c>
      <c r="I1354" s="6">
        <v>4.9000000000000004</v>
      </c>
      <c r="J1354" s="6">
        <v>46.66</v>
      </c>
      <c r="K1354" s="5">
        <v>180</v>
      </c>
    </row>
    <row r="1355" spans="1:11" x14ac:dyDescent="0.3">
      <c r="A1355" s="3">
        <v>7184</v>
      </c>
      <c r="B1355" s="3" t="s">
        <v>36</v>
      </c>
      <c r="C1355" s="4">
        <v>45436</v>
      </c>
      <c r="D1355" s="3" t="s">
        <v>15</v>
      </c>
      <c r="E1355" s="3" t="s">
        <v>29</v>
      </c>
      <c r="F1355" s="5">
        <v>4</v>
      </c>
      <c r="G1355" s="6">
        <v>13.41</v>
      </c>
      <c r="H1355" s="6">
        <v>53.64</v>
      </c>
      <c r="I1355" s="6">
        <v>2.74</v>
      </c>
      <c r="J1355" s="6">
        <v>50.9</v>
      </c>
      <c r="K1355" s="5">
        <v>90</v>
      </c>
    </row>
    <row r="1356" spans="1:11" x14ac:dyDescent="0.3">
      <c r="A1356" s="3">
        <v>2314</v>
      </c>
      <c r="B1356" s="3" t="s">
        <v>30</v>
      </c>
      <c r="C1356" s="4">
        <v>45675</v>
      </c>
      <c r="D1356" s="3" t="s">
        <v>27</v>
      </c>
      <c r="E1356" s="3" t="s">
        <v>16</v>
      </c>
      <c r="F1356" s="5">
        <v>3</v>
      </c>
      <c r="G1356" s="6">
        <v>21.35</v>
      </c>
      <c r="H1356" s="6">
        <v>64.05</v>
      </c>
      <c r="I1356" s="6">
        <v>4.22</v>
      </c>
      <c r="J1356" s="6">
        <v>59.83</v>
      </c>
      <c r="K1356" s="5">
        <v>480</v>
      </c>
    </row>
    <row r="1357" spans="1:11" x14ac:dyDescent="0.3">
      <c r="A1357" s="3">
        <v>9835</v>
      </c>
      <c r="B1357" s="3" t="s">
        <v>11</v>
      </c>
      <c r="C1357" s="4">
        <v>45248</v>
      </c>
      <c r="D1357" s="3" t="s">
        <v>15</v>
      </c>
      <c r="E1357" s="3" t="s">
        <v>39</v>
      </c>
      <c r="F1357" s="5">
        <v>5</v>
      </c>
      <c r="G1357" s="6">
        <v>28.03</v>
      </c>
      <c r="H1357" s="6">
        <v>140.15</v>
      </c>
      <c r="I1357" s="6">
        <v>0</v>
      </c>
      <c r="J1357" s="6">
        <v>140.15</v>
      </c>
      <c r="K1357" s="5">
        <v>53</v>
      </c>
    </row>
    <row r="1358" spans="1:11" x14ac:dyDescent="0.3">
      <c r="A1358" s="3">
        <v>6697</v>
      </c>
      <c r="B1358" s="3" t="s">
        <v>14</v>
      </c>
      <c r="C1358" s="4">
        <v>45237</v>
      </c>
      <c r="D1358" s="3" t="s">
        <v>15</v>
      </c>
      <c r="E1358" s="3" t="s">
        <v>33</v>
      </c>
      <c r="F1358" s="5">
        <v>5</v>
      </c>
      <c r="G1358" s="6">
        <v>17.850000000000001</v>
      </c>
      <c r="H1358" s="6">
        <v>89.25</v>
      </c>
      <c r="I1358" s="6">
        <v>8.93</v>
      </c>
      <c r="J1358" s="6">
        <v>80.319999999999993</v>
      </c>
      <c r="K1358" s="5">
        <v>16</v>
      </c>
    </row>
    <row r="1359" spans="1:11" x14ac:dyDescent="0.3">
      <c r="A1359" s="3">
        <v>3924</v>
      </c>
      <c r="B1359" s="3" t="s">
        <v>42</v>
      </c>
      <c r="C1359" s="4">
        <v>45562</v>
      </c>
      <c r="D1359" s="3" t="s">
        <v>17</v>
      </c>
      <c r="E1359" s="3" t="s">
        <v>33</v>
      </c>
      <c r="F1359" s="5">
        <v>5</v>
      </c>
      <c r="G1359" s="6">
        <v>12.04</v>
      </c>
      <c r="H1359" s="6">
        <v>60.2</v>
      </c>
      <c r="I1359" s="6">
        <v>2.4</v>
      </c>
      <c r="J1359" s="6">
        <v>57.8</v>
      </c>
      <c r="K1359" s="5">
        <v>100</v>
      </c>
    </row>
    <row r="1360" spans="1:11" x14ac:dyDescent="0.3">
      <c r="A1360" s="3">
        <v>7439</v>
      </c>
      <c r="B1360" s="3" t="s">
        <v>26</v>
      </c>
      <c r="C1360" s="4">
        <v>45555</v>
      </c>
      <c r="D1360" s="3" t="s">
        <v>20</v>
      </c>
      <c r="E1360" s="3" t="s">
        <v>32</v>
      </c>
      <c r="F1360" s="5">
        <v>1</v>
      </c>
      <c r="G1360" s="6">
        <v>28.24</v>
      </c>
      <c r="H1360" s="6">
        <v>28.24</v>
      </c>
      <c r="I1360" s="6">
        <v>2.13</v>
      </c>
      <c r="J1360" s="6">
        <v>26.11</v>
      </c>
      <c r="K1360" s="5">
        <v>400</v>
      </c>
    </row>
    <row r="1361" spans="1:11" x14ac:dyDescent="0.3">
      <c r="A1361" s="3">
        <v>3086</v>
      </c>
      <c r="B1361" s="3" t="s">
        <v>30</v>
      </c>
      <c r="C1361" s="4">
        <v>45710</v>
      </c>
      <c r="D1361" s="3" t="s">
        <v>35</v>
      </c>
      <c r="E1361" s="3" t="s">
        <v>16</v>
      </c>
      <c r="F1361" s="5">
        <v>2</v>
      </c>
      <c r="G1361" s="6">
        <v>1.1100000000000001</v>
      </c>
      <c r="H1361" s="6">
        <v>2.2200000000000002</v>
      </c>
      <c r="I1361" s="6">
        <v>1.06</v>
      </c>
      <c r="J1361" s="6">
        <v>1.1599999999999999</v>
      </c>
      <c r="K1361" s="5">
        <v>465</v>
      </c>
    </row>
    <row r="1362" spans="1:11" x14ac:dyDescent="0.3">
      <c r="A1362" s="3">
        <v>4648</v>
      </c>
      <c r="B1362" s="3" t="s">
        <v>19</v>
      </c>
      <c r="C1362" s="4">
        <v>45793</v>
      </c>
      <c r="D1362" s="3" t="s">
        <v>22</v>
      </c>
      <c r="E1362" s="3" t="s">
        <v>46</v>
      </c>
      <c r="F1362" s="5">
        <v>5</v>
      </c>
      <c r="G1362" s="6">
        <v>10.199999999999999</v>
      </c>
      <c r="H1362" s="6">
        <v>51</v>
      </c>
      <c r="I1362" s="6">
        <v>10.199999999999999</v>
      </c>
      <c r="J1362" s="6">
        <v>40.799999999999997</v>
      </c>
      <c r="K1362" s="5">
        <v>87</v>
      </c>
    </row>
    <row r="1363" spans="1:11" x14ac:dyDescent="0.3">
      <c r="A1363" s="3">
        <v>1056</v>
      </c>
      <c r="B1363" s="3" t="s">
        <v>14</v>
      </c>
      <c r="C1363" s="4">
        <v>45732</v>
      </c>
      <c r="D1363" s="3" t="s">
        <v>20</v>
      </c>
      <c r="E1363" s="3" t="s">
        <v>44</v>
      </c>
      <c r="F1363" s="5">
        <v>5</v>
      </c>
      <c r="G1363" s="6">
        <v>19.68</v>
      </c>
      <c r="H1363" s="6">
        <v>98.4</v>
      </c>
      <c r="I1363" s="6">
        <v>2.72</v>
      </c>
      <c r="J1363" s="6">
        <v>95.68</v>
      </c>
      <c r="K1363" s="5">
        <v>424</v>
      </c>
    </row>
    <row r="1364" spans="1:11" x14ac:dyDescent="0.3">
      <c r="A1364" s="3">
        <v>1372</v>
      </c>
      <c r="B1364" s="3" t="s">
        <v>24</v>
      </c>
      <c r="C1364" s="4">
        <v>45376</v>
      </c>
      <c r="D1364" s="3" t="s">
        <v>34</v>
      </c>
      <c r="E1364" s="3" t="s">
        <v>32</v>
      </c>
      <c r="F1364" s="5">
        <v>3</v>
      </c>
      <c r="G1364" s="6">
        <v>15.99</v>
      </c>
      <c r="H1364" s="6">
        <v>47.97</v>
      </c>
      <c r="I1364" s="6">
        <v>3.84</v>
      </c>
      <c r="J1364" s="6">
        <v>44.13</v>
      </c>
      <c r="K1364" s="5">
        <v>223</v>
      </c>
    </row>
    <row r="1365" spans="1:11" x14ac:dyDescent="0.3">
      <c r="A1365" s="3">
        <v>8585</v>
      </c>
      <c r="B1365" s="3" t="s">
        <v>19</v>
      </c>
      <c r="C1365" s="4">
        <v>45668</v>
      </c>
      <c r="D1365" s="3" t="s">
        <v>38</v>
      </c>
      <c r="E1365" s="3" t="s">
        <v>48</v>
      </c>
      <c r="F1365" s="5">
        <v>5</v>
      </c>
      <c r="G1365" s="6">
        <v>23.73</v>
      </c>
      <c r="H1365" s="6">
        <v>118.65</v>
      </c>
      <c r="I1365" s="6">
        <v>1.64</v>
      </c>
      <c r="J1365" s="6">
        <v>117.01</v>
      </c>
      <c r="K1365" s="5">
        <v>431</v>
      </c>
    </row>
    <row r="1366" spans="1:11" x14ac:dyDescent="0.3">
      <c r="A1366" s="3">
        <v>9920</v>
      </c>
      <c r="B1366" s="3" t="s">
        <v>36</v>
      </c>
      <c r="C1366" s="4">
        <v>45474</v>
      </c>
      <c r="D1366" s="3" t="s">
        <v>17</v>
      </c>
      <c r="E1366" s="3" t="s">
        <v>43</v>
      </c>
      <c r="F1366" s="5">
        <v>1</v>
      </c>
      <c r="G1366" s="6">
        <v>1.73</v>
      </c>
      <c r="H1366" s="6">
        <v>1.73</v>
      </c>
      <c r="I1366" s="6">
        <v>3.47</v>
      </c>
      <c r="J1366" s="6">
        <v>-1.74</v>
      </c>
      <c r="K1366" s="5">
        <v>5</v>
      </c>
    </row>
    <row r="1367" spans="1:11" x14ac:dyDescent="0.3">
      <c r="A1367" s="3">
        <v>9715</v>
      </c>
      <c r="B1367" s="3" t="s">
        <v>14</v>
      </c>
      <c r="C1367" s="4">
        <v>45439</v>
      </c>
      <c r="D1367" s="3" t="s">
        <v>15</v>
      </c>
      <c r="E1367" s="3" t="s">
        <v>32</v>
      </c>
      <c r="F1367" s="5">
        <v>1</v>
      </c>
      <c r="G1367" s="6">
        <v>22.52</v>
      </c>
      <c r="H1367" s="6">
        <v>22.52</v>
      </c>
      <c r="I1367" s="6">
        <v>0</v>
      </c>
      <c r="J1367" s="6">
        <v>22.52</v>
      </c>
      <c r="K1367" s="5">
        <v>66</v>
      </c>
    </row>
    <row r="1368" spans="1:11" x14ac:dyDescent="0.3">
      <c r="A1368" s="3">
        <v>4762</v>
      </c>
      <c r="B1368" s="3" t="s">
        <v>36</v>
      </c>
      <c r="C1368" s="4">
        <v>45337</v>
      </c>
      <c r="D1368" s="3" t="s">
        <v>34</v>
      </c>
      <c r="E1368" s="3" t="s">
        <v>25</v>
      </c>
      <c r="F1368" s="5">
        <v>2</v>
      </c>
      <c r="G1368" s="6">
        <v>9.6</v>
      </c>
      <c r="H1368" s="6">
        <v>19.2</v>
      </c>
      <c r="I1368" s="6">
        <v>0</v>
      </c>
      <c r="J1368" s="6">
        <v>19.2</v>
      </c>
      <c r="K1368" s="5">
        <v>274</v>
      </c>
    </row>
    <row r="1369" spans="1:11" x14ac:dyDescent="0.3">
      <c r="A1369" s="3">
        <v>8546</v>
      </c>
      <c r="B1369" s="3" t="s">
        <v>24</v>
      </c>
      <c r="C1369" s="4">
        <v>45413</v>
      </c>
      <c r="D1369" s="3" t="s">
        <v>35</v>
      </c>
      <c r="E1369" s="3" t="s">
        <v>40</v>
      </c>
      <c r="F1369" s="5">
        <v>3</v>
      </c>
      <c r="G1369" s="6">
        <v>3.4</v>
      </c>
      <c r="H1369" s="6">
        <v>10.199999999999999</v>
      </c>
      <c r="I1369" s="6">
        <v>0</v>
      </c>
      <c r="J1369" s="6">
        <v>10.199999999999999</v>
      </c>
      <c r="K1369" s="5">
        <v>73</v>
      </c>
    </row>
    <row r="1370" spans="1:11" x14ac:dyDescent="0.3">
      <c r="A1370" s="3">
        <v>3541</v>
      </c>
      <c r="B1370" s="3" t="s">
        <v>11</v>
      </c>
      <c r="C1370" s="4">
        <v>45359</v>
      </c>
      <c r="D1370" s="3" t="s">
        <v>15</v>
      </c>
      <c r="E1370" s="3" t="s">
        <v>33</v>
      </c>
      <c r="F1370" s="5">
        <v>5</v>
      </c>
      <c r="G1370" s="6">
        <v>4.55</v>
      </c>
      <c r="H1370" s="6">
        <v>22.75</v>
      </c>
      <c r="I1370" s="6">
        <v>3.41</v>
      </c>
      <c r="J1370" s="6">
        <v>19.34</v>
      </c>
      <c r="K1370" s="5">
        <v>72</v>
      </c>
    </row>
    <row r="1371" spans="1:11" x14ac:dyDescent="0.3">
      <c r="A1371" s="3">
        <v>4088</v>
      </c>
      <c r="B1371" s="3" t="s">
        <v>19</v>
      </c>
      <c r="C1371" s="4">
        <v>45873</v>
      </c>
      <c r="D1371" s="3" t="s">
        <v>15</v>
      </c>
      <c r="E1371" s="3" t="s">
        <v>43</v>
      </c>
      <c r="F1371" s="5">
        <v>4</v>
      </c>
      <c r="G1371" s="6">
        <v>25.48</v>
      </c>
      <c r="H1371" s="6">
        <v>101.92</v>
      </c>
      <c r="I1371" s="6">
        <v>10.19</v>
      </c>
      <c r="J1371" s="6">
        <v>91.73</v>
      </c>
      <c r="K1371" s="5">
        <v>467</v>
      </c>
    </row>
    <row r="1372" spans="1:11" x14ac:dyDescent="0.3">
      <c r="A1372" s="3">
        <v>2848</v>
      </c>
      <c r="B1372" s="3" t="s">
        <v>11</v>
      </c>
      <c r="C1372" s="4">
        <v>45170</v>
      </c>
      <c r="D1372" s="3" t="s">
        <v>45</v>
      </c>
      <c r="E1372" s="3" t="s">
        <v>39</v>
      </c>
      <c r="F1372" s="5">
        <v>4</v>
      </c>
      <c r="G1372" s="6">
        <v>3.12</v>
      </c>
      <c r="H1372" s="6">
        <v>12.48</v>
      </c>
      <c r="I1372" s="6">
        <v>2.5</v>
      </c>
      <c r="J1372" s="6">
        <v>9.98</v>
      </c>
      <c r="K1372" s="5">
        <v>491</v>
      </c>
    </row>
    <row r="1373" spans="1:11" x14ac:dyDescent="0.3">
      <c r="A1373" s="3">
        <v>7868</v>
      </c>
      <c r="B1373" s="3" t="s">
        <v>24</v>
      </c>
      <c r="C1373" s="4">
        <v>45622</v>
      </c>
      <c r="D1373" s="3" t="s">
        <v>20</v>
      </c>
      <c r="E1373" s="3" t="s">
        <v>21</v>
      </c>
      <c r="F1373" s="5">
        <v>4</v>
      </c>
      <c r="G1373" s="6">
        <v>24.44</v>
      </c>
      <c r="H1373" s="6">
        <v>97.76</v>
      </c>
      <c r="I1373" s="6">
        <v>4.6100000000000003</v>
      </c>
      <c r="J1373" s="6">
        <v>93.15</v>
      </c>
      <c r="K1373" s="5">
        <v>92</v>
      </c>
    </row>
    <row r="1374" spans="1:11" x14ac:dyDescent="0.3">
      <c r="A1374" s="3">
        <v>1256</v>
      </c>
      <c r="B1374" s="3" t="s">
        <v>31</v>
      </c>
      <c r="C1374" s="4">
        <v>45331</v>
      </c>
      <c r="D1374" s="3" t="s">
        <v>15</v>
      </c>
      <c r="E1374" s="3" t="s">
        <v>21</v>
      </c>
      <c r="F1374" s="5">
        <v>3</v>
      </c>
      <c r="G1374" s="6">
        <v>15.02</v>
      </c>
      <c r="H1374" s="6">
        <v>45.06</v>
      </c>
      <c r="I1374" s="6">
        <v>9.01</v>
      </c>
      <c r="J1374" s="6">
        <v>36.049999999999997</v>
      </c>
      <c r="K1374" s="5">
        <v>314</v>
      </c>
    </row>
    <row r="1375" spans="1:11" x14ac:dyDescent="0.3">
      <c r="A1375" s="3">
        <v>4376</v>
      </c>
      <c r="B1375" s="3"/>
      <c r="C1375" s="4">
        <v>45197</v>
      </c>
      <c r="D1375" s="3" t="s">
        <v>35</v>
      </c>
      <c r="E1375" s="3" t="s">
        <v>48</v>
      </c>
      <c r="F1375" s="5">
        <v>2</v>
      </c>
      <c r="G1375" s="6">
        <v>18.57</v>
      </c>
      <c r="H1375" s="6">
        <v>37.14</v>
      </c>
      <c r="I1375" s="6">
        <v>3.05</v>
      </c>
      <c r="J1375" s="6">
        <v>34.090000000000003</v>
      </c>
      <c r="K1375" s="5">
        <v>274</v>
      </c>
    </row>
    <row r="1376" spans="1:11" x14ac:dyDescent="0.3">
      <c r="A1376" s="3">
        <v>2653</v>
      </c>
      <c r="B1376" s="3" t="s">
        <v>19</v>
      </c>
      <c r="C1376" s="4">
        <v>45606</v>
      </c>
      <c r="D1376" s="3" t="s">
        <v>17</v>
      </c>
      <c r="E1376" s="3" t="s">
        <v>23</v>
      </c>
      <c r="F1376" s="5">
        <v>1</v>
      </c>
      <c r="G1376" s="6">
        <v>27.05</v>
      </c>
      <c r="H1376" s="6">
        <v>27.05</v>
      </c>
      <c r="I1376" s="6">
        <v>5.41</v>
      </c>
      <c r="J1376" s="6">
        <v>21.64</v>
      </c>
      <c r="K1376" s="5">
        <v>15</v>
      </c>
    </row>
    <row r="1377" spans="1:11" x14ac:dyDescent="0.3">
      <c r="A1377" s="3">
        <v>1550</v>
      </c>
      <c r="B1377" s="3" t="s">
        <v>42</v>
      </c>
      <c r="C1377" s="4">
        <v>45491</v>
      </c>
      <c r="D1377" s="3" t="s">
        <v>15</v>
      </c>
      <c r="E1377" s="3" t="s">
        <v>41</v>
      </c>
      <c r="F1377" s="5">
        <v>3</v>
      </c>
      <c r="G1377" s="6">
        <v>8.93</v>
      </c>
      <c r="H1377" s="6">
        <v>26.79</v>
      </c>
      <c r="I1377" s="6">
        <v>4.0199999999999996</v>
      </c>
      <c r="J1377" s="6">
        <v>22.77</v>
      </c>
      <c r="K1377" s="5">
        <v>102</v>
      </c>
    </row>
    <row r="1378" spans="1:11" x14ac:dyDescent="0.3">
      <c r="A1378" s="3">
        <v>1797</v>
      </c>
      <c r="B1378" s="3" t="s">
        <v>14</v>
      </c>
      <c r="C1378" s="4">
        <v>45335</v>
      </c>
      <c r="D1378" s="3" t="s">
        <v>27</v>
      </c>
      <c r="E1378" s="3" t="s">
        <v>37</v>
      </c>
      <c r="F1378" s="5">
        <v>4</v>
      </c>
      <c r="G1378" s="6">
        <v>22.6</v>
      </c>
      <c r="H1378" s="6">
        <v>90.4</v>
      </c>
      <c r="I1378" s="6">
        <v>4.79</v>
      </c>
      <c r="J1378" s="6">
        <v>85.61</v>
      </c>
      <c r="K1378" s="5">
        <v>253</v>
      </c>
    </row>
    <row r="1379" spans="1:11" x14ac:dyDescent="0.3">
      <c r="A1379" s="3">
        <v>1724</v>
      </c>
      <c r="B1379" s="3" t="s">
        <v>42</v>
      </c>
      <c r="C1379" s="4">
        <v>45457</v>
      </c>
      <c r="D1379" s="3" t="s">
        <v>35</v>
      </c>
      <c r="E1379" s="3" t="s">
        <v>29</v>
      </c>
      <c r="F1379" s="5">
        <v>2</v>
      </c>
      <c r="G1379" s="6">
        <v>20.91</v>
      </c>
      <c r="H1379" s="6">
        <v>41.82</v>
      </c>
      <c r="I1379" s="6">
        <v>4.18</v>
      </c>
      <c r="J1379" s="6">
        <v>37.64</v>
      </c>
      <c r="K1379" s="5">
        <v>454</v>
      </c>
    </row>
    <row r="1380" spans="1:11" x14ac:dyDescent="0.3">
      <c r="A1380" s="3">
        <v>8191</v>
      </c>
      <c r="B1380" s="3" t="s">
        <v>11</v>
      </c>
      <c r="C1380" s="4">
        <v>45327</v>
      </c>
      <c r="D1380" s="3" t="s">
        <v>28</v>
      </c>
      <c r="E1380" s="3" t="s">
        <v>37</v>
      </c>
      <c r="F1380" s="5">
        <v>2</v>
      </c>
      <c r="G1380" s="6">
        <v>24.02</v>
      </c>
      <c r="H1380" s="6">
        <v>48.04</v>
      </c>
      <c r="I1380" s="6">
        <v>4.8</v>
      </c>
      <c r="J1380" s="6">
        <v>43.24</v>
      </c>
      <c r="K1380" s="5">
        <v>488</v>
      </c>
    </row>
    <row r="1381" spans="1:11" x14ac:dyDescent="0.3">
      <c r="A1381" s="3">
        <v>9843</v>
      </c>
      <c r="B1381" s="3" t="s">
        <v>26</v>
      </c>
      <c r="C1381" s="4">
        <v>45313</v>
      </c>
      <c r="D1381" s="3" t="s">
        <v>20</v>
      </c>
      <c r="E1381" s="3" t="s">
        <v>13</v>
      </c>
      <c r="F1381" s="5">
        <v>3</v>
      </c>
      <c r="G1381" s="6">
        <v>19.05</v>
      </c>
      <c r="H1381" s="6">
        <v>57.15</v>
      </c>
      <c r="I1381" s="6">
        <v>5.71</v>
      </c>
      <c r="J1381" s="6">
        <v>51.44</v>
      </c>
      <c r="K1381" s="5">
        <v>310</v>
      </c>
    </row>
    <row r="1382" spans="1:11" x14ac:dyDescent="0.3">
      <c r="A1382" s="3">
        <v>1924</v>
      </c>
      <c r="B1382" s="3" t="s">
        <v>42</v>
      </c>
      <c r="C1382" s="4">
        <v>45253</v>
      </c>
      <c r="D1382" s="3" t="s">
        <v>28</v>
      </c>
      <c r="E1382" s="3" t="s">
        <v>23</v>
      </c>
      <c r="F1382" s="5">
        <v>3</v>
      </c>
      <c r="G1382" s="6">
        <v>27.03</v>
      </c>
      <c r="H1382" s="6">
        <v>81.09</v>
      </c>
      <c r="I1382" s="6">
        <v>8.11</v>
      </c>
      <c r="J1382" s="6">
        <v>72.98</v>
      </c>
      <c r="K1382" s="5">
        <v>419</v>
      </c>
    </row>
    <row r="1383" spans="1:11" x14ac:dyDescent="0.3">
      <c r="A1383" s="3">
        <v>9255</v>
      </c>
      <c r="B1383" s="3" t="s">
        <v>19</v>
      </c>
      <c r="C1383" s="4">
        <v>45369</v>
      </c>
      <c r="D1383" s="3" t="s">
        <v>12</v>
      </c>
      <c r="E1383" s="3" t="s">
        <v>46</v>
      </c>
      <c r="F1383" s="5">
        <v>3</v>
      </c>
      <c r="G1383" s="6">
        <v>18.010000000000002</v>
      </c>
      <c r="H1383" s="6">
        <v>54.03</v>
      </c>
      <c r="I1383" s="6">
        <v>5.4</v>
      </c>
      <c r="J1383" s="6">
        <v>48.63</v>
      </c>
      <c r="K1383" s="5">
        <v>150</v>
      </c>
    </row>
    <row r="1384" spans="1:11" x14ac:dyDescent="0.3">
      <c r="A1384" s="3">
        <v>4836</v>
      </c>
      <c r="B1384" s="3" t="s">
        <v>31</v>
      </c>
      <c r="C1384" s="4">
        <v>45778</v>
      </c>
      <c r="D1384" s="3" t="s">
        <v>15</v>
      </c>
      <c r="E1384" s="3" t="s">
        <v>29</v>
      </c>
      <c r="F1384" s="5">
        <v>3</v>
      </c>
      <c r="G1384" s="6">
        <v>13.44</v>
      </c>
      <c r="H1384" s="6">
        <v>40.32</v>
      </c>
      <c r="I1384" s="6">
        <v>8.06</v>
      </c>
      <c r="J1384" s="6">
        <v>32.26</v>
      </c>
      <c r="K1384" s="5">
        <v>95</v>
      </c>
    </row>
    <row r="1385" spans="1:11" x14ac:dyDescent="0.3">
      <c r="A1385" s="3">
        <v>6224</v>
      </c>
      <c r="B1385" s="3" t="s">
        <v>11</v>
      </c>
      <c r="C1385" s="4">
        <v>45593</v>
      </c>
      <c r="D1385" s="3" t="s">
        <v>17</v>
      </c>
      <c r="E1385" s="3" t="s">
        <v>23</v>
      </c>
      <c r="F1385" s="5">
        <v>3</v>
      </c>
      <c r="G1385" s="6">
        <v>5.2</v>
      </c>
      <c r="H1385" s="6">
        <v>15.6</v>
      </c>
      <c r="I1385" s="6">
        <v>2.27</v>
      </c>
      <c r="J1385" s="6">
        <v>13.33</v>
      </c>
      <c r="K1385" s="5">
        <v>160</v>
      </c>
    </row>
    <row r="1386" spans="1:11" x14ac:dyDescent="0.3">
      <c r="A1386" s="3">
        <v>6253</v>
      </c>
      <c r="B1386" s="3" t="s">
        <v>31</v>
      </c>
      <c r="C1386" s="4">
        <v>45329</v>
      </c>
      <c r="D1386" s="3" t="s">
        <v>22</v>
      </c>
      <c r="E1386" s="3" t="s">
        <v>44</v>
      </c>
      <c r="F1386" s="5">
        <v>4</v>
      </c>
      <c r="G1386" s="6">
        <v>17.45</v>
      </c>
      <c r="H1386" s="6">
        <v>69.8</v>
      </c>
      <c r="I1386" s="6">
        <v>1.26</v>
      </c>
      <c r="J1386" s="6">
        <v>68.540000000000006</v>
      </c>
      <c r="K1386" s="5">
        <v>164</v>
      </c>
    </row>
    <row r="1387" spans="1:11" x14ac:dyDescent="0.3">
      <c r="A1387" s="3">
        <v>5944</v>
      </c>
      <c r="B1387" s="3" t="s">
        <v>30</v>
      </c>
      <c r="C1387" s="4">
        <v>45825</v>
      </c>
      <c r="D1387" s="3" t="s">
        <v>28</v>
      </c>
      <c r="E1387" s="3" t="s">
        <v>44</v>
      </c>
      <c r="F1387" s="5">
        <v>5</v>
      </c>
      <c r="G1387" s="6">
        <v>7.3</v>
      </c>
      <c r="H1387" s="6">
        <v>36.5</v>
      </c>
      <c r="I1387" s="6">
        <v>0</v>
      </c>
      <c r="J1387" s="6">
        <v>36.5</v>
      </c>
      <c r="K1387" s="5">
        <v>287</v>
      </c>
    </row>
    <row r="1388" spans="1:11" x14ac:dyDescent="0.3">
      <c r="A1388" s="3">
        <v>3347</v>
      </c>
      <c r="B1388" s="3" t="s">
        <v>11</v>
      </c>
      <c r="C1388" s="4">
        <v>45657</v>
      </c>
      <c r="D1388" s="3" t="s">
        <v>28</v>
      </c>
      <c r="E1388" s="3" t="s">
        <v>16</v>
      </c>
      <c r="F1388" s="5">
        <v>4</v>
      </c>
      <c r="G1388" s="6">
        <v>10.210000000000001</v>
      </c>
      <c r="H1388" s="6">
        <v>40.840000000000003</v>
      </c>
      <c r="I1388" s="6">
        <v>8.17</v>
      </c>
      <c r="J1388" s="6">
        <v>32.67</v>
      </c>
      <c r="K1388" s="5">
        <v>163</v>
      </c>
    </row>
    <row r="1389" spans="1:11" x14ac:dyDescent="0.3">
      <c r="A1389" s="3">
        <v>9540</v>
      </c>
      <c r="B1389" s="3" t="s">
        <v>31</v>
      </c>
      <c r="C1389" s="4">
        <v>45316</v>
      </c>
      <c r="D1389" s="3" t="s">
        <v>45</v>
      </c>
      <c r="E1389" s="3" t="s">
        <v>47</v>
      </c>
      <c r="F1389" s="5">
        <v>1</v>
      </c>
      <c r="G1389" s="6">
        <v>29.71</v>
      </c>
      <c r="H1389" s="6">
        <v>29.71</v>
      </c>
      <c r="I1389" s="6">
        <v>2.81</v>
      </c>
      <c r="J1389" s="6">
        <v>26.9</v>
      </c>
      <c r="K1389" s="5">
        <v>215</v>
      </c>
    </row>
    <row r="1390" spans="1:11" x14ac:dyDescent="0.3">
      <c r="A1390" s="3">
        <v>7775</v>
      </c>
      <c r="B1390" s="3" t="s">
        <v>36</v>
      </c>
      <c r="C1390" s="4">
        <v>45378</v>
      </c>
      <c r="D1390" s="3" t="s">
        <v>28</v>
      </c>
      <c r="E1390" s="3" t="s">
        <v>32</v>
      </c>
      <c r="F1390" s="5">
        <v>2</v>
      </c>
      <c r="G1390" s="6">
        <v>17.71</v>
      </c>
      <c r="H1390" s="6">
        <v>35.42</v>
      </c>
      <c r="I1390" s="6">
        <v>0</v>
      </c>
      <c r="J1390" s="6">
        <v>35.42</v>
      </c>
      <c r="K1390" s="5">
        <v>145</v>
      </c>
    </row>
    <row r="1391" spans="1:11" x14ac:dyDescent="0.3">
      <c r="A1391" s="3">
        <v>5508</v>
      </c>
      <c r="B1391" s="3" t="s">
        <v>31</v>
      </c>
      <c r="C1391" s="4">
        <v>45192</v>
      </c>
      <c r="D1391" s="3" t="s">
        <v>45</v>
      </c>
      <c r="E1391" s="3" t="s">
        <v>37</v>
      </c>
      <c r="F1391" s="5">
        <v>2</v>
      </c>
      <c r="G1391" s="6">
        <v>25.4</v>
      </c>
      <c r="H1391" s="6">
        <v>50.8</v>
      </c>
      <c r="I1391" s="6">
        <v>4.67</v>
      </c>
      <c r="J1391" s="6">
        <v>46.13</v>
      </c>
      <c r="K1391" s="5">
        <v>206</v>
      </c>
    </row>
    <row r="1392" spans="1:11" x14ac:dyDescent="0.3">
      <c r="A1392" s="3">
        <v>3869</v>
      </c>
      <c r="B1392" s="3" t="s">
        <v>31</v>
      </c>
      <c r="C1392" s="4">
        <v>45631</v>
      </c>
      <c r="D1392" s="3" t="s">
        <v>22</v>
      </c>
      <c r="E1392" s="3" t="s">
        <v>39</v>
      </c>
      <c r="F1392" s="5">
        <v>1</v>
      </c>
      <c r="G1392" s="6">
        <v>14.62</v>
      </c>
      <c r="H1392" s="6">
        <v>14.62</v>
      </c>
      <c r="I1392" s="6">
        <v>0</v>
      </c>
      <c r="J1392" s="6">
        <v>14.62</v>
      </c>
      <c r="K1392" s="5">
        <v>424</v>
      </c>
    </row>
    <row r="1393" spans="1:11" x14ac:dyDescent="0.3">
      <c r="A1393" s="3">
        <v>7999</v>
      </c>
      <c r="B1393" s="3" t="s">
        <v>30</v>
      </c>
      <c r="C1393" s="4">
        <v>45576</v>
      </c>
      <c r="D1393" s="3" t="s">
        <v>35</v>
      </c>
      <c r="E1393" s="3" t="s">
        <v>21</v>
      </c>
      <c r="F1393" s="5">
        <v>3</v>
      </c>
      <c r="G1393" s="6">
        <v>12.6</v>
      </c>
      <c r="H1393" s="6">
        <v>37.799999999999997</v>
      </c>
      <c r="I1393" s="6">
        <v>3.78</v>
      </c>
      <c r="J1393" s="6">
        <v>34.020000000000003</v>
      </c>
      <c r="K1393" s="5">
        <v>284</v>
      </c>
    </row>
    <row r="1394" spans="1:11" x14ac:dyDescent="0.3">
      <c r="A1394" s="3">
        <v>9120</v>
      </c>
      <c r="B1394" s="3" t="s">
        <v>31</v>
      </c>
      <c r="C1394" s="4">
        <v>45181</v>
      </c>
      <c r="D1394" s="3" t="s">
        <v>20</v>
      </c>
      <c r="E1394" s="3" t="s">
        <v>37</v>
      </c>
      <c r="F1394" s="5">
        <v>4</v>
      </c>
      <c r="G1394" s="6">
        <v>15.3</v>
      </c>
      <c r="H1394" s="6">
        <v>61.2</v>
      </c>
      <c r="I1394" s="6">
        <v>9.18</v>
      </c>
      <c r="J1394" s="6">
        <v>52.02</v>
      </c>
      <c r="K1394" s="5">
        <v>328</v>
      </c>
    </row>
    <row r="1395" spans="1:11" x14ac:dyDescent="0.3">
      <c r="A1395" s="3">
        <v>6642</v>
      </c>
      <c r="B1395" s="3" t="s">
        <v>11</v>
      </c>
      <c r="C1395" s="4">
        <v>45644</v>
      </c>
      <c r="D1395" s="3" t="s">
        <v>12</v>
      </c>
      <c r="E1395" s="3" t="s">
        <v>25</v>
      </c>
      <c r="F1395" s="5">
        <v>1</v>
      </c>
      <c r="G1395" s="6">
        <v>24.93</v>
      </c>
      <c r="H1395" s="6">
        <v>24.93</v>
      </c>
      <c r="I1395" s="6">
        <v>3.74</v>
      </c>
      <c r="J1395" s="6">
        <v>21.19</v>
      </c>
      <c r="K1395" s="5">
        <v>71</v>
      </c>
    </row>
    <row r="1396" spans="1:11" x14ac:dyDescent="0.3">
      <c r="A1396" s="3">
        <v>7244</v>
      </c>
      <c r="B1396" s="3" t="s">
        <v>24</v>
      </c>
      <c r="C1396" s="4">
        <v>45755</v>
      </c>
      <c r="D1396" s="3" t="s">
        <v>17</v>
      </c>
      <c r="E1396" s="3" t="s">
        <v>29</v>
      </c>
      <c r="F1396" s="5">
        <v>1</v>
      </c>
      <c r="G1396" s="6">
        <v>6.53</v>
      </c>
      <c r="H1396" s="6">
        <v>6.53</v>
      </c>
      <c r="I1396" s="6">
        <v>4.96</v>
      </c>
      <c r="J1396" s="6">
        <v>1.57</v>
      </c>
      <c r="K1396" s="5">
        <v>461</v>
      </c>
    </row>
    <row r="1397" spans="1:11" x14ac:dyDescent="0.3">
      <c r="A1397" s="3">
        <v>9592</v>
      </c>
      <c r="B1397" s="3" t="s">
        <v>31</v>
      </c>
      <c r="C1397" s="4">
        <v>45392</v>
      </c>
      <c r="D1397" s="3" t="s">
        <v>35</v>
      </c>
      <c r="E1397" s="3" t="s">
        <v>40</v>
      </c>
      <c r="F1397" s="5">
        <v>1</v>
      </c>
      <c r="G1397" s="6">
        <v>2.38</v>
      </c>
      <c r="H1397" s="6">
        <v>2.38</v>
      </c>
      <c r="I1397" s="6">
        <v>0.36</v>
      </c>
      <c r="J1397" s="6">
        <v>2.02</v>
      </c>
      <c r="K1397" s="5">
        <v>155</v>
      </c>
    </row>
    <row r="1398" spans="1:11" x14ac:dyDescent="0.3">
      <c r="A1398" s="3">
        <v>7821</v>
      </c>
      <c r="B1398" s="3" t="s">
        <v>36</v>
      </c>
      <c r="C1398" s="4">
        <v>45462</v>
      </c>
      <c r="D1398" s="3" t="s">
        <v>28</v>
      </c>
      <c r="E1398" s="3" t="s">
        <v>32</v>
      </c>
      <c r="F1398" s="5">
        <v>3</v>
      </c>
      <c r="G1398" s="6">
        <v>21.25</v>
      </c>
      <c r="H1398" s="6">
        <v>63.75</v>
      </c>
      <c r="I1398" s="6">
        <v>2.84</v>
      </c>
      <c r="J1398" s="6">
        <v>60.91</v>
      </c>
      <c r="K1398" s="5">
        <v>473</v>
      </c>
    </row>
    <row r="1399" spans="1:11" x14ac:dyDescent="0.3">
      <c r="A1399" s="3">
        <v>3444</v>
      </c>
      <c r="B1399" s="3" t="s">
        <v>19</v>
      </c>
      <c r="C1399" s="4">
        <v>45377</v>
      </c>
      <c r="D1399" s="3" t="s">
        <v>22</v>
      </c>
      <c r="E1399" s="3" t="s">
        <v>41</v>
      </c>
      <c r="F1399" s="5">
        <v>5</v>
      </c>
      <c r="G1399" s="6">
        <v>26.74</v>
      </c>
      <c r="H1399" s="6">
        <v>133.69999999999999</v>
      </c>
      <c r="I1399" s="6">
        <v>0</v>
      </c>
      <c r="J1399" s="6">
        <v>133.69999999999999</v>
      </c>
      <c r="K1399" s="5">
        <v>494</v>
      </c>
    </row>
    <row r="1400" spans="1:11" x14ac:dyDescent="0.3">
      <c r="A1400" s="3">
        <v>7167</v>
      </c>
      <c r="B1400" s="3" t="s">
        <v>26</v>
      </c>
      <c r="C1400" s="4">
        <v>45287</v>
      </c>
      <c r="D1400" s="3" t="s">
        <v>27</v>
      </c>
      <c r="E1400" s="3" t="s">
        <v>48</v>
      </c>
      <c r="F1400" s="5">
        <v>5</v>
      </c>
      <c r="G1400" s="6">
        <v>16.29</v>
      </c>
      <c r="H1400" s="6">
        <v>81.45</v>
      </c>
      <c r="I1400" s="6">
        <v>0</v>
      </c>
      <c r="J1400" s="6">
        <v>81.45</v>
      </c>
      <c r="K1400" s="5">
        <v>295</v>
      </c>
    </row>
    <row r="1401" spans="1:11" x14ac:dyDescent="0.3">
      <c r="A1401" s="3">
        <v>9813</v>
      </c>
      <c r="B1401" s="3" t="s">
        <v>26</v>
      </c>
      <c r="C1401" s="4">
        <v>45512</v>
      </c>
      <c r="D1401" s="3" t="s">
        <v>35</v>
      </c>
      <c r="E1401" s="3" t="s">
        <v>21</v>
      </c>
      <c r="F1401" s="5">
        <v>4</v>
      </c>
      <c r="G1401" s="6">
        <v>7.54</v>
      </c>
      <c r="H1401" s="6">
        <v>30.16</v>
      </c>
      <c r="I1401" s="6">
        <v>0</v>
      </c>
      <c r="J1401" s="6">
        <v>30.16</v>
      </c>
      <c r="K1401" s="5">
        <v>135</v>
      </c>
    </row>
    <row r="1402" spans="1:11" x14ac:dyDescent="0.3">
      <c r="A1402" s="3">
        <v>4948</v>
      </c>
      <c r="B1402" s="3" t="s">
        <v>11</v>
      </c>
      <c r="C1402" s="4">
        <v>45804</v>
      </c>
      <c r="D1402" s="3" t="s">
        <v>22</v>
      </c>
      <c r="E1402" s="3" t="s">
        <v>18</v>
      </c>
      <c r="F1402" s="5">
        <v>2</v>
      </c>
      <c r="G1402" s="6">
        <v>20.11</v>
      </c>
      <c r="H1402" s="6">
        <v>40.22</v>
      </c>
      <c r="I1402" s="6">
        <v>0</v>
      </c>
      <c r="J1402" s="6">
        <v>40.22</v>
      </c>
      <c r="K1402" s="5">
        <v>376</v>
      </c>
    </row>
    <row r="1403" spans="1:11" x14ac:dyDescent="0.3">
      <c r="A1403" s="3">
        <v>4692</v>
      </c>
      <c r="B1403" s="3" t="s">
        <v>11</v>
      </c>
      <c r="C1403" s="4">
        <v>45378</v>
      </c>
      <c r="D1403" s="3" t="s">
        <v>15</v>
      </c>
      <c r="E1403" s="3" t="s">
        <v>47</v>
      </c>
      <c r="F1403" s="5">
        <v>1</v>
      </c>
      <c r="G1403" s="6">
        <v>7.15</v>
      </c>
      <c r="H1403" s="6">
        <v>7.15</v>
      </c>
      <c r="I1403" s="6">
        <v>0.72</v>
      </c>
      <c r="J1403" s="6">
        <v>6.43</v>
      </c>
      <c r="K1403" s="5">
        <v>343</v>
      </c>
    </row>
    <row r="1404" spans="1:11" x14ac:dyDescent="0.3">
      <c r="A1404" s="3">
        <v>3365</v>
      </c>
      <c r="B1404" s="3" t="s">
        <v>24</v>
      </c>
      <c r="C1404" s="4">
        <v>45770</v>
      </c>
      <c r="D1404" s="3" t="s">
        <v>17</v>
      </c>
      <c r="E1404" s="3" t="s">
        <v>47</v>
      </c>
      <c r="F1404" s="5">
        <v>1</v>
      </c>
      <c r="G1404" s="6">
        <v>10.86</v>
      </c>
      <c r="H1404" s="6">
        <v>10.86</v>
      </c>
      <c r="I1404" s="6">
        <v>1.63</v>
      </c>
      <c r="J1404" s="6">
        <v>9.23</v>
      </c>
      <c r="K1404" s="5">
        <v>416</v>
      </c>
    </row>
    <row r="1405" spans="1:11" x14ac:dyDescent="0.3">
      <c r="A1405" s="3">
        <v>8586</v>
      </c>
      <c r="B1405" s="3" t="s">
        <v>26</v>
      </c>
      <c r="C1405" s="4">
        <v>45855</v>
      </c>
      <c r="D1405" s="3" t="s">
        <v>27</v>
      </c>
      <c r="E1405" s="3" t="s">
        <v>41</v>
      </c>
      <c r="F1405" s="5">
        <v>5</v>
      </c>
      <c r="G1405" s="6">
        <v>4.05</v>
      </c>
      <c r="H1405" s="6">
        <v>20.25</v>
      </c>
      <c r="I1405" s="6">
        <v>3.04</v>
      </c>
      <c r="J1405" s="6">
        <v>17.21</v>
      </c>
      <c r="K1405" s="5">
        <v>66</v>
      </c>
    </row>
    <row r="1406" spans="1:11" x14ac:dyDescent="0.3">
      <c r="A1406" s="3">
        <v>1944</v>
      </c>
      <c r="B1406" s="3" t="s">
        <v>24</v>
      </c>
      <c r="C1406" s="4">
        <v>45581</v>
      </c>
      <c r="D1406" s="3" t="s">
        <v>45</v>
      </c>
      <c r="E1406" s="3" t="s">
        <v>46</v>
      </c>
      <c r="F1406" s="5">
        <v>2</v>
      </c>
      <c r="G1406" s="6">
        <v>23.61</v>
      </c>
      <c r="H1406" s="6">
        <v>47.22</v>
      </c>
      <c r="I1406" s="6">
        <v>7.08</v>
      </c>
      <c r="J1406" s="6">
        <v>40.14</v>
      </c>
      <c r="K1406" s="5">
        <v>96</v>
      </c>
    </row>
    <row r="1407" spans="1:11" x14ac:dyDescent="0.3">
      <c r="A1407" s="3">
        <v>7761</v>
      </c>
      <c r="B1407" s="3" t="s">
        <v>24</v>
      </c>
      <c r="C1407" s="4">
        <v>45468</v>
      </c>
      <c r="D1407" s="3" t="s">
        <v>34</v>
      </c>
      <c r="E1407" s="3" t="s">
        <v>37</v>
      </c>
      <c r="F1407" s="5">
        <v>5</v>
      </c>
      <c r="G1407" s="6">
        <v>19.79</v>
      </c>
      <c r="H1407" s="6">
        <v>98.95</v>
      </c>
      <c r="I1407" s="6">
        <v>3.98</v>
      </c>
      <c r="J1407" s="6">
        <v>94.97</v>
      </c>
      <c r="K1407" s="5">
        <v>75</v>
      </c>
    </row>
    <row r="1408" spans="1:11" x14ac:dyDescent="0.3">
      <c r="A1408" s="3">
        <v>9683</v>
      </c>
      <c r="B1408" s="3"/>
      <c r="C1408" s="4">
        <v>45249</v>
      </c>
      <c r="D1408" s="3" t="s">
        <v>12</v>
      </c>
      <c r="E1408" s="3" t="s">
        <v>33</v>
      </c>
      <c r="F1408" s="5">
        <v>2</v>
      </c>
      <c r="G1408" s="6">
        <v>8.73</v>
      </c>
      <c r="H1408" s="6">
        <v>17.46</v>
      </c>
      <c r="I1408" s="6">
        <v>2.62</v>
      </c>
      <c r="J1408" s="6">
        <v>14.84</v>
      </c>
      <c r="K1408" s="5">
        <v>243</v>
      </c>
    </row>
    <row r="1409" spans="1:11" x14ac:dyDescent="0.3">
      <c r="A1409" s="3">
        <v>7363</v>
      </c>
      <c r="B1409" s="3" t="s">
        <v>30</v>
      </c>
      <c r="C1409" s="4">
        <v>45333</v>
      </c>
      <c r="D1409" s="3" t="s">
        <v>15</v>
      </c>
      <c r="E1409" s="3" t="s">
        <v>18</v>
      </c>
      <c r="F1409" s="5">
        <v>1</v>
      </c>
      <c r="G1409" s="6">
        <v>11.27</v>
      </c>
      <c r="H1409" s="6">
        <v>11.27</v>
      </c>
      <c r="I1409" s="6">
        <v>1.1299999999999999</v>
      </c>
      <c r="J1409" s="6">
        <v>10.14</v>
      </c>
      <c r="K1409" s="5">
        <v>108</v>
      </c>
    </row>
    <row r="1410" spans="1:11" x14ac:dyDescent="0.3">
      <c r="A1410" s="3">
        <v>5177</v>
      </c>
      <c r="B1410" s="3" t="s">
        <v>14</v>
      </c>
      <c r="C1410" s="4">
        <v>45302</v>
      </c>
      <c r="D1410" s="3" t="s">
        <v>20</v>
      </c>
      <c r="E1410" s="3" t="s">
        <v>46</v>
      </c>
      <c r="F1410" s="5">
        <v>3</v>
      </c>
      <c r="G1410" s="6">
        <v>2.5299999999999998</v>
      </c>
      <c r="H1410" s="6">
        <v>7.59</v>
      </c>
      <c r="I1410" s="6">
        <v>1.2</v>
      </c>
      <c r="J1410" s="6">
        <v>6.39</v>
      </c>
      <c r="K1410" s="5">
        <v>139</v>
      </c>
    </row>
    <row r="1411" spans="1:11" x14ac:dyDescent="0.3">
      <c r="A1411" s="3">
        <v>6411</v>
      </c>
      <c r="B1411" s="3"/>
      <c r="C1411" s="4">
        <v>45647</v>
      </c>
      <c r="D1411" s="3" t="s">
        <v>20</v>
      </c>
      <c r="E1411" s="3" t="s">
        <v>44</v>
      </c>
      <c r="F1411" s="5">
        <v>3</v>
      </c>
      <c r="G1411" s="6">
        <v>6.48</v>
      </c>
      <c r="H1411" s="6">
        <v>19.440000000000001</v>
      </c>
      <c r="I1411" s="6">
        <v>3.43</v>
      </c>
      <c r="J1411" s="6">
        <v>16.010000000000002</v>
      </c>
      <c r="K1411" s="5">
        <v>90</v>
      </c>
    </row>
    <row r="1412" spans="1:11" x14ac:dyDescent="0.3">
      <c r="A1412" s="3">
        <v>2295</v>
      </c>
      <c r="B1412" s="3" t="s">
        <v>14</v>
      </c>
      <c r="C1412" s="4">
        <v>45861</v>
      </c>
      <c r="D1412" s="3" t="s">
        <v>20</v>
      </c>
      <c r="E1412" s="3" t="s">
        <v>48</v>
      </c>
      <c r="F1412" s="5">
        <v>1</v>
      </c>
      <c r="G1412" s="6">
        <v>19.73</v>
      </c>
      <c r="H1412" s="6">
        <v>19.73</v>
      </c>
      <c r="I1412" s="6">
        <v>3.95</v>
      </c>
      <c r="J1412" s="6">
        <v>15.78</v>
      </c>
      <c r="K1412" s="5">
        <v>490</v>
      </c>
    </row>
    <row r="1413" spans="1:11" x14ac:dyDescent="0.3">
      <c r="A1413" s="3">
        <v>8369</v>
      </c>
      <c r="B1413" s="3"/>
      <c r="C1413" s="4">
        <v>45802</v>
      </c>
      <c r="D1413" s="3" t="s">
        <v>12</v>
      </c>
      <c r="E1413" s="3" t="s">
        <v>40</v>
      </c>
      <c r="F1413" s="5">
        <v>5</v>
      </c>
      <c r="G1413" s="6">
        <v>8.7100000000000009</v>
      </c>
      <c r="H1413" s="6">
        <v>43.55</v>
      </c>
      <c r="I1413" s="6">
        <v>6.53</v>
      </c>
      <c r="J1413" s="6">
        <v>37.020000000000003</v>
      </c>
      <c r="K1413" s="5">
        <v>33</v>
      </c>
    </row>
    <row r="1414" spans="1:11" x14ac:dyDescent="0.3">
      <c r="A1414" s="3">
        <v>7079</v>
      </c>
      <c r="B1414" s="3" t="s">
        <v>42</v>
      </c>
      <c r="C1414" s="4">
        <v>45216</v>
      </c>
      <c r="D1414" s="3" t="s">
        <v>28</v>
      </c>
      <c r="E1414" s="3" t="s">
        <v>32</v>
      </c>
      <c r="F1414" s="5">
        <v>4</v>
      </c>
      <c r="G1414" s="6">
        <v>12.38</v>
      </c>
      <c r="H1414" s="6">
        <v>49.52</v>
      </c>
      <c r="I1414" s="6">
        <v>4.95</v>
      </c>
      <c r="J1414" s="6">
        <v>44.57</v>
      </c>
      <c r="K1414" s="5">
        <v>112</v>
      </c>
    </row>
    <row r="1415" spans="1:11" x14ac:dyDescent="0.3">
      <c r="A1415" s="3">
        <v>9775</v>
      </c>
      <c r="B1415" s="3" t="s">
        <v>42</v>
      </c>
      <c r="C1415" s="4">
        <v>45707</v>
      </c>
      <c r="D1415" s="3" t="s">
        <v>34</v>
      </c>
      <c r="E1415" s="3" t="s">
        <v>44</v>
      </c>
      <c r="F1415" s="5">
        <v>3</v>
      </c>
      <c r="G1415" s="6">
        <v>19.46</v>
      </c>
      <c r="H1415" s="6">
        <v>58.38</v>
      </c>
      <c r="I1415" s="6">
        <v>0</v>
      </c>
      <c r="J1415" s="6">
        <v>58.38</v>
      </c>
      <c r="K1415" s="5">
        <v>361</v>
      </c>
    </row>
    <row r="1416" spans="1:11" x14ac:dyDescent="0.3">
      <c r="A1416" s="3">
        <v>4120</v>
      </c>
      <c r="B1416" s="3" t="s">
        <v>31</v>
      </c>
      <c r="C1416" s="4">
        <v>45185</v>
      </c>
      <c r="D1416" s="3" t="s">
        <v>15</v>
      </c>
      <c r="E1416" s="3" t="s">
        <v>29</v>
      </c>
      <c r="F1416" s="5">
        <v>5</v>
      </c>
      <c r="G1416" s="6">
        <v>27.32</v>
      </c>
      <c r="H1416" s="6">
        <v>136.6</v>
      </c>
      <c r="I1416" s="6">
        <v>0</v>
      </c>
      <c r="J1416" s="6">
        <v>136.6</v>
      </c>
      <c r="K1416" s="5">
        <v>318</v>
      </c>
    </row>
    <row r="1417" spans="1:11" x14ac:dyDescent="0.3">
      <c r="A1417" s="3">
        <v>5398</v>
      </c>
      <c r="B1417" s="3" t="s">
        <v>30</v>
      </c>
      <c r="C1417" s="4">
        <v>45437</v>
      </c>
      <c r="D1417" s="3" t="s">
        <v>17</v>
      </c>
      <c r="E1417" s="3" t="s">
        <v>29</v>
      </c>
      <c r="F1417" s="5">
        <v>3</v>
      </c>
      <c r="G1417" s="6">
        <v>20.75</v>
      </c>
      <c r="H1417" s="6">
        <v>62.25</v>
      </c>
      <c r="I1417" s="6">
        <v>9.34</v>
      </c>
      <c r="J1417" s="6">
        <v>52.91</v>
      </c>
      <c r="K1417" s="5">
        <v>85</v>
      </c>
    </row>
    <row r="1418" spans="1:11" x14ac:dyDescent="0.3">
      <c r="A1418" s="3">
        <v>1647</v>
      </c>
      <c r="B1418" s="3" t="s">
        <v>26</v>
      </c>
      <c r="C1418" s="4">
        <v>45823</v>
      </c>
      <c r="D1418" s="3" t="s">
        <v>34</v>
      </c>
      <c r="E1418" s="3" t="s">
        <v>39</v>
      </c>
      <c r="F1418" s="5">
        <v>4</v>
      </c>
      <c r="G1418" s="6">
        <v>13.4</v>
      </c>
      <c r="H1418" s="6">
        <v>53.6</v>
      </c>
      <c r="I1418" s="6">
        <v>8.0399999999999991</v>
      </c>
      <c r="J1418" s="6">
        <v>45.56</v>
      </c>
      <c r="K1418" s="5">
        <v>10</v>
      </c>
    </row>
    <row r="1419" spans="1:11" x14ac:dyDescent="0.3">
      <c r="A1419" s="3">
        <v>2192</v>
      </c>
      <c r="B1419" s="3" t="s">
        <v>11</v>
      </c>
      <c r="C1419" s="4">
        <v>45291</v>
      </c>
      <c r="D1419" s="3" t="s">
        <v>34</v>
      </c>
      <c r="E1419" s="3" t="s">
        <v>39</v>
      </c>
      <c r="F1419" s="5">
        <v>5</v>
      </c>
      <c r="G1419" s="6">
        <v>11.2</v>
      </c>
      <c r="H1419" s="6">
        <v>56</v>
      </c>
      <c r="I1419" s="6">
        <v>5.6</v>
      </c>
      <c r="J1419" s="6">
        <v>50.4</v>
      </c>
      <c r="K1419" s="5">
        <v>242</v>
      </c>
    </row>
    <row r="1420" spans="1:11" x14ac:dyDescent="0.3">
      <c r="A1420" s="3">
        <v>4555</v>
      </c>
      <c r="B1420" s="3" t="s">
        <v>42</v>
      </c>
      <c r="C1420" s="4">
        <v>45517</v>
      </c>
      <c r="D1420" s="3" t="s">
        <v>45</v>
      </c>
      <c r="E1420" s="3" t="s">
        <v>48</v>
      </c>
      <c r="F1420" s="5">
        <v>1</v>
      </c>
      <c r="G1420" s="6">
        <v>24.74</v>
      </c>
      <c r="H1420" s="6">
        <v>24.74</v>
      </c>
      <c r="I1420" s="6">
        <v>4.95</v>
      </c>
      <c r="J1420" s="6">
        <v>19.79</v>
      </c>
      <c r="K1420" s="5">
        <v>290</v>
      </c>
    </row>
    <row r="1421" spans="1:11" x14ac:dyDescent="0.3">
      <c r="A1421" s="3">
        <v>4422</v>
      </c>
      <c r="B1421" s="3" t="s">
        <v>14</v>
      </c>
      <c r="C1421" s="4">
        <v>45820</v>
      </c>
      <c r="D1421" s="3" t="s">
        <v>38</v>
      </c>
      <c r="E1421" s="3" t="s">
        <v>29</v>
      </c>
      <c r="F1421" s="5">
        <v>2</v>
      </c>
      <c r="G1421" s="6">
        <v>23.47</v>
      </c>
      <c r="H1421" s="6">
        <v>46.94</v>
      </c>
      <c r="I1421" s="6">
        <v>0</v>
      </c>
      <c r="J1421" s="6">
        <v>46.94</v>
      </c>
      <c r="K1421" s="5">
        <v>51</v>
      </c>
    </row>
    <row r="1422" spans="1:11" x14ac:dyDescent="0.3">
      <c r="A1422" s="3">
        <v>6455</v>
      </c>
      <c r="B1422" s="3" t="s">
        <v>36</v>
      </c>
      <c r="C1422" s="4">
        <v>45380</v>
      </c>
      <c r="D1422" s="3" t="s">
        <v>45</v>
      </c>
      <c r="E1422" s="3" t="s">
        <v>47</v>
      </c>
      <c r="F1422" s="5">
        <v>3</v>
      </c>
      <c r="G1422" s="6">
        <v>29.69</v>
      </c>
      <c r="H1422" s="6">
        <v>89.07</v>
      </c>
      <c r="I1422" s="6">
        <v>13.36</v>
      </c>
      <c r="J1422" s="6">
        <v>75.709999999999994</v>
      </c>
      <c r="K1422" s="5">
        <v>131</v>
      </c>
    </row>
    <row r="1423" spans="1:11" x14ac:dyDescent="0.3">
      <c r="A1423" s="3">
        <v>1251</v>
      </c>
      <c r="B1423" s="3" t="s">
        <v>36</v>
      </c>
      <c r="C1423" s="4">
        <v>45309</v>
      </c>
      <c r="D1423" s="3" t="s">
        <v>45</v>
      </c>
      <c r="E1423" s="3" t="s">
        <v>39</v>
      </c>
      <c r="F1423" s="5">
        <v>3</v>
      </c>
      <c r="G1423" s="6">
        <v>9.7200000000000006</v>
      </c>
      <c r="H1423" s="6">
        <v>29.16</v>
      </c>
      <c r="I1423" s="6">
        <v>2.08</v>
      </c>
      <c r="J1423" s="6">
        <v>27.08</v>
      </c>
      <c r="K1423" s="5">
        <v>170</v>
      </c>
    </row>
    <row r="1424" spans="1:11" x14ac:dyDescent="0.3">
      <c r="A1424" s="3">
        <v>4113</v>
      </c>
      <c r="B1424" s="3" t="s">
        <v>14</v>
      </c>
      <c r="C1424" s="4">
        <v>45720</v>
      </c>
      <c r="D1424" s="3" t="s">
        <v>27</v>
      </c>
      <c r="E1424" s="3" t="s">
        <v>39</v>
      </c>
      <c r="F1424" s="5">
        <v>2</v>
      </c>
      <c r="G1424" s="6">
        <v>29.37</v>
      </c>
      <c r="H1424" s="6">
        <v>58.74</v>
      </c>
      <c r="I1424" s="6">
        <v>0</v>
      </c>
      <c r="J1424" s="6">
        <v>58.74</v>
      </c>
      <c r="K1424" s="5">
        <v>438</v>
      </c>
    </row>
    <row r="1425" spans="1:11" x14ac:dyDescent="0.3">
      <c r="A1425" s="3">
        <v>2922</v>
      </c>
      <c r="B1425" s="3" t="s">
        <v>19</v>
      </c>
      <c r="C1425" s="4">
        <v>45725</v>
      </c>
      <c r="D1425" s="3" t="s">
        <v>22</v>
      </c>
      <c r="E1425" s="3" t="s">
        <v>47</v>
      </c>
      <c r="F1425" s="5">
        <v>1</v>
      </c>
      <c r="G1425" s="6">
        <v>8.08</v>
      </c>
      <c r="H1425" s="6">
        <v>8.08</v>
      </c>
      <c r="I1425" s="6">
        <v>1.21</v>
      </c>
      <c r="J1425" s="6">
        <v>6.87</v>
      </c>
      <c r="K1425" s="5">
        <v>379</v>
      </c>
    </row>
    <row r="1426" spans="1:11" x14ac:dyDescent="0.3">
      <c r="A1426" s="3">
        <v>8846</v>
      </c>
      <c r="B1426" s="3" t="s">
        <v>42</v>
      </c>
      <c r="C1426" s="4">
        <v>45855</v>
      </c>
      <c r="D1426" s="3" t="s">
        <v>15</v>
      </c>
      <c r="E1426" s="3" t="s">
        <v>44</v>
      </c>
      <c r="F1426" s="5">
        <v>4</v>
      </c>
      <c r="G1426" s="6">
        <v>19.510000000000002</v>
      </c>
      <c r="H1426" s="6">
        <v>78.040000000000006</v>
      </c>
      <c r="I1426" s="6">
        <v>0</v>
      </c>
      <c r="J1426" s="6">
        <v>78.040000000000006</v>
      </c>
      <c r="K1426" s="5">
        <v>494</v>
      </c>
    </row>
    <row r="1427" spans="1:11" x14ac:dyDescent="0.3">
      <c r="A1427" s="3">
        <v>4974</v>
      </c>
      <c r="B1427" s="3" t="s">
        <v>14</v>
      </c>
      <c r="C1427" s="4">
        <v>45685</v>
      </c>
      <c r="D1427" s="3" t="s">
        <v>45</v>
      </c>
      <c r="E1427" s="3" t="s">
        <v>46</v>
      </c>
      <c r="F1427" s="5">
        <v>2</v>
      </c>
      <c r="G1427" s="6">
        <v>8.68</v>
      </c>
      <c r="H1427" s="6">
        <v>17.36</v>
      </c>
      <c r="I1427" s="6">
        <v>2.6</v>
      </c>
      <c r="J1427" s="6">
        <v>14.76</v>
      </c>
      <c r="K1427" s="5">
        <v>347</v>
      </c>
    </row>
    <row r="1428" spans="1:11" x14ac:dyDescent="0.3">
      <c r="A1428" s="3">
        <v>4350</v>
      </c>
      <c r="B1428" s="3" t="s">
        <v>24</v>
      </c>
      <c r="C1428" s="4">
        <v>45453</v>
      </c>
      <c r="D1428" s="3" t="s">
        <v>28</v>
      </c>
      <c r="E1428" s="3" t="s">
        <v>16</v>
      </c>
      <c r="F1428" s="5">
        <v>3</v>
      </c>
      <c r="G1428" s="6">
        <v>9.9600000000000009</v>
      </c>
      <c r="H1428" s="6">
        <v>29.88</v>
      </c>
      <c r="I1428" s="6">
        <v>1.49</v>
      </c>
      <c r="J1428" s="6">
        <v>28.39</v>
      </c>
      <c r="K1428" s="5">
        <v>21</v>
      </c>
    </row>
    <row r="1429" spans="1:11" x14ac:dyDescent="0.3">
      <c r="A1429" s="3">
        <v>4921</v>
      </c>
      <c r="B1429" s="3" t="s">
        <v>26</v>
      </c>
      <c r="C1429" s="4">
        <v>45573</v>
      </c>
      <c r="D1429" s="3" t="s">
        <v>28</v>
      </c>
      <c r="E1429" s="3" t="s">
        <v>23</v>
      </c>
      <c r="F1429" s="5">
        <v>3</v>
      </c>
      <c r="G1429" s="6">
        <v>4.1900000000000004</v>
      </c>
      <c r="H1429" s="6">
        <v>12.57</v>
      </c>
      <c r="I1429" s="6">
        <v>0</v>
      </c>
      <c r="J1429" s="6">
        <v>12.57</v>
      </c>
      <c r="K1429" s="5">
        <v>4</v>
      </c>
    </row>
    <row r="1430" spans="1:11" x14ac:dyDescent="0.3">
      <c r="A1430" s="3">
        <v>6269</v>
      </c>
      <c r="B1430" s="3" t="s">
        <v>19</v>
      </c>
      <c r="C1430" s="4">
        <v>45747</v>
      </c>
      <c r="D1430" s="3" t="s">
        <v>45</v>
      </c>
      <c r="E1430" s="3" t="s">
        <v>41</v>
      </c>
      <c r="F1430" s="5">
        <v>5</v>
      </c>
      <c r="G1430" s="6">
        <v>29.02</v>
      </c>
      <c r="H1430" s="6">
        <v>145.1</v>
      </c>
      <c r="I1430" s="6">
        <v>21.76</v>
      </c>
      <c r="J1430" s="6">
        <v>123.34</v>
      </c>
      <c r="K1430" s="5">
        <v>319</v>
      </c>
    </row>
    <row r="1431" spans="1:11" x14ac:dyDescent="0.3">
      <c r="A1431" s="3">
        <v>5637</v>
      </c>
      <c r="B1431" s="3" t="s">
        <v>26</v>
      </c>
      <c r="C1431" s="4">
        <v>45440</v>
      </c>
      <c r="D1431" s="3" t="s">
        <v>35</v>
      </c>
      <c r="E1431" s="3" t="s">
        <v>43</v>
      </c>
      <c r="F1431" s="5">
        <v>3</v>
      </c>
      <c r="G1431" s="6">
        <v>1.44</v>
      </c>
      <c r="H1431" s="6">
        <v>4.32</v>
      </c>
      <c r="I1431" s="6">
        <v>0.65</v>
      </c>
      <c r="J1431" s="6">
        <v>3.67</v>
      </c>
      <c r="K1431" s="5">
        <v>20</v>
      </c>
    </row>
    <row r="1432" spans="1:11" x14ac:dyDescent="0.3">
      <c r="A1432" s="3">
        <v>8639</v>
      </c>
      <c r="B1432" s="3" t="s">
        <v>11</v>
      </c>
      <c r="C1432" s="4">
        <v>45559</v>
      </c>
      <c r="D1432" s="3" t="s">
        <v>12</v>
      </c>
      <c r="E1432" s="3" t="s">
        <v>47</v>
      </c>
      <c r="F1432" s="5">
        <v>3</v>
      </c>
      <c r="G1432" s="6">
        <v>1.1399999999999999</v>
      </c>
      <c r="H1432" s="6">
        <v>3.42</v>
      </c>
      <c r="I1432" s="6">
        <v>2.0099999999999998</v>
      </c>
      <c r="J1432" s="6">
        <v>1.41</v>
      </c>
      <c r="K1432" s="5">
        <v>180</v>
      </c>
    </row>
    <row r="1433" spans="1:11" x14ac:dyDescent="0.3">
      <c r="A1433" s="3">
        <v>6886</v>
      </c>
      <c r="B1433" s="3" t="s">
        <v>36</v>
      </c>
      <c r="C1433" s="4">
        <v>45384</v>
      </c>
      <c r="D1433" s="3" t="s">
        <v>35</v>
      </c>
      <c r="E1433" s="3" t="s">
        <v>46</v>
      </c>
      <c r="F1433" s="5">
        <v>5</v>
      </c>
      <c r="G1433" s="6">
        <v>5.49</v>
      </c>
      <c r="H1433" s="6">
        <v>27.45</v>
      </c>
      <c r="I1433" s="6">
        <v>5.49</v>
      </c>
      <c r="J1433" s="6">
        <v>21.96</v>
      </c>
      <c r="K1433" s="5">
        <v>44</v>
      </c>
    </row>
    <row r="1434" spans="1:11" x14ac:dyDescent="0.3">
      <c r="A1434" s="3">
        <v>5285</v>
      </c>
      <c r="B1434" s="3" t="s">
        <v>42</v>
      </c>
      <c r="C1434" s="4">
        <v>45424</v>
      </c>
      <c r="D1434" s="3" t="s">
        <v>20</v>
      </c>
      <c r="E1434" s="3" t="s">
        <v>43</v>
      </c>
      <c r="F1434" s="5">
        <v>3</v>
      </c>
      <c r="G1434" s="6">
        <v>7.34</v>
      </c>
      <c r="H1434" s="6">
        <v>22.02</v>
      </c>
      <c r="I1434" s="6">
        <v>4.4000000000000004</v>
      </c>
      <c r="J1434" s="6">
        <v>17.62</v>
      </c>
      <c r="K1434" s="5">
        <v>242</v>
      </c>
    </row>
    <row r="1435" spans="1:11" x14ac:dyDescent="0.3">
      <c r="A1435" s="3">
        <v>9401</v>
      </c>
      <c r="B1435" s="3" t="s">
        <v>24</v>
      </c>
      <c r="C1435" s="4">
        <v>45830</v>
      </c>
      <c r="D1435" s="3" t="s">
        <v>20</v>
      </c>
      <c r="E1435" s="3" t="s">
        <v>32</v>
      </c>
      <c r="F1435" s="5">
        <v>1</v>
      </c>
      <c r="G1435" s="6">
        <v>26.89</v>
      </c>
      <c r="H1435" s="6">
        <v>26.89</v>
      </c>
      <c r="I1435" s="6">
        <v>2.2400000000000002</v>
      </c>
      <c r="J1435" s="6">
        <v>24.65</v>
      </c>
      <c r="K1435" s="5">
        <v>471</v>
      </c>
    </row>
    <row r="1436" spans="1:11" x14ac:dyDescent="0.3">
      <c r="A1436" s="3">
        <v>9147</v>
      </c>
      <c r="B1436" s="3" t="s">
        <v>24</v>
      </c>
      <c r="C1436" s="4">
        <v>45506</v>
      </c>
      <c r="D1436" s="3" t="s">
        <v>27</v>
      </c>
      <c r="E1436" s="3" t="s">
        <v>21</v>
      </c>
      <c r="F1436" s="5">
        <v>5</v>
      </c>
      <c r="G1436" s="6">
        <v>5.03</v>
      </c>
      <c r="H1436" s="6">
        <v>25.15</v>
      </c>
      <c r="I1436" s="6">
        <v>3.77</v>
      </c>
      <c r="J1436" s="6">
        <v>21.38</v>
      </c>
      <c r="K1436" s="5">
        <v>393</v>
      </c>
    </row>
    <row r="1437" spans="1:11" x14ac:dyDescent="0.3">
      <c r="A1437" s="3">
        <v>2615</v>
      </c>
      <c r="B1437" s="3" t="s">
        <v>19</v>
      </c>
      <c r="C1437" s="4">
        <v>45768</v>
      </c>
      <c r="D1437" s="3" t="s">
        <v>20</v>
      </c>
      <c r="E1437" s="3" t="s">
        <v>18</v>
      </c>
      <c r="F1437" s="5">
        <v>2</v>
      </c>
      <c r="G1437" s="6">
        <v>9.7200000000000006</v>
      </c>
      <c r="H1437" s="6">
        <v>19.440000000000001</v>
      </c>
      <c r="I1437" s="6">
        <v>4.71</v>
      </c>
      <c r="J1437" s="6">
        <v>14.73</v>
      </c>
      <c r="K1437" s="5">
        <v>43</v>
      </c>
    </row>
    <row r="1438" spans="1:11" x14ac:dyDescent="0.3">
      <c r="A1438" s="3">
        <v>8692</v>
      </c>
      <c r="B1438" s="3" t="s">
        <v>26</v>
      </c>
      <c r="C1438" s="4">
        <v>45736</v>
      </c>
      <c r="D1438" s="3" t="s">
        <v>38</v>
      </c>
      <c r="E1438" s="3" t="s">
        <v>29</v>
      </c>
      <c r="F1438" s="5">
        <v>4</v>
      </c>
      <c r="G1438" s="6">
        <v>23.68</v>
      </c>
      <c r="H1438" s="6">
        <v>94.72</v>
      </c>
      <c r="I1438" s="6">
        <v>1.55</v>
      </c>
      <c r="J1438" s="6">
        <v>93.17</v>
      </c>
      <c r="K1438" s="5">
        <v>426</v>
      </c>
    </row>
    <row r="1439" spans="1:11" x14ac:dyDescent="0.3">
      <c r="A1439" s="3">
        <v>6246</v>
      </c>
      <c r="B1439" s="3" t="s">
        <v>26</v>
      </c>
      <c r="C1439" s="4">
        <v>45855</v>
      </c>
      <c r="D1439" s="3" t="s">
        <v>22</v>
      </c>
      <c r="E1439" s="3" t="s">
        <v>46</v>
      </c>
      <c r="F1439" s="5">
        <v>3</v>
      </c>
      <c r="G1439" s="6">
        <v>14.57</v>
      </c>
      <c r="H1439" s="6">
        <v>43.71</v>
      </c>
      <c r="I1439" s="6">
        <v>4.37</v>
      </c>
      <c r="J1439" s="6">
        <v>39.340000000000003</v>
      </c>
      <c r="K1439" s="5">
        <v>218</v>
      </c>
    </row>
    <row r="1440" spans="1:11" x14ac:dyDescent="0.3">
      <c r="A1440" s="3">
        <v>4328</v>
      </c>
      <c r="B1440" s="3" t="s">
        <v>24</v>
      </c>
      <c r="C1440" s="4">
        <v>45432</v>
      </c>
      <c r="D1440" s="3" t="s">
        <v>45</v>
      </c>
      <c r="E1440" s="3" t="s">
        <v>39</v>
      </c>
      <c r="F1440" s="5">
        <v>5</v>
      </c>
      <c r="G1440" s="6">
        <v>1.76</v>
      </c>
      <c r="H1440" s="6">
        <v>8.8000000000000007</v>
      </c>
      <c r="I1440" s="6">
        <v>4.0199999999999996</v>
      </c>
      <c r="J1440" s="6">
        <v>4.78</v>
      </c>
      <c r="K1440" s="5">
        <v>392</v>
      </c>
    </row>
    <row r="1441" spans="1:11" x14ac:dyDescent="0.3">
      <c r="A1441" s="3">
        <v>6126</v>
      </c>
      <c r="B1441" s="3" t="s">
        <v>30</v>
      </c>
      <c r="C1441" s="4">
        <v>45466</v>
      </c>
      <c r="D1441" s="3" t="s">
        <v>17</v>
      </c>
      <c r="E1441" s="3" t="s">
        <v>46</v>
      </c>
      <c r="F1441" s="5">
        <v>3</v>
      </c>
      <c r="G1441" s="6">
        <v>4.68</v>
      </c>
      <c r="H1441" s="6">
        <v>14.04</v>
      </c>
      <c r="I1441" s="6">
        <v>4.0199999999999996</v>
      </c>
      <c r="J1441" s="6">
        <v>10.02</v>
      </c>
      <c r="K1441" s="5">
        <v>278</v>
      </c>
    </row>
    <row r="1442" spans="1:11" x14ac:dyDescent="0.3">
      <c r="A1442" s="3">
        <v>1749</v>
      </c>
      <c r="B1442" s="3" t="s">
        <v>24</v>
      </c>
      <c r="C1442" s="4">
        <v>45581</v>
      </c>
      <c r="D1442" s="3" t="s">
        <v>34</v>
      </c>
      <c r="E1442" s="3" t="s">
        <v>32</v>
      </c>
      <c r="F1442" s="5">
        <v>1</v>
      </c>
      <c r="G1442" s="6">
        <v>14.41</v>
      </c>
      <c r="H1442" s="6">
        <v>14.41</v>
      </c>
      <c r="I1442" s="6">
        <v>1.34</v>
      </c>
      <c r="J1442" s="6">
        <v>13.07</v>
      </c>
      <c r="K1442" s="5">
        <v>390</v>
      </c>
    </row>
    <row r="1443" spans="1:11" x14ac:dyDescent="0.3">
      <c r="A1443" s="3">
        <v>4625</v>
      </c>
      <c r="B1443" s="3" t="s">
        <v>30</v>
      </c>
      <c r="C1443" s="4">
        <v>45720</v>
      </c>
      <c r="D1443" s="3" t="s">
        <v>27</v>
      </c>
      <c r="E1443" s="3" t="s">
        <v>48</v>
      </c>
      <c r="F1443" s="5">
        <v>3</v>
      </c>
      <c r="G1443" s="6">
        <v>18.23</v>
      </c>
      <c r="H1443" s="6">
        <v>54.69</v>
      </c>
      <c r="I1443" s="6">
        <v>2.93</v>
      </c>
      <c r="J1443" s="6">
        <v>51.76</v>
      </c>
      <c r="K1443" s="5">
        <v>420</v>
      </c>
    </row>
    <row r="1444" spans="1:11" x14ac:dyDescent="0.3">
      <c r="A1444" s="3">
        <v>3390</v>
      </c>
      <c r="B1444" s="3" t="s">
        <v>36</v>
      </c>
      <c r="C1444" s="4">
        <v>45157</v>
      </c>
      <c r="D1444" s="3" t="s">
        <v>12</v>
      </c>
      <c r="E1444" s="3" t="s">
        <v>48</v>
      </c>
      <c r="F1444" s="5">
        <v>5</v>
      </c>
      <c r="G1444" s="6">
        <v>20.55</v>
      </c>
      <c r="H1444" s="6">
        <v>102.75</v>
      </c>
      <c r="I1444" s="6">
        <v>0</v>
      </c>
      <c r="J1444" s="6">
        <v>102.75</v>
      </c>
      <c r="K1444" s="5">
        <v>378</v>
      </c>
    </row>
    <row r="1445" spans="1:11" x14ac:dyDescent="0.3">
      <c r="A1445" s="3">
        <v>5272</v>
      </c>
      <c r="B1445" s="3" t="s">
        <v>42</v>
      </c>
      <c r="C1445" s="4">
        <v>45574</v>
      </c>
      <c r="D1445" s="3" t="s">
        <v>38</v>
      </c>
      <c r="E1445" s="3" t="s">
        <v>41</v>
      </c>
      <c r="F1445" s="5">
        <v>5</v>
      </c>
      <c r="G1445" s="6">
        <v>22.46</v>
      </c>
      <c r="H1445" s="6">
        <v>112.3</v>
      </c>
      <c r="I1445" s="6">
        <v>22.46</v>
      </c>
      <c r="J1445" s="6">
        <v>89.84</v>
      </c>
      <c r="K1445" s="5">
        <v>253</v>
      </c>
    </row>
    <row r="1446" spans="1:11" x14ac:dyDescent="0.3">
      <c r="A1446" s="3">
        <v>7841</v>
      </c>
      <c r="B1446" s="3" t="s">
        <v>19</v>
      </c>
      <c r="C1446" s="4">
        <v>45374</v>
      </c>
      <c r="D1446" s="3" t="s">
        <v>35</v>
      </c>
      <c r="E1446" s="3" t="s">
        <v>37</v>
      </c>
      <c r="F1446" s="5">
        <v>1</v>
      </c>
      <c r="G1446" s="6">
        <v>24.35</v>
      </c>
      <c r="H1446" s="6">
        <v>24.35</v>
      </c>
      <c r="I1446" s="6">
        <v>1.27</v>
      </c>
      <c r="J1446" s="6">
        <v>23.08</v>
      </c>
      <c r="K1446" s="5">
        <v>319</v>
      </c>
    </row>
    <row r="1447" spans="1:11" x14ac:dyDescent="0.3">
      <c r="A1447" s="3">
        <v>3497</v>
      </c>
      <c r="B1447" s="3" t="s">
        <v>19</v>
      </c>
      <c r="C1447" s="4">
        <v>45297</v>
      </c>
      <c r="D1447" s="3" t="s">
        <v>28</v>
      </c>
      <c r="E1447" s="3" t="s">
        <v>48</v>
      </c>
      <c r="F1447" s="5">
        <v>5</v>
      </c>
      <c r="G1447" s="6">
        <v>3.8</v>
      </c>
      <c r="H1447" s="6">
        <v>19</v>
      </c>
      <c r="I1447" s="6">
        <v>1.9</v>
      </c>
      <c r="J1447" s="6">
        <v>17.100000000000001</v>
      </c>
      <c r="K1447" s="5">
        <v>104</v>
      </c>
    </row>
    <row r="1448" spans="1:11" x14ac:dyDescent="0.3">
      <c r="A1448" s="3">
        <v>6404</v>
      </c>
      <c r="B1448" s="3" t="s">
        <v>31</v>
      </c>
      <c r="C1448" s="4">
        <v>45323</v>
      </c>
      <c r="D1448" s="3" t="s">
        <v>38</v>
      </c>
      <c r="E1448" s="3" t="s">
        <v>33</v>
      </c>
      <c r="F1448" s="5">
        <v>4</v>
      </c>
      <c r="G1448" s="6">
        <v>2.6</v>
      </c>
      <c r="H1448" s="6">
        <v>10.4</v>
      </c>
      <c r="I1448" s="6">
        <v>1.04</v>
      </c>
      <c r="J1448" s="6">
        <v>9.36</v>
      </c>
      <c r="K1448" s="5">
        <v>62</v>
      </c>
    </row>
    <row r="1449" spans="1:11" x14ac:dyDescent="0.3">
      <c r="A1449" s="3">
        <v>7223</v>
      </c>
      <c r="B1449" s="3" t="s">
        <v>26</v>
      </c>
      <c r="C1449" s="4">
        <v>45587</v>
      </c>
      <c r="D1449" s="3" t="s">
        <v>34</v>
      </c>
      <c r="E1449" s="3" t="s">
        <v>25</v>
      </c>
      <c r="F1449" s="5">
        <v>5</v>
      </c>
      <c r="G1449" s="6">
        <v>8.5399999999999991</v>
      </c>
      <c r="H1449" s="6">
        <v>42.7</v>
      </c>
      <c r="I1449" s="6">
        <v>0</v>
      </c>
      <c r="J1449" s="6">
        <v>42.7</v>
      </c>
      <c r="K1449" s="5">
        <v>313</v>
      </c>
    </row>
    <row r="1450" spans="1:11" x14ac:dyDescent="0.3">
      <c r="A1450" s="3">
        <v>5026</v>
      </c>
      <c r="B1450" s="3" t="s">
        <v>11</v>
      </c>
      <c r="C1450" s="4">
        <v>45532</v>
      </c>
      <c r="D1450" s="3" t="s">
        <v>20</v>
      </c>
      <c r="E1450" s="3" t="s">
        <v>41</v>
      </c>
      <c r="F1450" s="5">
        <v>1</v>
      </c>
      <c r="G1450" s="6">
        <v>6.35</v>
      </c>
      <c r="H1450" s="6">
        <v>6.35</v>
      </c>
      <c r="I1450" s="6">
        <v>1.27</v>
      </c>
      <c r="J1450" s="6">
        <v>5.08</v>
      </c>
      <c r="K1450" s="5">
        <v>419</v>
      </c>
    </row>
    <row r="1451" spans="1:11" x14ac:dyDescent="0.3">
      <c r="A1451" s="3">
        <v>6530</v>
      </c>
      <c r="B1451" s="3" t="s">
        <v>14</v>
      </c>
      <c r="C1451" s="4">
        <v>45344</v>
      </c>
      <c r="D1451" s="3" t="s">
        <v>38</v>
      </c>
      <c r="E1451" s="3" t="s">
        <v>44</v>
      </c>
      <c r="F1451" s="5">
        <v>4</v>
      </c>
      <c r="G1451" s="6">
        <v>14.92</v>
      </c>
      <c r="H1451" s="6">
        <v>59.68</v>
      </c>
      <c r="I1451" s="6">
        <v>2.97</v>
      </c>
      <c r="J1451" s="6">
        <v>56.71</v>
      </c>
      <c r="K1451" s="5">
        <v>148</v>
      </c>
    </row>
    <row r="1452" spans="1:11" x14ac:dyDescent="0.3">
      <c r="A1452" s="3">
        <v>9005</v>
      </c>
      <c r="B1452" s="3" t="s">
        <v>30</v>
      </c>
      <c r="C1452" s="4">
        <v>45707</v>
      </c>
      <c r="D1452" s="3" t="s">
        <v>20</v>
      </c>
      <c r="E1452" s="3" t="s">
        <v>32</v>
      </c>
      <c r="F1452" s="5">
        <v>1</v>
      </c>
      <c r="G1452" s="6">
        <v>14.44</v>
      </c>
      <c r="H1452" s="6">
        <v>14.44</v>
      </c>
      <c r="I1452" s="6">
        <v>2.89</v>
      </c>
      <c r="J1452" s="6">
        <v>11.55</v>
      </c>
      <c r="K1452" s="5">
        <v>416</v>
      </c>
    </row>
    <row r="1453" spans="1:11" x14ac:dyDescent="0.3">
      <c r="A1453" s="3">
        <v>9037</v>
      </c>
      <c r="B1453" s="3" t="s">
        <v>31</v>
      </c>
      <c r="C1453" s="4">
        <v>45502</v>
      </c>
      <c r="D1453" s="3" t="s">
        <v>35</v>
      </c>
      <c r="E1453" s="3" t="s">
        <v>33</v>
      </c>
      <c r="F1453" s="5">
        <v>1</v>
      </c>
      <c r="G1453" s="6">
        <v>17.350000000000001</v>
      </c>
      <c r="H1453" s="6">
        <v>17.350000000000001</v>
      </c>
      <c r="I1453" s="6">
        <v>3.58</v>
      </c>
      <c r="J1453" s="6">
        <v>13.77</v>
      </c>
      <c r="K1453" s="5">
        <v>5</v>
      </c>
    </row>
    <row r="1454" spans="1:11" x14ac:dyDescent="0.3">
      <c r="A1454" s="3">
        <v>3756</v>
      </c>
      <c r="B1454" s="3" t="s">
        <v>26</v>
      </c>
      <c r="C1454" s="4">
        <v>45714</v>
      </c>
      <c r="D1454" s="3" t="s">
        <v>12</v>
      </c>
      <c r="E1454" s="3" t="s">
        <v>23</v>
      </c>
      <c r="F1454" s="5">
        <v>2</v>
      </c>
      <c r="G1454" s="6">
        <v>14.56</v>
      </c>
      <c r="H1454" s="6">
        <v>29.12</v>
      </c>
      <c r="I1454" s="6">
        <v>4.37</v>
      </c>
      <c r="J1454" s="6">
        <v>24.75</v>
      </c>
      <c r="K1454" s="5">
        <v>370</v>
      </c>
    </row>
    <row r="1455" spans="1:11" x14ac:dyDescent="0.3">
      <c r="A1455" s="3">
        <v>6770</v>
      </c>
      <c r="B1455" s="3" t="s">
        <v>31</v>
      </c>
      <c r="C1455" s="4">
        <v>45276</v>
      </c>
      <c r="D1455" s="3" t="s">
        <v>34</v>
      </c>
      <c r="E1455" s="3" t="s">
        <v>23</v>
      </c>
      <c r="F1455" s="5">
        <v>5</v>
      </c>
      <c r="G1455" s="6">
        <v>25.81</v>
      </c>
      <c r="H1455" s="6">
        <v>129.05000000000001</v>
      </c>
      <c r="I1455" s="6">
        <v>19.36</v>
      </c>
      <c r="J1455" s="6">
        <v>109.69</v>
      </c>
      <c r="K1455" s="5">
        <v>257</v>
      </c>
    </row>
    <row r="1456" spans="1:11" x14ac:dyDescent="0.3">
      <c r="A1456" s="3">
        <v>3293</v>
      </c>
      <c r="B1456" s="3" t="s">
        <v>14</v>
      </c>
      <c r="C1456" s="4">
        <v>45704</v>
      </c>
      <c r="D1456" s="3" t="s">
        <v>20</v>
      </c>
      <c r="E1456" s="3" t="s">
        <v>46</v>
      </c>
      <c r="F1456" s="5">
        <v>1</v>
      </c>
      <c r="G1456" s="6">
        <v>6.05</v>
      </c>
      <c r="H1456" s="6">
        <v>6.05</v>
      </c>
      <c r="I1456" s="6">
        <v>0</v>
      </c>
      <c r="J1456" s="6">
        <v>6.05</v>
      </c>
      <c r="K1456" s="5">
        <v>77</v>
      </c>
    </row>
    <row r="1457" spans="1:11" x14ac:dyDescent="0.3">
      <c r="A1457" s="3">
        <v>9954</v>
      </c>
      <c r="B1457" s="3" t="s">
        <v>36</v>
      </c>
      <c r="C1457" s="4">
        <v>45524</v>
      </c>
      <c r="D1457" s="3" t="s">
        <v>45</v>
      </c>
      <c r="E1457" s="3" t="s">
        <v>41</v>
      </c>
      <c r="F1457" s="5">
        <v>3</v>
      </c>
      <c r="G1457" s="6">
        <v>23.75</v>
      </c>
      <c r="H1457" s="6">
        <v>71.25</v>
      </c>
      <c r="I1457" s="6">
        <v>7.12</v>
      </c>
      <c r="J1457" s="6">
        <v>64.13</v>
      </c>
      <c r="K1457" s="5">
        <v>337</v>
      </c>
    </row>
    <row r="1458" spans="1:11" x14ac:dyDescent="0.3">
      <c r="A1458" s="3">
        <v>4015</v>
      </c>
      <c r="B1458" s="3" t="s">
        <v>11</v>
      </c>
      <c r="C1458" s="4">
        <v>45857</v>
      </c>
      <c r="D1458" s="3" t="s">
        <v>27</v>
      </c>
      <c r="E1458" s="3" t="s">
        <v>47</v>
      </c>
      <c r="F1458" s="5">
        <v>4</v>
      </c>
      <c r="G1458" s="6">
        <v>28.9</v>
      </c>
      <c r="H1458" s="6">
        <v>115.6</v>
      </c>
      <c r="I1458" s="6">
        <v>3.83</v>
      </c>
      <c r="J1458" s="6">
        <v>111.77</v>
      </c>
      <c r="K1458" s="5">
        <v>310</v>
      </c>
    </row>
    <row r="1459" spans="1:11" x14ac:dyDescent="0.3">
      <c r="A1459" s="3">
        <v>9882</v>
      </c>
      <c r="B1459" s="3" t="s">
        <v>14</v>
      </c>
      <c r="C1459" s="4">
        <v>45643</v>
      </c>
      <c r="D1459" s="3" t="s">
        <v>27</v>
      </c>
      <c r="E1459" s="3" t="s">
        <v>46</v>
      </c>
      <c r="F1459" s="5">
        <v>3</v>
      </c>
      <c r="G1459" s="6">
        <v>4.74</v>
      </c>
      <c r="H1459" s="6">
        <v>14.22</v>
      </c>
      <c r="I1459" s="6">
        <v>3.47</v>
      </c>
      <c r="J1459" s="6">
        <v>10.75</v>
      </c>
      <c r="K1459" s="5">
        <v>165</v>
      </c>
    </row>
    <row r="1460" spans="1:11" x14ac:dyDescent="0.3">
      <c r="A1460" s="3">
        <v>1962</v>
      </c>
      <c r="B1460" s="3" t="s">
        <v>24</v>
      </c>
      <c r="C1460" s="4">
        <v>45551</v>
      </c>
      <c r="D1460" s="3" t="s">
        <v>15</v>
      </c>
      <c r="E1460" s="3" t="s">
        <v>40</v>
      </c>
      <c r="F1460" s="5">
        <v>1</v>
      </c>
      <c r="G1460" s="6">
        <v>25.7</v>
      </c>
      <c r="H1460" s="6">
        <v>25.7</v>
      </c>
      <c r="I1460" s="6">
        <v>3.66</v>
      </c>
      <c r="J1460" s="6">
        <v>22.04</v>
      </c>
      <c r="K1460" s="5">
        <v>81</v>
      </c>
    </row>
    <row r="1461" spans="1:11" x14ac:dyDescent="0.3">
      <c r="A1461" s="3">
        <v>1554</v>
      </c>
      <c r="B1461" s="3" t="s">
        <v>26</v>
      </c>
      <c r="C1461" s="4">
        <v>45796</v>
      </c>
      <c r="D1461" s="3" t="s">
        <v>27</v>
      </c>
      <c r="E1461" s="3" t="s">
        <v>47</v>
      </c>
      <c r="F1461" s="5">
        <v>3</v>
      </c>
      <c r="G1461" s="6">
        <v>23.03</v>
      </c>
      <c r="H1461" s="6">
        <v>69.09</v>
      </c>
      <c r="I1461" s="6">
        <v>4.5999999999999996</v>
      </c>
      <c r="J1461" s="6">
        <v>64.489999999999995</v>
      </c>
      <c r="K1461" s="5">
        <v>395</v>
      </c>
    </row>
    <row r="1462" spans="1:11" x14ac:dyDescent="0.3">
      <c r="A1462" s="3">
        <v>2217</v>
      </c>
      <c r="B1462" s="3" t="s">
        <v>19</v>
      </c>
      <c r="C1462" s="4">
        <v>45780</v>
      </c>
      <c r="D1462" s="3" t="s">
        <v>20</v>
      </c>
      <c r="E1462" s="3" t="s">
        <v>16</v>
      </c>
      <c r="F1462" s="5">
        <v>1</v>
      </c>
      <c r="G1462" s="6">
        <v>2.79</v>
      </c>
      <c r="H1462" s="6">
        <v>2.79</v>
      </c>
      <c r="I1462" s="6">
        <v>4.3899999999999997</v>
      </c>
      <c r="J1462" s="6">
        <v>-1.6</v>
      </c>
      <c r="K1462" s="5">
        <v>128</v>
      </c>
    </row>
    <row r="1463" spans="1:11" x14ac:dyDescent="0.3">
      <c r="A1463" s="3">
        <v>1794</v>
      </c>
      <c r="B1463" s="3"/>
      <c r="C1463" s="4">
        <v>45738</v>
      </c>
      <c r="D1463" s="3" t="s">
        <v>45</v>
      </c>
      <c r="E1463" s="3" t="s">
        <v>23</v>
      </c>
      <c r="F1463" s="5">
        <v>5</v>
      </c>
      <c r="G1463" s="6">
        <v>19.3</v>
      </c>
      <c r="H1463" s="6">
        <v>96.5</v>
      </c>
      <c r="I1463" s="6">
        <v>14.47</v>
      </c>
      <c r="J1463" s="6">
        <v>82.03</v>
      </c>
      <c r="K1463" s="5">
        <v>15</v>
      </c>
    </row>
    <row r="1464" spans="1:11" x14ac:dyDescent="0.3">
      <c r="A1464" s="3">
        <v>1104</v>
      </c>
      <c r="B1464" s="3" t="s">
        <v>11</v>
      </c>
      <c r="C1464" s="4">
        <v>45465</v>
      </c>
      <c r="D1464" s="3" t="s">
        <v>45</v>
      </c>
      <c r="E1464" s="3" t="s">
        <v>32</v>
      </c>
      <c r="F1464" s="5">
        <v>2</v>
      </c>
      <c r="G1464" s="6">
        <v>29.67</v>
      </c>
      <c r="H1464" s="6">
        <v>59.34</v>
      </c>
      <c r="I1464" s="6">
        <v>11.87</v>
      </c>
      <c r="J1464" s="6">
        <v>47.47</v>
      </c>
      <c r="K1464" s="5">
        <v>293</v>
      </c>
    </row>
    <row r="1465" spans="1:11" x14ac:dyDescent="0.3">
      <c r="A1465" s="3">
        <v>3252</v>
      </c>
      <c r="B1465" s="3" t="s">
        <v>30</v>
      </c>
      <c r="C1465" s="4">
        <v>45799</v>
      </c>
      <c r="D1465" s="3" t="s">
        <v>45</v>
      </c>
      <c r="E1465" s="3" t="s">
        <v>33</v>
      </c>
      <c r="F1465" s="5">
        <v>3</v>
      </c>
      <c r="G1465" s="6">
        <v>7.53</v>
      </c>
      <c r="H1465" s="6">
        <v>22.59</v>
      </c>
      <c r="I1465" s="6">
        <v>2.2599999999999998</v>
      </c>
      <c r="J1465" s="6">
        <v>20.329999999999998</v>
      </c>
      <c r="K1465" s="5">
        <v>379</v>
      </c>
    </row>
    <row r="1466" spans="1:11" x14ac:dyDescent="0.3">
      <c r="A1466" s="3">
        <v>4791</v>
      </c>
      <c r="B1466" s="3" t="s">
        <v>14</v>
      </c>
      <c r="C1466" s="4">
        <v>45197</v>
      </c>
      <c r="D1466" s="3" t="s">
        <v>17</v>
      </c>
      <c r="E1466" s="3" t="s">
        <v>43</v>
      </c>
      <c r="F1466" s="5">
        <v>5</v>
      </c>
      <c r="G1466" s="6">
        <v>1.69</v>
      </c>
      <c r="H1466" s="6">
        <v>8.4499999999999993</v>
      </c>
      <c r="I1466" s="6">
        <v>1.69</v>
      </c>
      <c r="J1466" s="6">
        <v>6.76</v>
      </c>
      <c r="K1466" s="5">
        <v>491</v>
      </c>
    </row>
    <row r="1467" spans="1:11" x14ac:dyDescent="0.3">
      <c r="A1467" s="3">
        <v>3474</v>
      </c>
      <c r="B1467" s="3" t="s">
        <v>31</v>
      </c>
      <c r="C1467" s="4">
        <v>45152</v>
      </c>
      <c r="D1467" s="3" t="s">
        <v>34</v>
      </c>
      <c r="E1467" s="3" t="s">
        <v>39</v>
      </c>
      <c r="F1467" s="5">
        <v>3</v>
      </c>
      <c r="G1467" s="6">
        <v>23.45</v>
      </c>
      <c r="H1467" s="6">
        <v>70.349999999999994</v>
      </c>
      <c r="I1467" s="6">
        <v>10.55</v>
      </c>
      <c r="J1467" s="6">
        <v>59.8</v>
      </c>
      <c r="K1467" s="5">
        <v>290</v>
      </c>
    </row>
    <row r="1468" spans="1:11" x14ac:dyDescent="0.3">
      <c r="A1468" s="3">
        <v>4583</v>
      </c>
      <c r="B1468" s="3" t="s">
        <v>19</v>
      </c>
      <c r="C1468" s="4">
        <v>45537</v>
      </c>
      <c r="D1468" s="3" t="s">
        <v>27</v>
      </c>
      <c r="E1468" s="3" t="s">
        <v>46</v>
      </c>
      <c r="F1468" s="5">
        <v>4</v>
      </c>
      <c r="G1468" s="6">
        <v>6.5</v>
      </c>
      <c r="H1468" s="6">
        <v>26</v>
      </c>
      <c r="I1468" s="6">
        <v>2.41</v>
      </c>
      <c r="J1468" s="6">
        <v>23.59</v>
      </c>
      <c r="K1468" s="5">
        <v>106</v>
      </c>
    </row>
    <row r="1469" spans="1:11" x14ac:dyDescent="0.3">
      <c r="A1469" s="3">
        <v>8471</v>
      </c>
      <c r="B1469" s="3" t="s">
        <v>14</v>
      </c>
      <c r="C1469" s="4">
        <v>45434</v>
      </c>
      <c r="D1469" s="3" t="s">
        <v>34</v>
      </c>
      <c r="E1469" s="3" t="s">
        <v>43</v>
      </c>
      <c r="F1469" s="5">
        <v>4</v>
      </c>
      <c r="G1469" s="6">
        <v>13.39</v>
      </c>
      <c r="H1469" s="6">
        <v>53.56</v>
      </c>
      <c r="I1469" s="6">
        <v>1.31</v>
      </c>
      <c r="J1469" s="6">
        <v>52.25</v>
      </c>
      <c r="K1469" s="5">
        <v>192</v>
      </c>
    </row>
    <row r="1470" spans="1:11" x14ac:dyDescent="0.3">
      <c r="A1470" s="3">
        <v>1990</v>
      </c>
      <c r="B1470" s="3" t="s">
        <v>14</v>
      </c>
      <c r="C1470" s="4">
        <v>45624</v>
      </c>
      <c r="D1470" s="3" t="s">
        <v>35</v>
      </c>
      <c r="E1470" s="3" t="s">
        <v>48</v>
      </c>
      <c r="F1470" s="5">
        <v>1</v>
      </c>
      <c r="G1470" s="6">
        <v>15.45</v>
      </c>
      <c r="H1470" s="6">
        <v>15.45</v>
      </c>
      <c r="I1470" s="6">
        <v>1.9</v>
      </c>
      <c r="J1470" s="6">
        <v>13.55</v>
      </c>
      <c r="K1470" s="5">
        <v>26</v>
      </c>
    </row>
    <row r="1471" spans="1:11" x14ac:dyDescent="0.3">
      <c r="A1471" s="3">
        <v>8916</v>
      </c>
      <c r="B1471" s="3" t="s">
        <v>30</v>
      </c>
      <c r="C1471" s="4">
        <v>45657</v>
      </c>
      <c r="D1471" s="3" t="s">
        <v>35</v>
      </c>
      <c r="E1471" s="3" t="s">
        <v>32</v>
      </c>
      <c r="F1471" s="5">
        <v>3</v>
      </c>
      <c r="G1471" s="6">
        <v>2.96</v>
      </c>
      <c r="H1471" s="6">
        <v>8.8800000000000008</v>
      </c>
      <c r="I1471" s="6">
        <v>1.33</v>
      </c>
      <c r="J1471" s="6">
        <v>7.55</v>
      </c>
      <c r="K1471" s="5">
        <v>446</v>
      </c>
    </row>
    <row r="1472" spans="1:11" x14ac:dyDescent="0.3">
      <c r="A1472" s="3">
        <v>8993</v>
      </c>
      <c r="B1472" s="3" t="s">
        <v>11</v>
      </c>
      <c r="C1472" s="4">
        <v>45157</v>
      </c>
      <c r="D1472" s="3" t="s">
        <v>38</v>
      </c>
      <c r="E1472" s="3" t="s">
        <v>25</v>
      </c>
      <c r="F1472" s="5">
        <v>5</v>
      </c>
      <c r="G1472" s="6">
        <v>28.01</v>
      </c>
      <c r="H1472" s="6">
        <v>140.05000000000001</v>
      </c>
      <c r="I1472" s="6">
        <v>14.01</v>
      </c>
      <c r="J1472" s="6">
        <v>126.04</v>
      </c>
      <c r="K1472" s="5">
        <v>256</v>
      </c>
    </row>
    <row r="1473" spans="1:11" x14ac:dyDescent="0.3">
      <c r="A1473" s="3">
        <v>1108</v>
      </c>
      <c r="B1473" s="3" t="s">
        <v>31</v>
      </c>
      <c r="C1473" s="4">
        <v>45558</v>
      </c>
      <c r="D1473" s="3" t="s">
        <v>38</v>
      </c>
      <c r="E1473" s="3" t="s">
        <v>48</v>
      </c>
      <c r="F1473" s="5">
        <v>5</v>
      </c>
      <c r="G1473" s="6">
        <v>14.65</v>
      </c>
      <c r="H1473" s="6">
        <v>73.25</v>
      </c>
      <c r="I1473" s="6">
        <v>0</v>
      </c>
      <c r="J1473" s="6">
        <v>73.25</v>
      </c>
      <c r="K1473" s="5">
        <v>469</v>
      </c>
    </row>
    <row r="1474" spans="1:11" x14ac:dyDescent="0.3">
      <c r="A1474" s="3">
        <v>7739</v>
      </c>
      <c r="B1474" s="3" t="s">
        <v>31</v>
      </c>
      <c r="C1474" s="4">
        <v>45154</v>
      </c>
      <c r="D1474" s="3" t="s">
        <v>12</v>
      </c>
      <c r="E1474" s="3" t="s">
        <v>21</v>
      </c>
      <c r="F1474" s="5">
        <v>4</v>
      </c>
      <c r="G1474" s="6">
        <v>8.56</v>
      </c>
      <c r="H1474" s="6">
        <v>34.24</v>
      </c>
      <c r="I1474" s="6">
        <v>6.85</v>
      </c>
      <c r="J1474" s="6">
        <v>27.39</v>
      </c>
      <c r="K1474" s="5">
        <v>171</v>
      </c>
    </row>
    <row r="1475" spans="1:11" x14ac:dyDescent="0.3">
      <c r="A1475" s="3">
        <v>1274</v>
      </c>
      <c r="B1475" s="3" t="s">
        <v>42</v>
      </c>
      <c r="C1475" s="4">
        <v>45556</v>
      </c>
      <c r="D1475" s="3" t="s">
        <v>38</v>
      </c>
      <c r="E1475" s="3" t="s">
        <v>21</v>
      </c>
      <c r="F1475" s="5">
        <v>1</v>
      </c>
      <c r="G1475" s="6">
        <v>7.82</v>
      </c>
      <c r="H1475" s="6">
        <v>7.82</v>
      </c>
      <c r="I1475" s="6">
        <v>1.17</v>
      </c>
      <c r="J1475" s="6">
        <v>6.65</v>
      </c>
      <c r="K1475" s="5">
        <v>37</v>
      </c>
    </row>
    <row r="1476" spans="1:11" x14ac:dyDescent="0.3">
      <c r="A1476" s="3">
        <v>5501</v>
      </c>
      <c r="B1476" s="3" t="s">
        <v>11</v>
      </c>
      <c r="C1476" s="4">
        <v>45561</v>
      </c>
      <c r="D1476" s="3" t="s">
        <v>20</v>
      </c>
      <c r="E1476" s="3" t="s">
        <v>43</v>
      </c>
      <c r="F1476" s="5">
        <v>5</v>
      </c>
      <c r="G1476" s="6">
        <v>14.87</v>
      </c>
      <c r="H1476" s="6">
        <v>74.349999999999994</v>
      </c>
      <c r="I1476" s="6">
        <v>0</v>
      </c>
      <c r="J1476" s="6">
        <v>74.349999999999994</v>
      </c>
      <c r="K1476" s="5">
        <v>66</v>
      </c>
    </row>
    <row r="1477" spans="1:11" x14ac:dyDescent="0.3">
      <c r="A1477" s="3">
        <v>5697</v>
      </c>
      <c r="B1477" s="3" t="s">
        <v>31</v>
      </c>
      <c r="C1477" s="4">
        <v>45158</v>
      </c>
      <c r="D1477" s="3" t="s">
        <v>15</v>
      </c>
      <c r="E1477" s="3" t="s">
        <v>40</v>
      </c>
      <c r="F1477" s="5">
        <v>4</v>
      </c>
      <c r="G1477" s="6">
        <v>15.71</v>
      </c>
      <c r="H1477" s="6">
        <v>62.84</v>
      </c>
      <c r="I1477" s="6">
        <v>6.28</v>
      </c>
      <c r="J1477" s="6">
        <v>56.56</v>
      </c>
      <c r="K1477" s="5">
        <v>332</v>
      </c>
    </row>
    <row r="1478" spans="1:11" x14ac:dyDescent="0.3">
      <c r="A1478" s="3">
        <v>9228</v>
      </c>
      <c r="B1478" s="3" t="s">
        <v>26</v>
      </c>
      <c r="C1478" s="4">
        <v>45776</v>
      </c>
      <c r="D1478" s="3" t="s">
        <v>35</v>
      </c>
      <c r="E1478" s="3" t="s">
        <v>25</v>
      </c>
      <c r="F1478" s="5">
        <v>1</v>
      </c>
      <c r="G1478" s="6">
        <v>28</v>
      </c>
      <c r="H1478" s="6">
        <v>28</v>
      </c>
      <c r="I1478" s="6">
        <v>3.43</v>
      </c>
      <c r="J1478" s="6">
        <v>24.57</v>
      </c>
      <c r="K1478" s="5">
        <v>13</v>
      </c>
    </row>
    <row r="1479" spans="1:11" x14ac:dyDescent="0.3">
      <c r="A1479" s="3">
        <v>8054</v>
      </c>
      <c r="B1479" s="3" t="s">
        <v>24</v>
      </c>
      <c r="C1479" s="4">
        <v>45771</v>
      </c>
      <c r="D1479" s="3" t="s">
        <v>27</v>
      </c>
      <c r="E1479" s="3" t="s">
        <v>39</v>
      </c>
      <c r="F1479" s="5">
        <v>5</v>
      </c>
      <c r="G1479" s="6">
        <v>14.97</v>
      </c>
      <c r="H1479" s="6">
        <v>74.849999999999994</v>
      </c>
      <c r="I1479" s="6">
        <v>0</v>
      </c>
      <c r="J1479" s="6">
        <v>74.849999999999994</v>
      </c>
      <c r="K1479" s="5">
        <v>198</v>
      </c>
    </row>
    <row r="1480" spans="1:11" x14ac:dyDescent="0.3">
      <c r="A1480" s="3">
        <v>3937</v>
      </c>
      <c r="B1480" s="3" t="s">
        <v>19</v>
      </c>
      <c r="C1480" s="4">
        <v>45228</v>
      </c>
      <c r="D1480" s="3" t="s">
        <v>20</v>
      </c>
      <c r="E1480" s="3" t="s">
        <v>16</v>
      </c>
      <c r="F1480" s="5">
        <v>5</v>
      </c>
      <c r="G1480" s="6">
        <v>4.99</v>
      </c>
      <c r="H1480" s="6">
        <v>24.95</v>
      </c>
      <c r="I1480" s="6">
        <v>4.93</v>
      </c>
      <c r="J1480" s="6">
        <v>20.02</v>
      </c>
      <c r="K1480" s="5">
        <v>224</v>
      </c>
    </row>
    <row r="1481" spans="1:11" x14ac:dyDescent="0.3">
      <c r="A1481" s="3">
        <v>2578</v>
      </c>
      <c r="B1481" s="3" t="s">
        <v>36</v>
      </c>
      <c r="C1481" s="4">
        <v>45552</v>
      </c>
      <c r="D1481" s="3" t="s">
        <v>22</v>
      </c>
      <c r="E1481" s="3" t="s">
        <v>44</v>
      </c>
      <c r="F1481" s="5">
        <v>3</v>
      </c>
      <c r="G1481" s="6">
        <v>13.65</v>
      </c>
      <c r="H1481" s="6">
        <v>40.950000000000003</v>
      </c>
      <c r="I1481" s="6">
        <v>8.19</v>
      </c>
      <c r="J1481" s="6">
        <v>32.76</v>
      </c>
      <c r="K1481" s="5">
        <v>29</v>
      </c>
    </row>
    <row r="1482" spans="1:11" x14ac:dyDescent="0.3">
      <c r="A1482" s="3">
        <v>3439</v>
      </c>
      <c r="B1482" s="3" t="s">
        <v>11</v>
      </c>
      <c r="C1482" s="4">
        <v>45332</v>
      </c>
      <c r="D1482" s="3" t="s">
        <v>28</v>
      </c>
      <c r="E1482" s="3" t="s">
        <v>39</v>
      </c>
      <c r="F1482" s="5">
        <v>2</v>
      </c>
      <c r="G1482" s="6">
        <v>12.97</v>
      </c>
      <c r="H1482" s="6">
        <v>25.94</v>
      </c>
      <c r="I1482" s="6">
        <v>4.49</v>
      </c>
      <c r="J1482" s="6">
        <v>21.45</v>
      </c>
      <c r="K1482" s="5">
        <v>385</v>
      </c>
    </row>
    <row r="1483" spans="1:11" x14ac:dyDescent="0.3">
      <c r="A1483" s="3">
        <v>4144</v>
      </c>
      <c r="B1483" s="3" t="s">
        <v>42</v>
      </c>
      <c r="C1483" s="4">
        <v>45626</v>
      </c>
      <c r="D1483" s="3" t="s">
        <v>12</v>
      </c>
      <c r="E1483" s="3" t="s">
        <v>43</v>
      </c>
      <c r="F1483" s="5">
        <v>1</v>
      </c>
      <c r="G1483" s="6">
        <v>4.66</v>
      </c>
      <c r="H1483" s="6">
        <v>4.66</v>
      </c>
      <c r="I1483" s="6">
        <v>2.2599999999999998</v>
      </c>
      <c r="J1483" s="6">
        <v>2.4</v>
      </c>
      <c r="K1483" s="5">
        <v>92</v>
      </c>
    </row>
    <row r="1484" spans="1:11" x14ac:dyDescent="0.3">
      <c r="A1484" s="3">
        <v>9625</v>
      </c>
      <c r="B1484" s="3" t="s">
        <v>42</v>
      </c>
      <c r="C1484" s="4">
        <v>45341</v>
      </c>
      <c r="D1484" s="3" t="s">
        <v>35</v>
      </c>
      <c r="E1484" s="3" t="s">
        <v>41</v>
      </c>
      <c r="F1484" s="5">
        <v>5</v>
      </c>
      <c r="G1484" s="6">
        <v>12.53</v>
      </c>
      <c r="H1484" s="6">
        <v>62.65</v>
      </c>
      <c r="I1484" s="6">
        <v>0</v>
      </c>
      <c r="J1484" s="6">
        <v>62.65</v>
      </c>
      <c r="K1484" s="5">
        <v>336</v>
      </c>
    </row>
    <row r="1485" spans="1:11" x14ac:dyDescent="0.3">
      <c r="A1485" s="3">
        <v>6807</v>
      </c>
      <c r="B1485" s="3" t="s">
        <v>11</v>
      </c>
      <c r="C1485" s="4">
        <v>45352</v>
      </c>
      <c r="D1485" s="3" t="s">
        <v>15</v>
      </c>
      <c r="E1485" s="3" t="s">
        <v>13</v>
      </c>
      <c r="F1485" s="5">
        <v>5</v>
      </c>
      <c r="G1485" s="6">
        <v>6.96</v>
      </c>
      <c r="H1485" s="6">
        <v>34.799999999999997</v>
      </c>
      <c r="I1485" s="6">
        <v>6.96</v>
      </c>
      <c r="J1485" s="6">
        <v>27.84</v>
      </c>
      <c r="K1485" s="5">
        <v>361</v>
      </c>
    </row>
    <row r="1486" spans="1:11" x14ac:dyDescent="0.3">
      <c r="A1486" s="3">
        <v>7502</v>
      </c>
      <c r="B1486" s="3" t="s">
        <v>26</v>
      </c>
      <c r="C1486" s="4">
        <v>45206</v>
      </c>
      <c r="D1486" s="3" t="s">
        <v>35</v>
      </c>
      <c r="E1486" s="3" t="s">
        <v>23</v>
      </c>
      <c r="F1486" s="5">
        <v>5</v>
      </c>
      <c r="G1486" s="6">
        <v>9.48</v>
      </c>
      <c r="H1486" s="6">
        <v>47.4</v>
      </c>
      <c r="I1486" s="6">
        <v>4.57</v>
      </c>
      <c r="J1486" s="6">
        <v>42.83</v>
      </c>
      <c r="K1486" s="5">
        <v>334</v>
      </c>
    </row>
    <row r="1487" spans="1:11" x14ac:dyDescent="0.3">
      <c r="A1487" s="3">
        <v>7112</v>
      </c>
      <c r="B1487" s="3" t="s">
        <v>36</v>
      </c>
      <c r="C1487" s="4">
        <v>45460</v>
      </c>
      <c r="D1487" s="3" t="s">
        <v>38</v>
      </c>
      <c r="E1487" s="3" t="s">
        <v>46</v>
      </c>
      <c r="F1487" s="5">
        <v>1</v>
      </c>
      <c r="G1487" s="6">
        <v>2.56</v>
      </c>
      <c r="H1487" s="6">
        <v>2.56</v>
      </c>
      <c r="I1487" s="6">
        <v>0</v>
      </c>
      <c r="J1487" s="6">
        <v>2.56</v>
      </c>
      <c r="K1487" s="5">
        <v>461</v>
      </c>
    </row>
    <row r="1488" spans="1:11" x14ac:dyDescent="0.3">
      <c r="A1488" s="3">
        <v>8520</v>
      </c>
      <c r="B1488" s="3" t="s">
        <v>26</v>
      </c>
      <c r="C1488" s="4">
        <v>45583</v>
      </c>
      <c r="D1488" s="3" t="s">
        <v>35</v>
      </c>
      <c r="E1488" s="3" t="s">
        <v>43</v>
      </c>
      <c r="F1488" s="5">
        <v>2</v>
      </c>
      <c r="G1488" s="6">
        <v>27.44</v>
      </c>
      <c r="H1488" s="6">
        <v>54.88</v>
      </c>
      <c r="I1488" s="6">
        <v>8.23</v>
      </c>
      <c r="J1488" s="6">
        <v>46.65</v>
      </c>
      <c r="K1488" s="5">
        <v>430</v>
      </c>
    </row>
    <row r="1489" spans="1:11" x14ac:dyDescent="0.3">
      <c r="A1489" s="3">
        <v>4984</v>
      </c>
      <c r="B1489" s="3" t="s">
        <v>14</v>
      </c>
      <c r="C1489" s="4">
        <v>45686</v>
      </c>
      <c r="D1489" s="3" t="s">
        <v>17</v>
      </c>
      <c r="E1489" s="3" t="s">
        <v>48</v>
      </c>
      <c r="F1489" s="5">
        <v>3</v>
      </c>
      <c r="G1489" s="6">
        <v>22.01</v>
      </c>
      <c r="H1489" s="6">
        <v>66.03</v>
      </c>
      <c r="I1489" s="6">
        <v>4.91</v>
      </c>
      <c r="J1489" s="6">
        <v>61.12</v>
      </c>
      <c r="K1489" s="5">
        <v>403</v>
      </c>
    </row>
    <row r="1490" spans="1:11" x14ac:dyDescent="0.3">
      <c r="A1490" s="3">
        <v>4700</v>
      </c>
      <c r="B1490" s="3" t="s">
        <v>26</v>
      </c>
      <c r="C1490" s="4">
        <v>45377</v>
      </c>
      <c r="D1490" s="3" t="s">
        <v>27</v>
      </c>
      <c r="E1490" s="3" t="s">
        <v>33</v>
      </c>
      <c r="F1490" s="5">
        <v>1</v>
      </c>
      <c r="G1490" s="6">
        <v>1.61</v>
      </c>
      <c r="H1490" s="6">
        <v>1.61</v>
      </c>
      <c r="I1490" s="6">
        <v>0.24</v>
      </c>
      <c r="J1490" s="6">
        <v>1.37</v>
      </c>
      <c r="K1490" s="5">
        <v>428</v>
      </c>
    </row>
    <row r="1491" spans="1:11" x14ac:dyDescent="0.3">
      <c r="A1491" s="3">
        <v>2320</v>
      </c>
      <c r="B1491" s="3" t="s">
        <v>30</v>
      </c>
      <c r="C1491" s="4">
        <v>45652</v>
      </c>
      <c r="D1491" s="3" t="s">
        <v>28</v>
      </c>
      <c r="E1491" s="3" t="s">
        <v>32</v>
      </c>
      <c r="F1491" s="5">
        <v>3</v>
      </c>
      <c r="G1491" s="6">
        <v>24.98</v>
      </c>
      <c r="H1491" s="6">
        <v>74.94</v>
      </c>
      <c r="I1491" s="6">
        <v>11.24</v>
      </c>
      <c r="J1491" s="6">
        <v>63.7</v>
      </c>
      <c r="K1491" s="5">
        <v>43</v>
      </c>
    </row>
    <row r="1492" spans="1:11" x14ac:dyDescent="0.3">
      <c r="A1492" s="3">
        <v>1519</v>
      </c>
      <c r="B1492" s="3" t="s">
        <v>24</v>
      </c>
      <c r="C1492" s="4">
        <v>45217</v>
      </c>
      <c r="D1492" s="3" t="s">
        <v>45</v>
      </c>
      <c r="E1492" s="3" t="s">
        <v>39</v>
      </c>
      <c r="F1492" s="5">
        <v>4</v>
      </c>
      <c r="G1492" s="6">
        <v>12.15</v>
      </c>
      <c r="H1492" s="6">
        <v>48.6</v>
      </c>
      <c r="I1492" s="6">
        <v>9.7200000000000006</v>
      </c>
      <c r="J1492" s="6">
        <v>38.880000000000003</v>
      </c>
      <c r="K1492" s="5">
        <v>22</v>
      </c>
    </row>
    <row r="1493" spans="1:11" x14ac:dyDescent="0.3">
      <c r="A1493" s="3">
        <v>7640</v>
      </c>
      <c r="B1493" s="3" t="s">
        <v>24</v>
      </c>
      <c r="C1493" s="4">
        <v>45439</v>
      </c>
      <c r="D1493" s="3" t="s">
        <v>34</v>
      </c>
      <c r="E1493" s="3" t="s">
        <v>16</v>
      </c>
      <c r="F1493" s="5">
        <v>5</v>
      </c>
      <c r="G1493" s="6">
        <v>2.5099999999999998</v>
      </c>
      <c r="H1493" s="6">
        <v>12.55</v>
      </c>
      <c r="I1493" s="6">
        <v>4.05</v>
      </c>
      <c r="J1493" s="6">
        <v>8.5</v>
      </c>
      <c r="K1493" s="5">
        <v>156</v>
      </c>
    </row>
    <row r="1494" spans="1:11" x14ac:dyDescent="0.3">
      <c r="A1494" s="3">
        <v>7179</v>
      </c>
      <c r="B1494" s="3" t="s">
        <v>31</v>
      </c>
      <c r="C1494" s="4">
        <v>45574</v>
      </c>
      <c r="D1494" s="3" t="s">
        <v>28</v>
      </c>
      <c r="E1494" s="3" t="s">
        <v>21</v>
      </c>
      <c r="F1494" s="5">
        <v>3</v>
      </c>
      <c r="G1494" s="6">
        <v>24.49</v>
      </c>
      <c r="H1494" s="6">
        <v>73.47</v>
      </c>
      <c r="I1494" s="6">
        <v>2.36</v>
      </c>
      <c r="J1494" s="6">
        <v>71.11</v>
      </c>
      <c r="K1494" s="5">
        <v>302</v>
      </c>
    </row>
    <row r="1495" spans="1:11" x14ac:dyDescent="0.3">
      <c r="A1495" s="3">
        <v>8798</v>
      </c>
      <c r="B1495" s="3" t="s">
        <v>24</v>
      </c>
      <c r="C1495" s="4">
        <v>45188</v>
      </c>
      <c r="D1495" s="3" t="s">
        <v>20</v>
      </c>
      <c r="E1495" s="3" t="s">
        <v>40</v>
      </c>
      <c r="F1495" s="5">
        <v>1</v>
      </c>
      <c r="G1495" s="6">
        <v>17.04</v>
      </c>
      <c r="H1495" s="6">
        <v>17.04</v>
      </c>
      <c r="I1495" s="6">
        <v>2.85</v>
      </c>
      <c r="J1495" s="6">
        <v>14.19</v>
      </c>
      <c r="K1495" s="5">
        <v>487</v>
      </c>
    </row>
    <row r="1496" spans="1:11" x14ac:dyDescent="0.3">
      <c r="A1496" s="3">
        <v>1154</v>
      </c>
      <c r="B1496" s="3" t="s">
        <v>14</v>
      </c>
      <c r="C1496" s="4">
        <v>45690</v>
      </c>
      <c r="D1496" s="3" t="s">
        <v>35</v>
      </c>
      <c r="E1496" s="3" t="s">
        <v>29</v>
      </c>
      <c r="F1496" s="5">
        <v>4</v>
      </c>
      <c r="G1496" s="6">
        <v>14.54</v>
      </c>
      <c r="H1496" s="6">
        <v>58.16</v>
      </c>
      <c r="I1496" s="6">
        <v>11.63</v>
      </c>
      <c r="J1496" s="6">
        <v>46.53</v>
      </c>
      <c r="K1496" s="5">
        <v>473</v>
      </c>
    </row>
    <row r="1497" spans="1:11" x14ac:dyDescent="0.3">
      <c r="A1497" s="3">
        <v>3807</v>
      </c>
      <c r="B1497" s="3" t="s">
        <v>31</v>
      </c>
      <c r="C1497" s="4">
        <v>45209</v>
      </c>
      <c r="D1497" s="3" t="s">
        <v>35</v>
      </c>
      <c r="E1497" s="3" t="s">
        <v>13</v>
      </c>
      <c r="F1497" s="5">
        <v>1</v>
      </c>
      <c r="G1497" s="6">
        <v>29.96</v>
      </c>
      <c r="H1497" s="6">
        <v>29.96</v>
      </c>
      <c r="I1497" s="6">
        <v>4.49</v>
      </c>
      <c r="J1497" s="6">
        <v>25.47</v>
      </c>
      <c r="K1497" s="5">
        <v>394</v>
      </c>
    </row>
    <row r="1498" spans="1:11" x14ac:dyDescent="0.3">
      <c r="A1498" s="3">
        <v>9189</v>
      </c>
      <c r="B1498" s="3" t="s">
        <v>24</v>
      </c>
      <c r="C1498" s="4">
        <v>45801</v>
      </c>
      <c r="D1498" s="3" t="s">
        <v>12</v>
      </c>
      <c r="E1498" s="3" t="s">
        <v>13</v>
      </c>
      <c r="F1498" s="5">
        <v>3</v>
      </c>
      <c r="G1498" s="6">
        <v>8.7799999999999994</v>
      </c>
      <c r="H1498" s="6">
        <v>26.34</v>
      </c>
      <c r="I1498" s="6">
        <v>2.23</v>
      </c>
      <c r="J1498" s="6">
        <v>24.11</v>
      </c>
      <c r="K1498" s="5">
        <v>128</v>
      </c>
    </row>
    <row r="1499" spans="1:11" x14ac:dyDescent="0.3">
      <c r="A1499" s="3">
        <v>8109</v>
      </c>
      <c r="B1499" s="3" t="s">
        <v>36</v>
      </c>
      <c r="C1499" s="4">
        <v>45645</v>
      </c>
      <c r="D1499" s="3" t="s">
        <v>35</v>
      </c>
      <c r="E1499" s="3" t="s">
        <v>29</v>
      </c>
      <c r="F1499" s="5">
        <v>4</v>
      </c>
      <c r="G1499" s="6">
        <v>14.41</v>
      </c>
      <c r="H1499" s="6">
        <v>57.64</v>
      </c>
      <c r="I1499" s="6">
        <v>5.76</v>
      </c>
      <c r="J1499" s="6">
        <v>51.88</v>
      </c>
      <c r="K1499" s="5">
        <v>225</v>
      </c>
    </row>
    <row r="1500" spans="1:11" x14ac:dyDescent="0.3">
      <c r="A1500" s="3">
        <v>6427</v>
      </c>
      <c r="B1500" s="3" t="s">
        <v>31</v>
      </c>
      <c r="C1500" s="4">
        <v>45584</v>
      </c>
      <c r="D1500" s="3" t="s">
        <v>22</v>
      </c>
      <c r="E1500" s="3" t="s">
        <v>47</v>
      </c>
      <c r="F1500" s="5">
        <v>5</v>
      </c>
      <c r="G1500" s="6">
        <v>7.31</v>
      </c>
      <c r="H1500" s="6">
        <v>36.549999999999997</v>
      </c>
      <c r="I1500" s="6">
        <v>5.48</v>
      </c>
      <c r="J1500" s="6">
        <v>31.07</v>
      </c>
      <c r="K1500" s="5">
        <v>29</v>
      </c>
    </row>
    <row r="1501" spans="1:11" x14ac:dyDescent="0.3">
      <c r="A1501" s="3">
        <v>2562</v>
      </c>
      <c r="B1501" s="3" t="s">
        <v>14</v>
      </c>
      <c r="C1501" s="4">
        <v>45840</v>
      </c>
      <c r="D1501" s="3" t="s">
        <v>22</v>
      </c>
      <c r="E1501" s="3" t="s">
        <v>43</v>
      </c>
      <c r="F1501" s="5">
        <v>4</v>
      </c>
      <c r="G1501" s="6">
        <v>6.2</v>
      </c>
      <c r="H1501" s="6">
        <v>24.8</v>
      </c>
      <c r="I1501" s="6">
        <v>3.72</v>
      </c>
      <c r="J1501" s="6">
        <v>21.08</v>
      </c>
      <c r="K1501" s="5">
        <v>392</v>
      </c>
    </row>
    <row r="1502" spans="1:11" x14ac:dyDescent="0.3">
      <c r="A1502" s="3">
        <v>9653</v>
      </c>
      <c r="B1502" s="3" t="s">
        <v>26</v>
      </c>
      <c r="C1502" s="4">
        <v>45858</v>
      </c>
      <c r="D1502" s="3" t="s">
        <v>34</v>
      </c>
      <c r="E1502" s="3" t="s">
        <v>25</v>
      </c>
      <c r="F1502" s="5">
        <v>2</v>
      </c>
      <c r="G1502" s="6">
        <v>5.25</v>
      </c>
      <c r="H1502" s="6">
        <v>10.5</v>
      </c>
      <c r="I1502" s="6">
        <v>2.1</v>
      </c>
      <c r="J1502" s="6">
        <v>8.4</v>
      </c>
      <c r="K1502" s="5">
        <v>316</v>
      </c>
    </row>
    <row r="1503" spans="1:11" x14ac:dyDescent="0.3">
      <c r="A1503" s="3">
        <v>1697</v>
      </c>
      <c r="B1503" s="3" t="s">
        <v>11</v>
      </c>
      <c r="C1503" s="4">
        <v>45323</v>
      </c>
      <c r="D1503" s="3" t="s">
        <v>27</v>
      </c>
      <c r="E1503" s="3" t="s">
        <v>40</v>
      </c>
      <c r="F1503" s="5">
        <v>2</v>
      </c>
      <c r="G1503" s="6">
        <v>20.84</v>
      </c>
      <c r="H1503" s="6">
        <v>41.68</v>
      </c>
      <c r="I1503" s="6">
        <v>2.27</v>
      </c>
      <c r="J1503" s="6">
        <v>39.409999999999997</v>
      </c>
      <c r="K1503" s="5">
        <v>440</v>
      </c>
    </row>
    <row r="1504" spans="1:11" x14ac:dyDescent="0.3">
      <c r="A1504" s="3">
        <v>4463</v>
      </c>
      <c r="B1504" s="3" t="s">
        <v>14</v>
      </c>
      <c r="C1504" s="4">
        <v>45845</v>
      </c>
      <c r="D1504" s="3" t="s">
        <v>17</v>
      </c>
      <c r="E1504" s="3" t="s">
        <v>40</v>
      </c>
      <c r="F1504" s="5">
        <v>3</v>
      </c>
      <c r="G1504" s="6">
        <v>29.27</v>
      </c>
      <c r="H1504" s="6">
        <v>87.81</v>
      </c>
      <c r="I1504" s="6">
        <v>3.87</v>
      </c>
      <c r="J1504" s="6">
        <v>83.94</v>
      </c>
      <c r="K1504" s="5">
        <v>8</v>
      </c>
    </row>
    <row r="1505" spans="1:11" x14ac:dyDescent="0.3">
      <c r="A1505" s="3">
        <v>8790</v>
      </c>
      <c r="B1505" s="3" t="s">
        <v>42</v>
      </c>
      <c r="C1505" s="4">
        <v>45355</v>
      </c>
      <c r="D1505" s="3" t="s">
        <v>22</v>
      </c>
      <c r="E1505" s="3" t="s">
        <v>48</v>
      </c>
      <c r="F1505" s="5">
        <v>1</v>
      </c>
      <c r="G1505" s="6">
        <v>15.69</v>
      </c>
      <c r="H1505" s="6">
        <v>15.69</v>
      </c>
      <c r="I1505" s="6">
        <v>3.14</v>
      </c>
      <c r="J1505" s="6">
        <v>12.55</v>
      </c>
      <c r="K1505" s="5">
        <v>57</v>
      </c>
    </row>
    <row r="1506" spans="1:11" x14ac:dyDescent="0.3">
      <c r="A1506" s="3">
        <v>1762</v>
      </c>
      <c r="B1506" s="3" t="s">
        <v>42</v>
      </c>
      <c r="C1506" s="4">
        <v>45862</v>
      </c>
      <c r="D1506" s="3" t="s">
        <v>22</v>
      </c>
      <c r="E1506" s="3" t="s">
        <v>23</v>
      </c>
      <c r="F1506" s="5">
        <v>4</v>
      </c>
      <c r="G1506" s="6">
        <v>3.06</v>
      </c>
      <c r="H1506" s="6">
        <v>12.24</v>
      </c>
      <c r="I1506" s="6">
        <v>2.4500000000000002</v>
      </c>
      <c r="J1506" s="6">
        <v>9.7899999999999991</v>
      </c>
      <c r="K1506" s="5">
        <v>218</v>
      </c>
    </row>
    <row r="1507" spans="1:11" x14ac:dyDescent="0.3">
      <c r="A1507" s="3">
        <v>2218</v>
      </c>
      <c r="B1507" s="3" t="s">
        <v>31</v>
      </c>
      <c r="C1507" s="4">
        <v>45676</v>
      </c>
      <c r="D1507" s="3" t="s">
        <v>22</v>
      </c>
      <c r="E1507" s="3" t="s">
        <v>23</v>
      </c>
      <c r="F1507" s="5">
        <v>3</v>
      </c>
      <c r="G1507" s="6">
        <v>29.27</v>
      </c>
      <c r="H1507" s="6">
        <v>87.81</v>
      </c>
      <c r="I1507" s="6">
        <v>8.7799999999999994</v>
      </c>
      <c r="J1507" s="6">
        <v>79.03</v>
      </c>
      <c r="K1507" s="5">
        <v>459</v>
      </c>
    </row>
    <row r="1508" spans="1:11" x14ac:dyDescent="0.3">
      <c r="A1508" s="3">
        <v>5593</v>
      </c>
      <c r="B1508" s="3" t="s">
        <v>30</v>
      </c>
      <c r="C1508" s="4">
        <v>45843</v>
      </c>
      <c r="D1508" s="3" t="s">
        <v>28</v>
      </c>
      <c r="E1508" s="3" t="s">
        <v>39</v>
      </c>
      <c r="F1508" s="5">
        <v>2</v>
      </c>
      <c r="G1508" s="6">
        <v>11.67</v>
      </c>
      <c r="H1508" s="6">
        <v>23.34</v>
      </c>
      <c r="I1508" s="6">
        <v>1.1000000000000001</v>
      </c>
      <c r="J1508" s="6">
        <v>22.24</v>
      </c>
      <c r="K1508" s="5">
        <v>148</v>
      </c>
    </row>
    <row r="1509" spans="1:11" x14ac:dyDescent="0.3">
      <c r="A1509" s="3">
        <v>9897</v>
      </c>
      <c r="B1509" s="3" t="s">
        <v>42</v>
      </c>
      <c r="C1509" s="4">
        <v>45582</v>
      </c>
      <c r="D1509" s="3" t="s">
        <v>22</v>
      </c>
      <c r="E1509" s="3" t="s">
        <v>46</v>
      </c>
      <c r="F1509" s="5">
        <v>5</v>
      </c>
      <c r="G1509" s="6">
        <v>23.71</v>
      </c>
      <c r="H1509" s="6">
        <v>118.55</v>
      </c>
      <c r="I1509" s="6">
        <v>23.71</v>
      </c>
      <c r="J1509" s="6">
        <v>94.84</v>
      </c>
      <c r="K1509" s="5">
        <v>364</v>
      </c>
    </row>
    <row r="1510" spans="1:11" x14ac:dyDescent="0.3">
      <c r="A1510" s="3">
        <v>1539</v>
      </c>
      <c r="B1510" s="3" t="s">
        <v>24</v>
      </c>
      <c r="C1510" s="4">
        <v>45284</v>
      </c>
      <c r="D1510" s="3" t="s">
        <v>28</v>
      </c>
      <c r="E1510" s="3" t="s">
        <v>40</v>
      </c>
      <c r="F1510" s="5">
        <v>2</v>
      </c>
      <c r="G1510" s="6">
        <v>12.04</v>
      </c>
      <c r="H1510" s="6">
        <v>24.08</v>
      </c>
      <c r="I1510" s="6">
        <v>4.83</v>
      </c>
      <c r="J1510" s="6">
        <v>19.25</v>
      </c>
      <c r="K1510" s="5">
        <v>332</v>
      </c>
    </row>
    <row r="1511" spans="1:11" x14ac:dyDescent="0.3">
      <c r="A1511" s="3">
        <v>6152</v>
      </c>
      <c r="B1511" s="3" t="s">
        <v>42</v>
      </c>
      <c r="C1511" s="4">
        <v>45157</v>
      </c>
      <c r="D1511" s="3" t="s">
        <v>28</v>
      </c>
      <c r="E1511" s="3" t="s">
        <v>46</v>
      </c>
      <c r="F1511" s="5">
        <v>5</v>
      </c>
      <c r="G1511" s="6">
        <v>19.27</v>
      </c>
      <c r="H1511" s="6">
        <v>96.35</v>
      </c>
      <c r="I1511" s="6">
        <v>3.93</v>
      </c>
      <c r="J1511" s="6">
        <v>92.42</v>
      </c>
      <c r="K1511" s="5">
        <v>375</v>
      </c>
    </row>
    <row r="1512" spans="1:11" x14ac:dyDescent="0.3">
      <c r="A1512" s="3">
        <v>4394</v>
      </c>
      <c r="B1512" s="3" t="s">
        <v>14</v>
      </c>
      <c r="C1512" s="4">
        <v>45600</v>
      </c>
      <c r="D1512" s="3" t="s">
        <v>12</v>
      </c>
      <c r="E1512" s="3" t="s">
        <v>47</v>
      </c>
      <c r="F1512" s="5">
        <v>5</v>
      </c>
      <c r="G1512" s="6">
        <v>16.079999999999998</v>
      </c>
      <c r="H1512" s="6">
        <v>80.400000000000006</v>
      </c>
      <c r="I1512" s="6">
        <v>16.079999999999998</v>
      </c>
      <c r="J1512" s="6">
        <v>64.319999999999993</v>
      </c>
      <c r="K1512" s="5">
        <v>162</v>
      </c>
    </row>
    <row r="1513" spans="1:11" x14ac:dyDescent="0.3">
      <c r="A1513" s="3">
        <v>3362</v>
      </c>
      <c r="B1513" s="3" t="s">
        <v>30</v>
      </c>
      <c r="C1513" s="4">
        <v>45729</v>
      </c>
      <c r="D1513" s="3" t="s">
        <v>17</v>
      </c>
      <c r="E1513" s="3" t="s">
        <v>21</v>
      </c>
      <c r="F1513" s="5">
        <v>2</v>
      </c>
      <c r="G1513" s="6">
        <v>24.16</v>
      </c>
      <c r="H1513" s="6">
        <v>48.32</v>
      </c>
      <c r="I1513" s="6">
        <v>9.66</v>
      </c>
      <c r="J1513" s="6">
        <v>38.659999999999997</v>
      </c>
      <c r="K1513" s="5">
        <v>500</v>
      </c>
    </row>
    <row r="1514" spans="1:11" x14ac:dyDescent="0.3">
      <c r="A1514" s="3">
        <v>7525</v>
      </c>
      <c r="B1514" s="3" t="s">
        <v>26</v>
      </c>
      <c r="C1514" s="4">
        <v>45866</v>
      </c>
      <c r="D1514" s="3" t="s">
        <v>22</v>
      </c>
      <c r="E1514" s="3" t="s">
        <v>48</v>
      </c>
      <c r="F1514" s="5">
        <v>2</v>
      </c>
      <c r="G1514" s="6">
        <v>13.9</v>
      </c>
      <c r="H1514" s="6">
        <v>27.8</v>
      </c>
      <c r="I1514" s="6">
        <v>4.17</v>
      </c>
      <c r="J1514" s="6">
        <v>23.63</v>
      </c>
      <c r="K1514" s="5">
        <v>490</v>
      </c>
    </row>
    <row r="1515" spans="1:11" x14ac:dyDescent="0.3">
      <c r="A1515" s="3">
        <v>2260</v>
      </c>
      <c r="B1515" s="3" t="s">
        <v>11</v>
      </c>
      <c r="C1515" s="4">
        <v>45377</v>
      </c>
      <c r="D1515" s="3" t="s">
        <v>22</v>
      </c>
      <c r="E1515" s="3" t="s">
        <v>18</v>
      </c>
      <c r="F1515" s="5">
        <v>5</v>
      </c>
      <c r="G1515" s="6">
        <v>3.21</v>
      </c>
      <c r="H1515" s="6">
        <v>16.05</v>
      </c>
      <c r="I1515" s="6">
        <v>1.92</v>
      </c>
      <c r="J1515" s="6">
        <v>14.13</v>
      </c>
      <c r="K1515" s="5">
        <v>185</v>
      </c>
    </row>
    <row r="1516" spans="1:11" x14ac:dyDescent="0.3">
      <c r="A1516" s="3">
        <v>3661</v>
      </c>
      <c r="B1516" s="3" t="s">
        <v>24</v>
      </c>
      <c r="C1516" s="4">
        <v>45583</v>
      </c>
      <c r="D1516" s="3" t="s">
        <v>17</v>
      </c>
      <c r="E1516" s="3" t="s">
        <v>41</v>
      </c>
      <c r="F1516" s="5">
        <v>5</v>
      </c>
      <c r="G1516" s="6">
        <v>8.09</v>
      </c>
      <c r="H1516" s="6">
        <v>40.450000000000003</v>
      </c>
      <c r="I1516" s="6">
        <v>0</v>
      </c>
      <c r="J1516" s="6">
        <v>40.450000000000003</v>
      </c>
      <c r="K1516" s="5">
        <v>465</v>
      </c>
    </row>
    <row r="1517" spans="1:11" x14ac:dyDescent="0.3">
      <c r="A1517" s="3">
        <v>4939</v>
      </c>
      <c r="B1517" s="3" t="s">
        <v>19</v>
      </c>
      <c r="C1517" s="4">
        <v>45585</v>
      </c>
      <c r="D1517" s="3" t="s">
        <v>28</v>
      </c>
      <c r="E1517" s="3" t="s">
        <v>13</v>
      </c>
      <c r="F1517" s="5">
        <v>3</v>
      </c>
      <c r="G1517" s="6">
        <v>10.9</v>
      </c>
      <c r="H1517" s="6">
        <v>32.700000000000003</v>
      </c>
      <c r="I1517" s="6">
        <v>3.27</v>
      </c>
      <c r="J1517" s="6">
        <v>29.43</v>
      </c>
      <c r="K1517" s="5">
        <v>60</v>
      </c>
    </row>
    <row r="1518" spans="1:11" x14ac:dyDescent="0.3">
      <c r="A1518" s="3">
        <v>7375</v>
      </c>
      <c r="B1518" s="3" t="s">
        <v>24</v>
      </c>
      <c r="C1518" s="4">
        <v>45670</v>
      </c>
      <c r="D1518" s="3" t="s">
        <v>38</v>
      </c>
      <c r="E1518" s="3" t="s">
        <v>41</v>
      </c>
      <c r="F1518" s="5">
        <v>5</v>
      </c>
      <c r="G1518" s="6">
        <v>15.32</v>
      </c>
      <c r="H1518" s="6">
        <v>76.599999999999994</v>
      </c>
      <c r="I1518" s="6">
        <v>15.32</v>
      </c>
      <c r="J1518" s="6">
        <v>61.28</v>
      </c>
      <c r="K1518" s="5">
        <v>451</v>
      </c>
    </row>
    <row r="1519" spans="1:11" x14ac:dyDescent="0.3">
      <c r="A1519" s="3">
        <v>9856</v>
      </c>
      <c r="B1519" s="3" t="s">
        <v>26</v>
      </c>
      <c r="C1519" s="4">
        <v>45402</v>
      </c>
      <c r="D1519" s="3" t="s">
        <v>12</v>
      </c>
      <c r="E1519" s="3" t="s">
        <v>29</v>
      </c>
      <c r="F1519" s="5">
        <v>1</v>
      </c>
      <c r="G1519" s="6">
        <v>13.13</v>
      </c>
      <c r="H1519" s="6">
        <v>13.13</v>
      </c>
      <c r="I1519" s="6">
        <v>0</v>
      </c>
      <c r="J1519" s="6">
        <v>13.13</v>
      </c>
      <c r="K1519" s="5">
        <v>391</v>
      </c>
    </row>
    <row r="1520" spans="1:11" x14ac:dyDescent="0.3">
      <c r="A1520" s="3">
        <v>7288</v>
      </c>
      <c r="B1520" s="3" t="s">
        <v>11</v>
      </c>
      <c r="C1520" s="4">
        <v>45731</v>
      </c>
      <c r="D1520" s="3" t="s">
        <v>34</v>
      </c>
      <c r="E1520" s="3" t="s">
        <v>40</v>
      </c>
      <c r="F1520" s="5">
        <v>4</v>
      </c>
      <c r="G1520" s="6">
        <v>1.68</v>
      </c>
      <c r="H1520" s="6">
        <v>6.72</v>
      </c>
      <c r="I1520" s="6">
        <v>1.34</v>
      </c>
      <c r="J1520" s="6">
        <v>5.38</v>
      </c>
      <c r="K1520" s="5">
        <v>85</v>
      </c>
    </row>
    <row r="1521" spans="1:11" x14ac:dyDescent="0.3">
      <c r="A1521" s="3">
        <v>3292</v>
      </c>
      <c r="B1521" s="3" t="s">
        <v>14</v>
      </c>
      <c r="C1521" s="4">
        <v>45758</v>
      </c>
      <c r="D1521" s="3" t="s">
        <v>38</v>
      </c>
      <c r="E1521" s="3" t="s">
        <v>32</v>
      </c>
      <c r="F1521" s="5">
        <v>4</v>
      </c>
      <c r="G1521" s="6">
        <v>11.27</v>
      </c>
      <c r="H1521" s="6">
        <v>45.08</v>
      </c>
      <c r="I1521" s="6">
        <v>0</v>
      </c>
      <c r="J1521" s="6">
        <v>45.08</v>
      </c>
      <c r="K1521" s="5">
        <v>205</v>
      </c>
    </row>
    <row r="1522" spans="1:11" x14ac:dyDescent="0.3">
      <c r="A1522" s="3">
        <v>2284</v>
      </c>
      <c r="B1522" s="3" t="s">
        <v>30</v>
      </c>
      <c r="C1522" s="4">
        <v>45533</v>
      </c>
      <c r="D1522" s="3" t="s">
        <v>15</v>
      </c>
      <c r="E1522" s="3" t="s">
        <v>21</v>
      </c>
      <c r="F1522" s="5">
        <v>3</v>
      </c>
      <c r="G1522" s="6">
        <v>18.14</v>
      </c>
      <c r="H1522" s="6">
        <v>54.42</v>
      </c>
      <c r="I1522" s="6">
        <v>0</v>
      </c>
      <c r="J1522" s="6">
        <v>54.42</v>
      </c>
      <c r="K1522" s="5">
        <v>315</v>
      </c>
    </row>
    <row r="1523" spans="1:11" x14ac:dyDescent="0.3">
      <c r="A1523" s="3">
        <v>6666</v>
      </c>
      <c r="B1523" s="3" t="s">
        <v>31</v>
      </c>
      <c r="C1523" s="4">
        <v>45186</v>
      </c>
      <c r="D1523" s="3" t="s">
        <v>15</v>
      </c>
      <c r="E1523" s="3" t="s">
        <v>23</v>
      </c>
      <c r="F1523" s="5">
        <v>4</v>
      </c>
      <c r="G1523" s="6">
        <v>27.4</v>
      </c>
      <c r="H1523" s="6">
        <v>109.6</v>
      </c>
      <c r="I1523" s="6">
        <v>0</v>
      </c>
      <c r="J1523" s="6">
        <v>109.6</v>
      </c>
      <c r="K1523" s="5">
        <v>322</v>
      </c>
    </row>
    <row r="1524" spans="1:11" x14ac:dyDescent="0.3">
      <c r="A1524" s="3">
        <v>2600</v>
      </c>
      <c r="B1524" s="3" t="s">
        <v>24</v>
      </c>
      <c r="C1524" s="4">
        <v>45484</v>
      </c>
      <c r="D1524" s="3" t="s">
        <v>35</v>
      </c>
      <c r="E1524" s="3" t="s">
        <v>47</v>
      </c>
      <c r="F1524" s="5">
        <v>2</v>
      </c>
      <c r="G1524" s="6">
        <v>22.26</v>
      </c>
      <c r="H1524" s="6">
        <v>44.52</v>
      </c>
      <c r="I1524" s="6">
        <v>8.9</v>
      </c>
      <c r="J1524" s="6">
        <v>35.619999999999997</v>
      </c>
      <c r="K1524" s="5">
        <v>370</v>
      </c>
    </row>
    <row r="1525" spans="1:11" x14ac:dyDescent="0.3">
      <c r="A1525" s="3">
        <v>4803</v>
      </c>
      <c r="B1525" s="3" t="s">
        <v>31</v>
      </c>
      <c r="C1525" s="4">
        <v>45796</v>
      </c>
      <c r="D1525" s="3" t="s">
        <v>28</v>
      </c>
      <c r="E1525" s="3" t="s">
        <v>23</v>
      </c>
      <c r="F1525" s="5">
        <v>4</v>
      </c>
      <c r="G1525" s="6">
        <v>11.99</v>
      </c>
      <c r="H1525" s="6">
        <v>47.96</v>
      </c>
      <c r="I1525" s="6">
        <v>3.89</v>
      </c>
      <c r="J1525" s="6">
        <v>44.07</v>
      </c>
      <c r="K1525" s="5">
        <v>224</v>
      </c>
    </row>
    <row r="1526" spans="1:11" x14ac:dyDescent="0.3">
      <c r="A1526" s="3">
        <v>2245</v>
      </c>
      <c r="B1526" s="3" t="s">
        <v>30</v>
      </c>
      <c r="C1526" s="4">
        <v>45409</v>
      </c>
      <c r="D1526" s="3" t="s">
        <v>15</v>
      </c>
      <c r="E1526" s="3" t="s">
        <v>25</v>
      </c>
      <c r="F1526" s="5">
        <v>3</v>
      </c>
      <c r="G1526" s="6">
        <v>15.3</v>
      </c>
      <c r="H1526" s="6">
        <v>45.9</v>
      </c>
      <c r="I1526" s="6">
        <v>6.88</v>
      </c>
      <c r="J1526" s="6">
        <v>39.020000000000003</v>
      </c>
      <c r="K1526" s="5">
        <v>24</v>
      </c>
    </row>
    <row r="1527" spans="1:11" x14ac:dyDescent="0.3">
      <c r="A1527" s="3">
        <v>7499</v>
      </c>
      <c r="B1527" s="3" t="s">
        <v>36</v>
      </c>
      <c r="C1527" s="4">
        <v>45745</v>
      </c>
      <c r="D1527" s="3" t="s">
        <v>20</v>
      </c>
      <c r="E1527" s="3" t="s">
        <v>21</v>
      </c>
      <c r="F1527" s="5">
        <v>2</v>
      </c>
      <c r="G1527" s="6">
        <v>28.64</v>
      </c>
      <c r="H1527" s="6">
        <v>57.28</v>
      </c>
      <c r="I1527" s="6">
        <v>5.73</v>
      </c>
      <c r="J1527" s="6">
        <v>51.55</v>
      </c>
      <c r="K1527" s="5">
        <v>21</v>
      </c>
    </row>
    <row r="1528" spans="1:11" x14ac:dyDescent="0.3">
      <c r="A1528" s="3">
        <v>6347</v>
      </c>
      <c r="B1528" s="3" t="s">
        <v>14</v>
      </c>
      <c r="C1528" s="4">
        <v>45168</v>
      </c>
      <c r="D1528" s="3" t="s">
        <v>35</v>
      </c>
      <c r="E1528" s="3" t="s">
        <v>21</v>
      </c>
      <c r="F1528" s="5">
        <v>1</v>
      </c>
      <c r="G1528" s="6">
        <v>11.06</v>
      </c>
      <c r="H1528" s="6">
        <v>11.06</v>
      </c>
      <c r="I1528" s="6">
        <v>1.66</v>
      </c>
      <c r="J1528" s="6">
        <v>9.4</v>
      </c>
      <c r="K1528" s="5">
        <v>84</v>
      </c>
    </row>
    <row r="1529" spans="1:11" x14ac:dyDescent="0.3">
      <c r="A1529" s="3">
        <v>5478</v>
      </c>
      <c r="B1529" s="3" t="s">
        <v>30</v>
      </c>
      <c r="C1529" s="4">
        <v>45753</v>
      </c>
      <c r="D1529" s="3" t="s">
        <v>45</v>
      </c>
      <c r="E1529" s="3" t="s">
        <v>33</v>
      </c>
      <c r="F1529" s="5">
        <v>2</v>
      </c>
      <c r="G1529" s="6">
        <v>26.67</v>
      </c>
      <c r="H1529" s="6">
        <v>53.34</v>
      </c>
      <c r="I1529" s="6">
        <v>4.01</v>
      </c>
      <c r="J1529" s="6">
        <v>49.33</v>
      </c>
      <c r="K1529" s="5">
        <v>147</v>
      </c>
    </row>
    <row r="1530" spans="1:11" x14ac:dyDescent="0.3">
      <c r="A1530" s="3">
        <v>8381</v>
      </c>
      <c r="B1530" s="3" t="s">
        <v>42</v>
      </c>
      <c r="C1530" s="4">
        <v>45526</v>
      </c>
      <c r="D1530" s="3" t="s">
        <v>27</v>
      </c>
      <c r="E1530" s="3" t="s">
        <v>13</v>
      </c>
      <c r="F1530" s="5">
        <v>2</v>
      </c>
      <c r="G1530" s="6">
        <v>3.77</v>
      </c>
      <c r="H1530" s="6">
        <v>7.54</v>
      </c>
      <c r="I1530" s="6">
        <v>3.39</v>
      </c>
      <c r="J1530" s="6">
        <v>4.1500000000000004</v>
      </c>
      <c r="K1530" s="5">
        <v>282</v>
      </c>
    </row>
    <row r="1531" spans="1:11" x14ac:dyDescent="0.3">
      <c r="A1531" s="3">
        <v>4737</v>
      </c>
      <c r="B1531" s="3" t="s">
        <v>31</v>
      </c>
      <c r="C1531" s="4">
        <v>45421</v>
      </c>
      <c r="D1531" s="3" t="s">
        <v>38</v>
      </c>
      <c r="E1531" s="3" t="s">
        <v>18</v>
      </c>
      <c r="F1531" s="5">
        <v>2</v>
      </c>
      <c r="G1531" s="6">
        <v>1.18</v>
      </c>
      <c r="H1531" s="6">
        <v>2.36</v>
      </c>
      <c r="I1531" s="6">
        <v>0.35</v>
      </c>
      <c r="J1531" s="6">
        <v>2.0099999999999998</v>
      </c>
      <c r="K1531" s="5">
        <v>426</v>
      </c>
    </row>
    <row r="1532" spans="1:11" x14ac:dyDescent="0.3">
      <c r="A1532" s="3">
        <v>7150</v>
      </c>
      <c r="B1532" s="3" t="s">
        <v>42</v>
      </c>
      <c r="C1532" s="4">
        <v>45480</v>
      </c>
      <c r="D1532" s="3" t="s">
        <v>35</v>
      </c>
      <c r="E1532" s="3" t="s">
        <v>16</v>
      </c>
      <c r="F1532" s="5">
        <v>4</v>
      </c>
      <c r="G1532" s="6">
        <v>16.100000000000001</v>
      </c>
      <c r="H1532" s="6">
        <v>64.400000000000006</v>
      </c>
      <c r="I1532" s="6">
        <v>9.66</v>
      </c>
      <c r="J1532" s="6">
        <v>54.74</v>
      </c>
      <c r="K1532" s="5">
        <v>425</v>
      </c>
    </row>
    <row r="1533" spans="1:11" x14ac:dyDescent="0.3">
      <c r="A1533" s="3">
        <v>4043</v>
      </c>
      <c r="B1533" s="3" t="s">
        <v>11</v>
      </c>
      <c r="C1533" s="4">
        <v>45672</v>
      </c>
      <c r="D1533" s="3" t="s">
        <v>15</v>
      </c>
      <c r="E1533" s="3" t="s">
        <v>33</v>
      </c>
      <c r="F1533" s="5">
        <v>4</v>
      </c>
      <c r="G1533" s="6">
        <v>15.29</v>
      </c>
      <c r="H1533" s="6">
        <v>61.16</v>
      </c>
      <c r="I1533" s="6">
        <v>9.17</v>
      </c>
      <c r="J1533" s="6">
        <v>51.99</v>
      </c>
      <c r="K1533" s="5">
        <v>44</v>
      </c>
    </row>
    <row r="1534" spans="1:11" x14ac:dyDescent="0.3">
      <c r="A1534" s="3">
        <v>7227</v>
      </c>
      <c r="B1534" s="3" t="s">
        <v>11</v>
      </c>
      <c r="C1534" s="4">
        <v>45211</v>
      </c>
      <c r="D1534" s="3" t="s">
        <v>22</v>
      </c>
      <c r="E1534" s="3" t="s">
        <v>43</v>
      </c>
      <c r="F1534" s="5">
        <v>2</v>
      </c>
      <c r="G1534" s="6">
        <v>22.08</v>
      </c>
      <c r="H1534" s="6">
        <v>44.16</v>
      </c>
      <c r="I1534" s="6">
        <v>2.34</v>
      </c>
      <c r="J1534" s="6">
        <v>41.82</v>
      </c>
      <c r="K1534" s="5">
        <v>167</v>
      </c>
    </row>
    <row r="1535" spans="1:11" x14ac:dyDescent="0.3">
      <c r="A1535" s="3">
        <v>5839</v>
      </c>
      <c r="B1535" s="3" t="s">
        <v>26</v>
      </c>
      <c r="C1535" s="4">
        <v>45764</v>
      </c>
      <c r="D1535" s="3" t="s">
        <v>27</v>
      </c>
      <c r="E1535" s="3" t="s">
        <v>46</v>
      </c>
      <c r="F1535" s="5">
        <v>1</v>
      </c>
      <c r="G1535" s="6">
        <v>21.49</v>
      </c>
      <c r="H1535" s="6">
        <v>21.49</v>
      </c>
      <c r="I1535" s="6">
        <v>2.15</v>
      </c>
      <c r="J1535" s="6">
        <v>19.34</v>
      </c>
      <c r="K1535" s="5">
        <v>161</v>
      </c>
    </row>
    <row r="1536" spans="1:11" x14ac:dyDescent="0.3">
      <c r="A1536" s="3">
        <v>5037</v>
      </c>
      <c r="B1536" s="3" t="s">
        <v>11</v>
      </c>
      <c r="C1536" s="4">
        <v>45698</v>
      </c>
      <c r="D1536" s="3" t="s">
        <v>38</v>
      </c>
      <c r="E1536" s="3" t="s">
        <v>21</v>
      </c>
      <c r="F1536" s="5">
        <v>2</v>
      </c>
      <c r="G1536" s="6">
        <v>25.39</v>
      </c>
      <c r="H1536" s="6">
        <v>50.78</v>
      </c>
      <c r="I1536" s="6">
        <v>0</v>
      </c>
      <c r="J1536" s="6">
        <v>50.78</v>
      </c>
      <c r="K1536" s="5">
        <v>338</v>
      </c>
    </row>
    <row r="1537" spans="1:11" x14ac:dyDescent="0.3">
      <c r="A1537" s="3">
        <v>2204</v>
      </c>
      <c r="B1537" s="3" t="s">
        <v>31</v>
      </c>
      <c r="C1537" s="4">
        <v>45208</v>
      </c>
      <c r="D1537" s="3" t="s">
        <v>17</v>
      </c>
      <c r="E1537" s="3" t="s">
        <v>41</v>
      </c>
      <c r="F1537" s="5">
        <v>5</v>
      </c>
      <c r="G1537" s="6">
        <v>11.9</v>
      </c>
      <c r="H1537" s="6">
        <v>59.5</v>
      </c>
      <c r="I1537" s="6">
        <v>0</v>
      </c>
      <c r="J1537" s="6">
        <v>59.5</v>
      </c>
      <c r="K1537" s="5">
        <v>482</v>
      </c>
    </row>
    <row r="1538" spans="1:11" x14ac:dyDescent="0.3">
      <c r="A1538" s="3">
        <v>5390</v>
      </c>
      <c r="B1538" s="3" t="s">
        <v>42</v>
      </c>
      <c r="C1538" s="4">
        <v>45264</v>
      </c>
      <c r="D1538" s="3" t="s">
        <v>35</v>
      </c>
      <c r="E1538" s="3" t="s">
        <v>47</v>
      </c>
      <c r="F1538" s="5">
        <v>2</v>
      </c>
      <c r="G1538" s="6">
        <v>15.04</v>
      </c>
      <c r="H1538" s="6">
        <v>30.08</v>
      </c>
      <c r="I1538" s="6">
        <v>4.51</v>
      </c>
      <c r="J1538" s="6">
        <v>25.57</v>
      </c>
      <c r="K1538" s="5">
        <v>95</v>
      </c>
    </row>
    <row r="1539" spans="1:11" x14ac:dyDescent="0.3">
      <c r="A1539" s="3">
        <v>7225</v>
      </c>
      <c r="B1539" s="3" t="s">
        <v>19</v>
      </c>
      <c r="C1539" s="4">
        <v>45697</v>
      </c>
      <c r="D1539" s="3" t="s">
        <v>17</v>
      </c>
      <c r="E1539" s="3" t="s">
        <v>43</v>
      </c>
      <c r="F1539" s="5">
        <v>5</v>
      </c>
      <c r="G1539" s="6">
        <v>25.85</v>
      </c>
      <c r="H1539" s="6">
        <v>129.25</v>
      </c>
      <c r="I1539" s="6">
        <v>2.74</v>
      </c>
      <c r="J1539" s="6">
        <v>126.51</v>
      </c>
      <c r="K1539" s="5">
        <v>383</v>
      </c>
    </row>
    <row r="1540" spans="1:11" x14ac:dyDescent="0.3">
      <c r="A1540" s="3">
        <v>3527</v>
      </c>
      <c r="B1540" s="3" t="s">
        <v>26</v>
      </c>
      <c r="C1540" s="4">
        <v>45719</v>
      </c>
      <c r="D1540" s="3" t="s">
        <v>38</v>
      </c>
      <c r="E1540" s="3" t="s">
        <v>44</v>
      </c>
      <c r="F1540" s="5">
        <v>2</v>
      </c>
      <c r="G1540" s="6">
        <v>2.12</v>
      </c>
      <c r="H1540" s="6">
        <v>4.24</v>
      </c>
      <c r="I1540" s="6">
        <v>2.52</v>
      </c>
      <c r="J1540" s="6">
        <v>1.72</v>
      </c>
      <c r="K1540" s="5">
        <v>352</v>
      </c>
    </row>
    <row r="1541" spans="1:11" x14ac:dyDescent="0.3">
      <c r="A1541" s="3">
        <v>7383</v>
      </c>
      <c r="B1541" s="3" t="s">
        <v>42</v>
      </c>
      <c r="C1541" s="4">
        <v>45390</v>
      </c>
      <c r="D1541" s="3" t="s">
        <v>27</v>
      </c>
      <c r="E1541" s="3" t="s">
        <v>23</v>
      </c>
      <c r="F1541" s="5">
        <v>4</v>
      </c>
      <c r="G1541" s="6">
        <v>16.37</v>
      </c>
      <c r="H1541" s="6">
        <v>65.48</v>
      </c>
      <c r="I1541" s="6">
        <v>9.82</v>
      </c>
      <c r="J1541" s="6">
        <v>55.66</v>
      </c>
      <c r="K1541" s="5">
        <v>488</v>
      </c>
    </row>
    <row r="1542" spans="1:11" x14ac:dyDescent="0.3">
      <c r="A1542" s="3">
        <v>6909</v>
      </c>
      <c r="B1542" s="3" t="s">
        <v>42</v>
      </c>
      <c r="C1542" s="4">
        <v>45227</v>
      </c>
      <c r="D1542" s="3" t="s">
        <v>35</v>
      </c>
      <c r="E1542" s="3" t="s">
        <v>47</v>
      </c>
      <c r="F1542" s="5">
        <v>4</v>
      </c>
      <c r="G1542" s="6">
        <v>24.1</v>
      </c>
      <c r="H1542" s="6">
        <v>96.4</v>
      </c>
      <c r="I1542" s="6">
        <v>2.92</v>
      </c>
      <c r="J1542" s="6">
        <v>93.48</v>
      </c>
      <c r="K1542" s="5">
        <v>200</v>
      </c>
    </row>
    <row r="1543" spans="1:11" x14ac:dyDescent="0.3">
      <c r="A1543" s="3">
        <v>2499</v>
      </c>
      <c r="B1543" s="3" t="s">
        <v>11</v>
      </c>
      <c r="C1543" s="4">
        <v>45149</v>
      </c>
      <c r="D1543" s="3" t="s">
        <v>17</v>
      </c>
      <c r="E1543" s="3" t="s">
        <v>48</v>
      </c>
      <c r="F1543" s="5">
        <v>3</v>
      </c>
      <c r="G1543" s="6">
        <v>13.16</v>
      </c>
      <c r="H1543" s="6">
        <v>39.479999999999997</v>
      </c>
      <c r="I1543" s="6">
        <v>7.9</v>
      </c>
      <c r="J1543" s="6">
        <v>31.58</v>
      </c>
      <c r="K1543" s="5">
        <v>228</v>
      </c>
    </row>
    <row r="1544" spans="1:11" x14ac:dyDescent="0.3">
      <c r="A1544" s="3">
        <v>6050</v>
      </c>
      <c r="B1544" s="3" t="s">
        <v>24</v>
      </c>
      <c r="C1544" s="4">
        <v>45490</v>
      </c>
      <c r="D1544" s="3" t="s">
        <v>15</v>
      </c>
      <c r="E1544" s="3" t="s">
        <v>29</v>
      </c>
      <c r="F1544" s="5">
        <v>4</v>
      </c>
      <c r="G1544" s="6">
        <v>28.72</v>
      </c>
      <c r="H1544" s="6">
        <v>114.88</v>
      </c>
      <c r="I1544" s="6">
        <v>17.23</v>
      </c>
      <c r="J1544" s="6">
        <v>97.65</v>
      </c>
      <c r="K1544" s="5">
        <v>338</v>
      </c>
    </row>
    <row r="1545" spans="1:11" x14ac:dyDescent="0.3">
      <c r="A1545" s="3">
        <v>6896</v>
      </c>
      <c r="B1545" s="3" t="s">
        <v>24</v>
      </c>
      <c r="C1545" s="4">
        <v>45736</v>
      </c>
      <c r="D1545" s="3" t="s">
        <v>34</v>
      </c>
      <c r="E1545" s="3" t="s">
        <v>47</v>
      </c>
      <c r="F1545" s="5">
        <v>4</v>
      </c>
      <c r="G1545" s="6">
        <v>18.420000000000002</v>
      </c>
      <c r="H1545" s="6">
        <v>73.680000000000007</v>
      </c>
      <c r="I1545" s="6">
        <v>2.16</v>
      </c>
      <c r="J1545" s="6">
        <v>71.52</v>
      </c>
      <c r="K1545" s="5">
        <v>351</v>
      </c>
    </row>
    <row r="1546" spans="1:11" x14ac:dyDescent="0.3">
      <c r="A1546" s="3">
        <v>5419</v>
      </c>
      <c r="B1546" s="3" t="s">
        <v>14</v>
      </c>
      <c r="C1546" s="4">
        <v>45224</v>
      </c>
      <c r="D1546" s="3" t="s">
        <v>17</v>
      </c>
      <c r="E1546" s="3" t="s">
        <v>16</v>
      </c>
      <c r="F1546" s="5">
        <v>1</v>
      </c>
      <c r="G1546" s="6">
        <v>17.3</v>
      </c>
      <c r="H1546" s="6">
        <v>17.3</v>
      </c>
      <c r="I1546" s="6">
        <v>0</v>
      </c>
      <c r="J1546" s="6">
        <v>17.3</v>
      </c>
      <c r="K1546" s="5">
        <v>165</v>
      </c>
    </row>
    <row r="1547" spans="1:11" x14ac:dyDescent="0.3">
      <c r="A1547" s="3">
        <v>3170</v>
      </c>
      <c r="B1547" s="3" t="s">
        <v>36</v>
      </c>
      <c r="C1547" s="4">
        <v>45212</v>
      </c>
      <c r="D1547" s="3" t="s">
        <v>20</v>
      </c>
      <c r="E1547" s="3" t="s">
        <v>32</v>
      </c>
      <c r="F1547" s="5">
        <v>4</v>
      </c>
      <c r="G1547" s="6">
        <v>13.32</v>
      </c>
      <c r="H1547" s="6">
        <v>53.28</v>
      </c>
      <c r="I1547" s="6">
        <v>7.99</v>
      </c>
      <c r="J1547" s="6">
        <v>45.29</v>
      </c>
      <c r="K1547" s="5">
        <v>133</v>
      </c>
    </row>
    <row r="1548" spans="1:11" x14ac:dyDescent="0.3">
      <c r="A1548" s="3">
        <v>4070</v>
      </c>
      <c r="B1548" s="3" t="s">
        <v>26</v>
      </c>
      <c r="C1548" s="4">
        <v>45479</v>
      </c>
      <c r="D1548" s="3" t="s">
        <v>17</v>
      </c>
      <c r="E1548" s="3" t="s">
        <v>21</v>
      </c>
      <c r="F1548" s="5">
        <v>1</v>
      </c>
      <c r="G1548" s="6">
        <v>9.94</v>
      </c>
      <c r="H1548" s="6">
        <v>9.94</v>
      </c>
      <c r="I1548" s="6">
        <v>4.5</v>
      </c>
      <c r="J1548" s="6">
        <v>5.44</v>
      </c>
      <c r="K1548" s="5">
        <v>209</v>
      </c>
    </row>
    <row r="1549" spans="1:11" x14ac:dyDescent="0.3">
      <c r="A1549" s="3">
        <v>8353</v>
      </c>
      <c r="B1549" s="3" t="s">
        <v>14</v>
      </c>
      <c r="C1549" s="4">
        <v>45577</v>
      </c>
      <c r="D1549" s="3" t="s">
        <v>17</v>
      </c>
      <c r="E1549" s="3" t="s">
        <v>48</v>
      </c>
      <c r="F1549" s="5">
        <v>5</v>
      </c>
      <c r="G1549" s="6">
        <v>18.7</v>
      </c>
      <c r="H1549" s="6">
        <v>93.5</v>
      </c>
      <c r="I1549" s="6">
        <v>0</v>
      </c>
      <c r="J1549" s="6">
        <v>93.5</v>
      </c>
      <c r="K1549" s="5">
        <v>66</v>
      </c>
    </row>
    <row r="1550" spans="1:11" x14ac:dyDescent="0.3">
      <c r="A1550" s="3">
        <v>9395</v>
      </c>
      <c r="B1550" s="3" t="s">
        <v>31</v>
      </c>
      <c r="C1550" s="4">
        <v>45461</v>
      </c>
      <c r="D1550" s="3" t="s">
        <v>20</v>
      </c>
      <c r="E1550" s="3" t="s">
        <v>43</v>
      </c>
      <c r="F1550" s="5">
        <v>3</v>
      </c>
      <c r="G1550" s="6">
        <v>27.44</v>
      </c>
      <c r="H1550" s="6">
        <v>82.32</v>
      </c>
      <c r="I1550" s="6">
        <v>0</v>
      </c>
      <c r="J1550" s="6">
        <v>82.32</v>
      </c>
      <c r="K1550" s="5">
        <v>392</v>
      </c>
    </row>
    <row r="1551" spans="1:11" x14ac:dyDescent="0.3">
      <c r="A1551" s="3">
        <v>2692</v>
      </c>
      <c r="B1551" s="3" t="s">
        <v>31</v>
      </c>
      <c r="C1551" s="4">
        <v>45165</v>
      </c>
      <c r="D1551" s="3" t="s">
        <v>38</v>
      </c>
      <c r="E1551" s="3" t="s">
        <v>44</v>
      </c>
      <c r="F1551" s="5">
        <v>3</v>
      </c>
      <c r="G1551" s="6">
        <v>16.52</v>
      </c>
      <c r="H1551" s="6">
        <v>49.56</v>
      </c>
      <c r="I1551" s="6">
        <v>0</v>
      </c>
      <c r="J1551" s="6">
        <v>49.56</v>
      </c>
      <c r="K1551" s="5">
        <v>80</v>
      </c>
    </row>
    <row r="1552" spans="1:11" x14ac:dyDescent="0.3">
      <c r="A1552" s="3">
        <v>2468</v>
      </c>
      <c r="B1552" s="3" t="s">
        <v>42</v>
      </c>
      <c r="C1552" s="4">
        <v>45419</v>
      </c>
      <c r="D1552" s="3" t="s">
        <v>35</v>
      </c>
      <c r="E1552" s="3" t="s">
        <v>29</v>
      </c>
      <c r="F1552" s="5">
        <v>3</v>
      </c>
      <c r="G1552" s="6">
        <v>10.6</v>
      </c>
      <c r="H1552" s="6">
        <v>31.8</v>
      </c>
      <c r="I1552" s="6">
        <v>1.1399999999999999</v>
      </c>
      <c r="J1552" s="6">
        <v>30.66</v>
      </c>
      <c r="K1552" s="5">
        <v>110</v>
      </c>
    </row>
    <row r="1553" spans="1:11" x14ac:dyDescent="0.3">
      <c r="A1553" s="3">
        <v>2524</v>
      </c>
      <c r="B1553" s="3" t="s">
        <v>31</v>
      </c>
      <c r="C1553" s="4">
        <v>45608</v>
      </c>
      <c r="D1553" s="3" t="s">
        <v>38</v>
      </c>
      <c r="E1553" s="3" t="s">
        <v>48</v>
      </c>
      <c r="F1553" s="5">
        <v>5</v>
      </c>
      <c r="G1553" s="6">
        <v>12.53</v>
      </c>
      <c r="H1553" s="6">
        <v>62.65</v>
      </c>
      <c r="I1553" s="6">
        <v>12.53</v>
      </c>
      <c r="J1553" s="6">
        <v>50.12</v>
      </c>
      <c r="K1553" s="5">
        <v>248</v>
      </c>
    </row>
    <row r="1554" spans="1:11" x14ac:dyDescent="0.3">
      <c r="A1554" s="3">
        <v>6315</v>
      </c>
      <c r="B1554" s="3" t="s">
        <v>30</v>
      </c>
      <c r="C1554" s="4">
        <v>45815</v>
      </c>
      <c r="D1554" s="3" t="s">
        <v>35</v>
      </c>
      <c r="E1554" s="3" t="s">
        <v>39</v>
      </c>
      <c r="F1554" s="5">
        <v>2</v>
      </c>
      <c r="G1554" s="6">
        <v>19.309999999999999</v>
      </c>
      <c r="H1554" s="6">
        <v>38.619999999999997</v>
      </c>
      <c r="I1554" s="6">
        <v>2.09</v>
      </c>
      <c r="J1554" s="6">
        <v>36.53</v>
      </c>
      <c r="K1554" s="5">
        <v>352</v>
      </c>
    </row>
    <row r="1555" spans="1:11" x14ac:dyDescent="0.3">
      <c r="A1555" s="3">
        <v>7311</v>
      </c>
      <c r="B1555" s="3" t="s">
        <v>11</v>
      </c>
      <c r="C1555" s="4">
        <v>45154</v>
      </c>
      <c r="D1555" s="3" t="s">
        <v>20</v>
      </c>
      <c r="E1555" s="3" t="s">
        <v>32</v>
      </c>
      <c r="F1555" s="5">
        <v>2</v>
      </c>
      <c r="G1555" s="6">
        <v>24.72</v>
      </c>
      <c r="H1555" s="6">
        <v>49.44</v>
      </c>
      <c r="I1555" s="6">
        <v>1.31</v>
      </c>
      <c r="J1555" s="6">
        <v>48.13</v>
      </c>
      <c r="K1555" s="5">
        <v>448</v>
      </c>
    </row>
    <row r="1556" spans="1:11" x14ac:dyDescent="0.3">
      <c r="A1556" s="3">
        <v>5781</v>
      </c>
      <c r="B1556" s="3" t="s">
        <v>14</v>
      </c>
      <c r="C1556" s="4">
        <v>45466</v>
      </c>
      <c r="D1556" s="3" t="s">
        <v>20</v>
      </c>
      <c r="E1556" s="3" t="s">
        <v>39</v>
      </c>
      <c r="F1556" s="5">
        <v>1</v>
      </c>
      <c r="G1556" s="6">
        <v>22.53</v>
      </c>
      <c r="H1556" s="6">
        <v>22.53</v>
      </c>
      <c r="I1556" s="6">
        <v>3.94</v>
      </c>
      <c r="J1556" s="6">
        <v>18.59</v>
      </c>
      <c r="K1556" s="5">
        <v>277</v>
      </c>
    </row>
    <row r="1557" spans="1:11" x14ac:dyDescent="0.3">
      <c r="A1557" s="3">
        <v>7353</v>
      </c>
      <c r="B1557" s="3" t="s">
        <v>24</v>
      </c>
      <c r="C1557" s="4">
        <v>45750</v>
      </c>
      <c r="D1557" s="3" t="s">
        <v>17</v>
      </c>
      <c r="E1557" s="3" t="s">
        <v>37</v>
      </c>
      <c r="F1557" s="5">
        <v>3</v>
      </c>
      <c r="G1557" s="6">
        <v>13.32</v>
      </c>
      <c r="H1557" s="6">
        <v>39.96</v>
      </c>
      <c r="I1557" s="6">
        <v>5.99</v>
      </c>
      <c r="J1557" s="6">
        <v>33.97</v>
      </c>
      <c r="K1557" s="5">
        <v>380</v>
      </c>
    </row>
    <row r="1558" spans="1:11" x14ac:dyDescent="0.3">
      <c r="A1558" s="3">
        <v>2387</v>
      </c>
      <c r="B1558" s="3" t="s">
        <v>30</v>
      </c>
      <c r="C1558" s="4">
        <v>45708</v>
      </c>
      <c r="D1558" s="3" t="s">
        <v>45</v>
      </c>
      <c r="E1558" s="3" t="s">
        <v>44</v>
      </c>
      <c r="F1558" s="5">
        <v>1</v>
      </c>
      <c r="G1558" s="6">
        <v>8.65</v>
      </c>
      <c r="H1558" s="6">
        <v>8.65</v>
      </c>
      <c r="I1558" s="6">
        <v>0.87</v>
      </c>
      <c r="J1558" s="6">
        <v>7.78</v>
      </c>
      <c r="K1558" s="5">
        <v>335</v>
      </c>
    </row>
    <row r="1559" spans="1:11" x14ac:dyDescent="0.3">
      <c r="A1559" s="3">
        <v>4977</v>
      </c>
      <c r="B1559" s="3" t="s">
        <v>30</v>
      </c>
      <c r="C1559" s="4">
        <v>45589</v>
      </c>
      <c r="D1559" s="3" t="s">
        <v>20</v>
      </c>
      <c r="E1559" s="3" t="s">
        <v>43</v>
      </c>
      <c r="F1559" s="5">
        <v>2</v>
      </c>
      <c r="G1559" s="6">
        <v>29.03</v>
      </c>
      <c r="H1559" s="6">
        <v>58.06</v>
      </c>
      <c r="I1559" s="6">
        <v>5.81</v>
      </c>
      <c r="J1559" s="6">
        <v>52.25</v>
      </c>
      <c r="K1559" s="5">
        <v>287</v>
      </c>
    </row>
    <row r="1560" spans="1:11" x14ac:dyDescent="0.3">
      <c r="A1560" s="3">
        <v>9537</v>
      </c>
      <c r="B1560" s="3" t="s">
        <v>30</v>
      </c>
      <c r="C1560" s="4">
        <v>45276</v>
      </c>
      <c r="D1560" s="3" t="s">
        <v>38</v>
      </c>
      <c r="E1560" s="3" t="s">
        <v>46</v>
      </c>
      <c r="F1560" s="5">
        <v>2</v>
      </c>
      <c r="G1560" s="6">
        <v>12.08</v>
      </c>
      <c r="H1560" s="6">
        <v>24.16</v>
      </c>
      <c r="I1560" s="6">
        <v>3.62</v>
      </c>
      <c r="J1560" s="6">
        <v>20.54</v>
      </c>
      <c r="K1560" s="5">
        <v>254</v>
      </c>
    </row>
    <row r="1561" spans="1:11" x14ac:dyDescent="0.3">
      <c r="A1561" s="3">
        <v>7237</v>
      </c>
      <c r="B1561" s="3" t="s">
        <v>14</v>
      </c>
      <c r="C1561" s="4">
        <v>45276</v>
      </c>
      <c r="D1561" s="3" t="s">
        <v>15</v>
      </c>
      <c r="E1561" s="3" t="s">
        <v>33</v>
      </c>
      <c r="F1561" s="5">
        <v>2</v>
      </c>
      <c r="G1561" s="6">
        <v>17.75</v>
      </c>
      <c r="H1561" s="6">
        <v>35.5</v>
      </c>
      <c r="I1561" s="6">
        <v>7.1</v>
      </c>
      <c r="J1561" s="6">
        <v>28.4</v>
      </c>
      <c r="K1561" s="5">
        <v>12</v>
      </c>
    </row>
    <row r="1562" spans="1:11" x14ac:dyDescent="0.3">
      <c r="A1562" s="3">
        <v>3274</v>
      </c>
      <c r="B1562" s="3" t="s">
        <v>26</v>
      </c>
      <c r="C1562" s="4">
        <v>45353</v>
      </c>
      <c r="D1562" s="3" t="s">
        <v>22</v>
      </c>
      <c r="E1562" s="3" t="s">
        <v>47</v>
      </c>
      <c r="F1562" s="5">
        <v>5</v>
      </c>
      <c r="G1562" s="6">
        <v>4.1500000000000004</v>
      </c>
      <c r="H1562" s="6">
        <v>20.75</v>
      </c>
      <c r="I1562" s="6">
        <v>4.1500000000000004</v>
      </c>
      <c r="J1562" s="6">
        <v>16.600000000000001</v>
      </c>
      <c r="K1562" s="5">
        <v>159</v>
      </c>
    </row>
    <row r="1563" spans="1:11" x14ac:dyDescent="0.3">
      <c r="A1563" s="3">
        <v>5933</v>
      </c>
      <c r="B1563" s="3" t="s">
        <v>11</v>
      </c>
      <c r="C1563" s="4">
        <v>45353</v>
      </c>
      <c r="D1563" s="3" t="s">
        <v>15</v>
      </c>
      <c r="E1563" s="3" t="s">
        <v>18</v>
      </c>
      <c r="F1563" s="5">
        <v>2</v>
      </c>
      <c r="G1563" s="6">
        <v>7.01</v>
      </c>
      <c r="H1563" s="6">
        <v>14.02</v>
      </c>
      <c r="I1563" s="6">
        <v>2</v>
      </c>
      <c r="J1563" s="6">
        <v>12.02</v>
      </c>
      <c r="K1563" s="5">
        <v>482</v>
      </c>
    </row>
    <row r="1564" spans="1:11" x14ac:dyDescent="0.3">
      <c r="A1564" s="3">
        <v>9079</v>
      </c>
      <c r="B1564" s="3" t="s">
        <v>19</v>
      </c>
      <c r="C1564" s="4">
        <v>45258</v>
      </c>
      <c r="D1564" s="3" t="s">
        <v>20</v>
      </c>
      <c r="E1564" s="3" t="s">
        <v>47</v>
      </c>
      <c r="F1564" s="5">
        <v>5</v>
      </c>
      <c r="G1564" s="6">
        <v>21.96</v>
      </c>
      <c r="H1564" s="6">
        <v>109.8</v>
      </c>
      <c r="I1564" s="6">
        <v>4.07</v>
      </c>
      <c r="J1564" s="6">
        <v>105.73</v>
      </c>
      <c r="K1564" s="5">
        <v>290</v>
      </c>
    </row>
    <row r="1565" spans="1:11" x14ac:dyDescent="0.3">
      <c r="A1565" s="3">
        <v>2036</v>
      </c>
      <c r="B1565" s="3" t="s">
        <v>30</v>
      </c>
      <c r="C1565" s="4">
        <v>45274</v>
      </c>
      <c r="D1565" s="3" t="s">
        <v>20</v>
      </c>
      <c r="E1565" s="3" t="s">
        <v>37</v>
      </c>
      <c r="F1565" s="5">
        <v>3</v>
      </c>
      <c r="G1565" s="6">
        <v>25.19</v>
      </c>
      <c r="H1565" s="6">
        <v>75.569999999999993</v>
      </c>
      <c r="I1565" s="6">
        <v>0</v>
      </c>
      <c r="J1565" s="6">
        <v>75.569999999999993</v>
      </c>
      <c r="K1565" s="5">
        <v>18</v>
      </c>
    </row>
    <row r="1566" spans="1:11" x14ac:dyDescent="0.3">
      <c r="A1566" s="3">
        <v>8121</v>
      </c>
      <c r="B1566" s="3" t="s">
        <v>24</v>
      </c>
      <c r="C1566" s="4">
        <v>45359</v>
      </c>
      <c r="D1566" s="3" t="s">
        <v>12</v>
      </c>
      <c r="E1566" s="3" t="s">
        <v>13</v>
      </c>
      <c r="F1566" s="5">
        <v>2</v>
      </c>
      <c r="G1566" s="6">
        <v>22.89</v>
      </c>
      <c r="H1566" s="6">
        <v>45.78</v>
      </c>
      <c r="I1566" s="6">
        <v>3</v>
      </c>
      <c r="J1566" s="6">
        <v>42.78</v>
      </c>
      <c r="K1566" s="5">
        <v>406</v>
      </c>
    </row>
    <row r="1567" spans="1:11" x14ac:dyDescent="0.3">
      <c r="A1567" s="3">
        <v>7899</v>
      </c>
      <c r="B1567" s="3" t="s">
        <v>42</v>
      </c>
      <c r="C1567" s="4">
        <v>45377</v>
      </c>
      <c r="D1567" s="3" t="s">
        <v>22</v>
      </c>
      <c r="E1567" s="3" t="s">
        <v>33</v>
      </c>
      <c r="F1567" s="5">
        <v>4</v>
      </c>
      <c r="G1567" s="6">
        <v>15.91</v>
      </c>
      <c r="H1567" s="6">
        <v>63.64</v>
      </c>
      <c r="I1567" s="6">
        <v>2.7</v>
      </c>
      <c r="J1567" s="6">
        <v>60.94</v>
      </c>
      <c r="K1567" s="5">
        <v>439</v>
      </c>
    </row>
    <row r="1568" spans="1:11" x14ac:dyDescent="0.3">
      <c r="A1568" s="3">
        <v>8933</v>
      </c>
      <c r="B1568" s="3" t="s">
        <v>11</v>
      </c>
      <c r="C1568" s="4">
        <v>45752</v>
      </c>
      <c r="D1568" s="3" t="s">
        <v>20</v>
      </c>
      <c r="E1568" s="3" t="s">
        <v>41</v>
      </c>
      <c r="F1568" s="5">
        <v>1</v>
      </c>
      <c r="G1568" s="6">
        <v>5.69</v>
      </c>
      <c r="H1568" s="6">
        <v>5.69</v>
      </c>
      <c r="I1568" s="6">
        <v>1.1399999999999999</v>
      </c>
      <c r="J1568" s="6">
        <v>4.55</v>
      </c>
      <c r="K1568" s="5">
        <v>383</v>
      </c>
    </row>
    <row r="1569" spans="1:11" x14ac:dyDescent="0.3">
      <c r="A1569" s="3">
        <v>2260</v>
      </c>
      <c r="B1569" s="3" t="s">
        <v>42</v>
      </c>
      <c r="C1569" s="4">
        <v>45425</v>
      </c>
      <c r="D1569" s="3" t="s">
        <v>45</v>
      </c>
      <c r="E1569" s="3" t="s">
        <v>48</v>
      </c>
      <c r="F1569" s="5">
        <v>1</v>
      </c>
      <c r="G1569" s="6">
        <v>26.67</v>
      </c>
      <c r="H1569" s="6">
        <v>26.67</v>
      </c>
      <c r="I1569" s="6">
        <v>0</v>
      </c>
      <c r="J1569" s="6">
        <v>26.67</v>
      </c>
      <c r="K1569" s="5">
        <v>253</v>
      </c>
    </row>
    <row r="1570" spans="1:11" x14ac:dyDescent="0.3">
      <c r="A1570" s="3">
        <v>5123</v>
      </c>
      <c r="B1570" s="3" t="s">
        <v>14</v>
      </c>
      <c r="C1570" s="4">
        <v>45336</v>
      </c>
      <c r="D1570" s="3" t="s">
        <v>45</v>
      </c>
      <c r="E1570" s="3" t="s">
        <v>41</v>
      </c>
      <c r="F1570" s="5">
        <v>5</v>
      </c>
      <c r="G1570" s="6">
        <v>13.12</v>
      </c>
      <c r="H1570" s="6">
        <v>65.599999999999994</v>
      </c>
      <c r="I1570" s="6">
        <v>2.74</v>
      </c>
      <c r="J1570" s="6">
        <v>62.86</v>
      </c>
      <c r="K1570" s="5">
        <v>4</v>
      </c>
    </row>
    <row r="1571" spans="1:11" x14ac:dyDescent="0.3">
      <c r="A1571" s="3">
        <v>9123</v>
      </c>
      <c r="B1571" s="3" t="s">
        <v>30</v>
      </c>
      <c r="C1571" s="4">
        <v>45606</v>
      </c>
      <c r="D1571" s="3" t="s">
        <v>27</v>
      </c>
      <c r="E1571" s="3" t="s">
        <v>13</v>
      </c>
      <c r="F1571" s="5">
        <v>5</v>
      </c>
      <c r="G1571" s="6">
        <v>10.34</v>
      </c>
      <c r="H1571" s="6">
        <v>51.7</v>
      </c>
      <c r="I1571" s="6">
        <v>3.6</v>
      </c>
      <c r="J1571" s="6">
        <v>48.1</v>
      </c>
      <c r="K1571" s="5">
        <v>455</v>
      </c>
    </row>
    <row r="1572" spans="1:11" x14ac:dyDescent="0.3">
      <c r="A1572" s="3">
        <v>4203</v>
      </c>
      <c r="B1572" s="3" t="s">
        <v>19</v>
      </c>
      <c r="C1572" s="4">
        <v>45500</v>
      </c>
      <c r="D1572" s="3" t="s">
        <v>35</v>
      </c>
      <c r="E1572" s="3" t="s">
        <v>46</v>
      </c>
      <c r="F1572" s="5">
        <v>2</v>
      </c>
      <c r="G1572" s="6">
        <v>24.27</v>
      </c>
      <c r="H1572" s="6">
        <v>48.54</v>
      </c>
      <c r="I1572" s="6">
        <v>3.42</v>
      </c>
      <c r="J1572" s="6">
        <v>45.12</v>
      </c>
      <c r="K1572" s="5">
        <v>487</v>
      </c>
    </row>
    <row r="1573" spans="1:11" x14ac:dyDescent="0.3">
      <c r="A1573" s="3">
        <v>2752</v>
      </c>
      <c r="B1573" s="3" t="s">
        <v>26</v>
      </c>
      <c r="C1573" s="4">
        <v>45250</v>
      </c>
      <c r="D1573" s="3" t="s">
        <v>45</v>
      </c>
      <c r="E1573" s="3" t="s">
        <v>44</v>
      </c>
      <c r="F1573" s="5">
        <v>3</v>
      </c>
      <c r="G1573" s="6">
        <v>27.88</v>
      </c>
      <c r="H1573" s="6">
        <v>83.64</v>
      </c>
      <c r="I1573" s="6">
        <v>16.73</v>
      </c>
      <c r="J1573" s="6">
        <v>66.91</v>
      </c>
      <c r="K1573" s="5">
        <v>368</v>
      </c>
    </row>
    <row r="1574" spans="1:11" x14ac:dyDescent="0.3">
      <c r="A1574" s="3">
        <v>5991</v>
      </c>
      <c r="B1574" s="3" t="s">
        <v>14</v>
      </c>
      <c r="C1574" s="4">
        <v>45150</v>
      </c>
      <c r="D1574" s="3" t="s">
        <v>45</v>
      </c>
      <c r="E1574" s="3" t="s">
        <v>39</v>
      </c>
      <c r="F1574" s="5">
        <v>3</v>
      </c>
      <c r="G1574" s="6">
        <v>13.06</v>
      </c>
      <c r="H1574" s="6">
        <v>39.18</v>
      </c>
      <c r="I1574" s="6">
        <v>4.97</v>
      </c>
      <c r="J1574" s="6">
        <v>34.21</v>
      </c>
      <c r="K1574" s="5">
        <v>76</v>
      </c>
    </row>
    <row r="1575" spans="1:11" x14ac:dyDescent="0.3">
      <c r="A1575" s="3">
        <v>7483</v>
      </c>
      <c r="B1575" s="3" t="s">
        <v>31</v>
      </c>
      <c r="C1575" s="4">
        <v>45403</v>
      </c>
      <c r="D1575" s="3" t="s">
        <v>35</v>
      </c>
      <c r="E1575" s="3" t="s">
        <v>44</v>
      </c>
      <c r="F1575" s="5">
        <v>2</v>
      </c>
      <c r="G1575" s="6">
        <v>21.12</v>
      </c>
      <c r="H1575" s="6">
        <v>42.24</v>
      </c>
      <c r="I1575" s="6">
        <v>6.34</v>
      </c>
      <c r="J1575" s="6">
        <v>35.9</v>
      </c>
      <c r="K1575" s="5">
        <v>275</v>
      </c>
    </row>
    <row r="1576" spans="1:11" x14ac:dyDescent="0.3">
      <c r="A1576" s="3">
        <v>7224</v>
      </c>
      <c r="B1576" s="3" t="s">
        <v>11</v>
      </c>
      <c r="C1576" s="4">
        <v>45769</v>
      </c>
      <c r="D1576" s="3" t="s">
        <v>12</v>
      </c>
      <c r="E1576" s="3" t="s">
        <v>33</v>
      </c>
      <c r="F1576" s="5">
        <v>5</v>
      </c>
      <c r="G1576" s="6">
        <v>5.53</v>
      </c>
      <c r="H1576" s="6">
        <v>27.65</v>
      </c>
      <c r="I1576" s="6">
        <v>4.1500000000000004</v>
      </c>
      <c r="J1576" s="6">
        <v>23.5</v>
      </c>
      <c r="K1576" s="5">
        <v>179</v>
      </c>
    </row>
    <row r="1577" spans="1:11" x14ac:dyDescent="0.3">
      <c r="A1577" s="3">
        <v>6399</v>
      </c>
      <c r="B1577" s="3"/>
      <c r="C1577" s="4">
        <v>45486</v>
      </c>
      <c r="D1577" s="3" t="s">
        <v>17</v>
      </c>
      <c r="E1577" s="3" t="s">
        <v>13</v>
      </c>
      <c r="F1577" s="5">
        <v>3</v>
      </c>
      <c r="G1577" s="6">
        <v>24.79</v>
      </c>
      <c r="H1577" s="6">
        <v>74.37</v>
      </c>
      <c r="I1577" s="6">
        <v>3.92</v>
      </c>
      <c r="J1577" s="6">
        <v>70.45</v>
      </c>
      <c r="K1577" s="5">
        <v>444</v>
      </c>
    </row>
    <row r="1578" spans="1:11" x14ac:dyDescent="0.3">
      <c r="A1578" s="3">
        <v>6484</v>
      </c>
      <c r="B1578" s="3" t="s">
        <v>36</v>
      </c>
      <c r="C1578" s="4">
        <v>45479</v>
      </c>
      <c r="D1578" s="3" t="s">
        <v>28</v>
      </c>
      <c r="E1578" s="3" t="s">
        <v>32</v>
      </c>
      <c r="F1578" s="5">
        <v>3</v>
      </c>
      <c r="G1578" s="6">
        <v>17.260000000000002</v>
      </c>
      <c r="H1578" s="6">
        <v>51.78</v>
      </c>
      <c r="I1578" s="6">
        <v>3.37</v>
      </c>
      <c r="J1578" s="6">
        <v>48.41</v>
      </c>
      <c r="K1578" s="5">
        <v>328</v>
      </c>
    </row>
    <row r="1579" spans="1:11" x14ac:dyDescent="0.3">
      <c r="A1579" s="3">
        <v>3230</v>
      </c>
      <c r="B1579" s="3" t="s">
        <v>11</v>
      </c>
      <c r="C1579" s="4">
        <v>45378</v>
      </c>
      <c r="D1579" s="3" t="s">
        <v>17</v>
      </c>
      <c r="E1579" s="3" t="s">
        <v>13</v>
      </c>
      <c r="F1579" s="5">
        <v>2</v>
      </c>
      <c r="G1579" s="6">
        <v>8.6199999999999992</v>
      </c>
      <c r="H1579" s="6">
        <v>17.239999999999998</v>
      </c>
      <c r="I1579" s="6">
        <v>3.35</v>
      </c>
      <c r="J1579" s="6">
        <v>13.89</v>
      </c>
      <c r="K1579" s="5">
        <v>52</v>
      </c>
    </row>
    <row r="1580" spans="1:11" x14ac:dyDescent="0.3">
      <c r="A1580" s="3">
        <v>6253</v>
      </c>
      <c r="B1580" s="3"/>
      <c r="C1580" s="4">
        <v>45613</v>
      </c>
      <c r="D1580" s="3" t="s">
        <v>22</v>
      </c>
      <c r="E1580" s="3" t="s">
        <v>13</v>
      </c>
      <c r="F1580" s="5">
        <v>5</v>
      </c>
      <c r="G1580" s="6">
        <v>20.38</v>
      </c>
      <c r="H1580" s="6">
        <v>101.9</v>
      </c>
      <c r="I1580" s="6">
        <v>20.38</v>
      </c>
      <c r="J1580" s="6">
        <v>81.52</v>
      </c>
      <c r="K1580" s="5">
        <v>242</v>
      </c>
    </row>
    <row r="1581" spans="1:11" x14ac:dyDescent="0.3">
      <c r="A1581" s="3">
        <v>4290</v>
      </c>
      <c r="B1581" s="3" t="s">
        <v>31</v>
      </c>
      <c r="C1581" s="4">
        <v>45517</v>
      </c>
      <c r="D1581" s="3" t="s">
        <v>17</v>
      </c>
      <c r="E1581" s="3" t="s">
        <v>44</v>
      </c>
      <c r="F1581" s="5">
        <v>1</v>
      </c>
      <c r="G1581" s="6">
        <v>27.95</v>
      </c>
      <c r="H1581" s="6">
        <v>27.95</v>
      </c>
      <c r="I1581" s="6">
        <v>5.59</v>
      </c>
      <c r="J1581" s="6">
        <v>22.36</v>
      </c>
      <c r="K1581" s="5">
        <v>314</v>
      </c>
    </row>
    <row r="1582" spans="1:11" x14ac:dyDescent="0.3">
      <c r="A1582" s="3">
        <v>6147</v>
      </c>
      <c r="B1582" s="3" t="s">
        <v>19</v>
      </c>
      <c r="C1582" s="4">
        <v>45282</v>
      </c>
      <c r="D1582" s="3" t="s">
        <v>45</v>
      </c>
      <c r="E1582" s="3" t="s">
        <v>39</v>
      </c>
      <c r="F1582" s="5">
        <v>3</v>
      </c>
      <c r="G1582" s="6">
        <v>3.25</v>
      </c>
      <c r="H1582" s="6">
        <v>9.75</v>
      </c>
      <c r="I1582" s="6">
        <v>1.95</v>
      </c>
      <c r="J1582" s="6">
        <v>7.8</v>
      </c>
      <c r="K1582" s="5">
        <v>496</v>
      </c>
    </row>
    <row r="1583" spans="1:11" x14ac:dyDescent="0.3">
      <c r="A1583" s="3">
        <v>7524</v>
      </c>
      <c r="B1583" s="3" t="s">
        <v>14</v>
      </c>
      <c r="C1583" s="4">
        <v>45392</v>
      </c>
      <c r="D1583" s="3" t="s">
        <v>45</v>
      </c>
      <c r="E1583" s="3" t="s">
        <v>16</v>
      </c>
      <c r="F1583" s="5">
        <v>4</v>
      </c>
      <c r="G1583" s="6">
        <v>10.48</v>
      </c>
      <c r="H1583" s="6">
        <v>41.92</v>
      </c>
      <c r="I1583" s="6">
        <v>8.3800000000000008</v>
      </c>
      <c r="J1583" s="6">
        <v>33.54</v>
      </c>
      <c r="K1583" s="5">
        <v>256</v>
      </c>
    </row>
    <row r="1584" spans="1:11" x14ac:dyDescent="0.3">
      <c r="A1584" s="3">
        <v>5775</v>
      </c>
      <c r="B1584" s="3" t="s">
        <v>14</v>
      </c>
      <c r="C1584" s="4">
        <v>45715</v>
      </c>
      <c r="D1584" s="3" t="s">
        <v>20</v>
      </c>
      <c r="E1584" s="3" t="s">
        <v>32</v>
      </c>
      <c r="F1584" s="5">
        <v>4</v>
      </c>
      <c r="G1584" s="6">
        <v>21.47</v>
      </c>
      <c r="H1584" s="6">
        <v>85.88</v>
      </c>
      <c r="I1584" s="6">
        <v>2.27</v>
      </c>
      <c r="J1584" s="6">
        <v>83.61</v>
      </c>
      <c r="K1584" s="5">
        <v>181</v>
      </c>
    </row>
    <row r="1585" spans="1:11" x14ac:dyDescent="0.3">
      <c r="A1585" s="3">
        <v>9044</v>
      </c>
      <c r="B1585" s="3" t="s">
        <v>11</v>
      </c>
      <c r="C1585" s="4">
        <v>45592</v>
      </c>
      <c r="D1585" s="3" t="s">
        <v>28</v>
      </c>
      <c r="E1585" s="3" t="s">
        <v>44</v>
      </c>
      <c r="F1585" s="5">
        <v>2</v>
      </c>
      <c r="G1585" s="6">
        <v>28.41</v>
      </c>
      <c r="H1585" s="6">
        <v>56.82</v>
      </c>
      <c r="I1585" s="6">
        <v>0</v>
      </c>
      <c r="J1585" s="6">
        <v>56.82</v>
      </c>
      <c r="K1585" s="5">
        <v>426</v>
      </c>
    </row>
    <row r="1586" spans="1:11" x14ac:dyDescent="0.3">
      <c r="A1586" s="3">
        <v>4971</v>
      </c>
      <c r="B1586" s="3" t="s">
        <v>19</v>
      </c>
      <c r="C1586" s="4">
        <v>45398</v>
      </c>
      <c r="D1586" s="3" t="s">
        <v>20</v>
      </c>
      <c r="E1586" s="3" t="s">
        <v>18</v>
      </c>
      <c r="F1586" s="5">
        <v>4</v>
      </c>
      <c r="G1586" s="6">
        <v>15.2</v>
      </c>
      <c r="H1586" s="6">
        <v>60.8</v>
      </c>
      <c r="I1586" s="6">
        <v>0</v>
      </c>
      <c r="J1586" s="6">
        <v>60.8</v>
      </c>
      <c r="K1586" s="5">
        <v>403</v>
      </c>
    </row>
    <row r="1587" spans="1:11" x14ac:dyDescent="0.3">
      <c r="A1587" s="3">
        <v>7161</v>
      </c>
      <c r="B1587" s="3" t="s">
        <v>11</v>
      </c>
      <c r="C1587" s="4">
        <v>45362</v>
      </c>
      <c r="D1587" s="3" t="s">
        <v>38</v>
      </c>
      <c r="E1587" s="3" t="s">
        <v>16</v>
      </c>
      <c r="F1587" s="5">
        <v>3</v>
      </c>
      <c r="G1587" s="6">
        <v>6.15</v>
      </c>
      <c r="H1587" s="6">
        <v>18.45</v>
      </c>
      <c r="I1587" s="6">
        <v>1.84</v>
      </c>
      <c r="J1587" s="6">
        <v>16.61</v>
      </c>
      <c r="K1587" s="5">
        <v>443</v>
      </c>
    </row>
    <row r="1588" spans="1:11" x14ac:dyDescent="0.3">
      <c r="A1588" s="3">
        <v>7437</v>
      </c>
      <c r="B1588" s="3" t="s">
        <v>36</v>
      </c>
      <c r="C1588" s="4">
        <v>45428</v>
      </c>
      <c r="D1588" s="3" t="s">
        <v>20</v>
      </c>
      <c r="E1588" s="3" t="s">
        <v>44</v>
      </c>
      <c r="F1588" s="5">
        <v>5</v>
      </c>
      <c r="G1588" s="6">
        <v>17.22</v>
      </c>
      <c r="H1588" s="6">
        <v>86.1</v>
      </c>
      <c r="I1588" s="6">
        <v>8.61</v>
      </c>
      <c r="J1588" s="6">
        <v>77.489999999999995</v>
      </c>
      <c r="K1588" s="5">
        <v>471</v>
      </c>
    </row>
    <row r="1589" spans="1:11" x14ac:dyDescent="0.3">
      <c r="A1589" s="3">
        <v>2865</v>
      </c>
      <c r="B1589" s="3" t="s">
        <v>36</v>
      </c>
      <c r="C1589" s="4">
        <v>45868</v>
      </c>
      <c r="D1589" s="3" t="s">
        <v>34</v>
      </c>
      <c r="E1589" s="3" t="s">
        <v>39</v>
      </c>
      <c r="F1589" s="5">
        <v>2</v>
      </c>
      <c r="G1589" s="6">
        <v>13.81</v>
      </c>
      <c r="H1589" s="6">
        <v>27.62</v>
      </c>
      <c r="I1589" s="6">
        <v>3.34</v>
      </c>
      <c r="J1589" s="6">
        <v>24.28</v>
      </c>
      <c r="K1589" s="5">
        <v>269</v>
      </c>
    </row>
    <row r="1590" spans="1:11" x14ac:dyDescent="0.3">
      <c r="A1590" s="3">
        <v>4273</v>
      </c>
      <c r="B1590" s="3" t="s">
        <v>36</v>
      </c>
      <c r="C1590" s="4">
        <v>45604</v>
      </c>
      <c r="D1590" s="3" t="s">
        <v>15</v>
      </c>
      <c r="E1590" s="3" t="s">
        <v>23</v>
      </c>
      <c r="F1590" s="5">
        <v>3</v>
      </c>
      <c r="G1590" s="6">
        <v>15.57</v>
      </c>
      <c r="H1590" s="6">
        <v>46.71</v>
      </c>
      <c r="I1590" s="6">
        <v>3.59</v>
      </c>
      <c r="J1590" s="6">
        <v>43.12</v>
      </c>
      <c r="K1590" s="5">
        <v>6</v>
      </c>
    </row>
    <row r="1591" spans="1:11" x14ac:dyDescent="0.3">
      <c r="A1591" s="3">
        <v>9939</v>
      </c>
      <c r="B1591" s="3" t="s">
        <v>26</v>
      </c>
      <c r="C1591" s="4">
        <v>45284</v>
      </c>
      <c r="D1591" s="3" t="s">
        <v>20</v>
      </c>
      <c r="E1591" s="3" t="s">
        <v>40</v>
      </c>
      <c r="F1591" s="5">
        <v>3</v>
      </c>
      <c r="G1591" s="6">
        <v>8.94</v>
      </c>
      <c r="H1591" s="6">
        <v>26.82</v>
      </c>
      <c r="I1591" s="6">
        <v>0</v>
      </c>
      <c r="J1591" s="6">
        <v>26.82</v>
      </c>
      <c r="K1591" s="5">
        <v>29</v>
      </c>
    </row>
    <row r="1592" spans="1:11" x14ac:dyDescent="0.3">
      <c r="A1592" s="3">
        <v>1440</v>
      </c>
      <c r="B1592" s="3" t="s">
        <v>26</v>
      </c>
      <c r="C1592" s="4">
        <v>45709</v>
      </c>
      <c r="D1592" s="3" t="s">
        <v>28</v>
      </c>
      <c r="E1592" s="3" t="s">
        <v>33</v>
      </c>
      <c r="F1592" s="5">
        <v>4</v>
      </c>
      <c r="G1592" s="6">
        <v>6.03</v>
      </c>
      <c r="H1592" s="6">
        <v>24.12</v>
      </c>
      <c r="I1592" s="6">
        <v>2.48</v>
      </c>
      <c r="J1592" s="6">
        <v>21.64</v>
      </c>
      <c r="K1592" s="5">
        <v>383</v>
      </c>
    </row>
    <row r="1593" spans="1:11" x14ac:dyDescent="0.3">
      <c r="A1593" s="3">
        <v>8563</v>
      </c>
      <c r="B1593" s="3" t="s">
        <v>19</v>
      </c>
      <c r="C1593" s="4">
        <v>45695</v>
      </c>
      <c r="D1593" s="3" t="s">
        <v>34</v>
      </c>
      <c r="E1593" s="3" t="s">
        <v>41</v>
      </c>
      <c r="F1593" s="5">
        <v>1</v>
      </c>
      <c r="G1593" s="6">
        <v>13.16</v>
      </c>
      <c r="H1593" s="6">
        <v>13.16</v>
      </c>
      <c r="I1593" s="6">
        <v>2.77</v>
      </c>
      <c r="J1593" s="6">
        <v>10.39</v>
      </c>
      <c r="K1593" s="5">
        <v>433</v>
      </c>
    </row>
    <row r="1594" spans="1:11" x14ac:dyDescent="0.3">
      <c r="A1594" s="3">
        <v>4434</v>
      </c>
      <c r="B1594" s="3" t="s">
        <v>31</v>
      </c>
      <c r="C1594" s="4">
        <v>45485</v>
      </c>
      <c r="D1594" s="3" t="s">
        <v>22</v>
      </c>
      <c r="E1594" s="3" t="s">
        <v>48</v>
      </c>
      <c r="F1594" s="5">
        <v>5</v>
      </c>
      <c r="G1594" s="6">
        <v>9.0399999999999991</v>
      </c>
      <c r="H1594" s="6">
        <v>45.2</v>
      </c>
      <c r="I1594" s="6">
        <v>0</v>
      </c>
      <c r="J1594" s="6">
        <v>45.2</v>
      </c>
      <c r="K1594" s="5">
        <v>436</v>
      </c>
    </row>
    <row r="1595" spans="1:11" x14ac:dyDescent="0.3">
      <c r="A1595" s="3">
        <v>5773</v>
      </c>
      <c r="B1595" s="3" t="s">
        <v>31</v>
      </c>
      <c r="C1595" s="4">
        <v>45790</v>
      </c>
      <c r="D1595" s="3" t="s">
        <v>22</v>
      </c>
      <c r="E1595" s="3" t="s">
        <v>21</v>
      </c>
      <c r="F1595" s="5">
        <v>2</v>
      </c>
      <c r="G1595" s="6">
        <v>27.26</v>
      </c>
      <c r="H1595" s="6">
        <v>54.52</v>
      </c>
      <c r="I1595" s="6">
        <v>1.06</v>
      </c>
      <c r="J1595" s="6">
        <v>53.46</v>
      </c>
      <c r="K1595" s="5">
        <v>300</v>
      </c>
    </row>
    <row r="1596" spans="1:11" x14ac:dyDescent="0.3">
      <c r="A1596" s="3">
        <v>2133</v>
      </c>
      <c r="B1596" s="3" t="s">
        <v>24</v>
      </c>
      <c r="C1596" s="4">
        <v>45781</v>
      </c>
      <c r="D1596" s="3" t="s">
        <v>20</v>
      </c>
      <c r="E1596" s="3" t="s">
        <v>40</v>
      </c>
      <c r="F1596" s="5">
        <v>1</v>
      </c>
      <c r="G1596" s="6">
        <v>6.59</v>
      </c>
      <c r="H1596" s="6">
        <v>6.59</v>
      </c>
      <c r="I1596" s="6">
        <v>0</v>
      </c>
      <c r="J1596" s="6">
        <v>6.59</v>
      </c>
      <c r="K1596" s="5">
        <v>389</v>
      </c>
    </row>
    <row r="1597" spans="1:11" x14ac:dyDescent="0.3">
      <c r="A1597" s="3">
        <v>7703</v>
      </c>
      <c r="B1597" s="3" t="s">
        <v>30</v>
      </c>
      <c r="C1597" s="4">
        <v>45667</v>
      </c>
      <c r="D1597" s="3" t="s">
        <v>15</v>
      </c>
      <c r="E1597" s="3" t="s">
        <v>29</v>
      </c>
      <c r="F1597" s="5">
        <v>4</v>
      </c>
      <c r="G1597" s="6">
        <v>2.2799999999999998</v>
      </c>
      <c r="H1597" s="6">
        <v>9.1199999999999992</v>
      </c>
      <c r="I1597" s="6">
        <v>0</v>
      </c>
      <c r="J1597" s="6">
        <v>9.1199999999999992</v>
      </c>
      <c r="K1597" s="5">
        <v>311</v>
      </c>
    </row>
    <row r="1598" spans="1:11" x14ac:dyDescent="0.3">
      <c r="A1598" s="3">
        <v>9180</v>
      </c>
      <c r="B1598" s="3" t="s">
        <v>14</v>
      </c>
      <c r="C1598" s="4">
        <v>45253</v>
      </c>
      <c r="D1598" s="3" t="s">
        <v>20</v>
      </c>
      <c r="E1598" s="3" t="s">
        <v>29</v>
      </c>
      <c r="F1598" s="5">
        <v>1</v>
      </c>
      <c r="G1598" s="6">
        <v>10.01</v>
      </c>
      <c r="H1598" s="6">
        <v>10.01</v>
      </c>
      <c r="I1598" s="6">
        <v>2.37</v>
      </c>
      <c r="J1598" s="6">
        <v>7.64</v>
      </c>
      <c r="K1598" s="5">
        <v>287</v>
      </c>
    </row>
    <row r="1599" spans="1:11" x14ac:dyDescent="0.3">
      <c r="A1599" s="3">
        <v>5961</v>
      </c>
      <c r="B1599" s="3" t="s">
        <v>11</v>
      </c>
      <c r="C1599" s="4">
        <v>45332</v>
      </c>
      <c r="D1599" s="3" t="s">
        <v>28</v>
      </c>
      <c r="E1599" s="3" t="s">
        <v>33</v>
      </c>
      <c r="F1599" s="5">
        <v>1</v>
      </c>
      <c r="G1599" s="6">
        <v>4.3600000000000003</v>
      </c>
      <c r="H1599" s="6">
        <v>4.3600000000000003</v>
      </c>
      <c r="I1599" s="6">
        <v>0</v>
      </c>
      <c r="J1599" s="6">
        <v>4.3600000000000003</v>
      </c>
      <c r="K1599" s="5">
        <v>46</v>
      </c>
    </row>
    <row r="1600" spans="1:11" x14ac:dyDescent="0.3">
      <c r="A1600" s="3">
        <v>5139</v>
      </c>
      <c r="B1600" s="3" t="s">
        <v>11</v>
      </c>
      <c r="C1600" s="4">
        <v>45656</v>
      </c>
      <c r="D1600" s="3" t="s">
        <v>34</v>
      </c>
      <c r="E1600" s="3" t="s">
        <v>21</v>
      </c>
      <c r="F1600" s="5">
        <v>5</v>
      </c>
      <c r="G1600" s="6">
        <v>19.16</v>
      </c>
      <c r="H1600" s="6">
        <v>95.8</v>
      </c>
      <c r="I1600" s="6">
        <v>1.87</v>
      </c>
      <c r="J1600" s="6">
        <v>93.93</v>
      </c>
      <c r="K1600" s="5">
        <v>10</v>
      </c>
    </row>
    <row r="1601" spans="1:11" x14ac:dyDescent="0.3">
      <c r="A1601" s="3">
        <v>3525</v>
      </c>
      <c r="B1601" s="3" t="s">
        <v>36</v>
      </c>
      <c r="C1601" s="4">
        <v>45700</v>
      </c>
      <c r="D1601" s="3" t="s">
        <v>45</v>
      </c>
      <c r="E1601" s="3" t="s">
        <v>43</v>
      </c>
      <c r="F1601" s="5">
        <v>2</v>
      </c>
      <c r="G1601" s="6">
        <v>9.92</v>
      </c>
      <c r="H1601" s="6">
        <v>19.84</v>
      </c>
      <c r="I1601" s="6">
        <v>0</v>
      </c>
      <c r="J1601" s="6">
        <v>19.84</v>
      </c>
      <c r="K1601" s="5">
        <v>348</v>
      </c>
    </row>
    <row r="1602" spans="1:11" x14ac:dyDescent="0.3">
      <c r="A1602" s="3">
        <v>7932</v>
      </c>
      <c r="B1602" s="3" t="s">
        <v>19</v>
      </c>
      <c r="C1602" s="4">
        <v>45757</v>
      </c>
      <c r="D1602" s="3" t="s">
        <v>35</v>
      </c>
      <c r="E1602" s="3" t="s">
        <v>40</v>
      </c>
      <c r="F1602" s="5">
        <v>4</v>
      </c>
      <c r="G1602" s="6">
        <v>21.46</v>
      </c>
      <c r="H1602" s="6">
        <v>85.84</v>
      </c>
      <c r="I1602" s="6">
        <v>17.170000000000002</v>
      </c>
      <c r="J1602" s="6">
        <v>68.67</v>
      </c>
      <c r="K1602" s="5">
        <v>91</v>
      </c>
    </row>
    <row r="1603" spans="1:11" x14ac:dyDescent="0.3">
      <c r="A1603" s="3">
        <v>7176</v>
      </c>
      <c r="B1603" s="3" t="s">
        <v>36</v>
      </c>
      <c r="C1603" s="4">
        <v>45202</v>
      </c>
      <c r="D1603" s="3" t="s">
        <v>20</v>
      </c>
      <c r="E1603" s="3" t="s">
        <v>25</v>
      </c>
      <c r="F1603" s="5">
        <v>2</v>
      </c>
      <c r="G1603" s="6">
        <v>8.9</v>
      </c>
      <c r="H1603" s="6">
        <v>17.8</v>
      </c>
      <c r="I1603" s="6">
        <v>2.67</v>
      </c>
      <c r="J1603" s="6">
        <v>15.13</v>
      </c>
      <c r="K1603" s="5">
        <v>102</v>
      </c>
    </row>
    <row r="1604" spans="1:11" x14ac:dyDescent="0.3">
      <c r="A1604" s="3">
        <v>8357</v>
      </c>
      <c r="B1604" s="3" t="s">
        <v>30</v>
      </c>
      <c r="C1604" s="4">
        <v>45609</v>
      </c>
      <c r="D1604" s="3" t="s">
        <v>45</v>
      </c>
      <c r="E1604" s="3" t="s">
        <v>13</v>
      </c>
      <c r="F1604" s="5">
        <v>1</v>
      </c>
      <c r="G1604" s="6">
        <v>15.2</v>
      </c>
      <c r="H1604" s="6">
        <v>15.2</v>
      </c>
      <c r="I1604" s="6">
        <v>2.2799999999999998</v>
      </c>
      <c r="J1604" s="6">
        <v>12.92</v>
      </c>
      <c r="K1604" s="5">
        <v>296</v>
      </c>
    </row>
    <row r="1605" spans="1:11" x14ac:dyDescent="0.3">
      <c r="A1605" s="3">
        <v>8851</v>
      </c>
      <c r="B1605" s="3" t="s">
        <v>14</v>
      </c>
      <c r="C1605" s="4">
        <v>45597</v>
      </c>
      <c r="D1605" s="3" t="s">
        <v>45</v>
      </c>
      <c r="E1605" s="3" t="s">
        <v>29</v>
      </c>
      <c r="F1605" s="5">
        <v>1</v>
      </c>
      <c r="G1605" s="6">
        <v>28.53</v>
      </c>
      <c r="H1605" s="6">
        <v>28.53</v>
      </c>
      <c r="I1605" s="6">
        <v>5.71</v>
      </c>
      <c r="J1605" s="6">
        <v>22.82</v>
      </c>
      <c r="K1605" s="5">
        <v>299</v>
      </c>
    </row>
    <row r="1606" spans="1:11" x14ac:dyDescent="0.3">
      <c r="A1606" s="3">
        <v>7566</v>
      </c>
      <c r="B1606" s="3" t="s">
        <v>14</v>
      </c>
      <c r="C1606" s="4">
        <v>45560</v>
      </c>
      <c r="D1606" s="3" t="s">
        <v>28</v>
      </c>
      <c r="E1606" s="3" t="s">
        <v>44</v>
      </c>
      <c r="F1606" s="5">
        <v>4</v>
      </c>
      <c r="G1606" s="6">
        <v>11.05</v>
      </c>
      <c r="H1606" s="6">
        <v>44.2</v>
      </c>
      <c r="I1606" s="6">
        <v>8.84</v>
      </c>
      <c r="J1606" s="6">
        <v>35.36</v>
      </c>
      <c r="K1606" s="5">
        <v>415</v>
      </c>
    </row>
    <row r="1607" spans="1:11" x14ac:dyDescent="0.3">
      <c r="A1607" s="3">
        <v>9300</v>
      </c>
      <c r="B1607" s="3" t="s">
        <v>36</v>
      </c>
      <c r="C1607" s="4">
        <v>45862</v>
      </c>
      <c r="D1607" s="3" t="s">
        <v>38</v>
      </c>
      <c r="E1607" s="3" t="s">
        <v>18</v>
      </c>
      <c r="F1607" s="5">
        <v>3</v>
      </c>
      <c r="G1607" s="6">
        <v>3.62</v>
      </c>
      <c r="H1607" s="6">
        <v>10.86</v>
      </c>
      <c r="I1607" s="6">
        <v>1.63</v>
      </c>
      <c r="J1607" s="6">
        <v>9.23</v>
      </c>
      <c r="K1607" s="5">
        <v>395</v>
      </c>
    </row>
    <row r="1608" spans="1:11" x14ac:dyDescent="0.3">
      <c r="A1608" s="3">
        <v>7853</v>
      </c>
      <c r="B1608" s="3" t="s">
        <v>42</v>
      </c>
      <c r="C1608" s="4">
        <v>45567</v>
      </c>
      <c r="D1608" s="3" t="s">
        <v>45</v>
      </c>
      <c r="E1608" s="3" t="s">
        <v>13</v>
      </c>
      <c r="F1608" s="5">
        <v>1</v>
      </c>
      <c r="G1608" s="6">
        <v>27.73</v>
      </c>
      <c r="H1608" s="6">
        <v>27.73</v>
      </c>
      <c r="I1608" s="6">
        <v>2.77</v>
      </c>
      <c r="J1608" s="6">
        <v>24.96</v>
      </c>
      <c r="K1608" s="5">
        <v>264</v>
      </c>
    </row>
    <row r="1609" spans="1:11" x14ac:dyDescent="0.3">
      <c r="A1609" s="3">
        <v>1602</v>
      </c>
      <c r="B1609" s="3" t="s">
        <v>19</v>
      </c>
      <c r="C1609" s="4">
        <v>45759</v>
      </c>
      <c r="D1609" s="3" t="s">
        <v>45</v>
      </c>
      <c r="E1609" s="3" t="s">
        <v>21</v>
      </c>
      <c r="F1609" s="5">
        <v>3</v>
      </c>
      <c r="G1609" s="6">
        <v>17.34</v>
      </c>
      <c r="H1609" s="6">
        <v>52.02</v>
      </c>
      <c r="I1609" s="6">
        <v>7.8</v>
      </c>
      <c r="J1609" s="6">
        <v>44.22</v>
      </c>
      <c r="K1609" s="5">
        <v>337</v>
      </c>
    </row>
    <row r="1610" spans="1:11" x14ac:dyDescent="0.3">
      <c r="A1610" s="3">
        <v>6890</v>
      </c>
      <c r="B1610" s="3" t="s">
        <v>11</v>
      </c>
      <c r="C1610" s="4">
        <v>45689</v>
      </c>
      <c r="D1610" s="3" t="s">
        <v>27</v>
      </c>
      <c r="E1610" s="3" t="s">
        <v>23</v>
      </c>
      <c r="F1610" s="5">
        <v>1</v>
      </c>
      <c r="G1610" s="6">
        <v>5.59</v>
      </c>
      <c r="H1610" s="6">
        <v>5.59</v>
      </c>
      <c r="I1610" s="6">
        <v>0.84</v>
      </c>
      <c r="J1610" s="6">
        <v>4.75</v>
      </c>
      <c r="K1610" s="5">
        <v>243</v>
      </c>
    </row>
    <row r="1611" spans="1:11" x14ac:dyDescent="0.3">
      <c r="A1611" s="3">
        <v>9796</v>
      </c>
      <c r="B1611" s="3" t="s">
        <v>11</v>
      </c>
      <c r="C1611" s="4">
        <v>45606</v>
      </c>
      <c r="D1611" s="3" t="s">
        <v>34</v>
      </c>
      <c r="E1611" s="3" t="s">
        <v>23</v>
      </c>
      <c r="F1611" s="5">
        <v>3</v>
      </c>
      <c r="G1611" s="6">
        <v>5.71</v>
      </c>
      <c r="H1611" s="6">
        <v>17.13</v>
      </c>
      <c r="I1611" s="6">
        <v>2.76</v>
      </c>
      <c r="J1611" s="6">
        <v>14.37</v>
      </c>
      <c r="K1611" s="5">
        <v>279</v>
      </c>
    </row>
    <row r="1612" spans="1:11" x14ac:dyDescent="0.3">
      <c r="A1612" s="3">
        <v>2392</v>
      </c>
      <c r="B1612" s="3" t="s">
        <v>26</v>
      </c>
      <c r="C1612" s="4">
        <v>45229</v>
      </c>
      <c r="D1612" s="3" t="s">
        <v>28</v>
      </c>
      <c r="E1612" s="3" t="s">
        <v>16</v>
      </c>
      <c r="F1612" s="5">
        <v>4</v>
      </c>
      <c r="G1612" s="6">
        <v>14.72</v>
      </c>
      <c r="H1612" s="6">
        <v>58.88</v>
      </c>
      <c r="I1612" s="6">
        <v>0</v>
      </c>
      <c r="J1612" s="6">
        <v>58.88</v>
      </c>
      <c r="K1612" s="5">
        <v>124</v>
      </c>
    </row>
    <row r="1613" spans="1:11" x14ac:dyDescent="0.3">
      <c r="A1613" s="3">
        <v>5067</v>
      </c>
      <c r="B1613" s="3" t="s">
        <v>36</v>
      </c>
      <c r="C1613" s="4">
        <v>45655</v>
      </c>
      <c r="D1613" s="3" t="s">
        <v>28</v>
      </c>
      <c r="E1613" s="3" t="s">
        <v>21</v>
      </c>
      <c r="F1613" s="5">
        <v>4</v>
      </c>
      <c r="G1613" s="6">
        <v>20.67</v>
      </c>
      <c r="H1613" s="6">
        <v>82.68</v>
      </c>
      <c r="I1613" s="6">
        <v>16.54</v>
      </c>
      <c r="J1613" s="6">
        <v>66.14</v>
      </c>
      <c r="K1613" s="5">
        <v>153</v>
      </c>
    </row>
    <row r="1614" spans="1:11" x14ac:dyDescent="0.3">
      <c r="A1614" s="3">
        <v>6816</v>
      </c>
      <c r="B1614" s="3" t="s">
        <v>14</v>
      </c>
      <c r="C1614" s="4">
        <v>45274</v>
      </c>
      <c r="D1614" s="3" t="s">
        <v>15</v>
      </c>
      <c r="E1614" s="3" t="s">
        <v>16</v>
      </c>
      <c r="F1614" s="5">
        <v>4</v>
      </c>
      <c r="G1614" s="6">
        <v>23.44</v>
      </c>
      <c r="H1614" s="6">
        <v>93.76</v>
      </c>
      <c r="I1614" s="6">
        <v>1.1100000000000001</v>
      </c>
      <c r="J1614" s="6">
        <v>92.65</v>
      </c>
      <c r="K1614" s="5">
        <v>488</v>
      </c>
    </row>
    <row r="1615" spans="1:11" x14ac:dyDescent="0.3">
      <c r="A1615" s="3">
        <v>1725</v>
      </c>
      <c r="B1615" s="3"/>
      <c r="C1615" s="4">
        <v>45582</v>
      </c>
      <c r="D1615" s="3" t="s">
        <v>34</v>
      </c>
      <c r="E1615" s="3" t="s">
        <v>37</v>
      </c>
      <c r="F1615" s="5">
        <v>5</v>
      </c>
      <c r="G1615" s="6">
        <v>28.98</v>
      </c>
      <c r="H1615" s="6">
        <v>144.9</v>
      </c>
      <c r="I1615" s="6">
        <v>4.01</v>
      </c>
      <c r="J1615" s="6">
        <v>140.88999999999999</v>
      </c>
      <c r="K1615" s="5">
        <v>482</v>
      </c>
    </row>
    <row r="1616" spans="1:11" x14ac:dyDescent="0.3">
      <c r="A1616" s="3">
        <v>7547</v>
      </c>
      <c r="B1616" s="3" t="s">
        <v>19</v>
      </c>
      <c r="C1616" s="4">
        <v>45729</v>
      </c>
      <c r="D1616" s="3" t="s">
        <v>27</v>
      </c>
      <c r="E1616" s="3" t="s">
        <v>21</v>
      </c>
      <c r="F1616" s="5">
        <v>1</v>
      </c>
      <c r="G1616" s="6">
        <v>29.13</v>
      </c>
      <c r="H1616" s="6">
        <v>29.13</v>
      </c>
      <c r="I1616" s="6">
        <v>4.37</v>
      </c>
      <c r="J1616" s="6">
        <v>24.76</v>
      </c>
      <c r="K1616" s="5">
        <v>158</v>
      </c>
    </row>
    <row r="1617" spans="1:11" x14ac:dyDescent="0.3">
      <c r="A1617" s="3">
        <v>6432</v>
      </c>
      <c r="B1617" s="3" t="s">
        <v>26</v>
      </c>
      <c r="C1617" s="4">
        <v>45763</v>
      </c>
      <c r="D1617" s="3" t="s">
        <v>20</v>
      </c>
      <c r="E1617" s="3" t="s">
        <v>29</v>
      </c>
      <c r="F1617" s="5">
        <v>4</v>
      </c>
      <c r="G1617" s="6">
        <v>1.01</v>
      </c>
      <c r="H1617" s="6">
        <v>4.04</v>
      </c>
      <c r="I1617" s="6">
        <v>0.81</v>
      </c>
      <c r="J1617" s="6">
        <v>3.23</v>
      </c>
      <c r="K1617" s="5">
        <v>75</v>
      </c>
    </row>
    <row r="1618" spans="1:11" x14ac:dyDescent="0.3">
      <c r="A1618" s="3">
        <v>8052</v>
      </c>
      <c r="B1618" s="3" t="s">
        <v>30</v>
      </c>
      <c r="C1618" s="4">
        <v>45227</v>
      </c>
      <c r="D1618" s="3" t="s">
        <v>35</v>
      </c>
      <c r="E1618" s="3" t="s">
        <v>43</v>
      </c>
      <c r="F1618" s="5">
        <v>2</v>
      </c>
      <c r="G1618" s="6">
        <v>7.84</v>
      </c>
      <c r="H1618" s="6">
        <v>15.68</v>
      </c>
      <c r="I1618" s="6">
        <v>3.9</v>
      </c>
      <c r="J1618" s="6">
        <v>11.78</v>
      </c>
      <c r="K1618" s="5">
        <v>104</v>
      </c>
    </row>
    <row r="1619" spans="1:11" x14ac:dyDescent="0.3">
      <c r="A1619" s="3">
        <v>1172</v>
      </c>
      <c r="B1619" s="3" t="s">
        <v>19</v>
      </c>
      <c r="C1619" s="4">
        <v>45221</v>
      </c>
      <c r="D1619" s="3" t="s">
        <v>27</v>
      </c>
      <c r="E1619" s="3" t="s">
        <v>18</v>
      </c>
      <c r="F1619" s="5">
        <v>3</v>
      </c>
      <c r="G1619" s="6">
        <v>1.1299999999999999</v>
      </c>
      <c r="H1619" s="6">
        <v>3.39</v>
      </c>
      <c r="I1619" s="6">
        <v>2.88</v>
      </c>
      <c r="J1619" s="6">
        <v>0.51</v>
      </c>
      <c r="K1619" s="5">
        <v>81</v>
      </c>
    </row>
    <row r="1620" spans="1:11" x14ac:dyDescent="0.3">
      <c r="A1620" s="3">
        <v>5239</v>
      </c>
      <c r="B1620" s="3" t="s">
        <v>24</v>
      </c>
      <c r="C1620" s="4">
        <v>45317</v>
      </c>
      <c r="D1620" s="3" t="s">
        <v>17</v>
      </c>
      <c r="E1620" s="3" t="s">
        <v>47</v>
      </c>
      <c r="F1620" s="5">
        <v>4</v>
      </c>
      <c r="G1620" s="6">
        <v>25.1</v>
      </c>
      <c r="H1620" s="6">
        <v>100.4</v>
      </c>
      <c r="I1620" s="6">
        <v>2.5499999999999998</v>
      </c>
      <c r="J1620" s="6">
        <v>97.85</v>
      </c>
      <c r="K1620" s="5">
        <v>361</v>
      </c>
    </row>
    <row r="1621" spans="1:11" x14ac:dyDescent="0.3">
      <c r="A1621" s="3">
        <v>9366</v>
      </c>
      <c r="B1621" s="3" t="s">
        <v>36</v>
      </c>
      <c r="C1621" s="4">
        <v>45725</v>
      </c>
      <c r="D1621" s="3" t="s">
        <v>34</v>
      </c>
      <c r="E1621" s="3" t="s">
        <v>32</v>
      </c>
      <c r="F1621" s="5">
        <v>3</v>
      </c>
      <c r="G1621" s="6">
        <v>27.03</v>
      </c>
      <c r="H1621" s="6">
        <v>81.09</v>
      </c>
      <c r="I1621" s="6">
        <v>2.58</v>
      </c>
      <c r="J1621" s="6">
        <v>78.510000000000005</v>
      </c>
      <c r="K1621" s="5">
        <v>419</v>
      </c>
    </row>
    <row r="1622" spans="1:11" x14ac:dyDescent="0.3">
      <c r="A1622" s="3">
        <v>9499</v>
      </c>
      <c r="B1622" s="3" t="s">
        <v>11</v>
      </c>
      <c r="C1622" s="4">
        <v>45578</v>
      </c>
      <c r="D1622" s="3" t="s">
        <v>22</v>
      </c>
      <c r="E1622" s="3" t="s">
        <v>47</v>
      </c>
      <c r="F1622" s="5">
        <v>5</v>
      </c>
      <c r="G1622" s="6">
        <v>1.77</v>
      </c>
      <c r="H1622" s="6">
        <v>8.85</v>
      </c>
      <c r="I1622" s="6">
        <v>1.77</v>
      </c>
      <c r="J1622" s="6">
        <v>7.08</v>
      </c>
      <c r="K1622" s="5">
        <v>453</v>
      </c>
    </row>
    <row r="1623" spans="1:11" x14ac:dyDescent="0.3">
      <c r="A1623" s="3">
        <v>4621</v>
      </c>
      <c r="B1623" s="3" t="s">
        <v>36</v>
      </c>
      <c r="C1623" s="4">
        <v>45491</v>
      </c>
      <c r="D1623" s="3" t="s">
        <v>22</v>
      </c>
      <c r="E1623" s="3" t="s">
        <v>21</v>
      </c>
      <c r="F1623" s="5">
        <v>5</v>
      </c>
      <c r="G1623" s="6">
        <v>24.86</v>
      </c>
      <c r="H1623" s="6">
        <v>124.3</v>
      </c>
      <c r="I1623" s="6">
        <v>3.58</v>
      </c>
      <c r="J1623" s="6">
        <v>120.72</v>
      </c>
      <c r="K1623" s="5">
        <v>312</v>
      </c>
    </row>
    <row r="1624" spans="1:11" x14ac:dyDescent="0.3">
      <c r="A1624" s="3">
        <v>7129</v>
      </c>
      <c r="B1624" s="3" t="s">
        <v>19</v>
      </c>
      <c r="C1624" s="4">
        <v>45448</v>
      </c>
      <c r="D1624" s="3" t="s">
        <v>45</v>
      </c>
      <c r="E1624" s="3" t="s">
        <v>44</v>
      </c>
      <c r="F1624" s="5">
        <v>1</v>
      </c>
      <c r="G1624" s="6">
        <v>7.12</v>
      </c>
      <c r="H1624" s="6">
        <v>7.12</v>
      </c>
      <c r="I1624" s="6">
        <v>1.07</v>
      </c>
      <c r="J1624" s="6">
        <v>6.05</v>
      </c>
      <c r="K1624" s="5">
        <v>222</v>
      </c>
    </row>
    <row r="1625" spans="1:11" x14ac:dyDescent="0.3">
      <c r="A1625" s="3">
        <v>8586</v>
      </c>
      <c r="B1625" s="3" t="s">
        <v>24</v>
      </c>
      <c r="C1625" s="4">
        <v>45744</v>
      </c>
      <c r="D1625" s="3" t="s">
        <v>27</v>
      </c>
      <c r="E1625" s="3" t="s">
        <v>29</v>
      </c>
      <c r="F1625" s="5">
        <v>4</v>
      </c>
      <c r="G1625" s="6">
        <v>5.36</v>
      </c>
      <c r="H1625" s="6">
        <v>21.44</v>
      </c>
      <c r="I1625" s="6">
        <v>0</v>
      </c>
      <c r="J1625" s="6">
        <v>21.44</v>
      </c>
      <c r="K1625" s="5">
        <v>159</v>
      </c>
    </row>
    <row r="1626" spans="1:11" x14ac:dyDescent="0.3">
      <c r="A1626" s="3">
        <v>9199</v>
      </c>
      <c r="B1626" s="3" t="s">
        <v>26</v>
      </c>
      <c r="C1626" s="4">
        <v>45262</v>
      </c>
      <c r="D1626" s="3" t="s">
        <v>12</v>
      </c>
      <c r="E1626" s="3" t="s">
        <v>13</v>
      </c>
      <c r="F1626" s="5">
        <v>4</v>
      </c>
      <c r="G1626" s="6">
        <v>6.2</v>
      </c>
      <c r="H1626" s="6">
        <v>24.8</v>
      </c>
      <c r="I1626" s="6">
        <v>2.48</v>
      </c>
      <c r="J1626" s="6">
        <v>22.32</v>
      </c>
      <c r="K1626" s="5">
        <v>203</v>
      </c>
    </row>
    <row r="1627" spans="1:11" x14ac:dyDescent="0.3">
      <c r="A1627" s="3">
        <v>6651</v>
      </c>
      <c r="B1627" s="3" t="s">
        <v>11</v>
      </c>
      <c r="C1627" s="4">
        <v>45164</v>
      </c>
      <c r="D1627" s="3" t="s">
        <v>22</v>
      </c>
      <c r="E1627" s="3" t="s">
        <v>48</v>
      </c>
      <c r="F1627" s="5">
        <v>4</v>
      </c>
      <c r="G1627" s="6">
        <v>24.29</v>
      </c>
      <c r="H1627" s="6">
        <v>97.16</v>
      </c>
      <c r="I1627" s="6">
        <v>14.57</v>
      </c>
      <c r="J1627" s="6">
        <v>82.59</v>
      </c>
      <c r="K1627" s="5">
        <v>6</v>
      </c>
    </row>
    <row r="1628" spans="1:11" x14ac:dyDescent="0.3">
      <c r="A1628" s="3">
        <v>8909</v>
      </c>
      <c r="B1628" s="3" t="s">
        <v>19</v>
      </c>
      <c r="C1628" s="4">
        <v>45226</v>
      </c>
      <c r="D1628" s="3" t="s">
        <v>28</v>
      </c>
      <c r="E1628" s="3" t="s">
        <v>46</v>
      </c>
      <c r="F1628" s="5">
        <v>4</v>
      </c>
      <c r="G1628" s="6">
        <v>20.89</v>
      </c>
      <c r="H1628" s="6">
        <v>83.56</v>
      </c>
      <c r="I1628" s="6">
        <v>0</v>
      </c>
      <c r="J1628" s="6">
        <v>83.56</v>
      </c>
      <c r="K1628" s="5">
        <v>5</v>
      </c>
    </row>
    <row r="1629" spans="1:11" x14ac:dyDescent="0.3">
      <c r="A1629" s="3">
        <v>5840</v>
      </c>
      <c r="B1629" s="3" t="s">
        <v>24</v>
      </c>
      <c r="C1629" s="4">
        <v>45468</v>
      </c>
      <c r="D1629" s="3" t="s">
        <v>20</v>
      </c>
      <c r="E1629" s="3" t="s">
        <v>40</v>
      </c>
      <c r="F1629" s="5">
        <v>3</v>
      </c>
      <c r="G1629" s="6">
        <v>13.31</v>
      </c>
      <c r="H1629" s="6">
        <v>39.93</v>
      </c>
      <c r="I1629" s="6">
        <v>4.2300000000000004</v>
      </c>
      <c r="J1629" s="6">
        <v>35.700000000000003</v>
      </c>
      <c r="K1629" s="5">
        <v>379</v>
      </c>
    </row>
    <row r="1630" spans="1:11" x14ac:dyDescent="0.3">
      <c r="A1630" s="3">
        <v>2406</v>
      </c>
      <c r="B1630" s="3" t="s">
        <v>26</v>
      </c>
      <c r="C1630" s="4">
        <v>45235</v>
      </c>
      <c r="D1630" s="3" t="s">
        <v>38</v>
      </c>
      <c r="E1630" s="3" t="s">
        <v>23</v>
      </c>
      <c r="F1630" s="5">
        <v>4</v>
      </c>
      <c r="G1630" s="6">
        <v>21.64</v>
      </c>
      <c r="H1630" s="6">
        <v>86.56</v>
      </c>
      <c r="I1630" s="6">
        <v>4.1399999999999997</v>
      </c>
      <c r="J1630" s="6">
        <v>82.42</v>
      </c>
      <c r="K1630" s="5">
        <v>432</v>
      </c>
    </row>
    <row r="1631" spans="1:11" x14ac:dyDescent="0.3">
      <c r="A1631" s="3">
        <v>3321</v>
      </c>
      <c r="B1631" s="3" t="s">
        <v>24</v>
      </c>
      <c r="C1631" s="4">
        <v>45415</v>
      </c>
      <c r="D1631" s="3" t="s">
        <v>38</v>
      </c>
      <c r="E1631" s="3" t="s">
        <v>32</v>
      </c>
      <c r="F1631" s="5">
        <v>1</v>
      </c>
      <c r="G1631" s="6">
        <v>5.35</v>
      </c>
      <c r="H1631" s="6">
        <v>5.35</v>
      </c>
      <c r="I1631" s="6">
        <v>1.07</v>
      </c>
      <c r="J1631" s="6">
        <v>4.28</v>
      </c>
      <c r="K1631" s="5">
        <v>172</v>
      </c>
    </row>
    <row r="1632" spans="1:11" x14ac:dyDescent="0.3">
      <c r="A1632" s="3">
        <v>6110</v>
      </c>
      <c r="B1632" s="3" t="s">
        <v>14</v>
      </c>
      <c r="C1632" s="4">
        <v>45411</v>
      </c>
      <c r="D1632" s="3" t="s">
        <v>28</v>
      </c>
      <c r="E1632" s="3" t="s">
        <v>33</v>
      </c>
      <c r="F1632" s="5">
        <v>4</v>
      </c>
      <c r="G1632" s="6">
        <v>2.4</v>
      </c>
      <c r="H1632" s="6">
        <v>9.6</v>
      </c>
      <c r="I1632" s="6">
        <v>4.47</v>
      </c>
      <c r="J1632" s="6">
        <v>5.13</v>
      </c>
      <c r="K1632" s="5">
        <v>144</v>
      </c>
    </row>
    <row r="1633" spans="1:11" x14ac:dyDescent="0.3">
      <c r="A1633" s="3">
        <v>8460</v>
      </c>
      <c r="B1633" s="3" t="s">
        <v>26</v>
      </c>
      <c r="C1633" s="4">
        <v>45754</v>
      </c>
      <c r="D1633" s="3" t="s">
        <v>22</v>
      </c>
      <c r="E1633" s="3" t="s">
        <v>40</v>
      </c>
      <c r="F1633" s="5">
        <v>5</v>
      </c>
      <c r="G1633" s="6">
        <v>20.9</v>
      </c>
      <c r="H1633" s="6">
        <v>104.5</v>
      </c>
      <c r="I1633" s="6">
        <v>15.67</v>
      </c>
      <c r="J1633" s="6">
        <v>88.83</v>
      </c>
      <c r="K1633" s="5">
        <v>129</v>
      </c>
    </row>
    <row r="1634" spans="1:11" x14ac:dyDescent="0.3">
      <c r="A1634" s="3">
        <v>4389</v>
      </c>
      <c r="B1634" s="3" t="s">
        <v>30</v>
      </c>
      <c r="C1634" s="4">
        <v>45549</v>
      </c>
      <c r="D1634" s="3" t="s">
        <v>12</v>
      </c>
      <c r="E1634" s="3" t="s">
        <v>18</v>
      </c>
      <c r="F1634" s="5">
        <v>3</v>
      </c>
      <c r="G1634" s="6">
        <v>6.17</v>
      </c>
      <c r="H1634" s="6">
        <v>18.510000000000002</v>
      </c>
      <c r="I1634" s="6">
        <v>2.79</v>
      </c>
      <c r="J1634" s="6">
        <v>15.72</v>
      </c>
      <c r="K1634" s="5">
        <v>182</v>
      </c>
    </row>
    <row r="1635" spans="1:11" x14ac:dyDescent="0.3">
      <c r="A1635" s="3">
        <v>8912</v>
      </c>
      <c r="B1635" s="3" t="s">
        <v>30</v>
      </c>
      <c r="C1635" s="4">
        <v>45415</v>
      </c>
      <c r="D1635" s="3" t="s">
        <v>27</v>
      </c>
      <c r="E1635" s="3" t="s">
        <v>40</v>
      </c>
      <c r="F1635" s="5">
        <v>5</v>
      </c>
      <c r="G1635" s="6">
        <v>4.2300000000000004</v>
      </c>
      <c r="H1635" s="6">
        <v>21.15</v>
      </c>
      <c r="I1635" s="6">
        <v>3.95</v>
      </c>
      <c r="J1635" s="6">
        <v>17.2</v>
      </c>
      <c r="K1635" s="5">
        <v>374</v>
      </c>
    </row>
    <row r="1636" spans="1:11" x14ac:dyDescent="0.3">
      <c r="A1636" s="3">
        <v>8801</v>
      </c>
      <c r="B1636" s="3" t="s">
        <v>42</v>
      </c>
      <c r="C1636" s="4">
        <v>45220</v>
      </c>
      <c r="D1636" s="3" t="s">
        <v>34</v>
      </c>
      <c r="E1636" s="3" t="s">
        <v>43</v>
      </c>
      <c r="F1636" s="5">
        <v>5</v>
      </c>
      <c r="G1636" s="6">
        <v>3.73</v>
      </c>
      <c r="H1636" s="6">
        <v>18.649999999999999</v>
      </c>
      <c r="I1636" s="6">
        <v>0</v>
      </c>
      <c r="J1636" s="6">
        <v>18.649999999999999</v>
      </c>
      <c r="K1636" s="5">
        <v>372</v>
      </c>
    </row>
    <row r="1637" spans="1:11" x14ac:dyDescent="0.3">
      <c r="A1637" s="3">
        <v>8178</v>
      </c>
      <c r="B1637" s="3" t="s">
        <v>26</v>
      </c>
      <c r="C1637" s="4">
        <v>45705</v>
      </c>
      <c r="D1637" s="3" t="s">
        <v>20</v>
      </c>
      <c r="E1637" s="3" t="s">
        <v>13</v>
      </c>
      <c r="F1637" s="5">
        <v>3</v>
      </c>
      <c r="G1637" s="6">
        <v>29.17</v>
      </c>
      <c r="H1637" s="6">
        <v>87.51</v>
      </c>
      <c r="I1637" s="6">
        <v>0</v>
      </c>
      <c r="J1637" s="6">
        <v>87.51</v>
      </c>
      <c r="K1637" s="5">
        <v>352</v>
      </c>
    </row>
    <row r="1638" spans="1:11" x14ac:dyDescent="0.3">
      <c r="A1638" s="3">
        <v>8412</v>
      </c>
      <c r="B1638" s="3"/>
      <c r="C1638" s="4">
        <v>45392</v>
      </c>
      <c r="D1638" s="3" t="s">
        <v>28</v>
      </c>
      <c r="E1638" s="3" t="s">
        <v>33</v>
      </c>
      <c r="F1638" s="5">
        <v>1</v>
      </c>
      <c r="G1638" s="6">
        <v>3.21</v>
      </c>
      <c r="H1638" s="6">
        <v>3.21</v>
      </c>
      <c r="I1638" s="6">
        <v>0.64</v>
      </c>
      <c r="J1638" s="6">
        <v>2.57</v>
      </c>
      <c r="K1638" s="5">
        <v>190</v>
      </c>
    </row>
    <row r="1639" spans="1:11" x14ac:dyDescent="0.3">
      <c r="A1639" s="3">
        <v>2100</v>
      </c>
      <c r="B1639" s="3" t="s">
        <v>11</v>
      </c>
      <c r="C1639" s="4">
        <v>45378</v>
      </c>
      <c r="D1639" s="3" t="s">
        <v>20</v>
      </c>
      <c r="E1639" s="3" t="s">
        <v>46</v>
      </c>
      <c r="F1639" s="5">
        <v>1</v>
      </c>
      <c r="G1639" s="6">
        <v>10.79</v>
      </c>
      <c r="H1639" s="6">
        <v>10.79</v>
      </c>
      <c r="I1639" s="6">
        <v>1.08</v>
      </c>
      <c r="J1639" s="6">
        <v>9.7100000000000009</v>
      </c>
      <c r="K1639" s="5">
        <v>326</v>
      </c>
    </row>
    <row r="1640" spans="1:11" x14ac:dyDescent="0.3">
      <c r="A1640" s="3">
        <v>1732</v>
      </c>
      <c r="B1640" s="3" t="s">
        <v>24</v>
      </c>
      <c r="C1640" s="4">
        <v>45774</v>
      </c>
      <c r="D1640" s="3" t="s">
        <v>12</v>
      </c>
      <c r="E1640" s="3" t="s">
        <v>29</v>
      </c>
      <c r="F1640" s="5">
        <v>3</v>
      </c>
      <c r="G1640" s="6">
        <v>21.92</v>
      </c>
      <c r="H1640" s="6">
        <v>65.760000000000005</v>
      </c>
      <c r="I1640" s="6">
        <v>6.58</v>
      </c>
      <c r="J1640" s="6">
        <v>59.18</v>
      </c>
      <c r="K1640" s="5">
        <v>380</v>
      </c>
    </row>
    <row r="1641" spans="1:11" x14ac:dyDescent="0.3">
      <c r="A1641" s="3">
        <v>2885</v>
      </c>
      <c r="B1641" s="3" t="s">
        <v>11</v>
      </c>
      <c r="C1641" s="4">
        <v>45162</v>
      </c>
      <c r="D1641" s="3" t="s">
        <v>17</v>
      </c>
      <c r="E1641" s="3" t="s">
        <v>13</v>
      </c>
      <c r="F1641" s="5">
        <v>3</v>
      </c>
      <c r="G1641" s="6">
        <v>18.84</v>
      </c>
      <c r="H1641" s="6">
        <v>56.52</v>
      </c>
      <c r="I1641" s="6">
        <v>0</v>
      </c>
      <c r="J1641" s="6">
        <v>56.52</v>
      </c>
      <c r="K1641" s="5">
        <v>276</v>
      </c>
    </row>
    <row r="1642" spans="1:11" x14ac:dyDescent="0.3">
      <c r="A1642" s="3">
        <v>6620</v>
      </c>
      <c r="B1642" s="3" t="s">
        <v>31</v>
      </c>
      <c r="C1642" s="4">
        <v>45648</v>
      </c>
      <c r="D1642" s="3" t="s">
        <v>22</v>
      </c>
      <c r="E1642" s="3" t="s">
        <v>47</v>
      </c>
      <c r="F1642" s="5">
        <v>2</v>
      </c>
      <c r="G1642" s="6">
        <v>23.05</v>
      </c>
      <c r="H1642" s="6">
        <v>46.1</v>
      </c>
      <c r="I1642" s="6">
        <v>0</v>
      </c>
      <c r="J1642" s="6">
        <v>46.1</v>
      </c>
      <c r="K1642" s="5">
        <v>223</v>
      </c>
    </row>
    <row r="1643" spans="1:11" x14ac:dyDescent="0.3">
      <c r="A1643" s="3">
        <v>2791</v>
      </c>
      <c r="B1643" s="3" t="s">
        <v>19</v>
      </c>
      <c r="C1643" s="4">
        <v>45670</v>
      </c>
      <c r="D1643" s="3" t="s">
        <v>35</v>
      </c>
      <c r="E1643" s="3" t="s">
        <v>46</v>
      </c>
      <c r="F1643" s="5">
        <v>1</v>
      </c>
      <c r="G1643" s="6">
        <v>18.52</v>
      </c>
      <c r="H1643" s="6">
        <v>18.52</v>
      </c>
      <c r="I1643" s="6">
        <v>0</v>
      </c>
      <c r="J1643" s="6">
        <v>18.52</v>
      </c>
      <c r="K1643" s="5">
        <v>465</v>
      </c>
    </row>
    <row r="1644" spans="1:11" x14ac:dyDescent="0.3">
      <c r="A1644" s="3">
        <v>3692</v>
      </c>
      <c r="B1644" s="3" t="s">
        <v>30</v>
      </c>
      <c r="C1644" s="4">
        <v>45867</v>
      </c>
      <c r="D1644" s="3" t="s">
        <v>35</v>
      </c>
      <c r="E1644" s="3" t="s">
        <v>39</v>
      </c>
      <c r="F1644" s="5">
        <v>4</v>
      </c>
      <c r="G1644" s="6">
        <v>7</v>
      </c>
      <c r="H1644" s="6">
        <v>28</v>
      </c>
      <c r="I1644" s="6">
        <v>0</v>
      </c>
      <c r="J1644" s="6">
        <v>28</v>
      </c>
      <c r="K1644" s="5">
        <v>400</v>
      </c>
    </row>
    <row r="1645" spans="1:11" x14ac:dyDescent="0.3">
      <c r="A1645" s="3">
        <v>4996</v>
      </c>
      <c r="B1645" s="3" t="s">
        <v>19</v>
      </c>
      <c r="C1645" s="4">
        <v>45545</v>
      </c>
      <c r="D1645" s="3" t="s">
        <v>35</v>
      </c>
      <c r="E1645" s="3" t="s">
        <v>13</v>
      </c>
      <c r="F1645" s="5">
        <v>4</v>
      </c>
      <c r="G1645" s="6">
        <v>18.36</v>
      </c>
      <c r="H1645" s="6">
        <v>73.44</v>
      </c>
      <c r="I1645" s="6">
        <v>1.89</v>
      </c>
      <c r="J1645" s="6">
        <v>71.55</v>
      </c>
      <c r="K1645" s="5">
        <v>499</v>
      </c>
    </row>
    <row r="1646" spans="1:11" x14ac:dyDescent="0.3">
      <c r="A1646" s="3">
        <v>3858</v>
      </c>
      <c r="B1646" s="3"/>
      <c r="C1646" s="4">
        <v>45573</v>
      </c>
      <c r="D1646" s="3" t="s">
        <v>22</v>
      </c>
      <c r="E1646" s="3" t="s">
        <v>25</v>
      </c>
      <c r="F1646" s="5">
        <v>1</v>
      </c>
      <c r="G1646" s="6">
        <v>18.72</v>
      </c>
      <c r="H1646" s="6">
        <v>18.72</v>
      </c>
      <c r="I1646" s="6">
        <v>2.68</v>
      </c>
      <c r="J1646" s="6">
        <v>16.04</v>
      </c>
      <c r="K1646" s="5">
        <v>372</v>
      </c>
    </row>
    <row r="1647" spans="1:11" x14ac:dyDescent="0.3">
      <c r="A1647" s="3">
        <v>3623</v>
      </c>
      <c r="B1647" s="3" t="s">
        <v>36</v>
      </c>
      <c r="C1647" s="4">
        <v>45402</v>
      </c>
      <c r="D1647" s="3" t="s">
        <v>38</v>
      </c>
      <c r="E1647" s="3" t="s">
        <v>32</v>
      </c>
      <c r="F1647" s="5">
        <v>4</v>
      </c>
      <c r="G1647" s="6">
        <v>27.96</v>
      </c>
      <c r="H1647" s="6">
        <v>111.84</v>
      </c>
      <c r="I1647" s="6">
        <v>16.78</v>
      </c>
      <c r="J1647" s="6">
        <v>95.06</v>
      </c>
      <c r="K1647" s="5">
        <v>6</v>
      </c>
    </row>
    <row r="1648" spans="1:11" x14ac:dyDescent="0.3">
      <c r="A1648" s="3">
        <v>7985</v>
      </c>
      <c r="B1648" s="3" t="s">
        <v>36</v>
      </c>
      <c r="C1648" s="4">
        <v>45503</v>
      </c>
      <c r="D1648" s="3" t="s">
        <v>22</v>
      </c>
      <c r="E1648" s="3" t="s">
        <v>33</v>
      </c>
      <c r="F1648" s="5">
        <v>2</v>
      </c>
      <c r="G1648" s="6">
        <v>14.39</v>
      </c>
      <c r="H1648" s="6">
        <v>28.78</v>
      </c>
      <c r="I1648" s="6">
        <v>5.76</v>
      </c>
      <c r="J1648" s="6">
        <v>23.02</v>
      </c>
      <c r="K1648" s="5">
        <v>380</v>
      </c>
    </row>
    <row r="1649" spans="1:11" x14ac:dyDescent="0.3">
      <c r="A1649" s="3">
        <v>4798</v>
      </c>
      <c r="B1649" s="3" t="s">
        <v>14</v>
      </c>
      <c r="C1649" s="4">
        <v>45764</v>
      </c>
      <c r="D1649" s="3" t="s">
        <v>34</v>
      </c>
      <c r="E1649" s="3" t="s">
        <v>32</v>
      </c>
      <c r="F1649" s="5">
        <v>3</v>
      </c>
      <c r="G1649" s="6">
        <v>12.68</v>
      </c>
      <c r="H1649" s="6">
        <v>38.04</v>
      </c>
      <c r="I1649" s="6">
        <v>0</v>
      </c>
      <c r="J1649" s="6">
        <v>38.04</v>
      </c>
      <c r="K1649" s="5">
        <v>338</v>
      </c>
    </row>
    <row r="1650" spans="1:11" x14ac:dyDescent="0.3">
      <c r="A1650" s="3">
        <v>7636</v>
      </c>
      <c r="B1650" s="3" t="s">
        <v>26</v>
      </c>
      <c r="C1650" s="4">
        <v>45634</v>
      </c>
      <c r="D1650" s="3" t="s">
        <v>38</v>
      </c>
      <c r="E1650" s="3" t="s">
        <v>23</v>
      </c>
      <c r="F1650" s="5">
        <v>1</v>
      </c>
      <c r="G1650" s="6">
        <v>7.01</v>
      </c>
      <c r="H1650" s="6">
        <v>7.01</v>
      </c>
      <c r="I1650" s="6">
        <v>1.05</v>
      </c>
      <c r="J1650" s="6">
        <v>5.96</v>
      </c>
      <c r="K1650" s="5">
        <v>271</v>
      </c>
    </row>
    <row r="1651" spans="1:11" x14ac:dyDescent="0.3">
      <c r="A1651" s="3">
        <v>4022</v>
      </c>
      <c r="B1651" s="3" t="s">
        <v>30</v>
      </c>
      <c r="C1651" s="4">
        <v>45289</v>
      </c>
      <c r="D1651" s="3" t="s">
        <v>22</v>
      </c>
      <c r="E1651" s="3" t="s">
        <v>33</v>
      </c>
      <c r="F1651" s="5">
        <v>4</v>
      </c>
      <c r="G1651" s="6">
        <v>1.85</v>
      </c>
      <c r="H1651" s="6">
        <v>7.4</v>
      </c>
      <c r="I1651" s="6">
        <v>2.41</v>
      </c>
      <c r="J1651" s="6">
        <v>4.99</v>
      </c>
      <c r="K1651" s="5">
        <v>319</v>
      </c>
    </row>
    <row r="1652" spans="1:11" x14ac:dyDescent="0.3">
      <c r="A1652" s="3">
        <v>8080</v>
      </c>
      <c r="B1652" s="3" t="s">
        <v>24</v>
      </c>
      <c r="C1652" s="4">
        <v>45452</v>
      </c>
      <c r="D1652" s="3" t="s">
        <v>20</v>
      </c>
      <c r="E1652" s="3" t="s">
        <v>39</v>
      </c>
      <c r="F1652" s="5">
        <v>3</v>
      </c>
      <c r="G1652" s="6">
        <v>17.13</v>
      </c>
      <c r="H1652" s="6">
        <v>51.39</v>
      </c>
      <c r="I1652" s="6">
        <v>5.14</v>
      </c>
      <c r="J1652" s="6">
        <v>46.25</v>
      </c>
      <c r="K1652" s="5">
        <v>251</v>
      </c>
    </row>
    <row r="1653" spans="1:11" x14ac:dyDescent="0.3">
      <c r="A1653" s="3">
        <v>1478</v>
      </c>
      <c r="B1653" s="3" t="s">
        <v>14</v>
      </c>
      <c r="C1653" s="4">
        <v>45717</v>
      </c>
      <c r="D1653" s="3" t="s">
        <v>34</v>
      </c>
      <c r="E1653" s="3" t="s">
        <v>32</v>
      </c>
      <c r="F1653" s="5">
        <v>5</v>
      </c>
      <c r="G1653" s="6">
        <v>28.51</v>
      </c>
      <c r="H1653" s="6">
        <v>142.55000000000001</v>
      </c>
      <c r="I1653" s="6">
        <v>14.26</v>
      </c>
      <c r="J1653" s="6">
        <v>128.29</v>
      </c>
      <c r="K1653" s="5">
        <v>63</v>
      </c>
    </row>
    <row r="1654" spans="1:11" x14ac:dyDescent="0.3">
      <c r="A1654" s="3">
        <v>4232</v>
      </c>
      <c r="B1654" s="3" t="s">
        <v>42</v>
      </c>
      <c r="C1654" s="4">
        <v>45494</v>
      </c>
      <c r="D1654" s="3" t="s">
        <v>17</v>
      </c>
      <c r="E1654" s="3" t="s">
        <v>48</v>
      </c>
      <c r="F1654" s="5">
        <v>5</v>
      </c>
      <c r="G1654" s="6">
        <v>9.3800000000000008</v>
      </c>
      <c r="H1654" s="6">
        <v>46.9</v>
      </c>
      <c r="I1654" s="6">
        <v>0</v>
      </c>
      <c r="J1654" s="6">
        <v>46.9</v>
      </c>
      <c r="K1654" s="5">
        <v>442</v>
      </c>
    </row>
    <row r="1655" spans="1:11" x14ac:dyDescent="0.3">
      <c r="A1655" s="3">
        <v>8037</v>
      </c>
      <c r="B1655" s="3" t="s">
        <v>24</v>
      </c>
      <c r="C1655" s="4">
        <v>45447</v>
      </c>
      <c r="D1655" s="3" t="s">
        <v>38</v>
      </c>
      <c r="E1655" s="3" t="s">
        <v>16</v>
      </c>
      <c r="F1655" s="5">
        <v>3</v>
      </c>
      <c r="G1655" s="6">
        <v>22.78</v>
      </c>
      <c r="H1655" s="6">
        <v>68.34</v>
      </c>
      <c r="I1655" s="6">
        <v>10.25</v>
      </c>
      <c r="J1655" s="6">
        <v>58.09</v>
      </c>
      <c r="K1655" s="5">
        <v>214</v>
      </c>
    </row>
    <row r="1656" spans="1:11" x14ac:dyDescent="0.3">
      <c r="A1656" s="3">
        <v>1072</v>
      </c>
      <c r="B1656" s="3" t="s">
        <v>36</v>
      </c>
      <c r="C1656" s="4">
        <v>45692</v>
      </c>
      <c r="D1656" s="3" t="s">
        <v>27</v>
      </c>
      <c r="E1656" s="3" t="s">
        <v>48</v>
      </c>
      <c r="F1656" s="5">
        <v>3</v>
      </c>
      <c r="G1656" s="6">
        <v>15.56</v>
      </c>
      <c r="H1656" s="6">
        <v>46.68</v>
      </c>
      <c r="I1656" s="6">
        <v>9.34</v>
      </c>
      <c r="J1656" s="6">
        <v>37.340000000000003</v>
      </c>
      <c r="K1656" s="5">
        <v>272</v>
      </c>
    </row>
    <row r="1657" spans="1:11" x14ac:dyDescent="0.3">
      <c r="A1657" s="3">
        <v>4519</v>
      </c>
      <c r="B1657" s="3" t="s">
        <v>24</v>
      </c>
      <c r="C1657" s="4">
        <v>45304</v>
      </c>
      <c r="D1657" s="3" t="s">
        <v>45</v>
      </c>
      <c r="E1657" s="3" t="s">
        <v>33</v>
      </c>
      <c r="F1657" s="5">
        <v>3</v>
      </c>
      <c r="G1657" s="6">
        <v>24.95</v>
      </c>
      <c r="H1657" s="6">
        <v>74.849999999999994</v>
      </c>
      <c r="I1657" s="6">
        <v>14.97</v>
      </c>
      <c r="J1657" s="6">
        <v>59.88</v>
      </c>
      <c r="K1657" s="5">
        <v>230</v>
      </c>
    </row>
    <row r="1658" spans="1:11" x14ac:dyDescent="0.3">
      <c r="A1658" s="3">
        <v>5560</v>
      </c>
      <c r="B1658" s="3" t="s">
        <v>24</v>
      </c>
      <c r="C1658" s="4">
        <v>45729</v>
      </c>
      <c r="D1658" s="3" t="s">
        <v>35</v>
      </c>
      <c r="E1658" s="3" t="s">
        <v>39</v>
      </c>
      <c r="F1658" s="5">
        <v>5</v>
      </c>
      <c r="G1658" s="6">
        <v>25.06</v>
      </c>
      <c r="H1658" s="6">
        <v>125.3</v>
      </c>
      <c r="I1658" s="6">
        <v>0</v>
      </c>
      <c r="J1658" s="6">
        <v>125.3</v>
      </c>
      <c r="K1658" s="5">
        <v>390</v>
      </c>
    </row>
    <row r="1659" spans="1:11" x14ac:dyDescent="0.3">
      <c r="A1659" s="3">
        <v>2025</v>
      </c>
      <c r="B1659" s="3" t="s">
        <v>19</v>
      </c>
      <c r="C1659" s="4">
        <v>45593</v>
      </c>
      <c r="D1659" s="3" t="s">
        <v>27</v>
      </c>
      <c r="E1659" s="3" t="s">
        <v>48</v>
      </c>
      <c r="F1659" s="5">
        <v>4</v>
      </c>
      <c r="G1659" s="6">
        <v>17.809999999999999</v>
      </c>
      <c r="H1659" s="6">
        <v>71.239999999999995</v>
      </c>
      <c r="I1659" s="6">
        <v>7.12</v>
      </c>
      <c r="J1659" s="6">
        <v>64.12</v>
      </c>
      <c r="K1659" s="5">
        <v>214</v>
      </c>
    </row>
    <row r="1660" spans="1:11" x14ac:dyDescent="0.3">
      <c r="A1660" s="3">
        <v>2667</v>
      </c>
      <c r="B1660" s="3" t="s">
        <v>42</v>
      </c>
      <c r="C1660" s="4">
        <v>45765</v>
      </c>
      <c r="D1660" s="3" t="s">
        <v>27</v>
      </c>
      <c r="E1660" s="3" t="s">
        <v>39</v>
      </c>
      <c r="F1660" s="5">
        <v>5</v>
      </c>
      <c r="G1660" s="6">
        <v>7.49</v>
      </c>
      <c r="H1660" s="6">
        <v>37.450000000000003</v>
      </c>
      <c r="I1660" s="6">
        <v>3.28</v>
      </c>
      <c r="J1660" s="6">
        <v>34.17</v>
      </c>
      <c r="K1660" s="5">
        <v>312</v>
      </c>
    </row>
    <row r="1661" spans="1:11" x14ac:dyDescent="0.3">
      <c r="A1661" s="3">
        <v>9796</v>
      </c>
      <c r="B1661" s="3" t="s">
        <v>24</v>
      </c>
      <c r="C1661" s="4">
        <v>45290</v>
      </c>
      <c r="D1661" s="3" t="s">
        <v>12</v>
      </c>
      <c r="E1661" s="3" t="s">
        <v>21</v>
      </c>
      <c r="F1661" s="5">
        <v>5</v>
      </c>
      <c r="G1661" s="6">
        <v>8.24</v>
      </c>
      <c r="H1661" s="6">
        <v>41.2</v>
      </c>
      <c r="I1661" s="6">
        <v>0</v>
      </c>
      <c r="J1661" s="6">
        <v>41.2</v>
      </c>
      <c r="K1661" s="5">
        <v>291</v>
      </c>
    </row>
    <row r="1662" spans="1:11" x14ac:dyDescent="0.3">
      <c r="A1662" s="3">
        <v>6993</v>
      </c>
      <c r="B1662" s="3" t="s">
        <v>11</v>
      </c>
      <c r="C1662" s="4">
        <v>45398</v>
      </c>
      <c r="D1662" s="3" t="s">
        <v>22</v>
      </c>
      <c r="E1662" s="3" t="s">
        <v>39</v>
      </c>
      <c r="F1662" s="5">
        <v>5</v>
      </c>
      <c r="G1662" s="6">
        <v>26.61</v>
      </c>
      <c r="H1662" s="6">
        <v>133.05000000000001</v>
      </c>
      <c r="I1662" s="6">
        <v>3.05</v>
      </c>
      <c r="J1662" s="6">
        <v>130</v>
      </c>
      <c r="K1662" s="5">
        <v>334</v>
      </c>
    </row>
    <row r="1663" spans="1:11" x14ac:dyDescent="0.3">
      <c r="A1663" s="3">
        <v>4228</v>
      </c>
      <c r="B1663" s="3" t="s">
        <v>42</v>
      </c>
      <c r="C1663" s="4">
        <v>45500</v>
      </c>
      <c r="D1663" s="3" t="s">
        <v>34</v>
      </c>
      <c r="E1663" s="3" t="s">
        <v>33</v>
      </c>
      <c r="F1663" s="5">
        <v>3</v>
      </c>
      <c r="G1663" s="6">
        <v>21.96</v>
      </c>
      <c r="H1663" s="6">
        <v>65.88</v>
      </c>
      <c r="I1663" s="6">
        <v>6.59</v>
      </c>
      <c r="J1663" s="6">
        <v>59.29</v>
      </c>
      <c r="K1663" s="5">
        <v>122</v>
      </c>
    </row>
    <row r="1664" spans="1:11" x14ac:dyDescent="0.3">
      <c r="A1664" s="3">
        <v>2867</v>
      </c>
      <c r="B1664" s="3" t="s">
        <v>42</v>
      </c>
      <c r="C1664" s="4">
        <v>45348</v>
      </c>
      <c r="D1664" s="3" t="s">
        <v>22</v>
      </c>
      <c r="E1664" s="3" t="s">
        <v>41</v>
      </c>
      <c r="F1664" s="5">
        <v>3</v>
      </c>
      <c r="G1664" s="6">
        <v>2.87</v>
      </c>
      <c r="H1664" s="6">
        <v>8.61</v>
      </c>
      <c r="I1664" s="6">
        <v>2.84</v>
      </c>
      <c r="J1664" s="6">
        <v>5.77</v>
      </c>
      <c r="K1664" s="5">
        <v>15</v>
      </c>
    </row>
    <row r="1665" spans="1:11" x14ac:dyDescent="0.3">
      <c r="A1665" s="3">
        <v>9019</v>
      </c>
      <c r="B1665" s="3" t="s">
        <v>42</v>
      </c>
      <c r="C1665" s="4">
        <v>45554</v>
      </c>
      <c r="D1665" s="3" t="s">
        <v>27</v>
      </c>
      <c r="E1665" s="3" t="s">
        <v>33</v>
      </c>
      <c r="F1665" s="5">
        <v>2</v>
      </c>
      <c r="G1665" s="6">
        <v>24.1</v>
      </c>
      <c r="H1665" s="6">
        <v>48.2</v>
      </c>
      <c r="I1665" s="6">
        <v>3.57</v>
      </c>
      <c r="J1665" s="6">
        <v>44.63</v>
      </c>
      <c r="K1665" s="5">
        <v>498</v>
      </c>
    </row>
    <row r="1666" spans="1:11" x14ac:dyDescent="0.3">
      <c r="A1666" s="3">
        <v>6134</v>
      </c>
      <c r="B1666" s="3" t="s">
        <v>36</v>
      </c>
      <c r="C1666" s="4">
        <v>45608</v>
      </c>
      <c r="D1666" s="3" t="s">
        <v>34</v>
      </c>
      <c r="E1666" s="3" t="s">
        <v>25</v>
      </c>
      <c r="F1666" s="5">
        <v>4</v>
      </c>
      <c r="G1666" s="6">
        <v>21.93</v>
      </c>
      <c r="H1666" s="6">
        <v>87.72</v>
      </c>
      <c r="I1666" s="6">
        <v>0</v>
      </c>
      <c r="J1666" s="6">
        <v>87.72</v>
      </c>
      <c r="K1666" s="5">
        <v>35</v>
      </c>
    </row>
    <row r="1667" spans="1:11" x14ac:dyDescent="0.3">
      <c r="A1667" s="3">
        <v>7367</v>
      </c>
      <c r="B1667" s="3" t="s">
        <v>31</v>
      </c>
      <c r="C1667" s="4">
        <v>45619</v>
      </c>
      <c r="D1667" s="3" t="s">
        <v>27</v>
      </c>
      <c r="E1667" s="3" t="s">
        <v>16</v>
      </c>
      <c r="F1667" s="5">
        <v>5</v>
      </c>
      <c r="G1667" s="6">
        <v>29.86</v>
      </c>
      <c r="H1667" s="6">
        <v>149.30000000000001</v>
      </c>
      <c r="I1667" s="6">
        <v>4.13</v>
      </c>
      <c r="J1667" s="6">
        <v>145.16999999999999</v>
      </c>
      <c r="K1667" s="5">
        <v>441</v>
      </c>
    </row>
    <row r="1668" spans="1:11" x14ac:dyDescent="0.3">
      <c r="A1668" s="3">
        <v>7431</v>
      </c>
      <c r="B1668" s="3" t="s">
        <v>30</v>
      </c>
      <c r="C1668" s="4">
        <v>45600</v>
      </c>
      <c r="D1668" s="3" t="s">
        <v>38</v>
      </c>
      <c r="E1668" s="3" t="s">
        <v>48</v>
      </c>
      <c r="F1668" s="5">
        <v>5</v>
      </c>
      <c r="G1668" s="6">
        <v>19.760000000000002</v>
      </c>
      <c r="H1668" s="6">
        <v>98.8</v>
      </c>
      <c r="I1668" s="6">
        <v>9.8800000000000008</v>
      </c>
      <c r="J1668" s="6">
        <v>88.92</v>
      </c>
      <c r="K1668" s="5">
        <v>273</v>
      </c>
    </row>
    <row r="1669" spans="1:11" x14ac:dyDescent="0.3">
      <c r="A1669" s="3">
        <v>2871</v>
      </c>
      <c r="B1669" s="3" t="s">
        <v>26</v>
      </c>
      <c r="C1669" s="4">
        <v>45415</v>
      </c>
      <c r="D1669" s="3" t="s">
        <v>12</v>
      </c>
      <c r="E1669" s="3" t="s">
        <v>37</v>
      </c>
      <c r="F1669" s="5">
        <v>4</v>
      </c>
      <c r="G1669" s="6">
        <v>25.01</v>
      </c>
      <c r="H1669" s="6">
        <v>100.04</v>
      </c>
      <c r="I1669" s="6">
        <v>15.01</v>
      </c>
      <c r="J1669" s="6">
        <v>85.03</v>
      </c>
      <c r="K1669" s="5">
        <v>371</v>
      </c>
    </row>
    <row r="1670" spans="1:11" x14ac:dyDescent="0.3">
      <c r="A1670" s="3">
        <v>6766</v>
      </c>
      <c r="B1670" s="3" t="s">
        <v>24</v>
      </c>
      <c r="C1670" s="4">
        <v>45801</v>
      </c>
      <c r="D1670" s="3" t="s">
        <v>38</v>
      </c>
      <c r="E1670" s="3" t="s">
        <v>33</v>
      </c>
      <c r="F1670" s="5">
        <v>4</v>
      </c>
      <c r="G1670" s="6">
        <v>23.83</v>
      </c>
      <c r="H1670" s="6">
        <v>95.32</v>
      </c>
      <c r="I1670" s="6">
        <v>14.3</v>
      </c>
      <c r="J1670" s="6">
        <v>81.02</v>
      </c>
      <c r="K1670" s="5">
        <v>53</v>
      </c>
    </row>
    <row r="1671" spans="1:11" x14ac:dyDescent="0.3">
      <c r="A1671" s="3">
        <v>8501</v>
      </c>
      <c r="B1671" s="3" t="s">
        <v>11</v>
      </c>
      <c r="C1671" s="4">
        <v>45624</v>
      </c>
      <c r="D1671" s="3" t="s">
        <v>34</v>
      </c>
      <c r="E1671" s="3" t="s">
        <v>23</v>
      </c>
      <c r="F1671" s="5">
        <v>4</v>
      </c>
      <c r="G1671" s="6">
        <v>20.03</v>
      </c>
      <c r="H1671" s="6">
        <v>80.12</v>
      </c>
      <c r="I1671" s="6">
        <v>8.01</v>
      </c>
      <c r="J1671" s="6">
        <v>72.11</v>
      </c>
      <c r="K1671" s="5">
        <v>72</v>
      </c>
    </row>
    <row r="1672" spans="1:11" x14ac:dyDescent="0.3">
      <c r="A1672" s="3">
        <v>3826</v>
      </c>
      <c r="B1672" s="3" t="s">
        <v>42</v>
      </c>
      <c r="C1672" s="4">
        <v>45777</v>
      </c>
      <c r="D1672" s="3" t="s">
        <v>35</v>
      </c>
      <c r="E1672" s="3" t="s">
        <v>48</v>
      </c>
      <c r="F1672" s="5">
        <v>3</v>
      </c>
      <c r="G1672" s="6">
        <v>19.61</v>
      </c>
      <c r="H1672" s="6">
        <v>58.83</v>
      </c>
      <c r="I1672" s="6">
        <v>0</v>
      </c>
      <c r="J1672" s="6">
        <v>58.83</v>
      </c>
      <c r="K1672" s="5">
        <v>37</v>
      </c>
    </row>
    <row r="1673" spans="1:11" x14ac:dyDescent="0.3">
      <c r="A1673" s="3">
        <v>5873</v>
      </c>
      <c r="B1673" s="3" t="s">
        <v>26</v>
      </c>
      <c r="C1673" s="4">
        <v>45858</v>
      </c>
      <c r="D1673" s="3" t="s">
        <v>17</v>
      </c>
      <c r="E1673" s="3" t="s">
        <v>13</v>
      </c>
      <c r="F1673" s="5">
        <v>3</v>
      </c>
      <c r="G1673" s="6">
        <v>9.5500000000000007</v>
      </c>
      <c r="H1673" s="6">
        <v>28.65</v>
      </c>
      <c r="I1673" s="6">
        <v>2.87</v>
      </c>
      <c r="J1673" s="6">
        <v>25.78</v>
      </c>
      <c r="K1673" s="5">
        <v>227</v>
      </c>
    </row>
    <row r="1674" spans="1:11" x14ac:dyDescent="0.3">
      <c r="A1674" s="3">
        <v>2388</v>
      </c>
      <c r="B1674" s="3" t="s">
        <v>30</v>
      </c>
      <c r="C1674" s="4">
        <v>45667</v>
      </c>
      <c r="D1674" s="3" t="s">
        <v>28</v>
      </c>
      <c r="E1674" s="3" t="s">
        <v>13</v>
      </c>
      <c r="F1674" s="5">
        <v>5</v>
      </c>
      <c r="G1674" s="6">
        <v>2.0299999999999998</v>
      </c>
      <c r="H1674" s="6">
        <v>10.15</v>
      </c>
      <c r="I1674" s="6">
        <v>2.15</v>
      </c>
      <c r="J1674" s="6">
        <v>8</v>
      </c>
      <c r="K1674" s="5">
        <v>71</v>
      </c>
    </row>
    <row r="1675" spans="1:11" x14ac:dyDescent="0.3">
      <c r="A1675" s="3">
        <v>3194</v>
      </c>
      <c r="B1675" s="3" t="s">
        <v>42</v>
      </c>
      <c r="C1675" s="4">
        <v>45388</v>
      </c>
      <c r="D1675" s="3" t="s">
        <v>22</v>
      </c>
      <c r="E1675" s="3" t="s">
        <v>23</v>
      </c>
      <c r="F1675" s="5">
        <v>3</v>
      </c>
      <c r="G1675" s="6">
        <v>9.8800000000000008</v>
      </c>
      <c r="H1675" s="6">
        <v>29.64</v>
      </c>
      <c r="I1675" s="6">
        <v>3.54</v>
      </c>
      <c r="J1675" s="6">
        <v>26.1</v>
      </c>
      <c r="K1675" s="5">
        <v>366</v>
      </c>
    </row>
    <row r="1676" spans="1:11" x14ac:dyDescent="0.3">
      <c r="A1676" s="3">
        <v>2931</v>
      </c>
      <c r="B1676" s="3" t="s">
        <v>26</v>
      </c>
      <c r="C1676" s="4">
        <v>45330</v>
      </c>
      <c r="D1676" s="3" t="s">
        <v>45</v>
      </c>
      <c r="E1676" s="3" t="s">
        <v>37</v>
      </c>
      <c r="F1676" s="5">
        <v>2</v>
      </c>
      <c r="G1676" s="6">
        <v>22.56</v>
      </c>
      <c r="H1676" s="6">
        <v>45.12</v>
      </c>
      <c r="I1676" s="6">
        <v>9.02</v>
      </c>
      <c r="J1676" s="6">
        <v>36.1</v>
      </c>
      <c r="K1676" s="5">
        <v>355</v>
      </c>
    </row>
    <row r="1677" spans="1:11" x14ac:dyDescent="0.3">
      <c r="A1677" s="3">
        <v>6003</v>
      </c>
      <c r="B1677" s="3" t="s">
        <v>30</v>
      </c>
      <c r="C1677" s="4">
        <v>45235</v>
      </c>
      <c r="D1677" s="3" t="s">
        <v>20</v>
      </c>
      <c r="E1677" s="3" t="s">
        <v>13</v>
      </c>
      <c r="F1677" s="5">
        <v>2</v>
      </c>
      <c r="G1677" s="6">
        <v>1.8</v>
      </c>
      <c r="H1677" s="6">
        <v>3.6</v>
      </c>
      <c r="I1677" s="6">
        <v>0.72</v>
      </c>
      <c r="J1677" s="6">
        <v>2.88</v>
      </c>
      <c r="K1677" s="5">
        <v>108</v>
      </c>
    </row>
    <row r="1678" spans="1:11" x14ac:dyDescent="0.3">
      <c r="A1678" s="3">
        <v>3999</v>
      </c>
      <c r="B1678" s="3" t="s">
        <v>31</v>
      </c>
      <c r="C1678" s="4">
        <v>45434</v>
      </c>
      <c r="D1678" s="3" t="s">
        <v>35</v>
      </c>
      <c r="E1678" s="3" t="s">
        <v>23</v>
      </c>
      <c r="F1678" s="5">
        <v>5</v>
      </c>
      <c r="G1678" s="6">
        <v>22.61</v>
      </c>
      <c r="H1678" s="6">
        <v>113.05</v>
      </c>
      <c r="I1678" s="6">
        <v>11.3</v>
      </c>
      <c r="J1678" s="6">
        <v>101.75</v>
      </c>
      <c r="K1678" s="5">
        <v>264</v>
      </c>
    </row>
    <row r="1679" spans="1:11" x14ac:dyDescent="0.3">
      <c r="A1679" s="3">
        <v>3316</v>
      </c>
      <c r="B1679" s="3" t="s">
        <v>19</v>
      </c>
      <c r="C1679" s="4">
        <v>45541</v>
      </c>
      <c r="D1679" s="3" t="s">
        <v>22</v>
      </c>
      <c r="E1679" s="3" t="s">
        <v>41</v>
      </c>
      <c r="F1679" s="5">
        <v>5</v>
      </c>
      <c r="G1679" s="6">
        <v>25.72</v>
      </c>
      <c r="H1679" s="6">
        <v>128.6</v>
      </c>
      <c r="I1679" s="6">
        <v>12.86</v>
      </c>
      <c r="J1679" s="6">
        <v>115.74</v>
      </c>
      <c r="K1679" s="5">
        <v>160</v>
      </c>
    </row>
    <row r="1680" spans="1:11" x14ac:dyDescent="0.3">
      <c r="A1680" s="3">
        <v>7364</v>
      </c>
      <c r="B1680" s="3" t="s">
        <v>26</v>
      </c>
      <c r="C1680" s="4">
        <v>45469</v>
      </c>
      <c r="D1680" s="3" t="s">
        <v>27</v>
      </c>
      <c r="E1680" s="3" t="s">
        <v>29</v>
      </c>
      <c r="F1680" s="5">
        <v>5</v>
      </c>
      <c r="G1680" s="6">
        <v>14.97</v>
      </c>
      <c r="H1680" s="6">
        <v>74.849999999999994</v>
      </c>
      <c r="I1680" s="6">
        <v>3.67</v>
      </c>
      <c r="J1680" s="6">
        <v>71.180000000000007</v>
      </c>
      <c r="K1680" s="5">
        <v>247</v>
      </c>
    </row>
    <row r="1681" spans="1:11" x14ac:dyDescent="0.3">
      <c r="A1681" s="3">
        <v>3258</v>
      </c>
      <c r="B1681" s="3" t="s">
        <v>11</v>
      </c>
      <c r="C1681" s="4">
        <v>45591</v>
      </c>
      <c r="D1681" s="3" t="s">
        <v>22</v>
      </c>
      <c r="E1681" s="3" t="s">
        <v>25</v>
      </c>
      <c r="F1681" s="5">
        <v>3</v>
      </c>
      <c r="G1681" s="6">
        <v>6.98</v>
      </c>
      <c r="H1681" s="6">
        <v>20.94</v>
      </c>
      <c r="I1681" s="6">
        <v>4.1100000000000003</v>
      </c>
      <c r="J1681" s="6">
        <v>16.829999999999998</v>
      </c>
      <c r="K1681" s="5">
        <v>76</v>
      </c>
    </row>
    <row r="1682" spans="1:11" x14ac:dyDescent="0.3">
      <c r="A1682" s="3">
        <v>7286</v>
      </c>
      <c r="B1682" s="3" t="s">
        <v>11</v>
      </c>
      <c r="C1682" s="4">
        <v>45473</v>
      </c>
      <c r="D1682" s="3" t="s">
        <v>27</v>
      </c>
      <c r="E1682" s="3" t="s">
        <v>44</v>
      </c>
      <c r="F1682" s="5">
        <v>3</v>
      </c>
      <c r="G1682" s="6">
        <v>15.45</v>
      </c>
      <c r="H1682" s="6">
        <v>46.35</v>
      </c>
      <c r="I1682" s="6">
        <v>0</v>
      </c>
      <c r="J1682" s="6">
        <v>46.35</v>
      </c>
      <c r="K1682" s="5">
        <v>291</v>
      </c>
    </row>
    <row r="1683" spans="1:11" x14ac:dyDescent="0.3">
      <c r="A1683" s="3">
        <v>4043</v>
      </c>
      <c r="B1683" s="3" t="s">
        <v>14</v>
      </c>
      <c r="C1683" s="4">
        <v>45523</v>
      </c>
      <c r="D1683" s="3" t="s">
        <v>17</v>
      </c>
      <c r="E1683" s="3" t="s">
        <v>44</v>
      </c>
      <c r="F1683" s="5">
        <v>3</v>
      </c>
      <c r="G1683" s="6">
        <v>20.25</v>
      </c>
      <c r="H1683" s="6">
        <v>60.75</v>
      </c>
      <c r="I1683" s="6">
        <v>9.11</v>
      </c>
      <c r="J1683" s="6">
        <v>51.64</v>
      </c>
      <c r="K1683" s="5">
        <v>204</v>
      </c>
    </row>
    <row r="1684" spans="1:11" x14ac:dyDescent="0.3">
      <c r="A1684" s="3">
        <v>9804</v>
      </c>
      <c r="B1684" s="3" t="s">
        <v>14</v>
      </c>
      <c r="C1684" s="4">
        <v>45683</v>
      </c>
      <c r="D1684" s="3" t="s">
        <v>15</v>
      </c>
      <c r="E1684" s="3" t="s">
        <v>13</v>
      </c>
      <c r="F1684" s="5">
        <v>5</v>
      </c>
      <c r="G1684" s="6">
        <v>28.88</v>
      </c>
      <c r="H1684" s="6">
        <v>144.4</v>
      </c>
      <c r="I1684" s="6">
        <v>2.79</v>
      </c>
      <c r="J1684" s="6">
        <v>141.61000000000001</v>
      </c>
      <c r="K1684" s="5">
        <v>433</v>
      </c>
    </row>
    <row r="1685" spans="1:11" x14ac:dyDescent="0.3">
      <c r="A1685" s="3">
        <v>3838</v>
      </c>
      <c r="B1685" s="3" t="s">
        <v>14</v>
      </c>
      <c r="C1685" s="4">
        <v>45576</v>
      </c>
      <c r="D1685" s="3" t="s">
        <v>17</v>
      </c>
      <c r="E1685" s="3" t="s">
        <v>25</v>
      </c>
      <c r="F1685" s="5">
        <v>3</v>
      </c>
      <c r="G1685" s="6">
        <v>24.11</v>
      </c>
      <c r="H1685" s="6">
        <v>72.33</v>
      </c>
      <c r="I1685" s="6">
        <v>14.47</v>
      </c>
      <c r="J1685" s="6">
        <v>57.86</v>
      </c>
      <c r="K1685" s="5">
        <v>93</v>
      </c>
    </row>
    <row r="1686" spans="1:11" x14ac:dyDescent="0.3">
      <c r="A1686" s="3">
        <v>3733</v>
      </c>
      <c r="B1686" s="3" t="s">
        <v>26</v>
      </c>
      <c r="C1686" s="4">
        <v>45525</v>
      </c>
      <c r="D1686" s="3" t="s">
        <v>34</v>
      </c>
      <c r="E1686" s="3" t="s">
        <v>40</v>
      </c>
      <c r="F1686" s="5">
        <v>5</v>
      </c>
      <c r="G1686" s="6">
        <v>8.6999999999999993</v>
      </c>
      <c r="H1686" s="6">
        <v>43.5</v>
      </c>
      <c r="I1686" s="6">
        <v>0</v>
      </c>
      <c r="J1686" s="6">
        <v>43.5</v>
      </c>
      <c r="K1686" s="5">
        <v>142</v>
      </c>
    </row>
    <row r="1687" spans="1:11" x14ac:dyDescent="0.3">
      <c r="A1687" s="3">
        <v>5732</v>
      </c>
      <c r="B1687" s="3" t="s">
        <v>42</v>
      </c>
      <c r="C1687" s="4">
        <v>45253</v>
      </c>
      <c r="D1687" s="3" t="s">
        <v>15</v>
      </c>
      <c r="E1687" s="3" t="s">
        <v>41</v>
      </c>
      <c r="F1687" s="5">
        <v>5</v>
      </c>
      <c r="G1687" s="6">
        <v>9.77</v>
      </c>
      <c r="H1687" s="6">
        <v>48.85</v>
      </c>
      <c r="I1687" s="6">
        <v>9.77</v>
      </c>
      <c r="J1687" s="6">
        <v>39.08</v>
      </c>
      <c r="K1687" s="5">
        <v>106</v>
      </c>
    </row>
    <row r="1688" spans="1:11" x14ac:dyDescent="0.3">
      <c r="A1688" s="3">
        <v>4065</v>
      </c>
      <c r="B1688" s="3" t="s">
        <v>26</v>
      </c>
      <c r="C1688" s="4">
        <v>45389</v>
      </c>
      <c r="D1688" s="3" t="s">
        <v>45</v>
      </c>
      <c r="E1688" s="3" t="s">
        <v>48</v>
      </c>
      <c r="F1688" s="5">
        <v>5</v>
      </c>
      <c r="G1688" s="6">
        <v>26.56</v>
      </c>
      <c r="H1688" s="6">
        <v>132.80000000000001</v>
      </c>
      <c r="I1688" s="6">
        <v>0</v>
      </c>
      <c r="J1688" s="6">
        <v>132.80000000000001</v>
      </c>
      <c r="K1688" s="5">
        <v>26</v>
      </c>
    </row>
    <row r="1689" spans="1:11" x14ac:dyDescent="0.3">
      <c r="A1689" s="3">
        <v>8389</v>
      </c>
      <c r="B1689" s="3" t="s">
        <v>11</v>
      </c>
      <c r="C1689" s="4">
        <v>45626</v>
      </c>
      <c r="D1689" s="3" t="s">
        <v>17</v>
      </c>
      <c r="E1689" s="3" t="s">
        <v>47</v>
      </c>
      <c r="F1689" s="5">
        <v>1</v>
      </c>
      <c r="G1689" s="6">
        <v>13.81</v>
      </c>
      <c r="H1689" s="6">
        <v>13.81</v>
      </c>
      <c r="I1689" s="6">
        <v>3.17</v>
      </c>
      <c r="J1689" s="6">
        <v>10.64</v>
      </c>
      <c r="K1689" s="5">
        <v>243</v>
      </c>
    </row>
    <row r="1690" spans="1:11" x14ac:dyDescent="0.3">
      <c r="A1690" s="3">
        <v>1878</v>
      </c>
      <c r="B1690" s="3" t="s">
        <v>42</v>
      </c>
      <c r="C1690" s="4">
        <v>45817</v>
      </c>
      <c r="D1690" s="3" t="s">
        <v>28</v>
      </c>
      <c r="E1690" s="3" t="s">
        <v>47</v>
      </c>
      <c r="F1690" s="5">
        <v>3</v>
      </c>
      <c r="G1690" s="6">
        <v>17.5</v>
      </c>
      <c r="H1690" s="6">
        <v>52.5</v>
      </c>
      <c r="I1690" s="6">
        <v>3.88</v>
      </c>
      <c r="J1690" s="6">
        <v>48.62</v>
      </c>
      <c r="K1690" s="5">
        <v>297</v>
      </c>
    </row>
    <row r="1691" spans="1:11" x14ac:dyDescent="0.3">
      <c r="A1691" s="3">
        <v>6882</v>
      </c>
      <c r="B1691" s="3" t="s">
        <v>26</v>
      </c>
      <c r="C1691" s="4">
        <v>45152</v>
      </c>
      <c r="D1691" s="3" t="s">
        <v>27</v>
      </c>
      <c r="E1691" s="3" t="s">
        <v>44</v>
      </c>
      <c r="F1691" s="5">
        <v>5</v>
      </c>
      <c r="G1691" s="6">
        <v>24.36</v>
      </c>
      <c r="H1691" s="6">
        <v>121.8</v>
      </c>
      <c r="I1691" s="6">
        <v>2.0099999999999998</v>
      </c>
      <c r="J1691" s="6">
        <v>119.79</v>
      </c>
      <c r="K1691" s="5">
        <v>314</v>
      </c>
    </row>
    <row r="1692" spans="1:11" x14ac:dyDescent="0.3">
      <c r="A1692" s="3">
        <v>8939</v>
      </c>
      <c r="B1692" s="3" t="s">
        <v>24</v>
      </c>
      <c r="C1692" s="4">
        <v>45251</v>
      </c>
      <c r="D1692" s="3" t="s">
        <v>28</v>
      </c>
      <c r="E1692" s="3" t="s">
        <v>13</v>
      </c>
      <c r="F1692" s="5">
        <v>4</v>
      </c>
      <c r="G1692" s="6">
        <v>19.29</v>
      </c>
      <c r="H1692" s="6">
        <v>77.16</v>
      </c>
      <c r="I1692" s="6">
        <v>2.14</v>
      </c>
      <c r="J1692" s="6">
        <v>75.02</v>
      </c>
      <c r="K1692" s="5">
        <v>168</v>
      </c>
    </row>
    <row r="1693" spans="1:11" x14ac:dyDescent="0.3">
      <c r="A1693" s="3">
        <v>4196</v>
      </c>
      <c r="B1693" s="3" t="s">
        <v>30</v>
      </c>
      <c r="C1693" s="4">
        <v>45778</v>
      </c>
      <c r="D1693" s="3" t="s">
        <v>35</v>
      </c>
      <c r="E1693" s="3" t="s">
        <v>18</v>
      </c>
      <c r="F1693" s="5">
        <v>2</v>
      </c>
      <c r="G1693" s="6">
        <v>10.88</v>
      </c>
      <c r="H1693" s="6">
        <v>21.76</v>
      </c>
      <c r="I1693" s="6">
        <v>0</v>
      </c>
      <c r="J1693" s="6">
        <v>21.76</v>
      </c>
      <c r="K1693" s="5">
        <v>347</v>
      </c>
    </row>
    <row r="1694" spans="1:11" x14ac:dyDescent="0.3">
      <c r="A1694" s="3">
        <v>7290</v>
      </c>
      <c r="B1694" s="3" t="s">
        <v>26</v>
      </c>
      <c r="C1694" s="4">
        <v>45581</v>
      </c>
      <c r="D1694" s="3" t="s">
        <v>15</v>
      </c>
      <c r="E1694" s="3" t="s">
        <v>29</v>
      </c>
      <c r="F1694" s="5">
        <v>4</v>
      </c>
      <c r="G1694" s="6">
        <v>1.18</v>
      </c>
      <c r="H1694" s="6">
        <v>4.72</v>
      </c>
      <c r="I1694" s="6">
        <v>0.47</v>
      </c>
      <c r="J1694" s="6">
        <v>4.25</v>
      </c>
      <c r="K1694" s="5">
        <v>457</v>
      </c>
    </row>
    <row r="1695" spans="1:11" x14ac:dyDescent="0.3">
      <c r="A1695" s="3">
        <v>9281</v>
      </c>
      <c r="B1695" s="3" t="s">
        <v>19</v>
      </c>
      <c r="C1695" s="4">
        <v>45652</v>
      </c>
      <c r="D1695" s="3" t="s">
        <v>34</v>
      </c>
      <c r="E1695" s="3" t="s">
        <v>43</v>
      </c>
      <c r="F1695" s="5">
        <v>4</v>
      </c>
      <c r="G1695" s="6">
        <v>20.51</v>
      </c>
      <c r="H1695" s="6">
        <v>82.04</v>
      </c>
      <c r="I1695" s="6">
        <v>12.31</v>
      </c>
      <c r="J1695" s="6">
        <v>69.73</v>
      </c>
      <c r="K1695" s="5">
        <v>48</v>
      </c>
    </row>
    <row r="1696" spans="1:11" x14ac:dyDescent="0.3">
      <c r="A1696" s="3">
        <v>9109</v>
      </c>
      <c r="B1696" s="3" t="s">
        <v>14</v>
      </c>
      <c r="C1696" s="4">
        <v>45462</v>
      </c>
      <c r="D1696" s="3" t="s">
        <v>34</v>
      </c>
      <c r="E1696" s="3" t="s">
        <v>44</v>
      </c>
      <c r="F1696" s="5">
        <v>1</v>
      </c>
      <c r="G1696" s="6">
        <v>23.11</v>
      </c>
      <c r="H1696" s="6">
        <v>23.11</v>
      </c>
      <c r="I1696" s="6">
        <v>2.2200000000000002</v>
      </c>
      <c r="J1696" s="6">
        <v>20.89</v>
      </c>
      <c r="K1696" s="5">
        <v>109</v>
      </c>
    </row>
    <row r="1697" spans="1:11" x14ac:dyDescent="0.3">
      <c r="A1697" s="3">
        <v>9056</v>
      </c>
      <c r="B1697" s="3" t="s">
        <v>14</v>
      </c>
      <c r="C1697" s="4">
        <v>45467</v>
      </c>
      <c r="D1697" s="3" t="s">
        <v>45</v>
      </c>
      <c r="E1697" s="3" t="s">
        <v>48</v>
      </c>
      <c r="F1697" s="5">
        <v>3</v>
      </c>
      <c r="G1697" s="6">
        <v>27.89</v>
      </c>
      <c r="H1697" s="6">
        <v>83.67</v>
      </c>
      <c r="I1697" s="6">
        <v>12.55</v>
      </c>
      <c r="J1697" s="6">
        <v>71.12</v>
      </c>
      <c r="K1697" s="5">
        <v>107</v>
      </c>
    </row>
    <row r="1698" spans="1:11" x14ac:dyDescent="0.3">
      <c r="A1698" s="3">
        <v>8272</v>
      </c>
      <c r="B1698" s="3" t="s">
        <v>19</v>
      </c>
      <c r="C1698" s="4">
        <v>45524</v>
      </c>
      <c r="D1698" s="3" t="s">
        <v>17</v>
      </c>
      <c r="E1698" s="3" t="s">
        <v>32</v>
      </c>
      <c r="F1698" s="5">
        <v>2</v>
      </c>
      <c r="G1698" s="6">
        <v>25.71</v>
      </c>
      <c r="H1698" s="6">
        <v>51.42</v>
      </c>
      <c r="I1698" s="6">
        <v>7.71</v>
      </c>
      <c r="J1698" s="6">
        <v>43.71</v>
      </c>
      <c r="K1698" s="5">
        <v>312</v>
      </c>
    </row>
    <row r="1699" spans="1:11" x14ac:dyDescent="0.3">
      <c r="A1699" s="3">
        <v>3740</v>
      </c>
      <c r="B1699" s="3" t="s">
        <v>14</v>
      </c>
      <c r="C1699" s="4">
        <v>45209</v>
      </c>
      <c r="D1699" s="3" t="s">
        <v>45</v>
      </c>
      <c r="E1699" s="3" t="s">
        <v>16</v>
      </c>
      <c r="F1699" s="5">
        <v>3</v>
      </c>
      <c r="G1699" s="6">
        <v>7.62</v>
      </c>
      <c r="H1699" s="6">
        <v>22.86</v>
      </c>
      <c r="I1699" s="6">
        <v>3.43</v>
      </c>
      <c r="J1699" s="6">
        <v>19.43</v>
      </c>
      <c r="K1699" s="5">
        <v>134</v>
      </c>
    </row>
    <row r="1700" spans="1:11" x14ac:dyDescent="0.3">
      <c r="A1700" s="3">
        <v>1505</v>
      </c>
      <c r="B1700" s="3" t="s">
        <v>36</v>
      </c>
      <c r="C1700" s="4">
        <v>45763</v>
      </c>
      <c r="D1700" s="3" t="s">
        <v>34</v>
      </c>
      <c r="E1700" s="3" t="s">
        <v>37</v>
      </c>
      <c r="F1700" s="5">
        <v>3</v>
      </c>
      <c r="G1700" s="6">
        <v>22.06</v>
      </c>
      <c r="H1700" s="6">
        <v>66.180000000000007</v>
      </c>
      <c r="I1700" s="6">
        <v>6.62</v>
      </c>
      <c r="J1700" s="6">
        <v>59.56</v>
      </c>
      <c r="K1700" s="5">
        <v>424</v>
      </c>
    </row>
    <row r="1701" spans="1:11" x14ac:dyDescent="0.3">
      <c r="A1701" s="3">
        <v>4613</v>
      </c>
      <c r="B1701" s="3" t="s">
        <v>30</v>
      </c>
      <c r="C1701" s="4">
        <v>45371</v>
      </c>
      <c r="D1701" s="3" t="s">
        <v>20</v>
      </c>
      <c r="E1701" s="3" t="s">
        <v>32</v>
      </c>
      <c r="F1701" s="5">
        <v>4</v>
      </c>
      <c r="G1701" s="6">
        <v>1.1499999999999999</v>
      </c>
      <c r="H1701" s="6">
        <v>4.5999999999999996</v>
      </c>
      <c r="I1701" s="6">
        <v>4.87</v>
      </c>
      <c r="J1701" s="6">
        <v>-0.27</v>
      </c>
      <c r="K1701" s="5">
        <v>481</v>
      </c>
    </row>
    <row r="1702" spans="1:11" x14ac:dyDescent="0.3">
      <c r="A1702" s="3">
        <v>1535</v>
      </c>
      <c r="B1702" s="3" t="s">
        <v>36</v>
      </c>
      <c r="C1702" s="4">
        <v>45358</v>
      </c>
      <c r="D1702" s="3" t="s">
        <v>27</v>
      </c>
      <c r="E1702" s="3" t="s">
        <v>41</v>
      </c>
      <c r="F1702" s="5">
        <v>4</v>
      </c>
      <c r="G1702" s="6">
        <v>23.23</v>
      </c>
      <c r="H1702" s="6">
        <v>92.92</v>
      </c>
      <c r="I1702" s="6">
        <v>18.579999999999998</v>
      </c>
      <c r="J1702" s="6">
        <v>74.34</v>
      </c>
      <c r="K1702" s="5">
        <v>9</v>
      </c>
    </row>
    <row r="1703" spans="1:11" x14ac:dyDescent="0.3">
      <c r="A1703" s="3">
        <v>4683</v>
      </c>
      <c r="B1703" s="3" t="s">
        <v>30</v>
      </c>
      <c r="C1703" s="4">
        <v>45562</v>
      </c>
      <c r="D1703" s="3" t="s">
        <v>35</v>
      </c>
      <c r="E1703" s="3" t="s">
        <v>23</v>
      </c>
      <c r="F1703" s="5">
        <v>1</v>
      </c>
      <c r="G1703" s="6">
        <v>10.32</v>
      </c>
      <c r="H1703" s="6">
        <v>10.32</v>
      </c>
      <c r="I1703" s="6">
        <v>1.55</v>
      </c>
      <c r="J1703" s="6">
        <v>8.77</v>
      </c>
      <c r="K1703" s="5">
        <v>404</v>
      </c>
    </row>
    <row r="1704" spans="1:11" x14ac:dyDescent="0.3">
      <c r="A1704" s="3">
        <v>5729</v>
      </c>
      <c r="B1704" s="3" t="s">
        <v>14</v>
      </c>
      <c r="C1704" s="4">
        <v>45275</v>
      </c>
      <c r="D1704" s="3" t="s">
        <v>38</v>
      </c>
      <c r="E1704" s="3" t="s">
        <v>44</v>
      </c>
      <c r="F1704" s="5">
        <v>2</v>
      </c>
      <c r="G1704" s="6">
        <v>18.899999999999999</v>
      </c>
      <c r="H1704" s="6">
        <v>37.799999999999997</v>
      </c>
      <c r="I1704" s="6">
        <v>1.3</v>
      </c>
      <c r="J1704" s="6">
        <v>36.5</v>
      </c>
      <c r="K1704" s="5">
        <v>225</v>
      </c>
    </row>
    <row r="1705" spans="1:11" x14ac:dyDescent="0.3">
      <c r="A1705" s="3">
        <v>8492</v>
      </c>
      <c r="B1705" s="3" t="s">
        <v>19</v>
      </c>
      <c r="C1705" s="4">
        <v>45584</v>
      </c>
      <c r="D1705" s="3" t="s">
        <v>22</v>
      </c>
      <c r="E1705" s="3" t="s">
        <v>47</v>
      </c>
      <c r="F1705" s="5">
        <v>5</v>
      </c>
      <c r="G1705" s="6">
        <v>14.62</v>
      </c>
      <c r="H1705" s="6">
        <v>73.099999999999994</v>
      </c>
      <c r="I1705" s="6">
        <v>0</v>
      </c>
      <c r="J1705" s="6">
        <v>73.099999999999994</v>
      </c>
      <c r="K1705" s="5">
        <v>497</v>
      </c>
    </row>
    <row r="1706" spans="1:11" x14ac:dyDescent="0.3">
      <c r="A1706" s="3">
        <v>9115</v>
      </c>
      <c r="B1706" s="3" t="s">
        <v>24</v>
      </c>
      <c r="C1706" s="4">
        <v>45571</v>
      </c>
      <c r="D1706" s="3" t="s">
        <v>45</v>
      </c>
      <c r="E1706" s="3" t="s">
        <v>25</v>
      </c>
      <c r="F1706" s="5">
        <v>3</v>
      </c>
      <c r="G1706" s="6">
        <v>29.61</v>
      </c>
      <c r="H1706" s="6">
        <v>88.83</v>
      </c>
      <c r="I1706" s="6">
        <v>1.41</v>
      </c>
      <c r="J1706" s="6">
        <v>87.42</v>
      </c>
      <c r="K1706" s="5">
        <v>300</v>
      </c>
    </row>
    <row r="1707" spans="1:11" x14ac:dyDescent="0.3">
      <c r="A1707" s="3">
        <v>9369</v>
      </c>
      <c r="B1707" s="3" t="s">
        <v>36</v>
      </c>
      <c r="C1707" s="4">
        <v>45232</v>
      </c>
      <c r="D1707" s="3" t="s">
        <v>35</v>
      </c>
      <c r="E1707" s="3" t="s">
        <v>18</v>
      </c>
      <c r="F1707" s="5">
        <v>3</v>
      </c>
      <c r="G1707" s="6">
        <v>13.7</v>
      </c>
      <c r="H1707" s="6">
        <v>41.1</v>
      </c>
      <c r="I1707" s="6">
        <v>4.1100000000000003</v>
      </c>
      <c r="J1707" s="6">
        <v>36.99</v>
      </c>
      <c r="K1707" s="5">
        <v>145</v>
      </c>
    </row>
    <row r="1708" spans="1:11" x14ac:dyDescent="0.3">
      <c r="A1708" s="3">
        <v>2871</v>
      </c>
      <c r="B1708" s="3" t="s">
        <v>19</v>
      </c>
      <c r="C1708" s="4">
        <v>45353</v>
      </c>
      <c r="D1708" s="3" t="s">
        <v>15</v>
      </c>
      <c r="E1708" s="3" t="s">
        <v>21</v>
      </c>
      <c r="F1708" s="5">
        <v>4</v>
      </c>
      <c r="G1708" s="6">
        <v>24.9</v>
      </c>
      <c r="H1708" s="6">
        <v>99.6</v>
      </c>
      <c r="I1708" s="6">
        <v>2.2000000000000002</v>
      </c>
      <c r="J1708" s="6">
        <v>97.4</v>
      </c>
      <c r="K1708" s="5">
        <v>447</v>
      </c>
    </row>
    <row r="1709" spans="1:11" x14ac:dyDescent="0.3">
      <c r="A1709" s="3">
        <v>9898</v>
      </c>
      <c r="B1709" s="3" t="s">
        <v>42</v>
      </c>
      <c r="C1709" s="4">
        <v>45784</v>
      </c>
      <c r="D1709" s="3" t="s">
        <v>38</v>
      </c>
      <c r="E1709" s="3" t="s">
        <v>43</v>
      </c>
      <c r="F1709" s="5">
        <v>4</v>
      </c>
      <c r="G1709" s="6">
        <v>8.1</v>
      </c>
      <c r="H1709" s="6">
        <v>32.4</v>
      </c>
      <c r="I1709" s="6">
        <v>3.12</v>
      </c>
      <c r="J1709" s="6">
        <v>29.28</v>
      </c>
      <c r="K1709" s="5">
        <v>293</v>
      </c>
    </row>
    <row r="1710" spans="1:11" x14ac:dyDescent="0.3">
      <c r="A1710" s="3">
        <v>7010</v>
      </c>
      <c r="B1710" s="3" t="s">
        <v>30</v>
      </c>
      <c r="C1710" s="4">
        <v>45566</v>
      </c>
      <c r="D1710" s="3" t="s">
        <v>12</v>
      </c>
      <c r="E1710" s="3" t="s">
        <v>41</v>
      </c>
      <c r="F1710" s="5">
        <v>1</v>
      </c>
      <c r="G1710" s="6">
        <v>26.24</v>
      </c>
      <c r="H1710" s="6">
        <v>26.24</v>
      </c>
      <c r="I1710" s="6">
        <v>3.94</v>
      </c>
      <c r="J1710" s="6">
        <v>22.3</v>
      </c>
      <c r="K1710" s="5">
        <v>358</v>
      </c>
    </row>
    <row r="1711" spans="1:11" x14ac:dyDescent="0.3">
      <c r="A1711" s="3">
        <v>1681</v>
      </c>
      <c r="B1711" s="3" t="s">
        <v>26</v>
      </c>
      <c r="C1711" s="4">
        <v>45735</v>
      </c>
      <c r="D1711" s="3" t="s">
        <v>17</v>
      </c>
      <c r="E1711" s="3" t="s">
        <v>29</v>
      </c>
      <c r="F1711" s="5">
        <v>3</v>
      </c>
      <c r="G1711" s="6">
        <v>14.57</v>
      </c>
      <c r="H1711" s="6">
        <v>43.71</v>
      </c>
      <c r="I1711" s="6">
        <v>6.56</v>
      </c>
      <c r="J1711" s="6">
        <v>37.15</v>
      </c>
      <c r="K1711" s="5">
        <v>235</v>
      </c>
    </row>
    <row r="1712" spans="1:11" x14ac:dyDescent="0.3">
      <c r="A1712" s="3">
        <v>8231</v>
      </c>
      <c r="B1712" s="3" t="s">
        <v>42</v>
      </c>
      <c r="C1712" s="4">
        <v>45569</v>
      </c>
      <c r="D1712" s="3" t="s">
        <v>27</v>
      </c>
      <c r="E1712" s="3" t="s">
        <v>13</v>
      </c>
      <c r="F1712" s="5">
        <v>3</v>
      </c>
      <c r="G1712" s="6">
        <v>18.489999999999998</v>
      </c>
      <c r="H1712" s="6">
        <v>55.47</v>
      </c>
      <c r="I1712" s="6">
        <v>11.09</v>
      </c>
      <c r="J1712" s="6">
        <v>44.38</v>
      </c>
      <c r="K1712" s="5">
        <v>477</v>
      </c>
    </row>
    <row r="1713" spans="1:11" x14ac:dyDescent="0.3">
      <c r="A1713" s="3">
        <v>4580</v>
      </c>
      <c r="B1713" s="3" t="s">
        <v>11</v>
      </c>
      <c r="C1713" s="4">
        <v>45475</v>
      </c>
      <c r="D1713" s="3" t="s">
        <v>27</v>
      </c>
      <c r="E1713" s="3" t="s">
        <v>16</v>
      </c>
      <c r="F1713" s="5">
        <v>4</v>
      </c>
      <c r="G1713" s="6">
        <v>12.48</v>
      </c>
      <c r="H1713" s="6">
        <v>49.92</v>
      </c>
      <c r="I1713" s="6">
        <v>1.24</v>
      </c>
      <c r="J1713" s="6">
        <v>48.68</v>
      </c>
      <c r="K1713" s="5">
        <v>249</v>
      </c>
    </row>
    <row r="1714" spans="1:11" x14ac:dyDescent="0.3">
      <c r="A1714" s="3">
        <v>2677</v>
      </c>
      <c r="B1714" s="3" t="s">
        <v>14</v>
      </c>
      <c r="C1714" s="4">
        <v>45716</v>
      </c>
      <c r="D1714" s="3" t="s">
        <v>22</v>
      </c>
      <c r="E1714" s="3" t="s">
        <v>39</v>
      </c>
      <c r="F1714" s="5">
        <v>5</v>
      </c>
      <c r="G1714" s="6">
        <v>13.67</v>
      </c>
      <c r="H1714" s="6">
        <v>68.349999999999994</v>
      </c>
      <c r="I1714" s="6">
        <v>2.97</v>
      </c>
      <c r="J1714" s="6">
        <v>65.38</v>
      </c>
      <c r="K1714" s="5">
        <v>16</v>
      </c>
    </row>
    <row r="1715" spans="1:11" x14ac:dyDescent="0.3">
      <c r="A1715" s="3">
        <v>5055</v>
      </c>
      <c r="B1715" s="3" t="s">
        <v>36</v>
      </c>
      <c r="C1715" s="4">
        <v>45376</v>
      </c>
      <c r="D1715" s="3" t="s">
        <v>27</v>
      </c>
      <c r="E1715" s="3" t="s">
        <v>43</v>
      </c>
      <c r="F1715" s="5">
        <v>1</v>
      </c>
      <c r="G1715" s="6">
        <v>17.38</v>
      </c>
      <c r="H1715" s="6">
        <v>17.38</v>
      </c>
      <c r="I1715" s="6">
        <v>1.63</v>
      </c>
      <c r="J1715" s="6">
        <v>15.75</v>
      </c>
      <c r="K1715" s="5">
        <v>498</v>
      </c>
    </row>
    <row r="1716" spans="1:11" x14ac:dyDescent="0.3">
      <c r="A1716" s="3">
        <v>1528</v>
      </c>
      <c r="B1716" s="3" t="s">
        <v>14</v>
      </c>
      <c r="C1716" s="4">
        <v>45494</v>
      </c>
      <c r="D1716" s="3" t="s">
        <v>15</v>
      </c>
      <c r="E1716" s="3" t="s">
        <v>33</v>
      </c>
      <c r="F1716" s="5">
        <v>5</v>
      </c>
      <c r="G1716" s="6">
        <v>19.850000000000001</v>
      </c>
      <c r="H1716" s="6">
        <v>99.25</v>
      </c>
      <c r="I1716" s="6">
        <v>0</v>
      </c>
      <c r="J1716" s="6">
        <v>99.25</v>
      </c>
      <c r="K1716" s="5">
        <v>97</v>
      </c>
    </row>
    <row r="1717" spans="1:11" x14ac:dyDescent="0.3">
      <c r="A1717" s="3">
        <v>5305</v>
      </c>
      <c r="B1717" s="3" t="s">
        <v>24</v>
      </c>
      <c r="C1717" s="4">
        <v>45415</v>
      </c>
      <c r="D1717" s="3" t="s">
        <v>35</v>
      </c>
      <c r="E1717" s="3" t="s">
        <v>33</v>
      </c>
      <c r="F1717" s="5">
        <v>4</v>
      </c>
      <c r="G1717" s="6">
        <v>26.78</v>
      </c>
      <c r="H1717" s="6">
        <v>107.12</v>
      </c>
      <c r="I1717" s="6">
        <v>0</v>
      </c>
      <c r="J1717" s="6">
        <v>107.12</v>
      </c>
      <c r="K1717" s="5">
        <v>378</v>
      </c>
    </row>
    <row r="1718" spans="1:11" x14ac:dyDescent="0.3">
      <c r="A1718" s="3">
        <v>2425</v>
      </c>
      <c r="B1718" s="3" t="s">
        <v>36</v>
      </c>
      <c r="C1718" s="4">
        <v>45486</v>
      </c>
      <c r="D1718" s="3" t="s">
        <v>15</v>
      </c>
      <c r="E1718" s="3" t="s">
        <v>29</v>
      </c>
      <c r="F1718" s="5">
        <v>5</v>
      </c>
      <c r="G1718" s="6">
        <v>10.84</v>
      </c>
      <c r="H1718" s="6">
        <v>54.2</v>
      </c>
      <c r="I1718" s="6">
        <v>2.61</v>
      </c>
      <c r="J1718" s="6">
        <v>51.59</v>
      </c>
      <c r="K1718" s="5">
        <v>270</v>
      </c>
    </row>
    <row r="1719" spans="1:11" x14ac:dyDescent="0.3">
      <c r="A1719" s="3">
        <v>2923</v>
      </c>
      <c r="B1719" s="3" t="s">
        <v>30</v>
      </c>
      <c r="C1719" s="4">
        <v>45747</v>
      </c>
      <c r="D1719" s="3" t="s">
        <v>12</v>
      </c>
      <c r="E1719" s="3" t="s">
        <v>32</v>
      </c>
      <c r="F1719" s="5">
        <v>1</v>
      </c>
      <c r="G1719" s="6">
        <v>1.24</v>
      </c>
      <c r="H1719" s="6">
        <v>1.24</v>
      </c>
      <c r="I1719" s="6">
        <v>0.25</v>
      </c>
      <c r="J1719" s="6">
        <v>0.99</v>
      </c>
      <c r="K1719" s="5">
        <v>165</v>
      </c>
    </row>
    <row r="1720" spans="1:11" x14ac:dyDescent="0.3">
      <c r="A1720" s="3">
        <v>4882</v>
      </c>
      <c r="B1720" s="3" t="s">
        <v>30</v>
      </c>
      <c r="C1720" s="4">
        <v>45308</v>
      </c>
      <c r="D1720" s="3" t="s">
        <v>17</v>
      </c>
      <c r="E1720" s="3" t="s">
        <v>21</v>
      </c>
      <c r="F1720" s="5">
        <v>5</v>
      </c>
      <c r="G1720" s="6">
        <v>14.26</v>
      </c>
      <c r="H1720" s="6">
        <v>71.3</v>
      </c>
      <c r="I1720" s="6">
        <v>4.7</v>
      </c>
      <c r="J1720" s="6">
        <v>66.599999999999994</v>
      </c>
      <c r="K1720" s="5">
        <v>340</v>
      </c>
    </row>
    <row r="1721" spans="1:11" x14ac:dyDescent="0.3">
      <c r="A1721" s="3">
        <v>6744</v>
      </c>
      <c r="B1721" s="3" t="s">
        <v>19</v>
      </c>
      <c r="C1721" s="4">
        <v>45813</v>
      </c>
      <c r="D1721" s="3" t="s">
        <v>17</v>
      </c>
      <c r="E1721" s="3" t="s">
        <v>41</v>
      </c>
      <c r="F1721" s="5">
        <v>2</v>
      </c>
      <c r="G1721" s="6">
        <v>9.94</v>
      </c>
      <c r="H1721" s="6">
        <v>19.88</v>
      </c>
      <c r="I1721" s="6">
        <v>3.41</v>
      </c>
      <c r="J1721" s="6">
        <v>16.47</v>
      </c>
      <c r="K1721" s="5">
        <v>51</v>
      </c>
    </row>
    <row r="1722" spans="1:11" x14ac:dyDescent="0.3">
      <c r="A1722" s="3">
        <v>8015</v>
      </c>
      <c r="B1722" s="3" t="s">
        <v>31</v>
      </c>
      <c r="C1722" s="4">
        <v>45273</v>
      </c>
      <c r="D1722" s="3" t="s">
        <v>34</v>
      </c>
      <c r="E1722" s="3" t="s">
        <v>18</v>
      </c>
      <c r="F1722" s="5">
        <v>3</v>
      </c>
      <c r="G1722" s="6">
        <v>28.68</v>
      </c>
      <c r="H1722" s="6">
        <v>86.04</v>
      </c>
      <c r="I1722" s="6">
        <v>17.21</v>
      </c>
      <c r="J1722" s="6">
        <v>68.83</v>
      </c>
      <c r="K1722" s="5">
        <v>167</v>
      </c>
    </row>
    <row r="1723" spans="1:11" x14ac:dyDescent="0.3">
      <c r="A1723" s="3">
        <v>3281</v>
      </c>
      <c r="B1723" s="3" t="s">
        <v>42</v>
      </c>
      <c r="C1723" s="4">
        <v>45754</v>
      </c>
      <c r="D1723" s="3" t="s">
        <v>17</v>
      </c>
      <c r="E1723" s="3" t="s">
        <v>37</v>
      </c>
      <c r="F1723" s="5">
        <v>2</v>
      </c>
      <c r="G1723" s="6">
        <v>13.29</v>
      </c>
      <c r="H1723" s="6">
        <v>26.58</v>
      </c>
      <c r="I1723" s="6">
        <v>5.32</v>
      </c>
      <c r="J1723" s="6">
        <v>21.26</v>
      </c>
      <c r="K1723" s="5">
        <v>138</v>
      </c>
    </row>
    <row r="1724" spans="1:11" x14ac:dyDescent="0.3">
      <c r="A1724" s="3">
        <v>4385</v>
      </c>
      <c r="B1724" s="3" t="s">
        <v>36</v>
      </c>
      <c r="C1724" s="4">
        <v>45776</v>
      </c>
      <c r="D1724" s="3" t="s">
        <v>12</v>
      </c>
      <c r="E1724" s="3" t="s">
        <v>41</v>
      </c>
      <c r="F1724" s="5">
        <v>4</v>
      </c>
      <c r="G1724" s="6">
        <v>4.5599999999999996</v>
      </c>
      <c r="H1724" s="6">
        <v>18.239999999999998</v>
      </c>
      <c r="I1724" s="6">
        <v>2.78</v>
      </c>
      <c r="J1724" s="6">
        <v>15.46</v>
      </c>
      <c r="K1724" s="5">
        <v>485</v>
      </c>
    </row>
    <row r="1725" spans="1:11" x14ac:dyDescent="0.3">
      <c r="A1725" s="3">
        <v>4390</v>
      </c>
      <c r="B1725" s="3" t="s">
        <v>42</v>
      </c>
      <c r="C1725" s="4">
        <v>45770</v>
      </c>
      <c r="D1725" s="3" t="s">
        <v>20</v>
      </c>
      <c r="E1725" s="3" t="s">
        <v>40</v>
      </c>
      <c r="F1725" s="5">
        <v>4</v>
      </c>
      <c r="G1725" s="6">
        <v>13.71</v>
      </c>
      <c r="H1725" s="6">
        <v>54.84</v>
      </c>
      <c r="I1725" s="6">
        <v>5.48</v>
      </c>
      <c r="J1725" s="6">
        <v>49.36</v>
      </c>
      <c r="K1725" s="5">
        <v>101</v>
      </c>
    </row>
    <row r="1726" spans="1:11" x14ac:dyDescent="0.3">
      <c r="A1726" s="3">
        <v>1972</v>
      </c>
      <c r="B1726" s="3" t="s">
        <v>11</v>
      </c>
      <c r="C1726" s="4">
        <v>45587</v>
      </c>
      <c r="D1726" s="3" t="s">
        <v>15</v>
      </c>
      <c r="E1726" s="3" t="s">
        <v>29</v>
      </c>
      <c r="F1726" s="5">
        <v>5</v>
      </c>
      <c r="G1726" s="6">
        <v>27.48</v>
      </c>
      <c r="H1726" s="6">
        <v>137.4</v>
      </c>
      <c r="I1726" s="6">
        <v>27.48</v>
      </c>
      <c r="J1726" s="6">
        <v>109.92</v>
      </c>
      <c r="K1726" s="5">
        <v>370</v>
      </c>
    </row>
    <row r="1727" spans="1:11" x14ac:dyDescent="0.3">
      <c r="A1727" s="3">
        <v>6747</v>
      </c>
      <c r="B1727" s="3" t="s">
        <v>42</v>
      </c>
      <c r="C1727" s="4">
        <v>45558</v>
      </c>
      <c r="D1727" s="3" t="s">
        <v>15</v>
      </c>
      <c r="E1727" s="3" t="s">
        <v>47</v>
      </c>
      <c r="F1727" s="5">
        <v>5</v>
      </c>
      <c r="G1727" s="6">
        <v>11.38</v>
      </c>
      <c r="H1727" s="6">
        <v>56.9</v>
      </c>
      <c r="I1727" s="6">
        <v>11.38</v>
      </c>
      <c r="J1727" s="6">
        <v>45.52</v>
      </c>
      <c r="K1727" s="5">
        <v>162</v>
      </c>
    </row>
    <row r="1728" spans="1:11" x14ac:dyDescent="0.3">
      <c r="A1728" s="3">
        <v>5605</v>
      </c>
      <c r="B1728" s="3" t="s">
        <v>42</v>
      </c>
      <c r="C1728" s="4">
        <v>45608</v>
      </c>
      <c r="D1728" s="3" t="s">
        <v>15</v>
      </c>
      <c r="E1728" s="3" t="s">
        <v>46</v>
      </c>
      <c r="F1728" s="5">
        <v>3</v>
      </c>
      <c r="G1728" s="6">
        <v>14.85</v>
      </c>
      <c r="H1728" s="6">
        <v>44.55</v>
      </c>
      <c r="I1728" s="6">
        <v>4.46</v>
      </c>
      <c r="J1728" s="6">
        <v>40.090000000000003</v>
      </c>
      <c r="K1728" s="5">
        <v>260</v>
      </c>
    </row>
    <row r="1729" spans="1:11" x14ac:dyDescent="0.3">
      <c r="A1729" s="3">
        <v>9827</v>
      </c>
      <c r="B1729" s="3" t="s">
        <v>31</v>
      </c>
      <c r="C1729" s="4">
        <v>45275</v>
      </c>
      <c r="D1729" s="3" t="s">
        <v>12</v>
      </c>
      <c r="E1729" s="3" t="s">
        <v>32</v>
      </c>
      <c r="F1729" s="5">
        <v>4</v>
      </c>
      <c r="G1729" s="6">
        <v>12.6</v>
      </c>
      <c r="H1729" s="6">
        <v>50.4</v>
      </c>
      <c r="I1729" s="6">
        <v>7.56</v>
      </c>
      <c r="J1729" s="6">
        <v>42.84</v>
      </c>
      <c r="K1729" s="5">
        <v>439</v>
      </c>
    </row>
    <row r="1730" spans="1:11" x14ac:dyDescent="0.3">
      <c r="A1730" s="3">
        <v>6302</v>
      </c>
      <c r="B1730" s="3" t="s">
        <v>36</v>
      </c>
      <c r="C1730" s="4">
        <v>45691</v>
      </c>
      <c r="D1730" s="3" t="s">
        <v>35</v>
      </c>
      <c r="E1730" s="3" t="s">
        <v>43</v>
      </c>
      <c r="F1730" s="5">
        <v>4</v>
      </c>
      <c r="G1730" s="6">
        <v>28.42</v>
      </c>
      <c r="H1730" s="6">
        <v>113.68</v>
      </c>
      <c r="I1730" s="6">
        <v>22.74</v>
      </c>
      <c r="J1730" s="6">
        <v>90.94</v>
      </c>
      <c r="K1730" s="5">
        <v>333</v>
      </c>
    </row>
    <row r="1731" spans="1:11" x14ac:dyDescent="0.3">
      <c r="A1731" s="3">
        <v>5794</v>
      </c>
      <c r="B1731" s="3" t="s">
        <v>11</v>
      </c>
      <c r="C1731" s="4">
        <v>45369</v>
      </c>
      <c r="D1731" s="3" t="s">
        <v>27</v>
      </c>
      <c r="E1731" s="3" t="s">
        <v>32</v>
      </c>
      <c r="F1731" s="5">
        <v>4</v>
      </c>
      <c r="G1731" s="6">
        <v>1.45</v>
      </c>
      <c r="H1731" s="6">
        <v>5.8</v>
      </c>
      <c r="I1731" s="6">
        <v>0</v>
      </c>
      <c r="J1731" s="6">
        <v>5.8</v>
      </c>
      <c r="K1731" s="5">
        <v>493</v>
      </c>
    </row>
    <row r="1732" spans="1:11" x14ac:dyDescent="0.3">
      <c r="A1732" s="3">
        <v>5380</v>
      </c>
      <c r="B1732" s="3" t="s">
        <v>36</v>
      </c>
      <c r="C1732" s="4">
        <v>45811</v>
      </c>
      <c r="D1732" s="3" t="s">
        <v>12</v>
      </c>
      <c r="E1732" s="3" t="s">
        <v>41</v>
      </c>
      <c r="F1732" s="5">
        <v>2</v>
      </c>
      <c r="G1732" s="6">
        <v>6.13</v>
      </c>
      <c r="H1732" s="6">
        <v>12.26</v>
      </c>
      <c r="I1732" s="6">
        <v>1.62</v>
      </c>
      <c r="J1732" s="6">
        <v>10.64</v>
      </c>
      <c r="K1732" s="5">
        <v>4</v>
      </c>
    </row>
    <row r="1733" spans="1:11" x14ac:dyDescent="0.3">
      <c r="A1733" s="3">
        <v>9428</v>
      </c>
      <c r="B1733" s="3" t="s">
        <v>26</v>
      </c>
      <c r="C1733" s="4">
        <v>45844</v>
      </c>
      <c r="D1733" s="3" t="s">
        <v>12</v>
      </c>
      <c r="E1733" s="3" t="s">
        <v>40</v>
      </c>
      <c r="F1733" s="5">
        <v>5</v>
      </c>
      <c r="G1733" s="6">
        <v>24.26</v>
      </c>
      <c r="H1733" s="6">
        <v>121.3</v>
      </c>
      <c r="I1733" s="6">
        <v>18.2</v>
      </c>
      <c r="J1733" s="6">
        <v>103.1</v>
      </c>
      <c r="K1733" s="5">
        <v>443</v>
      </c>
    </row>
    <row r="1734" spans="1:11" x14ac:dyDescent="0.3">
      <c r="A1734" s="3">
        <v>2560</v>
      </c>
      <c r="B1734" s="3" t="s">
        <v>24</v>
      </c>
      <c r="C1734" s="4">
        <v>45250</v>
      </c>
      <c r="D1734" s="3" t="s">
        <v>34</v>
      </c>
      <c r="E1734" s="3" t="s">
        <v>16</v>
      </c>
      <c r="F1734" s="5">
        <v>2</v>
      </c>
      <c r="G1734" s="6">
        <v>6.05</v>
      </c>
      <c r="H1734" s="6">
        <v>12.1</v>
      </c>
      <c r="I1734" s="6">
        <v>0</v>
      </c>
      <c r="J1734" s="6">
        <v>12.1</v>
      </c>
      <c r="K1734" s="5">
        <v>265</v>
      </c>
    </row>
    <row r="1735" spans="1:11" x14ac:dyDescent="0.3">
      <c r="A1735" s="3">
        <v>7743</v>
      </c>
      <c r="B1735" s="3" t="s">
        <v>19</v>
      </c>
      <c r="C1735" s="4">
        <v>45858</v>
      </c>
      <c r="D1735" s="3" t="s">
        <v>22</v>
      </c>
      <c r="E1735" s="3" t="s">
        <v>48</v>
      </c>
      <c r="F1735" s="5">
        <v>2</v>
      </c>
      <c r="G1735" s="6">
        <v>1.86</v>
      </c>
      <c r="H1735" s="6">
        <v>3.72</v>
      </c>
      <c r="I1735" s="6">
        <v>0.37</v>
      </c>
      <c r="J1735" s="6">
        <v>3.35</v>
      </c>
      <c r="K1735" s="5">
        <v>104</v>
      </c>
    </row>
    <row r="1736" spans="1:11" x14ac:dyDescent="0.3">
      <c r="A1736" s="3">
        <v>1971</v>
      </c>
      <c r="B1736" s="3" t="s">
        <v>36</v>
      </c>
      <c r="C1736" s="4">
        <v>45360</v>
      </c>
      <c r="D1736" s="3" t="s">
        <v>35</v>
      </c>
      <c r="E1736" s="3" t="s">
        <v>21</v>
      </c>
      <c r="F1736" s="5">
        <v>1</v>
      </c>
      <c r="G1736" s="6">
        <v>23.7</v>
      </c>
      <c r="H1736" s="6">
        <v>23.7</v>
      </c>
      <c r="I1736" s="6">
        <v>2.37</v>
      </c>
      <c r="J1736" s="6">
        <v>21.33</v>
      </c>
      <c r="K1736" s="5">
        <v>169</v>
      </c>
    </row>
    <row r="1737" spans="1:11" x14ac:dyDescent="0.3">
      <c r="A1737" s="3">
        <v>3078</v>
      </c>
      <c r="B1737" s="3" t="s">
        <v>31</v>
      </c>
      <c r="C1737" s="4">
        <v>45689</v>
      </c>
      <c r="D1737" s="3" t="s">
        <v>34</v>
      </c>
      <c r="E1737" s="3" t="s">
        <v>16</v>
      </c>
      <c r="F1737" s="5">
        <v>1</v>
      </c>
      <c r="G1737" s="6">
        <v>16.63</v>
      </c>
      <c r="H1737" s="6">
        <v>16.63</v>
      </c>
      <c r="I1737" s="6">
        <v>3.33</v>
      </c>
      <c r="J1737" s="6">
        <v>13.3</v>
      </c>
      <c r="K1737" s="5">
        <v>390</v>
      </c>
    </row>
    <row r="1738" spans="1:11" x14ac:dyDescent="0.3">
      <c r="A1738" s="3">
        <v>3174</v>
      </c>
      <c r="B1738" s="3" t="s">
        <v>11</v>
      </c>
      <c r="C1738" s="4">
        <v>45338</v>
      </c>
      <c r="D1738" s="3" t="s">
        <v>12</v>
      </c>
      <c r="E1738" s="3" t="s">
        <v>23</v>
      </c>
      <c r="F1738" s="5">
        <v>2</v>
      </c>
      <c r="G1738" s="6">
        <v>3.66</v>
      </c>
      <c r="H1738" s="6">
        <v>7.32</v>
      </c>
      <c r="I1738" s="6">
        <v>0.73</v>
      </c>
      <c r="J1738" s="6">
        <v>6.59</v>
      </c>
      <c r="K1738" s="5">
        <v>33</v>
      </c>
    </row>
    <row r="1739" spans="1:11" x14ac:dyDescent="0.3">
      <c r="A1739" s="3">
        <v>3396</v>
      </c>
      <c r="B1739" s="3" t="s">
        <v>26</v>
      </c>
      <c r="C1739" s="4">
        <v>45697</v>
      </c>
      <c r="D1739" s="3" t="s">
        <v>20</v>
      </c>
      <c r="E1739" s="3" t="s">
        <v>18</v>
      </c>
      <c r="F1739" s="5">
        <v>4</v>
      </c>
      <c r="G1739" s="6">
        <v>4.8899999999999997</v>
      </c>
      <c r="H1739" s="6">
        <v>19.559999999999999</v>
      </c>
      <c r="I1739" s="6">
        <v>2.93</v>
      </c>
      <c r="J1739" s="6">
        <v>16.63</v>
      </c>
      <c r="K1739" s="5">
        <v>308</v>
      </c>
    </row>
    <row r="1740" spans="1:11" x14ac:dyDescent="0.3">
      <c r="A1740" s="3">
        <v>6277</v>
      </c>
      <c r="B1740" s="3" t="s">
        <v>26</v>
      </c>
      <c r="C1740" s="4">
        <v>45788</v>
      </c>
      <c r="D1740" s="3" t="s">
        <v>45</v>
      </c>
      <c r="E1740" s="3" t="s">
        <v>13</v>
      </c>
      <c r="F1740" s="5">
        <v>2</v>
      </c>
      <c r="G1740" s="6">
        <v>10.35</v>
      </c>
      <c r="H1740" s="6">
        <v>20.7</v>
      </c>
      <c r="I1740" s="6">
        <v>3.67</v>
      </c>
      <c r="J1740" s="6">
        <v>17.03</v>
      </c>
      <c r="K1740" s="5">
        <v>276</v>
      </c>
    </row>
    <row r="1741" spans="1:11" x14ac:dyDescent="0.3">
      <c r="A1741" s="3">
        <v>5055</v>
      </c>
      <c r="B1741" s="3" t="s">
        <v>11</v>
      </c>
      <c r="C1741" s="4">
        <v>45736</v>
      </c>
      <c r="D1741" s="3" t="s">
        <v>45</v>
      </c>
      <c r="E1741" s="3" t="s">
        <v>47</v>
      </c>
      <c r="F1741" s="5">
        <v>5</v>
      </c>
      <c r="G1741" s="6">
        <v>6.68</v>
      </c>
      <c r="H1741" s="6">
        <v>33.4</v>
      </c>
      <c r="I1741" s="6">
        <v>6.68</v>
      </c>
      <c r="J1741" s="6">
        <v>26.72</v>
      </c>
      <c r="K1741" s="5">
        <v>112</v>
      </c>
    </row>
    <row r="1742" spans="1:11" x14ac:dyDescent="0.3">
      <c r="A1742" s="3">
        <v>7434</v>
      </c>
      <c r="B1742" s="3" t="s">
        <v>42</v>
      </c>
      <c r="C1742" s="4">
        <v>45525</v>
      </c>
      <c r="D1742" s="3" t="s">
        <v>27</v>
      </c>
      <c r="E1742" s="3" t="s">
        <v>43</v>
      </c>
      <c r="F1742" s="5">
        <v>1</v>
      </c>
      <c r="G1742" s="6">
        <v>21.79</v>
      </c>
      <c r="H1742" s="6">
        <v>21.79</v>
      </c>
      <c r="I1742" s="6">
        <v>4.3600000000000003</v>
      </c>
      <c r="J1742" s="6">
        <v>17.43</v>
      </c>
      <c r="K1742" s="5">
        <v>144</v>
      </c>
    </row>
    <row r="1743" spans="1:11" x14ac:dyDescent="0.3">
      <c r="A1743" s="3">
        <v>3329</v>
      </c>
      <c r="B1743" s="3" t="s">
        <v>42</v>
      </c>
      <c r="C1743" s="4">
        <v>45593</v>
      </c>
      <c r="D1743" s="3" t="s">
        <v>35</v>
      </c>
      <c r="E1743" s="3" t="s">
        <v>29</v>
      </c>
      <c r="F1743" s="5">
        <v>3</v>
      </c>
      <c r="G1743" s="6">
        <v>10.52</v>
      </c>
      <c r="H1743" s="6">
        <v>31.56</v>
      </c>
      <c r="I1743" s="6">
        <v>0</v>
      </c>
      <c r="J1743" s="6">
        <v>31.56</v>
      </c>
      <c r="K1743" s="5">
        <v>498</v>
      </c>
    </row>
    <row r="1744" spans="1:11" x14ac:dyDescent="0.3">
      <c r="A1744" s="3">
        <v>5402</v>
      </c>
      <c r="B1744" s="3" t="s">
        <v>14</v>
      </c>
      <c r="C1744" s="4">
        <v>45632</v>
      </c>
      <c r="D1744" s="3" t="s">
        <v>38</v>
      </c>
      <c r="E1744" s="3" t="s">
        <v>13</v>
      </c>
      <c r="F1744" s="5">
        <v>2</v>
      </c>
      <c r="G1744" s="6">
        <v>10.5</v>
      </c>
      <c r="H1744" s="6">
        <v>21</v>
      </c>
      <c r="I1744" s="6">
        <v>3.95</v>
      </c>
      <c r="J1744" s="6">
        <v>17.05</v>
      </c>
      <c r="K1744" s="5">
        <v>191</v>
      </c>
    </row>
    <row r="1745" spans="1:11" x14ac:dyDescent="0.3">
      <c r="A1745" s="3">
        <v>7786</v>
      </c>
      <c r="B1745" s="3" t="s">
        <v>31</v>
      </c>
      <c r="C1745" s="4">
        <v>45436</v>
      </c>
      <c r="D1745" s="3" t="s">
        <v>20</v>
      </c>
      <c r="E1745" s="3" t="s">
        <v>40</v>
      </c>
      <c r="F1745" s="5">
        <v>2</v>
      </c>
      <c r="G1745" s="6">
        <v>29.4</v>
      </c>
      <c r="H1745" s="6">
        <v>58.8</v>
      </c>
      <c r="I1745" s="6">
        <v>0</v>
      </c>
      <c r="J1745" s="6">
        <v>58.8</v>
      </c>
      <c r="K1745" s="5">
        <v>7</v>
      </c>
    </row>
    <row r="1746" spans="1:11" x14ac:dyDescent="0.3">
      <c r="A1746" s="3">
        <v>8405</v>
      </c>
      <c r="B1746" s="3" t="s">
        <v>31</v>
      </c>
      <c r="C1746" s="4">
        <v>45203</v>
      </c>
      <c r="D1746" s="3" t="s">
        <v>17</v>
      </c>
      <c r="E1746" s="3" t="s">
        <v>29</v>
      </c>
      <c r="F1746" s="5">
        <v>4</v>
      </c>
      <c r="G1746" s="6">
        <v>10.34</v>
      </c>
      <c r="H1746" s="6">
        <v>41.36</v>
      </c>
      <c r="I1746" s="6">
        <v>4.1399999999999997</v>
      </c>
      <c r="J1746" s="6">
        <v>37.22</v>
      </c>
      <c r="K1746" s="5">
        <v>292</v>
      </c>
    </row>
    <row r="1747" spans="1:11" x14ac:dyDescent="0.3">
      <c r="A1747" s="3">
        <v>2525</v>
      </c>
      <c r="B1747" s="3" t="s">
        <v>36</v>
      </c>
      <c r="C1747" s="4">
        <v>45457</v>
      </c>
      <c r="D1747" s="3" t="s">
        <v>17</v>
      </c>
      <c r="E1747" s="3" t="s">
        <v>32</v>
      </c>
      <c r="F1747" s="5">
        <v>4</v>
      </c>
      <c r="G1747" s="6">
        <v>29.78</v>
      </c>
      <c r="H1747" s="6">
        <v>119.12</v>
      </c>
      <c r="I1747" s="6">
        <v>2.76</v>
      </c>
      <c r="J1747" s="6">
        <v>116.36</v>
      </c>
      <c r="K1747" s="5">
        <v>232</v>
      </c>
    </row>
    <row r="1748" spans="1:11" x14ac:dyDescent="0.3">
      <c r="A1748" s="3">
        <v>9447</v>
      </c>
      <c r="B1748" s="3" t="s">
        <v>30</v>
      </c>
      <c r="C1748" s="4">
        <v>45727</v>
      </c>
      <c r="D1748" s="3" t="s">
        <v>27</v>
      </c>
      <c r="E1748" s="3" t="s">
        <v>46</v>
      </c>
      <c r="F1748" s="5">
        <v>3</v>
      </c>
      <c r="G1748" s="6">
        <v>10.77</v>
      </c>
      <c r="H1748" s="6">
        <v>32.31</v>
      </c>
      <c r="I1748" s="6">
        <v>4.8499999999999996</v>
      </c>
      <c r="J1748" s="6">
        <v>27.46</v>
      </c>
      <c r="K1748" s="5">
        <v>456</v>
      </c>
    </row>
    <row r="1749" spans="1:11" x14ac:dyDescent="0.3">
      <c r="A1749" s="3">
        <v>5558</v>
      </c>
      <c r="B1749" s="3" t="s">
        <v>36</v>
      </c>
      <c r="C1749" s="4">
        <v>45684</v>
      </c>
      <c r="D1749" s="3" t="s">
        <v>45</v>
      </c>
      <c r="E1749" s="3" t="s">
        <v>18</v>
      </c>
      <c r="F1749" s="5">
        <v>4</v>
      </c>
      <c r="G1749" s="6">
        <v>20.22</v>
      </c>
      <c r="H1749" s="6">
        <v>80.88</v>
      </c>
      <c r="I1749" s="6">
        <v>2.0499999999999998</v>
      </c>
      <c r="J1749" s="6">
        <v>78.83</v>
      </c>
      <c r="K1749" s="5">
        <v>342</v>
      </c>
    </row>
    <row r="1750" spans="1:11" x14ac:dyDescent="0.3">
      <c r="A1750" s="3">
        <v>7046</v>
      </c>
      <c r="B1750" s="3" t="s">
        <v>36</v>
      </c>
      <c r="C1750" s="4">
        <v>45498</v>
      </c>
      <c r="D1750" s="3" t="s">
        <v>20</v>
      </c>
      <c r="E1750" s="3" t="s">
        <v>39</v>
      </c>
      <c r="F1750" s="5">
        <v>5</v>
      </c>
      <c r="G1750" s="6">
        <v>4.6500000000000004</v>
      </c>
      <c r="H1750" s="6">
        <v>23.25</v>
      </c>
      <c r="I1750" s="6">
        <v>1.48</v>
      </c>
      <c r="J1750" s="6">
        <v>21.77</v>
      </c>
      <c r="K1750" s="5">
        <v>116</v>
      </c>
    </row>
    <row r="1751" spans="1:11" x14ac:dyDescent="0.3">
      <c r="A1751" s="3">
        <v>8996</v>
      </c>
      <c r="B1751" s="3" t="s">
        <v>30</v>
      </c>
      <c r="C1751" s="4">
        <v>45399</v>
      </c>
      <c r="D1751" s="3" t="s">
        <v>34</v>
      </c>
      <c r="E1751" s="3" t="s">
        <v>23</v>
      </c>
      <c r="F1751" s="5">
        <v>3</v>
      </c>
      <c r="G1751" s="6">
        <v>14.11</v>
      </c>
      <c r="H1751" s="6">
        <v>42.33</v>
      </c>
      <c r="I1751" s="6">
        <v>1.73</v>
      </c>
      <c r="J1751" s="6">
        <v>40.6</v>
      </c>
      <c r="K1751" s="5">
        <v>283</v>
      </c>
    </row>
    <row r="1752" spans="1:11" x14ac:dyDescent="0.3">
      <c r="A1752" s="3">
        <v>1040</v>
      </c>
      <c r="B1752" s="3" t="s">
        <v>14</v>
      </c>
      <c r="C1752" s="4">
        <v>45819</v>
      </c>
      <c r="D1752" s="3" t="s">
        <v>17</v>
      </c>
      <c r="E1752" s="3" t="s">
        <v>41</v>
      </c>
      <c r="F1752" s="5">
        <v>2</v>
      </c>
      <c r="G1752" s="6">
        <v>23.49</v>
      </c>
      <c r="H1752" s="6">
        <v>46.98</v>
      </c>
      <c r="I1752" s="6">
        <v>3.4</v>
      </c>
      <c r="J1752" s="6">
        <v>43.58</v>
      </c>
      <c r="K1752" s="5">
        <v>101</v>
      </c>
    </row>
    <row r="1753" spans="1:11" x14ac:dyDescent="0.3">
      <c r="A1753" s="3">
        <v>2526</v>
      </c>
      <c r="B1753" s="3" t="s">
        <v>19</v>
      </c>
      <c r="C1753" s="4">
        <v>45712</v>
      </c>
      <c r="D1753" s="3" t="s">
        <v>28</v>
      </c>
      <c r="E1753" s="3" t="s">
        <v>46</v>
      </c>
      <c r="F1753" s="5">
        <v>5</v>
      </c>
      <c r="G1753" s="6">
        <v>2.35</v>
      </c>
      <c r="H1753" s="6">
        <v>11.75</v>
      </c>
      <c r="I1753" s="6">
        <v>1.92</v>
      </c>
      <c r="J1753" s="6">
        <v>9.83</v>
      </c>
      <c r="K1753" s="5">
        <v>272</v>
      </c>
    </row>
    <row r="1754" spans="1:11" x14ac:dyDescent="0.3">
      <c r="A1754" s="3">
        <v>8511</v>
      </c>
      <c r="B1754" s="3" t="s">
        <v>14</v>
      </c>
      <c r="C1754" s="4">
        <v>45638</v>
      </c>
      <c r="D1754" s="3" t="s">
        <v>34</v>
      </c>
      <c r="E1754" s="3" t="s">
        <v>23</v>
      </c>
      <c r="F1754" s="5">
        <v>2</v>
      </c>
      <c r="G1754" s="6">
        <v>3.89</v>
      </c>
      <c r="H1754" s="6">
        <v>7.78</v>
      </c>
      <c r="I1754" s="6">
        <v>0</v>
      </c>
      <c r="J1754" s="6">
        <v>7.78</v>
      </c>
      <c r="K1754" s="5">
        <v>84</v>
      </c>
    </row>
    <row r="1755" spans="1:11" x14ac:dyDescent="0.3">
      <c r="A1755" s="3">
        <v>6869</v>
      </c>
      <c r="B1755" s="3" t="s">
        <v>19</v>
      </c>
      <c r="C1755" s="4">
        <v>45805</v>
      </c>
      <c r="D1755" s="3" t="s">
        <v>38</v>
      </c>
      <c r="E1755" s="3" t="s">
        <v>16</v>
      </c>
      <c r="F1755" s="5">
        <v>2</v>
      </c>
      <c r="G1755" s="6">
        <v>9.06</v>
      </c>
      <c r="H1755" s="6">
        <v>18.12</v>
      </c>
      <c r="I1755" s="6">
        <v>2.72</v>
      </c>
      <c r="J1755" s="6">
        <v>15.4</v>
      </c>
      <c r="K1755" s="5">
        <v>491</v>
      </c>
    </row>
    <row r="1756" spans="1:11" x14ac:dyDescent="0.3">
      <c r="A1756" s="3">
        <v>2037</v>
      </c>
      <c r="B1756" s="3" t="s">
        <v>24</v>
      </c>
      <c r="C1756" s="4">
        <v>45763</v>
      </c>
      <c r="D1756" s="3" t="s">
        <v>38</v>
      </c>
      <c r="E1756" s="3" t="s">
        <v>16</v>
      </c>
      <c r="F1756" s="5">
        <v>4</v>
      </c>
      <c r="G1756" s="6">
        <v>14.56</v>
      </c>
      <c r="H1756" s="6">
        <v>58.24</v>
      </c>
      <c r="I1756" s="6">
        <v>1.3</v>
      </c>
      <c r="J1756" s="6">
        <v>56.94</v>
      </c>
      <c r="K1756" s="5">
        <v>69</v>
      </c>
    </row>
    <row r="1757" spans="1:11" x14ac:dyDescent="0.3">
      <c r="A1757" s="3">
        <v>9756</v>
      </c>
      <c r="B1757" s="3" t="s">
        <v>14</v>
      </c>
      <c r="C1757" s="4">
        <v>45453</v>
      </c>
      <c r="D1757" s="3" t="s">
        <v>27</v>
      </c>
      <c r="E1757" s="3" t="s">
        <v>37</v>
      </c>
      <c r="F1757" s="5">
        <v>2</v>
      </c>
      <c r="G1757" s="6">
        <v>27.76</v>
      </c>
      <c r="H1757" s="6">
        <v>55.52</v>
      </c>
      <c r="I1757" s="6">
        <v>4.0199999999999996</v>
      </c>
      <c r="J1757" s="6">
        <v>51.5</v>
      </c>
      <c r="K1757" s="5">
        <v>313</v>
      </c>
    </row>
    <row r="1758" spans="1:11" x14ac:dyDescent="0.3">
      <c r="A1758" s="3">
        <v>4568</v>
      </c>
      <c r="B1758" s="3" t="s">
        <v>19</v>
      </c>
      <c r="C1758" s="4">
        <v>45478</v>
      </c>
      <c r="D1758" s="3" t="s">
        <v>34</v>
      </c>
      <c r="E1758" s="3" t="s">
        <v>47</v>
      </c>
      <c r="F1758" s="5">
        <v>2</v>
      </c>
      <c r="G1758" s="6">
        <v>23.16</v>
      </c>
      <c r="H1758" s="6">
        <v>46.32</v>
      </c>
      <c r="I1758" s="6">
        <v>4.63</v>
      </c>
      <c r="J1758" s="6">
        <v>41.69</v>
      </c>
      <c r="K1758" s="5">
        <v>413</v>
      </c>
    </row>
    <row r="1759" spans="1:11" x14ac:dyDescent="0.3">
      <c r="A1759" s="3">
        <v>4470</v>
      </c>
      <c r="B1759" s="3" t="s">
        <v>19</v>
      </c>
      <c r="C1759" s="4">
        <v>45529</v>
      </c>
      <c r="D1759" s="3" t="s">
        <v>27</v>
      </c>
      <c r="E1759" s="3" t="s">
        <v>16</v>
      </c>
      <c r="F1759" s="5">
        <v>4</v>
      </c>
      <c r="G1759" s="6">
        <v>18.14</v>
      </c>
      <c r="H1759" s="6">
        <v>72.56</v>
      </c>
      <c r="I1759" s="6">
        <v>1.91</v>
      </c>
      <c r="J1759" s="6">
        <v>70.650000000000006</v>
      </c>
      <c r="K1759" s="5">
        <v>127</v>
      </c>
    </row>
    <row r="1760" spans="1:11" x14ac:dyDescent="0.3">
      <c r="A1760" s="3">
        <v>5399</v>
      </c>
      <c r="B1760" s="3" t="s">
        <v>30</v>
      </c>
      <c r="C1760" s="4">
        <v>45395</v>
      </c>
      <c r="D1760" s="3" t="s">
        <v>34</v>
      </c>
      <c r="E1760" s="3" t="s">
        <v>32</v>
      </c>
      <c r="F1760" s="5">
        <v>1</v>
      </c>
      <c r="G1760" s="6">
        <v>22.04</v>
      </c>
      <c r="H1760" s="6">
        <v>22.04</v>
      </c>
      <c r="I1760" s="6">
        <v>4.41</v>
      </c>
      <c r="J1760" s="6">
        <v>17.63</v>
      </c>
      <c r="K1760" s="5">
        <v>299</v>
      </c>
    </row>
    <row r="1761" spans="1:11" x14ac:dyDescent="0.3">
      <c r="A1761" s="3">
        <v>5646</v>
      </c>
      <c r="B1761" s="3" t="s">
        <v>26</v>
      </c>
      <c r="C1761" s="4">
        <v>45407</v>
      </c>
      <c r="D1761" s="3" t="s">
        <v>34</v>
      </c>
      <c r="E1761" s="3" t="s">
        <v>13</v>
      </c>
      <c r="F1761" s="5">
        <v>3</v>
      </c>
      <c r="G1761" s="6">
        <v>1.3</v>
      </c>
      <c r="H1761" s="6">
        <v>3.9</v>
      </c>
      <c r="I1761" s="6">
        <v>1.41</v>
      </c>
      <c r="J1761" s="6">
        <v>2.4900000000000002</v>
      </c>
      <c r="K1761" s="5">
        <v>60</v>
      </c>
    </row>
    <row r="1762" spans="1:11" x14ac:dyDescent="0.3">
      <c r="A1762" s="3">
        <v>9967</v>
      </c>
      <c r="B1762" s="3" t="s">
        <v>26</v>
      </c>
      <c r="C1762" s="4">
        <v>45593</v>
      </c>
      <c r="D1762" s="3" t="s">
        <v>17</v>
      </c>
      <c r="E1762" s="3" t="s">
        <v>33</v>
      </c>
      <c r="F1762" s="5">
        <v>3</v>
      </c>
      <c r="G1762" s="6">
        <v>24.83</v>
      </c>
      <c r="H1762" s="6">
        <v>74.489999999999995</v>
      </c>
      <c r="I1762" s="6">
        <v>14.9</v>
      </c>
      <c r="J1762" s="6">
        <v>59.59</v>
      </c>
      <c r="K1762" s="5">
        <v>277</v>
      </c>
    </row>
    <row r="1763" spans="1:11" x14ac:dyDescent="0.3">
      <c r="A1763" s="3">
        <v>3139</v>
      </c>
      <c r="B1763" s="3" t="s">
        <v>11</v>
      </c>
      <c r="C1763" s="4">
        <v>45584</v>
      </c>
      <c r="D1763" s="3" t="s">
        <v>22</v>
      </c>
      <c r="E1763" s="3" t="s">
        <v>13</v>
      </c>
      <c r="F1763" s="5">
        <v>1</v>
      </c>
      <c r="G1763" s="6">
        <v>12.05</v>
      </c>
      <c r="H1763" s="6">
        <v>12.05</v>
      </c>
      <c r="I1763" s="6">
        <v>3.51</v>
      </c>
      <c r="J1763" s="6">
        <v>8.5399999999999991</v>
      </c>
      <c r="K1763" s="5">
        <v>456</v>
      </c>
    </row>
    <row r="1764" spans="1:11" x14ac:dyDescent="0.3">
      <c r="A1764" s="3">
        <v>8951</v>
      </c>
      <c r="B1764" s="3" t="s">
        <v>24</v>
      </c>
      <c r="C1764" s="4">
        <v>45757</v>
      </c>
      <c r="D1764" s="3" t="s">
        <v>28</v>
      </c>
      <c r="E1764" s="3" t="s">
        <v>29</v>
      </c>
      <c r="F1764" s="5">
        <v>4</v>
      </c>
      <c r="G1764" s="6">
        <v>22.99</v>
      </c>
      <c r="H1764" s="6">
        <v>91.96</v>
      </c>
      <c r="I1764" s="6">
        <v>4.99</v>
      </c>
      <c r="J1764" s="6">
        <v>86.97</v>
      </c>
      <c r="K1764" s="5">
        <v>115</v>
      </c>
    </row>
    <row r="1765" spans="1:11" x14ac:dyDescent="0.3">
      <c r="A1765" s="3">
        <v>6631</v>
      </c>
      <c r="B1765" s="3" t="s">
        <v>36</v>
      </c>
      <c r="C1765" s="4">
        <v>45839</v>
      </c>
      <c r="D1765" s="3" t="s">
        <v>17</v>
      </c>
      <c r="E1765" s="3" t="s">
        <v>47</v>
      </c>
      <c r="F1765" s="5">
        <v>4</v>
      </c>
      <c r="G1765" s="6">
        <v>13.22</v>
      </c>
      <c r="H1765" s="6">
        <v>52.88</v>
      </c>
      <c r="I1765" s="6">
        <v>7.93</v>
      </c>
      <c r="J1765" s="6">
        <v>44.95</v>
      </c>
      <c r="K1765" s="5">
        <v>326</v>
      </c>
    </row>
    <row r="1766" spans="1:11" x14ac:dyDescent="0.3">
      <c r="A1766" s="3">
        <v>1793</v>
      </c>
      <c r="B1766" s="3" t="s">
        <v>30</v>
      </c>
      <c r="C1766" s="4">
        <v>45180</v>
      </c>
      <c r="D1766" s="3" t="s">
        <v>35</v>
      </c>
      <c r="E1766" s="3" t="s">
        <v>46</v>
      </c>
      <c r="F1766" s="5">
        <v>3</v>
      </c>
      <c r="G1766" s="6">
        <v>13.16</v>
      </c>
      <c r="H1766" s="6">
        <v>39.479999999999997</v>
      </c>
      <c r="I1766" s="6">
        <v>5.92</v>
      </c>
      <c r="J1766" s="6">
        <v>33.56</v>
      </c>
      <c r="K1766" s="5">
        <v>428</v>
      </c>
    </row>
    <row r="1767" spans="1:11" x14ac:dyDescent="0.3">
      <c r="A1767" s="3">
        <v>2631</v>
      </c>
      <c r="B1767" s="3" t="s">
        <v>11</v>
      </c>
      <c r="C1767" s="4">
        <v>45631</v>
      </c>
      <c r="D1767" s="3" t="s">
        <v>12</v>
      </c>
      <c r="E1767" s="3" t="s">
        <v>48</v>
      </c>
      <c r="F1767" s="5">
        <v>4</v>
      </c>
      <c r="G1767" s="6">
        <v>8.0299999999999994</v>
      </c>
      <c r="H1767" s="6">
        <v>32.119999999999997</v>
      </c>
      <c r="I1767" s="6">
        <v>2.74</v>
      </c>
      <c r="J1767" s="6">
        <v>29.38</v>
      </c>
      <c r="K1767" s="5">
        <v>253</v>
      </c>
    </row>
    <row r="1768" spans="1:11" x14ac:dyDescent="0.3">
      <c r="A1768" s="3">
        <v>8529</v>
      </c>
      <c r="B1768" s="3" t="s">
        <v>30</v>
      </c>
      <c r="C1768" s="4">
        <v>45157</v>
      </c>
      <c r="D1768" s="3" t="s">
        <v>15</v>
      </c>
      <c r="E1768" s="3" t="s">
        <v>47</v>
      </c>
      <c r="F1768" s="5">
        <v>5</v>
      </c>
      <c r="G1768" s="6">
        <v>18.579999999999998</v>
      </c>
      <c r="H1768" s="6">
        <v>92.9</v>
      </c>
      <c r="I1768" s="6">
        <v>3.08</v>
      </c>
      <c r="J1768" s="6">
        <v>89.82</v>
      </c>
      <c r="K1768" s="5">
        <v>289</v>
      </c>
    </row>
    <row r="1769" spans="1:11" x14ac:dyDescent="0.3">
      <c r="A1769" s="3">
        <v>3035</v>
      </c>
      <c r="B1769" s="3" t="s">
        <v>24</v>
      </c>
      <c r="C1769" s="4">
        <v>45866</v>
      </c>
      <c r="D1769" s="3" t="s">
        <v>12</v>
      </c>
      <c r="E1769" s="3" t="s">
        <v>48</v>
      </c>
      <c r="F1769" s="5">
        <v>5</v>
      </c>
      <c r="G1769" s="6">
        <v>25.3</v>
      </c>
      <c r="H1769" s="6">
        <v>126.5</v>
      </c>
      <c r="I1769" s="6">
        <v>1.38</v>
      </c>
      <c r="J1769" s="6">
        <v>125.12</v>
      </c>
      <c r="K1769" s="5">
        <v>329</v>
      </c>
    </row>
    <row r="1770" spans="1:11" x14ac:dyDescent="0.3">
      <c r="A1770" s="3">
        <v>3588</v>
      </c>
      <c r="B1770" s="3" t="s">
        <v>42</v>
      </c>
      <c r="C1770" s="4">
        <v>45487</v>
      </c>
      <c r="D1770" s="3" t="s">
        <v>22</v>
      </c>
      <c r="E1770" s="3" t="s">
        <v>16</v>
      </c>
      <c r="F1770" s="5">
        <v>4</v>
      </c>
      <c r="G1770" s="6">
        <v>21.82</v>
      </c>
      <c r="H1770" s="6">
        <v>87.28</v>
      </c>
      <c r="I1770" s="6">
        <v>0</v>
      </c>
      <c r="J1770" s="6">
        <v>87.28</v>
      </c>
      <c r="K1770" s="5">
        <v>20</v>
      </c>
    </row>
    <row r="1771" spans="1:11" x14ac:dyDescent="0.3">
      <c r="A1771" s="3">
        <v>8479</v>
      </c>
      <c r="B1771" s="3" t="s">
        <v>26</v>
      </c>
      <c r="C1771" s="4">
        <v>45145</v>
      </c>
      <c r="D1771" s="3" t="s">
        <v>45</v>
      </c>
      <c r="E1771" s="3" t="s">
        <v>46</v>
      </c>
      <c r="F1771" s="5">
        <v>1</v>
      </c>
      <c r="G1771" s="6">
        <v>28.26</v>
      </c>
      <c r="H1771" s="6">
        <v>28.26</v>
      </c>
      <c r="I1771" s="6">
        <v>0</v>
      </c>
      <c r="J1771" s="6">
        <v>28.26</v>
      </c>
      <c r="K1771" s="5">
        <v>416</v>
      </c>
    </row>
    <row r="1772" spans="1:11" x14ac:dyDescent="0.3">
      <c r="A1772" s="3">
        <v>8009</v>
      </c>
      <c r="B1772" s="3" t="s">
        <v>31</v>
      </c>
      <c r="C1772" s="4">
        <v>45302</v>
      </c>
      <c r="D1772" s="3" t="s">
        <v>17</v>
      </c>
      <c r="E1772" s="3" t="s">
        <v>29</v>
      </c>
      <c r="F1772" s="5">
        <v>1</v>
      </c>
      <c r="G1772" s="6">
        <v>19.28</v>
      </c>
      <c r="H1772" s="6">
        <v>19.28</v>
      </c>
      <c r="I1772" s="6">
        <v>2.89</v>
      </c>
      <c r="J1772" s="6">
        <v>16.39</v>
      </c>
      <c r="K1772" s="5">
        <v>168</v>
      </c>
    </row>
    <row r="1773" spans="1:11" x14ac:dyDescent="0.3">
      <c r="A1773" s="3">
        <v>3161</v>
      </c>
      <c r="B1773" s="3" t="s">
        <v>24</v>
      </c>
      <c r="C1773" s="4">
        <v>45830</v>
      </c>
      <c r="D1773" s="3" t="s">
        <v>12</v>
      </c>
      <c r="E1773" s="3" t="s">
        <v>33</v>
      </c>
      <c r="F1773" s="5">
        <v>3</v>
      </c>
      <c r="G1773" s="6">
        <v>11.39</v>
      </c>
      <c r="H1773" s="6">
        <v>34.17</v>
      </c>
      <c r="I1773" s="6">
        <v>5.13</v>
      </c>
      <c r="J1773" s="6">
        <v>29.04</v>
      </c>
      <c r="K1773" s="5">
        <v>349</v>
      </c>
    </row>
    <row r="1774" spans="1:11" x14ac:dyDescent="0.3">
      <c r="A1774" s="3">
        <v>5945</v>
      </c>
      <c r="B1774" s="3" t="s">
        <v>42</v>
      </c>
      <c r="C1774" s="4">
        <v>45268</v>
      </c>
      <c r="D1774" s="3" t="s">
        <v>35</v>
      </c>
      <c r="E1774" s="3" t="s">
        <v>33</v>
      </c>
      <c r="F1774" s="5">
        <v>1</v>
      </c>
      <c r="G1774" s="6">
        <v>10.4</v>
      </c>
      <c r="H1774" s="6">
        <v>10.4</v>
      </c>
      <c r="I1774" s="6">
        <v>2.08</v>
      </c>
      <c r="J1774" s="6">
        <v>8.32</v>
      </c>
      <c r="K1774" s="5">
        <v>357</v>
      </c>
    </row>
    <row r="1775" spans="1:11" x14ac:dyDescent="0.3">
      <c r="A1775" s="3">
        <v>5489</v>
      </c>
      <c r="B1775" s="3" t="s">
        <v>42</v>
      </c>
      <c r="C1775" s="4">
        <v>45217</v>
      </c>
      <c r="D1775" s="3" t="s">
        <v>38</v>
      </c>
      <c r="E1775" s="3" t="s">
        <v>18</v>
      </c>
      <c r="F1775" s="5">
        <v>3</v>
      </c>
      <c r="G1775" s="6">
        <v>22.47</v>
      </c>
      <c r="H1775" s="6">
        <v>67.41</v>
      </c>
      <c r="I1775" s="6">
        <v>13.48</v>
      </c>
      <c r="J1775" s="6">
        <v>53.93</v>
      </c>
      <c r="K1775" s="5">
        <v>385</v>
      </c>
    </row>
    <row r="1776" spans="1:11" x14ac:dyDescent="0.3">
      <c r="A1776" s="3">
        <v>6905</v>
      </c>
      <c r="B1776" s="3" t="s">
        <v>26</v>
      </c>
      <c r="C1776" s="4">
        <v>45339</v>
      </c>
      <c r="D1776" s="3" t="s">
        <v>15</v>
      </c>
      <c r="E1776" s="3" t="s">
        <v>21</v>
      </c>
      <c r="F1776" s="5">
        <v>3</v>
      </c>
      <c r="G1776" s="6">
        <v>18.87</v>
      </c>
      <c r="H1776" s="6">
        <v>56.61</v>
      </c>
      <c r="I1776" s="6">
        <v>8.49</v>
      </c>
      <c r="J1776" s="6">
        <v>48.12</v>
      </c>
      <c r="K1776" s="5">
        <v>378</v>
      </c>
    </row>
    <row r="1777" spans="1:11" x14ac:dyDescent="0.3">
      <c r="A1777" s="3">
        <v>2350</v>
      </c>
      <c r="B1777" s="3" t="s">
        <v>30</v>
      </c>
      <c r="C1777" s="4">
        <v>45433</v>
      </c>
      <c r="D1777" s="3" t="s">
        <v>15</v>
      </c>
      <c r="E1777" s="3" t="s">
        <v>43</v>
      </c>
      <c r="F1777" s="5">
        <v>4</v>
      </c>
      <c r="G1777" s="6">
        <v>10.06</v>
      </c>
      <c r="H1777" s="6">
        <v>40.24</v>
      </c>
      <c r="I1777" s="6">
        <v>4.0199999999999996</v>
      </c>
      <c r="J1777" s="6">
        <v>36.22</v>
      </c>
      <c r="K1777" s="5">
        <v>254</v>
      </c>
    </row>
    <row r="1778" spans="1:11" x14ac:dyDescent="0.3">
      <c r="A1778" s="3">
        <v>3711</v>
      </c>
      <c r="B1778" s="3" t="s">
        <v>42</v>
      </c>
      <c r="C1778" s="4">
        <v>45185</v>
      </c>
      <c r="D1778" s="3" t="s">
        <v>35</v>
      </c>
      <c r="E1778" s="3" t="s">
        <v>47</v>
      </c>
      <c r="F1778" s="5">
        <v>3</v>
      </c>
      <c r="G1778" s="6">
        <v>10.76</v>
      </c>
      <c r="H1778" s="6">
        <v>32.28</v>
      </c>
      <c r="I1778" s="6">
        <v>6.46</v>
      </c>
      <c r="J1778" s="6">
        <v>25.82</v>
      </c>
      <c r="K1778" s="5">
        <v>224</v>
      </c>
    </row>
    <row r="1779" spans="1:11" x14ac:dyDescent="0.3">
      <c r="A1779" s="3">
        <v>7493</v>
      </c>
      <c r="B1779" s="3" t="s">
        <v>19</v>
      </c>
      <c r="C1779" s="4">
        <v>45630</v>
      </c>
      <c r="D1779" s="3" t="s">
        <v>22</v>
      </c>
      <c r="E1779" s="3" t="s">
        <v>39</v>
      </c>
      <c r="F1779" s="5">
        <v>1</v>
      </c>
      <c r="G1779" s="6">
        <v>6.49</v>
      </c>
      <c r="H1779" s="6">
        <v>6.49</v>
      </c>
      <c r="I1779" s="6">
        <v>3.15</v>
      </c>
      <c r="J1779" s="6">
        <v>3.34</v>
      </c>
      <c r="K1779" s="5">
        <v>158</v>
      </c>
    </row>
    <row r="1780" spans="1:11" x14ac:dyDescent="0.3">
      <c r="A1780" s="3">
        <v>6005</v>
      </c>
      <c r="B1780" s="3" t="s">
        <v>24</v>
      </c>
      <c r="C1780" s="4">
        <v>45708</v>
      </c>
      <c r="D1780" s="3" t="s">
        <v>28</v>
      </c>
      <c r="E1780" s="3" t="s">
        <v>43</v>
      </c>
      <c r="F1780" s="5">
        <v>2</v>
      </c>
      <c r="G1780" s="6">
        <v>3.7</v>
      </c>
      <c r="H1780" s="6">
        <v>7.4</v>
      </c>
      <c r="I1780" s="6">
        <v>1.1100000000000001</v>
      </c>
      <c r="J1780" s="6">
        <v>6.29</v>
      </c>
      <c r="K1780" s="5">
        <v>364</v>
      </c>
    </row>
    <row r="1781" spans="1:11" x14ac:dyDescent="0.3">
      <c r="A1781" s="3">
        <v>4836</v>
      </c>
      <c r="B1781" s="3" t="s">
        <v>19</v>
      </c>
      <c r="C1781" s="4">
        <v>45478</v>
      </c>
      <c r="D1781" s="3" t="s">
        <v>22</v>
      </c>
      <c r="E1781" s="3" t="s">
        <v>18</v>
      </c>
      <c r="F1781" s="5">
        <v>3</v>
      </c>
      <c r="G1781" s="6">
        <v>12.5</v>
      </c>
      <c r="H1781" s="6">
        <v>37.5</v>
      </c>
      <c r="I1781" s="6">
        <v>4.38</v>
      </c>
      <c r="J1781" s="6">
        <v>33.119999999999997</v>
      </c>
      <c r="K1781" s="5">
        <v>471</v>
      </c>
    </row>
    <row r="1782" spans="1:11" x14ac:dyDescent="0.3">
      <c r="A1782" s="3">
        <v>2494</v>
      </c>
      <c r="B1782" s="3" t="s">
        <v>30</v>
      </c>
      <c r="C1782" s="4">
        <v>45691</v>
      </c>
      <c r="D1782" s="3" t="s">
        <v>28</v>
      </c>
      <c r="E1782" s="3" t="s">
        <v>43</v>
      </c>
      <c r="F1782" s="5">
        <v>3</v>
      </c>
      <c r="G1782" s="6">
        <v>29.97</v>
      </c>
      <c r="H1782" s="6">
        <v>89.91</v>
      </c>
      <c r="I1782" s="6">
        <v>17.98</v>
      </c>
      <c r="J1782" s="6">
        <v>71.930000000000007</v>
      </c>
      <c r="K1782" s="5">
        <v>226</v>
      </c>
    </row>
    <row r="1783" spans="1:11" x14ac:dyDescent="0.3">
      <c r="A1783" s="3">
        <v>2559</v>
      </c>
      <c r="B1783" s="3" t="s">
        <v>14</v>
      </c>
      <c r="C1783" s="4">
        <v>45145</v>
      </c>
      <c r="D1783" s="3" t="s">
        <v>34</v>
      </c>
      <c r="E1783" s="3" t="s">
        <v>13</v>
      </c>
      <c r="F1783" s="5">
        <v>1</v>
      </c>
      <c r="G1783" s="6">
        <v>15.33</v>
      </c>
      <c r="H1783" s="6">
        <v>15.33</v>
      </c>
      <c r="I1783" s="6">
        <v>3.07</v>
      </c>
      <c r="J1783" s="6">
        <v>12.26</v>
      </c>
      <c r="K1783" s="5">
        <v>426</v>
      </c>
    </row>
    <row r="1784" spans="1:11" x14ac:dyDescent="0.3">
      <c r="A1784" s="3">
        <v>4496</v>
      </c>
      <c r="B1784" s="3" t="s">
        <v>42</v>
      </c>
      <c r="C1784" s="4">
        <v>45515</v>
      </c>
      <c r="D1784" s="3" t="s">
        <v>45</v>
      </c>
      <c r="E1784" s="3" t="s">
        <v>44</v>
      </c>
      <c r="F1784" s="5">
        <v>2</v>
      </c>
      <c r="G1784" s="6">
        <v>1.35</v>
      </c>
      <c r="H1784" s="6">
        <v>2.7</v>
      </c>
      <c r="I1784" s="6">
        <v>2.93</v>
      </c>
      <c r="J1784" s="6">
        <v>-0.23</v>
      </c>
      <c r="K1784" s="5">
        <v>124</v>
      </c>
    </row>
    <row r="1785" spans="1:11" x14ac:dyDescent="0.3">
      <c r="A1785" s="3">
        <v>2276</v>
      </c>
      <c r="B1785" s="3" t="s">
        <v>26</v>
      </c>
      <c r="C1785" s="4">
        <v>45248</v>
      </c>
      <c r="D1785" s="3" t="s">
        <v>20</v>
      </c>
      <c r="E1785" s="3" t="s">
        <v>18</v>
      </c>
      <c r="F1785" s="5">
        <v>5</v>
      </c>
      <c r="G1785" s="6">
        <v>29.94</v>
      </c>
      <c r="H1785" s="6">
        <v>149.69999999999999</v>
      </c>
      <c r="I1785" s="6">
        <v>29.94</v>
      </c>
      <c r="J1785" s="6">
        <v>119.76</v>
      </c>
      <c r="K1785" s="5">
        <v>98</v>
      </c>
    </row>
    <row r="1786" spans="1:11" x14ac:dyDescent="0.3">
      <c r="A1786" s="3">
        <v>4705</v>
      </c>
      <c r="B1786" s="3" t="s">
        <v>14</v>
      </c>
      <c r="C1786" s="4">
        <v>45548</v>
      </c>
      <c r="D1786" s="3" t="s">
        <v>28</v>
      </c>
      <c r="E1786" s="3" t="s">
        <v>32</v>
      </c>
      <c r="F1786" s="5">
        <v>5</v>
      </c>
      <c r="G1786" s="6">
        <v>26.76</v>
      </c>
      <c r="H1786" s="6">
        <v>133.80000000000001</v>
      </c>
      <c r="I1786" s="6">
        <v>0</v>
      </c>
      <c r="J1786" s="6">
        <v>133.80000000000001</v>
      </c>
      <c r="K1786" s="5">
        <v>198</v>
      </c>
    </row>
    <row r="1787" spans="1:11" x14ac:dyDescent="0.3">
      <c r="A1787" s="3">
        <v>8291</v>
      </c>
      <c r="B1787" s="3" t="s">
        <v>36</v>
      </c>
      <c r="C1787" s="4">
        <v>45152</v>
      </c>
      <c r="D1787" s="3" t="s">
        <v>35</v>
      </c>
      <c r="E1787" s="3" t="s">
        <v>16</v>
      </c>
      <c r="F1787" s="5">
        <v>3</v>
      </c>
      <c r="G1787" s="6">
        <v>11.56</v>
      </c>
      <c r="H1787" s="6">
        <v>34.68</v>
      </c>
      <c r="I1787" s="6">
        <v>5.2</v>
      </c>
      <c r="J1787" s="6">
        <v>29.48</v>
      </c>
      <c r="K1787" s="5">
        <v>473</v>
      </c>
    </row>
    <row r="1788" spans="1:11" x14ac:dyDescent="0.3">
      <c r="A1788" s="3">
        <v>1132</v>
      </c>
      <c r="B1788" s="3" t="s">
        <v>14</v>
      </c>
      <c r="C1788" s="4">
        <v>45685</v>
      </c>
      <c r="D1788" s="3" t="s">
        <v>22</v>
      </c>
      <c r="E1788" s="3" t="s">
        <v>43</v>
      </c>
      <c r="F1788" s="5">
        <v>2</v>
      </c>
      <c r="G1788" s="6">
        <v>10.32</v>
      </c>
      <c r="H1788" s="6">
        <v>20.64</v>
      </c>
      <c r="I1788" s="6">
        <v>3.32</v>
      </c>
      <c r="J1788" s="6">
        <v>17.32</v>
      </c>
      <c r="K1788" s="5">
        <v>423</v>
      </c>
    </row>
    <row r="1789" spans="1:11" x14ac:dyDescent="0.3">
      <c r="A1789" s="3">
        <v>6629</v>
      </c>
      <c r="B1789" s="3" t="s">
        <v>11</v>
      </c>
      <c r="C1789" s="4">
        <v>45779</v>
      </c>
      <c r="D1789" s="3" t="s">
        <v>38</v>
      </c>
      <c r="E1789" s="3" t="s">
        <v>47</v>
      </c>
      <c r="F1789" s="5">
        <v>5</v>
      </c>
      <c r="G1789" s="6">
        <v>10.08</v>
      </c>
      <c r="H1789" s="6">
        <v>50.4</v>
      </c>
      <c r="I1789" s="6">
        <v>0</v>
      </c>
      <c r="J1789" s="6">
        <v>50.4</v>
      </c>
      <c r="K1789" s="5">
        <v>413</v>
      </c>
    </row>
    <row r="1790" spans="1:11" x14ac:dyDescent="0.3">
      <c r="A1790" s="3">
        <v>2975</v>
      </c>
      <c r="B1790" s="3" t="s">
        <v>36</v>
      </c>
      <c r="C1790" s="4">
        <v>45813</v>
      </c>
      <c r="D1790" s="3" t="s">
        <v>27</v>
      </c>
      <c r="E1790" s="3" t="s">
        <v>18</v>
      </c>
      <c r="F1790" s="5">
        <v>2</v>
      </c>
      <c r="G1790" s="6">
        <v>14.48</v>
      </c>
      <c r="H1790" s="6">
        <v>28.96</v>
      </c>
      <c r="I1790" s="6">
        <v>2.9</v>
      </c>
      <c r="J1790" s="6">
        <v>26.06</v>
      </c>
      <c r="K1790" s="5">
        <v>294</v>
      </c>
    </row>
    <row r="1791" spans="1:11" x14ac:dyDescent="0.3">
      <c r="A1791" s="3">
        <v>7919</v>
      </c>
      <c r="B1791" s="3" t="s">
        <v>26</v>
      </c>
      <c r="C1791" s="4">
        <v>45684</v>
      </c>
      <c r="D1791" s="3" t="s">
        <v>45</v>
      </c>
      <c r="E1791" s="3" t="s">
        <v>16</v>
      </c>
      <c r="F1791" s="5">
        <v>1</v>
      </c>
      <c r="G1791" s="6">
        <v>28.63</v>
      </c>
      <c r="H1791" s="6">
        <v>28.63</v>
      </c>
      <c r="I1791" s="6">
        <v>2.79</v>
      </c>
      <c r="J1791" s="6">
        <v>25.84</v>
      </c>
      <c r="K1791" s="5">
        <v>87</v>
      </c>
    </row>
    <row r="1792" spans="1:11" x14ac:dyDescent="0.3">
      <c r="A1792" s="3">
        <v>3165</v>
      </c>
      <c r="B1792" s="3" t="s">
        <v>31</v>
      </c>
      <c r="C1792" s="4">
        <v>45516</v>
      </c>
      <c r="D1792" s="3" t="s">
        <v>22</v>
      </c>
      <c r="E1792" s="3" t="s">
        <v>47</v>
      </c>
      <c r="F1792" s="5">
        <v>2</v>
      </c>
      <c r="G1792" s="6">
        <v>2.84</v>
      </c>
      <c r="H1792" s="6">
        <v>5.68</v>
      </c>
      <c r="I1792" s="6">
        <v>0</v>
      </c>
      <c r="J1792" s="6">
        <v>5.68</v>
      </c>
      <c r="K1792" s="5">
        <v>181</v>
      </c>
    </row>
    <row r="1793" spans="1:11" x14ac:dyDescent="0.3">
      <c r="A1793" s="3">
        <v>2160</v>
      </c>
      <c r="B1793" s="3" t="s">
        <v>30</v>
      </c>
      <c r="C1793" s="4">
        <v>45322</v>
      </c>
      <c r="D1793" s="3" t="s">
        <v>28</v>
      </c>
      <c r="E1793" s="3" t="s">
        <v>13</v>
      </c>
      <c r="F1793" s="5">
        <v>1</v>
      </c>
      <c r="G1793" s="6">
        <v>21.68</v>
      </c>
      <c r="H1793" s="6">
        <v>21.68</v>
      </c>
      <c r="I1793" s="6">
        <v>0</v>
      </c>
      <c r="J1793" s="6">
        <v>21.68</v>
      </c>
      <c r="K1793" s="5">
        <v>251</v>
      </c>
    </row>
    <row r="1794" spans="1:11" x14ac:dyDescent="0.3">
      <c r="A1794" s="3">
        <v>7276</v>
      </c>
      <c r="B1794" s="3" t="s">
        <v>19</v>
      </c>
      <c r="C1794" s="4">
        <v>45214</v>
      </c>
      <c r="D1794" s="3" t="s">
        <v>20</v>
      </c>
      <c r="E1794" s="3" t="s">
        <v>44</v>
      </c>
      <c r="F1794" s="5">
        <v>4</v>
      </c>
      <c r="G1794" s="6">
        <v>9.9700000000000006</v>
      </c>
      <c r="H1794" s="6">
        <v>39.880000000000003</v>
      </c>
      <c r="I1794" s="6">
        <v>5.98</v>
      </c>
      <c r="J1794" s="6">
        <v>33.9</v>
      </c>
      <c r="K1794" s="5">
        <v>356</v>
      </c>
    </row>
    <row r="1795" spans="1:11" x14ac:dyDescent="0.3">
      <c r="A1795" s="3">
        <v>2678</v>
      </c>
      <c r="B1795" s="3" t="s">
        <v>42</v>
      </c>
      <c r="C1795" s="4">
        <v>45225</v>
      </c>
      <c r="D1795" s="3" t="s">
        <v>28</v>
      </c>
      <c r="E1795" s="3" t="s">
        <v>46</v>
      </c>
      <c r="F1795" s="5">
        <v>4</v>
      </c>
      <c r="G1795" s="6">
        <v>5.17</v>
      </c>
      <c r="H1795" s="6">
        <v>20.68</v>
      </c>
      <c r="I1795" s="6">
        <v>4.88</v>
      </c>
      <c r="J1795" s="6">
        <v>15.8</v>
      </c>
      <c r="K1795" s="5">
        <v>276</v>
      </c>
    </row>
    <row r="1796" spans="1:11" x14ac:dyDescent="0.3">
      <c r="A1796" s="3">
        <v>6133</v>
      </c>
      <c r="B1796" s="3" t="s">
        <v>31</v>
      </c>
      <c r="C1796" s="4">
        <v>45430</v>
      </c>
      <c r="D1796" s="3" t="s">
        <v>22</v>
      </c>
      <c r="E1796" s="3" t="s">
        <v>48</v>
      </c>
      <c r="F1796" s="5">
        <v>1</v>
      </c>
      <c r="G1796" s="6">
        <v>18.79</v>
      </c>
      <c r="H1796" s="6">
        <v>18.79</v>
      </c>
      <c r="I1796" s="6">
        <v>0</v>
      </c>
      <c r="J1796" s="6">
        <v>18.79</v>
      </c>
      <c r="K1796" s="5">
        <v>271</v>
      </c>
    </row>
    <row r="1797" spans="1:11" x14ac:dyDescent="0.3">
      <c r="A1797" s="3">
        <v>5902</v>
      </c>
      <c r="B1797" s="3" t="s">
        <v>19</v>
      </c>
      <c r="C1797" s="4">
        <v>45251</v>
      </c>
      <c r="D1797" s="3" t="s">
        <v>17</v>
      </c>
      <c r="E1797" s="3" t="s">
        <v>25</v>
      </c>
      <c r="F1797" s="5">
        <v>5</v>
      </c>
      <c r="G1797" s="6">
        <v>23.43</v>
      </c>
      <c r="H1797" s="6">
        <v>117.15</v>
      </c>
      <c r="I1797" s="6">
        <v>3.6</v>
      </c>
      <c r="J1797" s="6">
        <v>113.55</v>
      </c>
      <c r="K1797" s="5">
        <v>91</v>
      </c>
    </row>
    <row r="1798" spans="1:11" x14ac:dyDescent="0.3">
      <c r="A1798" s="3">
        <v>7270</v>
      </c>
      <c r="B1798" s="3" t="s">
        <v>26</v>
      </c>
      <c r="C1798" s="4">
        <v>45745</v>
      </c>
      <c r="D1798" s="3" t="s">
        <v>15</v>
      </c>
      <c r="E1798" s="3" t="s">
        <v>21</v>
      </c>
      <c r="F1798" s="5">
        <v>1</v>
      </c>
      <c r="G1798" s="6">
        <v>3.72</v>
      </c>
      <c r="H1798" s="6">
        <v>3.72</v>
      </c>
      <c r="I1798" s="6">
        <v>0.37</v>
      </c>
      <c r="J1798" s="6">
        <v>3.35</v>
      </c>
      <c r="K1798" s="5">
        <v>206</v>
      </c>
    </row>
    <row r="1799" spans="1:11" x14ac:dyDescent="0.3">
      <c r="A1799" s="3">
        <v>3181</v>
      </c>
      <c r="B1799" s="3" t="s">
        <v>24</v>
      </c>
      <c r="C1799" s="4">
        <v>45643</v>
      </c>
      <c r="D1799" s="3" t="s">
        <v>45</v>
      </c>
      <c r="E1799" s="3" t="s">
        <v>41</v>
      </c>
      <c r="F1799" s="5">
        <v>3</v>
      </c>
      <c r="G1799" s="6">
        <v>6.3</v>
      </c>
      <c r="H1799" s="6">
        <v>18.899999999999999</v>
      </c>
      <c r="I1799" s="6">
        <v>3.78</v>
      </c>
      <c r="J1799" s="6">
        <v>15.12</v>
      </c>
      <c r="K1799" s="5">
        <v>159</v>
      </c>
    </row>
    <row r="1800" spans="1:11" x14ac:dyDescent="0.3">
      <c r="A1800" s="3">
        <v>3340</v>
      </c>
      <c r="B1800" s="3" t="s">
        <v>24</v>
      </c>
      <c r="C1800" s="4">
        <v>45198</v>
      </c>
      <c r="D1800" s="3" t="s">
        <v>35</v>
      </c>
      <c r="E1800" s="3" t="s">
        <v>47</v>
      </c>
      <c r="F1800" s="5">
        <v>1</v>
      </c>
      <c r="G1800" s="6">
        <v>6.34</v>
      </c>
      <c r="H1800" s="6">
        <v>6.34</v>
      </c>
      <c r="I1800" s="6">
        <v>1.27</v>
      </c>
      <c r="J1800" s="6">
        <v>5.07</v>
      </c>
      <c r="K1800" s="5">
        <v>205</v>
      </c>
    </row>
    <row r="1801" spans="1:11" x14ac:dyDescent="0.3">
      <c r="A1801" s="3">
        <v>9691</v>
      </c>
      <c r="B1801" s="3" t="s">
        <v>36</v>
      </c>
      <c r="C1801" s="4">
        <v>45582</v>
      </c>
      <c r="D1801" s="3" t="s">
        <v>27</v>
      </c>
      <c r="E1801" s="3" t="s">
        <v>43</v>
      </c>
      <c r="F1801" s="5">
        <v>3</v>
      </c>
      <c r="G1801" s="6">
        <v>14.09</v>
      </c>
      <c r="H1801" s="6">
        <v>42.27</v>
      </c>
      <c r="I1801" s="6">
        <v>4.5199999999999996</v>
      </c>
      <c r="J1801" s="6">
        <v>37.75</v>
      </c>
      <c r="K1801" s="5">
        <v>48</v>
      </c>
    </row>
    <row r="1802" spans="1:11" x14ac:dyDescent="0.3">
      <c r="A1802" s="3">
        <v>1138</v>
      </c>
      <c r="B1802" s="3" t="s">
        <v>31</v>
      </c>
      <c r="C1802" s="4">
        <v>45619</v>
      </c>
      <c r="D1802" s="3" t="s">
        <v>38</v>
      </c>
      <c r="E1802" s="3" t="s">
        <v>40</v>
      </c>
      <c r="F1802" s="5">
        <v>3</v>
      </c>
      <c r="G1802" s="6">
        <v>3.76</v>
      </c>
      <c r="H1802" s="6">
        <v>11.28</v>
      </c>
      <c r="I1802" s="6">
        <v>2.31</v>
      </c>
      <c r="J1802" s="6">
        <v>8.9700000000000006</v>
      </c>
      <c r="K1802" s="5">
        <v>0</v>
      </c>
    </row>
    <row r="1803" spans="1:11" x14ac:dyDescent="0.3">
      <c r="A1803" s="3">
        <v>3688</v>
      </c>
      <c r="B1803" s="3" t="s">
        <v>30</v>
      </c>
      <c r="C1803" s="4">
        <v>45486</v>
      </c>
      <c r="D1803" s="3" t="s">
        <v>12</v>
      </c>
      <c r="E1803" s="3" t="s">
        <v>23</v>
      </c>
      <c r="F1803" s="5">
        <v>1</v>
      </c>
      <c r="G1803" s="6">
        <v>28.71</v>
      </c>
      <c r="H1803" s="6">
        <v>28.71</v>
      </c>
      <c r="I1803" s="6">
        <v>5.74</v>
      </c>
      <c r="J1803" s="6">
        <v>22.97</v>
      </c>
      <c r="K1803" s="5">
        <v>96</v>
      </c>
    </row>
    <row r="1804" spans="1:11" x14ac:dyDescent="0.3">
      <c r="A1804" s="3">
        <v>6753</v>
      </c>
      <c r="B1804" s="3" t="s">
        <v>14</v>
      </c>
      <c r="C1804" s="4">
        <v>45706</v>
      </c>
      <c r="D1804" s="3" t="s">
        <v>17</v>
      </c>
      <c r="E1804" s="3" t="s">
        <v>23</v>
      </c>
      <c r="F1804" s="5">
        <v>1</v>
      </c>
      <c r="G1804" s="6">
        <v>26.28</v>
      </c>
      <c r="H1804" s="6">
        <v>26.28</v>
      </c>
      <c r="I1804" s="6">
        <v>2.5</v>
      </c>
      <c r="J1804" s="6">
        <v>23.78</v>
      </c>
      <c r="K1804" s="5">
        <v>467</v>
      </c>
    </row>
    <row r="1805" spans="1:11" x14ac:dyDescent="0.3">
      <c r="A1805" s="3">
        <v>4490</v>
      </c>
      <c r="B1805" s="3" t="s">
        <v>19</v>
      </c>
      <c r="C1805" s="4">
        <v>45632</v>
      </c>
      <c r="D1805" s="3" t="s">
        <v>45</v>
      </c>
      <c r="E1805" s="3" t="s">
        <v>29</v>
      </c>
      <c r="F1805" s="5">
        <v>5</v>
      </c>
      <c r="G1805" s="6">
        <v>5.31</v>
      </c>
      <c r="H1805" s="6">
        <v>26.55</v>
      </c>
      <c r="I1805" s="6">
        <v>3.49</v>
      </c>
      <c r="J1805" s="6">
        <v>23.06</v>
      </c>
      <c r="K1805" s="5">
        <v>419</v>
      </c>
    </row>
    <row r="1806" spans="1:11" x14ac:dyDescent="0.3">
      <c r="A1806" s="3">
        <v>3480</v>
      </c>
      <c r="B1806" s="3" t="s">
        <v>14</v>
      </c>
      <c r="C1806" s="4">
        <v>45859</v>
      </c>
      <c r="D1806" s="3" t="s">
        <v>15</v>
      </c>
      <c r="E1806" s="3" t="s">
        <v>37</v>
      </c>
      <c r="F1806" s="5">
        <v>3</v>
      </c>
      <c r="G1806" s="6">
        <v>4.12</v>
      </c>
      <c r="H1806" s="6">
        <v>12.36</v>
      </c>
      <c r="I1806" s="6">
        <v>3.07</v>
      </c>
      <c r="J1806" s="6">
        <v>9.2899999999999991</v>
      </c>
      <c r="K1806" s="5">
        <v>349</v>
      </c>
    </row>
    <row r="1807" spans="1:11" x14ac:dyDescent="0.3">
      <c r="A1807" s="3">
        <v>7745</v>
      </c>
      <c r="B1807" s="3" t="s">
        <v>11</v>
      </c>
      <c r="C1807" s="4">
        <v>45623</v>
      </c>
      <c r="D1807" s="3" t="s">
        <v>45</v>
      </c>
      <c r="E1807" s="3" t="s">
        <v>44</v>
      </c>
      <c r="F1807" s="5">
        <v>5</v>
      </c>
      <c r="G1807" s="6">
        <v>5.49</v>
      </c>
      <c r="H1807" s="6">
        <v>27.45</v>
      </c>
      <c r="I1807" s="6">
        <v>2.75</v>
      </c>
      <c r="J1807" s="6">
        <v>24.7</v>
      </c>
      <c r="K1807" s="5">
        <v>313</v>
      </c>
    </row>
    <row r="1808" spans="1:11" x14ac:dyDescent="0.3">
      <c r="A1808" s="3">
        <v>8248</v>
      </c>
      <c r="B1808" s="3" t="s">
        <v>14</v>
      </c>
      <c r="C1808" s="4">
        <v>45812</v>
      </c>
      <c r="D1808" s="3" t="s">
        <v>20</v>
      </c>
      <c r="E1808" s="3" t="s">
        <v>33</v>
      </c>
      <c r="F1808" s="5">
        <v>1</v>
      </c>
      <c r="G1808" s="6">
        <v>20.38</v>
      </c>
      <c r="H1808" s="6">
        <v>20.38</v>
      </c>
      <c r="I1808" s="6">
        <v>4.08</v>
      </c>
      <c r="J1808" s="6">
        <v>16.3</v>
      </c>
      <c r="K1808" s="5">
        <v>33</v>
      </c>
    </row>
    <row r="1809" spans="1:11" x14ac:dyDescent="0.3">
      <c r="A1809" s="3">
        <v>4559</v>
      </c>
      <c r="B1809" s="3" t="s">
        <v>36</v>
      </c>
      <c r="C1809" s="4">
        <v>45212</v>
      </c>
      <c r="D1809" s="3" t="s">
        <v>34</v>
      </c>
      <c r="E1809" s="3" t="s">
        <v>25</v>
      </c>
      <c r="F1809" s="5">
        <v>4</v>
      </c>
      <c r="G1809" s="6">
        <v>6.45</v>
      </c>
      <c r="H1809" s="6">
        <v>25.8</v>
      </c>
      <c r="I1809" s="6">
        <v>3.87</v>
      </c>
      <c r="J1809" s="6">
        <v>21.93</v>
      </c>
      <c r="K1809" s="5">
        <v>206</v>
      </c>
    </row>
    <row r="1810" spans="1:11" x14ac:dyDescent="0.3">
      <c r="A1810" s="3">
        <v>2646</v>
      </c>
      <c r="B1810" s="3" t="s">
        <v>31</v>
      </c>
      <c r="C1810" s="4">
        <v>45253</v>
      </c>
      <c r="D1810" s="3" t="s">
        <v>45</v>
      </c>
      <c r="E1810" s="3" t="s">
        <v>48</v>
      </c>
      <c r="F1810" s="5">
        <v>5</v>
      </c>
      <c r="G1810" s="6">
        <v>3.63</v>
      </c>
      <c r="H1810" s="6">
        <v>18.149999999999999</v>
      </c>
      <c r="I1810" s="6">
        <v>3.25</v>
      </c>
      <c r="J1810" s="6">
        <v>14.9</v>
      </c>
      <c r="K1810" s="5">
        <v>335</v>
      </c>
    </row>
    <row r="1811" spans="1:11" x14ac:dyDescent="0.3">
      <c r="A1811" s="3">
        <v>3017</v>
      </c>
      <c r="B1811" s="3" t="s">
        <v>14</v>
      </c>
      <c r="C1811" s="4">
        <v>45602</v>
      </c>
      <c r="D1811" s="3" t="s">
        <v>38</v>
      </c>
      <c r="E1811" s="3" t="s">
        <v>32</v>
      </c>
      <c r="F1811" s="5">
        <v>5</v>
      </c>
      <c r="G1811" s="6">
        <v>19.64</v>
      </c>
      <c r="H1811" s="6">
        <v>98.2</v>
      </c>
      <c r="I1811" s="6">
        <v>19.64</v>
      </c>
      <c r="J1811" s="6">
        <v>78.56</v>
      </c>
      <c r="K1811" s="5">
        <v>144</v>
      </c>
    </row>
    <row r="1812" spans="1:11" x14ac:dyDescent="0.3">
      <c r="A1812" s="3">
        <v>7291</v>
      </c>
      <c r="B1812" s="3" t="s">
        <v>26</v>
      </c>
      <c r="C1812" s="4">
        <v>45418</v>
      </c>
      <c r="D1812" s="3" t="s">
        <v>17</v>
      </c>
      <c r="E1812" s="3" t="s">
        <v>37</v>
      </c>
      <c r="F1812" s="5">
        <v>4</v>
      </c>
      <c r="G1812" s="6">
        <v>12.71</v>
      </c>
      <c r="H1812" s="6">
        <v>50.84</v>
      </c>
      <c r="I1812" s="6">
        <v>5.08</v>
      </c>
      <c r="J1812" s="6">
        <v>45.76</v>
      </c>
      <c r="K1812" s="5">
        <v>193</v>
      </c>
    </row>
    <row r="1813" spans="1:11" x14ac:dyDescent="0.3">
      <c r="A1813" s="3">
        <v>8035</v>
      </c>
      <c r="B1813" s="3" t="s">
        <v>31</v>
      </c>
      <c r="C1813" s="4">
        <v>45389</v>
      </c>
      <c r="D1813" s="3" t="s">
        <v>45</v>
      </c>
      <c r="E1813" s="3" t="s">
        <v>48</v>
      </c>
      <c r="F1813" s="5">
        <v>3</v>
      </c>
      <c r="G1813" s="6">
        <v>17.27</v>
      </c>
      <c r="H1813" s="6">
        <v>51.81</v>
      </c>
      <c r="I1813" s="6">
        <v>7.77</v>
      </c>
      <c r="J1813" s="6">
        <v>44.04</v>
      </c>
      <c r="K1813" s="5">
        <v>312</v>
      </c>
    </row>
    <row r="1814" spans="1:11" x14ac:dyDescent="0.3">
      <c r="A1814" s="3">
        <v>3290</v>
      </c>
      <c r="B1814" s="3" t="s">
        <v>26</v>
      </c>
      <c r="C1814" s="4">
        <v>45337</v>
      </c>
      <c r="D1814" s="3" t="s">
        <v>35</v>
      </c>
      <c r="E1814" s="3" t="s">
        <v>40</v>
      </c>
      <c r="F1814" s="5">
        <v>5</v>
      </c>
      <c r="G1814" s="6">
        <v>25.1</v>
      </c>
      <c r="H1814" s="6">
        <v>125.5</v>
      </c>
      <c r="I1814" s="6">
        <v>18.82</v>
      </c>
      <c r="J1814" s="6">
        <v>106.68</v>
      </c>
      <c r="K1814" s="5">
        <v>96</v>
      </c>
    </row>
    <row r="1815" spans="1:11" x14ac:dyDescent="0.3">
      <c r="A1815" s="3">
        <v>5537</v>
      </c>
      <c r="B1815" s="3" t="s">
        <v>14</v>
      </c>
      <c r="C1815" s="4">
        <v>45645</v>
      </c>
      <c r="D1815" s="3" t="s">
        <v>34</v>
      </c>
      <c r="E1815" s="3" t="s">
        <v>21</v>
      </c>
      <c r="F1815" s="5">
        <v>1</v>
      </c>
      <c r="G1815" s="6">
        <v>16.48</v>
      </c>
      <c r="H1815" s="6">
        <v>16.48</v>
      </c>
      <c r="I1815" s="6">
        <v>1.65</v>
      </c>
      <c r="J1815" s="6">
        <v>14.83</v>
      </c>
      <c r="K1815" s="5">
        <v>24</v>
      </c>
    </row>
    <row r="1816" spans="1:11" x14ac:dyDescent="0.3">
      <c r="A1816" s="3">
        <v>2380</v>
      </c>
      <c r="B1816" s="3" t="s">
        <v>42</v>
      </c>
      <c r="C1816" s="4">
        <v>45337</v>
      </c>
      <c r="D1816" s="3" t="s">
        <v>22</v>
      </c>
      <c r="E1816" s="3" t="s">
        <v>18</v>
      </c>
      <c r="F1816" s="5">
        <v>1</v>
      </c>
      <c r="G1816" s="6">
        <v>24.88</v>
      </c>
      <c r="H1816" s="6">
        <v>24.88</v>
      </c>
      <c r="I1816" s="6">
        <v>0</v>
      </c>
      <c r="J1816" s="6">
        <v>24.88</v>
      </c>
      <c r="K1816" s="5">
        <v>350</v>
      </c>
    </row>
    <row r="1817" spans="1:11" x14ac:dyDescent="0.3">
      <c r="A1817" s="3">
        <v>5668</v>
      </c>
      <c r="B1817" s="3" t="s">
        <v>14</v>
      </c>
      <c r="C1817" s="4">
        <v>45750</v>
      </c>
      <c r="D1817" s="3" t="s">
        <v>38</v>
      </c>
      <c r="E1817" s="3" t="s">
        <v>29</v>
      </c>
      <c r="F1817" s="5">
        <v>5</v>
      </c>
      <c r="G1817" s="6">
        <v>11.74</v>
      </c>
      <c r="H1817" s="6">
        <v>58.7</v>
      </c>
      <c r="I1817" s="6">
        <v>11.74</v>
      </c>
      <c r="J1817" s="6">
        <v>46.96</v>
      </c>
      <c r="K1817" s="5">
        <v>357</v>
      </c>
    </row>
    <row r="1818" spans="1:11" x14ac:dyDescent="0.3">
      <c r="A1818" s="3">
        <v>1439</v>
      </c>
      <c r="B1818" s="3" t="s">
        <v>11</v>
      </c>
      <c r="C1818" s="4">
        <v>45803</v>
      </c>
      <c r="D1818" s="3" t="s">
        <v>45</v>
      </c>
      <c r="E1818" s="3" t="s">
        <v>29</v>
      </c>
      <c r="F1818" s="5">
        <v>2</v>
      </c>
      <c r="G1818" s="6">
        <v>21.65</v>
      </c>
      <c r="H1818" s="6">
        <v>43.3</v>
      </c>
      <c r="I1818" s="6">
        <v>4.33</v>
      </c>
      <c r="J1818" s="6">
        <v>38.97</v>
      </c>
      <c r="K1818" s="5">
        <v>37</v>
      </c>
    </row>
    <row r="1819" spans="1:11" x14ac:dyDescent="0.3">
      <c r="A1819" s="3">
        <v>5942</v>
      </c>
      <c r="B1819" s="3" t="s">
        <v>42</v>
      </c>
      <c r="C1819" s="4">
        <v>45304</v>
      </c>
      <c r="D1819" s="3" t="s">
        <v>28</v>
      </c>
      <c r="E1819" s="3" t="s">
        <v>39</v>
      </c>
      <c r="F1819" s="5">
        <v>1</v>
      </c>
      <c r="G1819" s="6">
        <v>27.73</v>
      </c>
      <c r="H1819" s="6">
        <v>27.73</v>
      </c>
      <c r="I1819" s="6">
        <v>4.16</v>
      </c>
      <c r="J1819" s="6">
        <v>23.57</v>
      </c>
      <c r="K1819" s="5">
        <v>105</v>
      </c>
    </row>
    <row r="1820" spans="1:11" x14ac:dyDescent="0.3">
      <c r="A1820" s="3">
        <v>9482</v>
      </c>
      <c r="B1820" s="3" t="s">
        <v>31</v>
      </c>
      <c r="C1820" s="4">
        <v>45616</v>
      </c>
      <c r="D1820" s="3" t="s">
        <v>17</v>
      </c>
      <c r="E1820" s="3" t="s">
        <v>21</v>
      </c>
      <c r="F1820" s="5">
        <v>2</v>
      </c>
      <c r="G1820" s="6">
        <v>29.62</v>
      </c>
      <c r="H1820" s="6">
        <v>59.24</v>
      </c>
      <c r="I1820" s="6">
        <v>8.89</v>
      </c>
      <c r="J1820" s="6">
        <v>50.35</v>
      </c>
      <c r="K1820" s="5">
        <v>423</v>
      </c>
    </row>
    <row r="1821" spans="1:11" x14ac:dyDescent="0.3">
      <c r="A1821" s="3">
        <v>9348</v>
      </c>
      <c r="B1821" s="3" t="s">
        <v>24</v>
      </c>
      <c r="C1821" s="4">
        <v>45291</v>
      </c>
      <c r="D1821" s="3" t="s">
        <v>12</v>
      </c>
      <c r="E1821" s="3" t="s">
        <v>41</v>
      </c>
      <c r="F1821" s="5">
        <v>2</v>
      </c>
      <c r="G1821" s="6">
        <v>18.350000000000001</v>
      </c>
      <c r="H1821" s="6">
        <v>36.700000000000003</v>
      </c>
      <c r="I1821" s="6">
        <v>3.67</v>
      </c>
      <c r="J1821" s="6">
        <v>33.03</v>
      </c>
      <c r="K1821" s="5">
        <v>318</v>
      </c>
    </row>
    <row r="1822" spans="1:11" x14ac:dyDescent="0.3">
      <c r="A1822" s="3">
        <v>7418</v>
      </c>
      <c r="B1822" s="3" t="s">
        <v>30</v>
      </c>
      <c r="C1822" s="4">
        <v>45374</v>
      </c>
      <c r="D1822" s="3" t="s">
        <v>17</v>
      </c>
      <c r="E1822" s="3" t="s">
        <v>13</v>
      </c>
      <c r="F1822" s="5">
        <v>4</v>
      </c>
      <c r="G1822" s="6">
        <v>21.01</v>
      </c>
      <c r="H1822" s="6">
        <v>84.04</v>
      </c>
      <c r="I1822" s="6">
        <v>8.4</v>
      </c>
      <c r="J1822" s="6">
        <v>75.64</v>
      </c>
      <c r="K1822" s="5">
        <v>212</v>
      </c>
    </row>
    <row r="1823" spans="1:11" x14ac:dyDescent="0.3">
      <c r="A1823" s="3">
        <v>1894</v>
      </c>
      <c r="B1823" s="3" t="s">
        <v>30</v>
      </c>
      <c r="C1823" s="4">
        <v>45753</v>
      </c>
      <c r="D1823" s="3" t="s">
        <v>17</v>
      </c>
      <c r="E1823" s="3" t="s">
        <v>47</v>
      </c>
      <c r="F1823" s="5">
        <v>3</v>
      </c>
      <c r="G1823" s="6">
        <v>18.39</v>
      </c>
      <c r="H1823" s="6">
        <v>55.17</v>
      </c>
      <c r="I1823" s="6">
        <v>3.78</v>
      </c>
      <c r="J1823" s="6">
        <v>51.39</v>
      </c>
      <c r="K1823" s="5">
        <v>320</v>
      </c>
    </row>
    <row r="1824" spans="1:11" x14ac:dyDescent="0.3">
      <c r="A1824" s="3">
        <v>4921</v>
      </c>
      <c r="B1824" s="3" t="s">
        <v>26</v>
      </c>
      <c r="C1824" s="4">
        <v>45529</v>
      </c>
      <c r="D1824" s="3" t="s">
        <v>34</v>
      </c>
      <c r="E1824" s="3" t="s">
        <v>25</v>
      </c>
      <c r="F1824" s="5">
        <v>1</v>
      </c>
      <c r="G1824" s="6">
        <v>19.48</v>
      </c>
      <c r="H1824" s="6">
        <v>19.48</v>
      </c>
      <c r="I1824" s="6">
        <v>1.95</v>
      </c>
      <c r="J1824" s="6">
        <v>17.53</v>
      </c>
      <c r="K1824" s="5">
        <v>59</v>
      </c>
    </row>
    <row r="1825" spans="1:11" x14ac:dyDescent="0.3">
      <c r="A1825" s="3">
        <v>7322</v>
      </c>
      <c r="B1825" s="3" t="s">
        <v>11</v>
      </c>
      <c r="C1825" s="4">
        <v>45232</v>
      </c>
      <c r="D1825" s="3" t="s">
        <v>34</v>
      </c>
      <c r="E1825" s="3" t="s">
        <v>18</v>
      </c>
      <c r="F1825" s="5">
        <v>3</v>
      </c>
      <c r="G1825" s="6">
        <v>5.84</v>
      </c>
      <c r="H1825" s="6">
        <v>17.52</v>
      </c>
      <c r="I1825" s="6">
        <v>0</v>
      </c>
      <c r="J1825" s="6">
        <v>17.52</v>
      </c>
      <c r="K1825" s="5">
        <v>378</v>
      </c>
    </row>
    <row r="1826" spans="1:11" x14ac:dyDescent="0.3">
      <c r="A1826" s="3">
        <v>4949</v>
      </c>
      <c r="B1826" s="3" t="s">
        <v>24</v>
      </c>
      <c r="C1826" s="4">
        <v>45533</v>
      </c>
      <c r="D1826" s="3" t="s">
        <v>35</v>
      </c>
      <c r="E1826" s="3" t="s">
        <v>18</v>
      </c>
      <c r="F1826" s="5">
        <v>3</v>
      </c>
      <c r="G1826" s="6">
        <v>9.25</v>
      </c>
      <c r="H1826" s="6">
        <v>27.75</v>
      </c>
      <c r="I1826" s="6">
        <v>4.04</v>
      </c>
      <c r="J1826" s="6">
        <v>23.71</v>
      </c>
      <c r="K1826" s="5">
        <v>291</v>
      </c>
    </row>
    <row r="1827" spans="1:11" x14ac:dyDescent="0.3">
      <c r="A1827" s="3">
        <v>2163</v>
      </c>
      <c r="B1827" s="3"/>
      <c r="C1827" s="4">
        <v>45555</v>
      </c>
      <c r="D1827" s="3" t="s">
        <v>17</v>
      </c>
      <c r="E1827" s="3" t="s">
        <v>43</v>
      </c>
      <c r="F1827" s="5">
        <v>5</v>
      </c>
      <c r="G1827" s="6">
        <v>25.54</v>
      </c>
      <c r="H1827" s="6">
        <v>127.7</v>
      </c>
      <c r="I1827" s="6">
        <v>4.9800000000000004</v>
      </c>
      <c r="J1827" s="6">
        <v>122.72</v>
      </c>
      <c r="K1827" s="5">
        <v>102</v>
      </c>
    </row>
    <row r="1828" spans="1:11" x14ac:dyDescent="0.3">
      <c r="A1828" s="3">
        <v>1197</v>
      </c>
      <c r="B1828" s="3" t="s">
        <v>26</v>
      </c>
      <c r="C1828" s="4">
        <v>45425</v>
      </c>
      <c r="D1828" s="3" t="s">
        <v>45</v>
      </c>
      <c r="E1828" s="3" t="s">
        <v>48</v>
      </c>
      <c r="F1828" s="5">
        <v>1</v>
      </c>
      <c r="G1828" s="6">
        <v>7.62</v>
      </c>
      <c r="H1828" s="6">
        <v>7.62</v>
      </c>
      <c r="I1828" s="6">
        <v>1.52</v>
      </c>
      <c r="J1828" s="6">
        <v>6.1</v>
      </c>
      <c r="K1828" s="5">
        <v>426</v>
      </c>
    </row>
    <row r="1829" spans="1:11" x14ac:dyDescent="0.3">
      <c r="A1829" s="3">
        <v>6185</v>
      </c>
      <c r="B1829" s="3" t="s">
        <v>11</v>
      </c>
      <c r="C1829" s="4">
        <v>45247</v>
      </c>
      <c r="D1829" s="3" t="s">
        <v>15</v>
      </c>
      <c r="E1829" s="3" t="s">
        <v>25</v>
      </c>
      <c r="F1829" s="5">
        <v>4</v>
      </c>
      <c r="G1829" s="6">
        <v>18.829999999999998</v>
      </c>
      <c r="H1829" s="6">
        <v>75.319999999999993</v>
      </c>
      <c r="I1829" s="6">
        <v>7.53</v>
      </c>
      <c r="J1829" s="6">
        <v>67.790000000000006</v>
      </c>
      <c r="K1829" s="5">
        <v>224</v>
      </c>
    </row>
    <row r="1830" spans="1:11" x14ac:dyDescent="0.3">
      <c r="A1830" s="3">
        <v>7337</v>
      </c>
      <c r="B1830" s="3" t="s">
        <v>31</v>
      </c>
      <c r="C1830" s="4">
        <v>45813</v>
      </c>
      <c r="D1830" s="3" t="s">
        <v>27</v>
      </c>
      <c r="E1830" s="3" t="s">
        <v>46</v>
      </c>
      <c r="F1830" s="5">
        <v>2</v>
      </c>
      <c r="G1830" s="6">
        <v>23.28</v>
      </c>
      <c r="H1830" s="6">
        <v>46.56</v>
      </c>
      <c r="I1830" s="6">
        <v>3.28</v>
      </c>
      <c r="J1830" s="6">
        <v>43.28</v>
      </c>
      <c r="K1830" s="5">
        <v>371</v>
      </c>
    </row>
    <row r="1831" spans="1:11" x14ac:dyDescent="0.3">
      <c r="A1831" s="3">
        <v>7895</v>
      </c>
      <c r="B1831" s="3" t="s">
        <v>19</v>
      </c>
      <c r="C1831" s="4">
        <v>45428</v>
      </c>
      <c r="D1831" s="3" t="s">
        <v>22</v>
      </c>
      <c r="E1831" s="3" t="s">
        <v>13</v>
      </c>
      <c r="F1831" s="5">
        <v>2</v>
      </c>
      <c r="G1831" s="6">
        <v>11.14</v>
      </c>
      <c r="H1831" s="6">
        <v>22.28</v>
      </c>
      <c r="I1831" s="6">
        <v>2.23</v>
      </c>
      <c r="J1831" s="6">
        <v>20.05</v>
      </c>
      <c r="K1831" s="5">
        <v>102</v>
      </c>
    </row>
    <row r="1832" spans="1:11" x14ac:dyDescent="0.3">
      <c r="A1832" s="3">
        <v>9951</v>
      </c>
      <c r="B1832" s="3" t="s">
        <v>24</v>
      </c>
      <c r="C1832" s="4">
        <v>45675</v>
      </c>
      <c r="D1832" s="3" t="s">
        <v>34</v>
      </c>
      <c r="E1832" s="3" t="s">
        <v>37</v>
      </c>
      <c r="F1832" s="5">
        <v>5</v>
      </c>
      <c r="G1832" s="6">
        <v>2.84</v>
      </c>
      <c r="H1832" s="6">
        <v>14.2</v>
      </c>
      <c r="I1832" s="6">
        <v>2.13</v>
      </c>
      <c r="J1832" s="6">
        <v>12.07</v>
      </c>
      <c r="K1832" s="5">
        <v>94</v>
      </c>
    </row>
    <row r="1833" spans="1:11" x14ac:dyDescent="0.3">
      <c r="A1833" s="3">
        <v>3830</v>
      </c>
      <c r="B1833" s="3" t="s">
        <v>26</v>
      </c>
      <c r="C1833" s="4">
        <v>45737</v>
      </c>
      <c r="D1833" s="3" t="s">
        <v>12</v>
      </c>
      <c r="E1833" s="3" t="s">
        <v>33</v>
      </c>
      <c r="F1833" s="5">
        <v>1</v>
      </c>
      <c r="G1833" s="6">
        <v>25.45</v>
      </c>
      <c r="H1833" s="6">
        <v>25.45</v>
      </c>
      <c r="I1833" s="6">
        <v>1.64</v>
      </c>
      <c r="J1833" s="6">
        <v>23.81</v>
      </c>
      <c r="K1833" s="5">
        <v>308</v>
      </c>
    </row>
    <row r="1834" spans="1:11" x14ac:dyDescent="0.3">
      <c r="A1834" s="3">
        <v>8717</v>
      </c>
      <c r="B1834" s="3" t="s">
        <v>14</v>
      </c>
      <c r="C1834" s="4">
        <v>45743</v>
      </c>
      <c r="D1834" s="3" t="s">
        <v>22</v>
      </c>
      <c r="E1834" s="3" t="s">
        <v>40</v>
      </c>
      <c r="F1834" s="5">
        <v>1</v>
      </c>
      <c r="G1834" s="6">
        <v>20.85</v>
      </c>
      <c r="H1834" s="6">
        <v>20.85</v>
      </c>
      <c r="I1834" s="6">
        <v>3.88</v>
      </c>
      <c r="J1834" s="6">
        <v>16.97</v>
      </c>
      <c r="K1834" s="5">
        <v>209</v>
      </c>
    </row>
    <row r="1835" spans="1:11" x14ac:dyDescent="0.3">
      <c r="A1835" s="3">
        <v>2195</v>
      </c>
      <c r="B1835" s="3" t="s">
        <v>36</v>
      </c>
      <c r="C1835" s="4">
        <v>45157</v>
      </c>
      <c r="D1835" s="3" t="s">
        <v>22</v>
      </c>
      <c r="E1835" s="3" t="s">
        <v>40</v>
      </c>
      <c r="F1835" s="5">
        <v>2</v>
      </c>
      <c r="G1835" s="6">
        <v>27.13</v>
      </c>
      <c r="H1835" s="6">
        <v>54.26</v>
      </c>
      <c r="I1835" s="6">
        <v>2.52</v>
      </c>
      <c r="J1835" s="6">
        <v>51.74</v>
      </c>
      <c r="K1835" s="5">
        <v>350</v>
      </c>
    </row>
    <row r="1836" spans="1:11" x14ac:dyDescent="0.3">
      <c r="A1836" s="3">
        <v>2106</v>
      </c>
      <c r="B1836" s="3" t="s">
        <v>31</v>
      </c>
      <c r="C1836" s="4">
        <v>45155</v>
      </c>
      <c r="D1836" s="3" t="s">
        <v>20</v>
      </c>
      <c r="E1836" s="3" t="s">
        <v>48</v>
      </c>
      <c r="F1836" s="5">
        <v>2</v>
      </c>
      <c r="G1836" s="6">
        <v>23.09</v>
      </c>
      <c r="H1836" s="6">
        <v>46.18</v>
      </c>
      <c r="I1836" s="6">
        <v>3.6</v>
      </c>
      <c r="J1836" s="6">
        <v>42.58</v>
      </c>
      <c r="K1836" s="5">
        <v>18</v>
      </c>
    </row>
    <row r="1837" spans="1:11" x14ac:dyDescent="0.3">
      <c r="A1837" s="3">
        <v>5295</v>
      </c>
      <c r="B1837" s="3" t="s">
        <v>26</v>
      </c>
      <c r="C1837" s="4">
        <v>45312</v>
      </c>
      <c r="D1837" s="3" t="s">
        <v>28</v>
      </c>
      <c r="E1837" s="3" t="s">
        <v>32</v>
      </c>
      <c r="F1837" s="5">
        <v>3</v>
      </c>
      <c r="G1837" s="6">
        <v>20.87</v>
      </c>
      <c r="H1837" s="6">
        <v>62.61</v>
      </c>
      <c r="I1837" s="6">
        <v>0</v>
      </c>
      <c r="J1837" s="6">
        <v>62.61</v>
      </c>
      <c r="K1837" s="5">
        <v>198</v>
      </c>
    </row>
    <row r="1838" spans="1:11" x14ac:dyDescent="0.3">
      <c r="A1838" s="3">
        <v>1652</v>
      </c>
      <c r="B1838" s="3" t="s">
        <v>42</v>
      </c>
      <c r="C1838" s="4">
        <v>45861</v>
      </c>
      <c r="D1838" s="3" t="s">
        <v>27</v>
      </c>
      <c r="E1838" s="3" t="s">
        <v>47</v>
      </c>
      <c r="F1838" s="5">
        <v>5</v>
      </c>
      <c r="G1838" s="6">
        <v>8.24</v>
      </c>
      <c r="H1838" s="6">
        <v>41.2</v>
      </c>
      <c r="I1838" s="6">
        <v>4.12</v>
      </c>
      <c r="J1838" s="6">
        <v>37.08</v>
      </c>
      <c r="K1838" s="5">
        <v>325</v>
      </c>
    </row>
    <row r="1839" spans="1:11" x14ac:dyDescent="0.3">
      <c r="A1839" s="3">
        <v>1990</v>
      </c>
      <c r="B1839" s="3" t="s">
        <v>19</v>
      </c>
      <c r="C1839" s="4">
        <v>45758</v>
      </c>
      <c r="D1839" s="3" t="s">
        <v>45</v>
      </c>
      <c r="E1839" s="3" t="s">
        <v>18</v>
      </c>
      <c r="F1839" s="5">
        <v>3</v>
      </c>
      <c r="G1839" s="6">
        <v>7.48</v>
      </c>
      <c r="H1839" s="6">
        <v>22.44</v>
      </c>
      <c r="I1839" s="6">
        <v>2.2400000000000002</v>
      </c>
      <c r="J1839" s="6">
        <v>20.2</v>
      </c>
      <c r="K1839" s="5">
        <v>146</v>
      </c>
    </row>
    <row r="1840" spans="1:11" x14ac:dyDescent="0.3">
      <c r="A1840" s="3">
        <v>7520</v>
      </c>
      <c r="B1840" s="3" t="s">
        <v>30</v>
      </c>
      <c r="C1840" s="4">
        <v>45538</v>
      </c>
      <c r="D1840" s="3" t="s">
        <v>34</v>
      </c>
      <c r="E1840" s="3" t="s">
        <v>23</v>
      </c>
      <c r="F1840" s="5">
        <v>1</v>
      </c>
      <c r="G1840" s="6">
        <v>13.51</v>
      </c>
      <c r="H1840" s="6">
        <v>13.51</v>
      </c>
      <c r="I1840" s="6">
        <v>2.84</v>
      </c>
      <c r="J1840" s="6">
        <v>10.67</v>
      </c>
      <c r="K1840" s="5">
        <v>153</v>
      </c>
    </row>
    <row r="1841" spans="1:11" x14ac:dyDescent="0.3">
      <c r="A1841" s="3">
        <v>5693</v>
      </c>
      <c r="B1841" s="3" t="s">
        <v>14</v>
      </c>
      <c r="C1841" s="4">
        <v>45633</v>
      </c>
      <c r="D1841" s="3" t="s">
        <v>17</v>
      </c>
      <c r="E1841" s="3" t="s">
        <v>32</v>
      </c>
      <c r="F1841" s="5">
        <v>2</v>
      </c>
      <c r="G1841" s="6">
        <v>25.35</v>
      </c>
      <c r="H1841" s="6">
        <v>50.7</v>
      </c>
      <c r="I1841" s="6">
        <v>5.07</v>
      </c>
      <c r="J1841" s="6">
        <v>45.63</v>
      </c>
      <c r="K1841" s="5">
        <v>180</v>
      </c>
    </row>
    <row r="1842" spans="1:11" x14ac:dyDescent="0.3">
      <c r="A1842" s="3">
        <v>9209</v>
      </c>
      <c r="B1842" s="3" t="s">
        <v>24</v>
      </c>
      <c r="C1842" s="4">
        <v>45740</v>
      </c>
      <c r="D1842" s="3" t="s">
        <v>20</v>
      </c>
      <c r="E1842" s="3" t="s">
        <v>33</v>
      </c>
      <c r="F1842" s="5">
        <v>4</v>
      </c>
      <c r="G1842" s="6">
        <v>13.86</v>
      </c>
      <c r="H1842" s="6">
        <v>55.44</v>
      </c>
      <c r="I1842" s="6">
        <v>8.32</v>
      </c>
      <c r="J1842" s="6">
        <v>47.12</v>
      </c>
      <c r="K1842" s="5">
        <v>198</v>
      </c>
    </row>
    <row r="1843" spans="1:11" x14ac:dyDescent="0.3">
      <c r="A1843" s="3">
        <v>7806</v>
      </c>
      <c r="B1843" s="3" t="s">
        <v>36</v>
      </c>
      <c r="C1843" s="4">
        <v>45474</v>
      </c>
      <c r="D1843" s="3" t="s">
        <v>22</v>
      </c>
      <c r="E1843" s="3" t="s">
        <v>32</v>
      </c>
      <c r="F1843" s="5">
        <v>2</v>
      </c>
      <c r="G1843" s="6">
        <v>21.97</v>
      </c>
      <c r="H1843" s="6">
        <v>43.94</v>
      </c>
      <c r="I1843" s="6">
        <v>8.7899999999999991</v>
      </c>
      <c r="J1843" s="6">
        <v>35.15</v>
      </c>
      <c r="K1843" s="5">
        <v>105</v>
      </c>
    </row>
    <row r="1844" spans="1:11" x14ac:dyDescent="0.3">
      <c r="A1844" s="3">
        <v>7590</v>
      </c>
      <c r="B1844" s="3" t="s">
        <v>42</v>
      </c>
      <c r="C1844" s="4">
        <v>45209</v>
      </c>
      <c r="D1844" s="3" t="s">
        <v>28</v>
      </c>
      <c r="E1844" s="3" t="s">
        <v>44</v>
      </c>
      <c r="F1844" s="5">
        <v>5</v>
      </c>
      <c r="G1844" s="6">
        <v>11.53</v>
      </c>
      <c r="H1844" s="6">
        <v>57.65</v>
      </c>
      <c r="I1844" s="6">
        <v>8.65</v>
      </c>
      <c r="J1844" s="6">
        <v>49</v>
      </c>
      <c r="K1844" s="5">
        <v>237</v>
      </c>
    </row>
    <row r="1845" spans="1:11" x14ac:dyDescent="0.3">
      <c r="A1845" s="3">
        <v>9791</v>
      </c>
      <c r="B1845" s="3" t="s">
        <v>30</v>
      </c>
      <c r="C1845" s="4">
        <v>45562</v>
      </c>
      <c r="D1845" s="3" t="s">
        <v>17</v>
      </c>
      <c r="E1845" s="3" t="s">
        <v>32</v>
      </c>
      <c r="F1845" s="5">
        <v>2</v>
      </c>
      <c r="G1845" s="6">
        <v>14.63</v>
      </c>
      <c r="H1845" s="6">
        <v>29.26</v>
      </c>
      <c r="I1845" s="6">
        <v>4.3899999999999997</v>
      </c>
      <c r="J1845" s="6">
        <v>24.87</v>
      </c>
      <c r="K1845" s="5">
        <v>277</v>
      </c>
    </row>
    <row r="1846" spans="1:11" x14ac:dyDescent="0.3">
      <c r="A1846" s="3">
        <v>3501</v>
      </c>
      <c r="B1846" s="3" t="s">
        <v>24</v>
      </c>
      <c r="C1846" s="4">
        <v>45360</v>
      </c>
      <c r="D1846" s="3" t="s">
        <v>12</v>
      </c>
      <c r="E1846" s="3" t="s">
        <v>44</v>
      </c>
      <c r="F1846" s="5">
        <v>2</v>
      </c>
      <c r="G1846" s="6">
        <v>10.78</v>
      </c>
      <c r="H1846" s="6">
        <v>21.56</v>
      </c>
      <c r="I1846" s="6">
        <v>0</v>
      </c>
      <c r="J1846" s="6">
        <v>21.56</v>
      </c>
      <c r="K1846" s="5">
        <v>455</v>
      </c>
    </row>
    <row r="1847" spans="1:11" x14ac:dyDescent="0.3">
      <c r="A1847" s="3">
        <v>2369</v>
      </c>
      <c r="B1847" s="3" t="s">
        <v>24</v>
      </c>
      <c r="C1847" s="4">
        <v>45385</v>
      </c>
      <c r="D1847" s="3" t="s">
        <v>38</v>
      </c>
      <c r="E1847" s="3" t="s">
        <v>16</v>
      </c>
      <c r="F1847" s="5">
        <v>2</v>
      </c>
      <c r="G1847" s="6">
        <v>28.34</v>
      </c>
      <c r="H1847" s="6">
        <v>56.68</v>
      </c>
      <c r="I1847" s="6">
        <v>5.67</v>
      </c>
      <c r="J1847" s="6">
        <v>51.01</v>
      </c>
      <c r="K1847" s="5">
        <v>12</v>
      </c>
    </row>
    <row r="1848" spans="1:11" x14ac:dyDescent="0.3">
      <c r="A1848" s="3">
        <v>2294</v>
      </c>
      <c r="B1848" s="3" t="s">
        <v>19</v>
      </c>
      <c r="C1848" s="4">
        <v>45542</v>
      </c>
      <c r="D1848" s="3" t="s">
        <v>35</v>
      </c>
      <c r="E1848" s="3" t="s">
        <v>41</v>
      </c>
      <c r="F1848" s="5">
        <v>4</v>
      </c>
      <c r="G1848" s="6">
        <v>17.670000000000002</v>
      </c>
      <c r="H1848" s="6">
        <v>70.680000000000007</v>
      </c>
      <c r="I1848" s="6">
        <v>14.14</v>
      </c>
      <c r="J1848" s="6">
        <v>56.54</v>
      </c>
      <c r="K1848" s="5">
        <v>410</v>
      </c>
    </row>
    <row r="1849" spans="1:11" x14ac:dyDescent="0.3">
      <c r="A1849" s="3">
        <v>4329</v>
      </c>
      <c r="B1849" s="3" t="s">
        <v>24</v>
      </c>
      <c r="C1849" s="4">
        <v>45772</v>
      </c>
      <c r="D1849" s="3" t="s">
        <v>22</v>
      </c>
      <c r="E1849" s="3" t="s">
        <v>33</v>
      </c>
      <c r="F1849" s="5">
        <v>2</v>
      </c>
      <c r="G1849" s="6">
        <v>26.16</v>
      </c>
      <c r="H1849" s="6">
        <v>52.32</v>
      </c>
      <c r="I1849" s="6">
        <v>7.85</v>
      </c>
      <c r="J1849" s="6">
        <v>44.47</v>
      </c>
      <c r="K1849" s="5">
        <v>66</v>
      </c>
    </row>
    <row r="1850" spans="1:11" x14ac:dyDescent="0.3">
      <c r="A1850" s="3">
        <v>3545</v>
      </c>
      <c r="B1850" s="3" t="s">
        <v>14</v>
      </c>
      <c r="C1850" s="4">
        <v>45561</v>
      </c>
      <c r="D1850" s="3" t="s">
        <v>27</v>
      </c>
      <c r="E1850" s="3" t="s">
        <v>40</v>
      </c>
      <c r="F1850" s="5">
        <v>1</v>
      </c>
      <c r="G1850" s="6">
        <v>23.81</v>
      </c>
      <c r="H1850" s="6">
        <v>23.81</v>
      </c>
      <c r="I1850" s="6">
        <v>4.68</v>
      </c>
      <c r="J1850" s="6">
        <v>19.13</v>
      </c>
      <c r="K1850" s="5">
        <v>43</v>
      </c>
    </row>
    <row r="1851" spans="1:11" x14ac:dyDescent="0.3">
      <c r="A1851" s="3">
        <v>6353</v>
      </c>
      <c r="B1851" s="3" t="s">
        <v>31</v>
      </c>
      <c r="C1851" s="4">
        <v>45448</v>
      </c>
      <c r="D1851" s="3" t="s">
        <v>22</v>
      </c>
      <c r="E1851" s="3" t="s">
        <v>43</v>
      </c>
      <c r="F1851" s="5">
        <v>3</v>
      </c>
      <c r="G1851" s="6">
        <v>28.01</v>
      </c>
      <c r="H1851" s="6">
        <v>84.03</v>
      </c>
      <c r="I1851" s="6">
        <v>0</v>
      </c>
      <c r="J1851" s="6">
        <v>84.03</v>
      </c>
      <c r="K1851" s="5">
        <v>182</v>
      </c>
    </row>
    <row r="1852" spans="1:11" x14ac:dyDescent="0.3">
      <c r="A1852" s="3">
        <v>2083</v>
      </c>
      <c r="B1852" s="3" t="s">
        <v>19</v>
      </c>
      <c r="C1852" s="4">
        <v>45385</v>
      </c>
      <c r="D1852" s="3" t="s">
        <v>17</v>
      </c>
      <c r="E1852" s="3" t="s">
        <v>37</v>
      </c>
      <c r="F1852" s="5">
        <v>1</v>
      </c>
      <c r="G1852" s="6">
        <v>11.52</v>
      </c>
      <c r="H1852" s="6">
        <v>11.52</v>
      </c>
      <c r="I1852" s="6">
        <v>4.62</v>
      </c>
      <c r="J1852" s="6">
        <v>6.9</v>
      </c>
      <c r="K1852" s="5">
        <v>465</v>
      </c>
    </row>
    <row r="1853" spans="1:11" x14ac:dyDescent="0.3">
      <c r="A1853" s="3">
        <v>8167</v>
      </c>
      <c r="B1853" s="3" t="s">
        <v>26</v>
      </c>
      <c r="C1853" s="4">
        <v>45711</v>
      </c>
      <c r="D1853" s="3" t="s">
        <v>45</v>
      </c>
      <c r="E1853" s="3" t="s">
        <v>21</v>
      </c>
      <c r="F1853" s="5">
        <v>2</v>
      </c>
      <c r="G1853" s="6">
        <v>9.39</v>
      </c>
      <c r="H1853" s="6">
        <v>18.78</v>
      </c>
      <c r="I1853" s="6">
        <v>3.76</v>
      </c>
      <c r="J1853" s="6">
        <v>15.02</v>
      </c>
      <c r="K1853" s="5">
        <v>51</v>
      </c>
    </row>
    <row r="1854" spans="1:11" x14ac:dyDescent="0.3">
      <c r="A1854" s="3">
        <v>4909</v>
      </c>
      <c r="B1854" s="3" t="s">
        <v>19</v>
      </c>
      <c r="C1854" s="4">
        <v>45189</v>
      </c>
      <c r="D1854" s="3" t="s">
        <v>20</v>
      </c>
      <c r="E1854" s="3" t="s">
        <v>48</v>
      </c>
      <c r="F1854" s="5">
        <v>5</v>
      </c>
      <c r="G1854" s="6">
        <v>27.39</v>
      </c>
      <c r="H1854" s="6">
        <v>136.94999999999999</v>
      </c>
      <c r="I1854" s="6">
        <v>3.21</v>
      </c>
      <c r="J1854" s="6">
        <v>133.74</v>
      </c>
      <c r="K1854" s="5">
        <v>209</v>
      </c>
    </row>
    <row r="1855" spans="1:11" x14ac:dyDescent="0.3">
      <c r="A1855" s="3">
        <v>5005</v>
      </c>
      <c r="B1855" s="3" t="s">
        <v>26</v>
      </c>
      <c r="C1855" s="4">
        <v>45211</v>
      </c>
      <c r="D1855" s="3" t="s">
        <v>35</v>
      </c>
      <c r="E1855" s="3" t="s">
        <v>25</v>
      </c>
      <c r="F1855" s="5">
        <v>1</v>
      </c>
      <c r="G1855" s="6">
        <v>20.239999999999998</v>
      </c>
      <c r="H1855" s="6">
        <v>20.239999999999998</v>
      </c>
      <c r="I1855" s="6">
        <v>4.0199999999999996</v>
      </c>
      <c r="J1855" s="6">
        <v>16.22</v>
      </c>
      <c r="K1855" s="5">
        <v>75</v>
      </c>
    </row>
    <row r="1856" spans="1:11" x14ac:dyDescent="0.3">
      <c r="A1856" s="3">
        <v>8118</v>
      </c>
      <c r="B1856" s="3" t="s">
        <v>19</v>
      </c>
      <c r="C1856" s="4">
        <v>45235</v>
      </c>
      <c r="D1856" s="3" t="s">
        <v>20</v>
      </c>
      <c r="E1856" s="3" t="s">
        <v>47</v>
      </c>
      <c r="F1856" s="5">
        <v>4</v>
      </c>
      <c r="G1856" s="6">
        <v>14.82</v>
      </c>
      <c r="H1856" s="6">
        <v>59.28</v>
      </c>
      <c r="I1856" s="6">
        <v>3.75</v>
      </c>
      <c r="J1856" s="6">
        <v>55.53</v>
      </c>
      <c r="K1856" s="5">
        <v>392</v>
      </c>
    </row>
    <row r="1857" spans="1:11" x14ac:dyDescent="0.3">
      <c r="A1857" s="3">
        <v>8428</v>
      </c>
      <c r="B1857" s="3" t="s">
        <v>36</v>
      </c>
      <c r="C1857" s="4">
        <v>45620</v>
      </c>
      <c r="D1857" s="3" t="s">
        <v>45</v>
      </c>
      <c r="E1857" s="3" t="s">
        <v>29</v>
      </c>
      <c r="F1857" s="5">
        <v>4</v>
      </c>
      <c r="G1857" s="6">
        <v>26.92</v>
      </c>
      <c r="H1857" s="6">
        <v>107.68</v>
      </c>
      <c r="I1857" s="6">
        <v>0</v>
      </c>
      <c r="J1857" s="6">
        <v>107.68</v>
      </c>
      <c r="K1857" s="5">
        <v>496</v>
      </c>
    </row>
    <row r="1858" spans="1:11" x14ac:dyDescent="0.3">
      <c r="A1858" s="3">
        <v>1901</v>
      </c>
      <c r="B1858" s="3" t="s">
        <v>36</v>
      </c>
      <c r="C1858" s="4">
        <v>45385</v>
      </c>
      <c r="D1858" s="3" t="s">
        <v>22</v>
      </c>
      <c r="E1858" s="3" t="s">
        <v>43</v>
      </c>
      <c r="F1858" s="5">
        <v>3</v>
      </c>
      <c r="G1858" s="6">
        <v>2.99</v>
      </c>
      <c r="H1858" s="6">
        <v>8.9700000000000006</v>
      </c>
      <c r="I1858" s="6">
        <v>0</v>
      </c>
      <c r="J1858" s="6">
        <v>8.9700000000000006</v>
      </c>
      <c r="K1858" s="5">
        <v>69</v>
      </c>
    </row>
    <row r="1859" spans="1:11" x14ac:dyDescent="0.3">
      <c r="A1859" s="3">
        <v>3877</v>
      </c>
      <c r="B1859" s="3" t="s">
        <v>24</v>
      </c>
      <c r="C1859" s="4">
        <v>45237</v>
      </c>
      <c r="D1859" s="3" t="s">
        <v>34</v>
      </c>
      <c r="E1859" s="3" t="s">
        <v>48</v>
      </c>
      <c r="F1859" s="5">
        <v>2</v>
      </c>
      <c r="G1859" s="6">
        <v>28.88</v>
      </c>
      <c r="H1859" s="6">
        <v>57.76</v>
      </c>
      <c r="I1859" s="6">
        <v>0</v>
      </c>
      <c r="J1859" s="6">
        <v>57.76</v>
      </c>
      <c r="K1859" s="5">
        <v>164</v>
      </c>
    </row>
    <row r="1860" spans="1:11" x14ac:dyDescent="0.3">
      <c r="A1860" s="3">
        <v>1207</v>
      </c>
      <c r="B1860" s="3" t="s">
        <v>11</v>
      </c>
      <c r="C1860" s="4">
        <v>45694</v>
      </c>
      <c r="D1860" s="3" t="s">
        <v>22</v>
      </c>
      <c r="E1860" s="3" t="s">
        <v>47</v>
      </c>
      <c r="F1860" s="5">
        <v>1</v>
      </c>
      <c r="G1860" s="6">
        <v>19.02</v>
      </c>
      <c r="H1860" s="6">
        <v>19.02</v>
      </c>
      <c r="I1860" s="6">
        <v>3.8</v>
      </c>
      <c r="J1860" s="6">
        <v>15.22</v>
      </c>
      <c r="K1860" s="5">
        <v>302</v>
      </c>
    </row>
    <row r="1861" spans="1:11" x14ac:dyDescent="0.3">
      <c r="A1861" s="3">
        <v>3248</v>
      </c>
      <c r="B1861" s="3" t="s">
        <v>36</v>
      </c>
      <c r="C1861" s="4">
        <v>45689</v>
      </c>
      <c r="D1861" s="3" t="s">
        <v>35</v>
      </c>
      <c r="E1861" s="3" t="s">
        <v>44</v>
      </c>
      <c r="F1861" s="5">
        <v>5</v>
      </c>
      <c r="G1861" s="6">
        <v>9.1199999999999992</v>
      </c>
      <c r="H1861" s="6">
        <v>45.6</v>
      </c>
      <c r="I1861" s="6">
        <v>4.5599999999999996</v>
      </c>
      <c r="J1861" s="6">
        <v>41.04</v>
      </c>
      <c r="K1861" s="5">
        <v>266</v>
      </c>
    </row>
    <row r="1862" spans="1:11" x14ac:dyDescent="0.3">
      <c r="A1862" s="3">
        <v>1185</v>
      </c>
      <c r="B1862" s="3" t="s">
        <v>36</v>
      </c>
      <c r="C1862" s="4">
        <v>45272</v>
      </c>
      <c r="D1862" s="3" t="s">
        <v>34</v>
      </c>
      <c r="E1862" s="3" t="s">
        <v>40</v>
      </c>
      <c r="F1862" s="5">
        <v>2</v>
      </c>
      <c r="G1862" s="6">
        <v>21.3</v>
      </c>
      <c r="H1862" s="6">
        <v>42.6</v>
      </c>
      <c r="I1862" s="6">
        <v>4.26</v>
      </c>
      <c r="J1862" s="6">
        <v>38.340000000000003</v>
      </c>
      <c r="K1862" s="5">
        <v>134</v>
      </c>
    </row>
    <row r="1863" spans="1:11" x14ac:dyDescent="0.3">
      <c r="A1863" s="3">
        <v>9133</v>
      </c>
      <c r="B1863" s="3" t="s">
        <v>36</v>
      </c>
      <c r="C1863" s="4">
        <v>45414</v>
      </c>
      <c r="D1863" s="3" t="s">
        <v>12</v>
      </c>
      <c r="E1863" s="3" t="s">
        <v>13</v>
      </c>
      <c r="F1863" s="5">
        <v>4</v>
      </c>
      <c r="G1863" s="6">
        <v>20.11</v>
      </c>
      <c r="H1863" s="6">
        <v>80.44</v>
      </c>
      <c r="I1863" s="6">
        <v>16.09</v>
      </c>
      <c r="J1863" s="6">
        <v>64.349999999999994</v>
      </c>
      <c r="K1863" s="5">
        <v>170</v>
      </c>
    </row>
    <row r="1864" spans="1:11" x14ac:dyDescent="0.3">
      <c r="A1864" s="3">
        <v>9568</v>
      </c>
      <c r="B1864" s="3" t="s">
        <v>31</v>
      </c>
      <c r="C1864" s="4">
        <v>45546</v>
      </c>
      <c r="D1864" s="3" t="s">
        <v>28</v>
      </c>
      <c r="E1864" s="3" t="s">
        <v>39</v>
      </c>
      <c r="F1864" s="5">
        <v>3</v>
      </c>
      <c r="G1864" s="6">
        <v>12.03</v>
      </c>
      <c r="H1864" s="6">
        <v>36.090000000000003</v>
      </c>
      <c r="I1864" s="6">
        <v>3.61</v>
      </c>
      <c r="J1864" s="6">
        <v>32.479999999999997</v>
      </c>
      <c r="K1864" s="5">
        <v>463</v>
      </c>
    </row>
    <row r="1865" spans="1:11" x14ac:dyDescent="0.3">
      <c r="A1865" s="3">
        <v>5247</v>
      </c>
      <c r="B1865" s="3" t="s">
        <v>24</v>
      </c>
      <c r="C1865" s="4">
        <v>45274</v>
      </c>
      <c r="D1865" s="3" t="s">
        <v>12</v>
      </c>
      <c r="E1865" s="3" t="s">
        <v>13</v>
      </c>
      <c r="F1865" s="5">
        <v>4</v>
      </c>
      <c r="G1865" s="6">
        <v>10.72</v>
      </c>
      <c r="H1865" s="6">
        <v>42.88</v>
      </c>
      <c r="I1865" s="6">
        <v>4.29</v>
      </c>
      <c r="J1865" s="6">
        <v>38.590000000000003</v>
      </c>
      <c r="K1865" s="5">
        <v>411</v>
      </c>
    </row>
    <row r="1866" spans="1:11" x14ac:dyDescent="0.3">
      <c r="A1866" s="3">
        <v>7092</v>
      </c>
      <c r="B1866" s="3" t="s">
        <v>36</v>
      </c>
      <c r="C1866" s="4">
        <v>45243</v>
      </c>
      <c r="D1866" s="3" t="s">
        <v>34</v>
      </c>
      <c r="E1866" s="3" t="s">
        <v>23</v>
      </c>
      <c r="F1866" s="5">
        <v>3</v>
      </c>
      <c r="G1866" s="6">
        <v>17.010000000000002</v>
      </c>
      <c r="H1866" s="6">
        <v>51.03</v>
      </c>
      <c r="I1866" s="6">
        <v>7.65</v>
      </c>
      <c r="J1866" s="6">
        <v>43.38</v>
      </c>
      <c r="K1866" s="5">
        <v>250</v>
      </c>
    </row>
    <row r="1867" spans="1:11" x14ac:dyDescent="0.3">
      <c r="A1867" s="3">
        <v>5403</v>
      </c>
      <c r="B1867" s="3" t="s">
        <v>11</v>
      </c>
      <c r="C1867" s="4">
        <v>45714</v>
      </c>
      <c r="D1867" s="3" t="s">
        <v>45</v>
      </c>
      <c r="E1867" s="3" t="s">
        <v>43</v>
      </c>
      <c r="F1867" s="5">
        <v>3</v>
      </c>
      <c r="G1867" s="6">
        <v>25.97</v>
      </c>
      <c r="H1867" s="6">
        <v>77.91</v>
      </c>
      <c r="I1867" s="6">
        <v>4.24</v>
      </c>
      <c r="J1867" s="6">
        <v>73.67</v>
      </c>
      <c r="K1867" s="5">
        <v>458</v>
      </c>
    </row>
    <row r="1868" spans="1:11" x14ac:dyDescent="0.3">
      <c r="A1868" s="3">
        <v>2934</v>
      </c>
      <c r="B1868" s="3" t="s">
        <v>11</v>
      </c>
      <c r="C1868" s="4">
        <v>45744</v>
      </c>
      <c r="D1868" s="3" t="s">
        <v>17</v>
      </c>
      <c r="E1868" s="3" t="s">
        <v>43</v>
      </c>
      <c r="F1868" s="5">
        <v>2</v>
      </c>
      <c r="G1868" s="6">
        <v>11.82</v>
      </c>
      <c r="H1868" s="6">
        <v>23.64</v>
      </c>
      <c r="I1868" s="6">
        <v>4.45</v>
      </c>
      <c r="J1868" s="6">
        <v>19.190000000000001</v>
      </c>
      <c r="K1868" s="5">
        <v>78</v>
      </c>
    </row>
    <row r="1869" spans="1:11" x14ac:dyDescent="0.3">
      <c r="A1869" s="3">
        <v>1480</v>
      </c>
      <c r="B1869" s="3" t="s">
        <v>31</v>
      </c>
      <c r="C1869" s="4">
        <v>45405</v>
      </c>
      <c r="D1869" s="3" t="s">
        <v>12</v>
      </c>
      <c r="E1869" s="3" t="s">
        <v>21</v>
      </c>
      <c r="F1869" s="5">
        <v>5</v>
      </c>
      <c r="G1869" s="6">
        <v>3.03</v>
      </c>
      <c r="H1869" s="6">
        <v>15.15</v>
      </c>
      <c r="I1869" s="6">
        <v>0</v>
      </c>
      <c r="J1869" s="6">
        <v>15.15</v>
      </c>
      <c r="K1869" s="5">
        <v>298</v>
      </c>
    </row>
    <row r="1870" spans="1:11" x14ac:dyDescent="0.3">
      <c r="A1870" s="3">
        <v>8034</v>
      </c>
      <c r="B1870" s="3" t="s">
        <v>36</v>
      </c>
      <c r="C1870" s="4">
        <v>45356</v>
      </c>
      <c r="D1870" s="3" t="s">
        <v>27</v>
      </c>
      <c r="E1870" s="3" t="s">
        <v>48</v>
      </c>
      <c r="F1870" s="5">
        <v>5</v>
      </c>
      <c r="G1870" s="6">
        <v>4.53</v>
      </c>
      <c r="H1870" s="6">
        <v>22.65</v>
      </c>
      <c r="I1870" s="6">
        <v>4.53</v>
      </c>
      <c r="J1870" s="6">
        <v>18.12</v>
      </c>
      <c r="K1870" s="5">
        <v>360</v>
      </c>
    </row>
    <row r="1871" spans="1:11" x14ac:dyDescent="0.3">
      <c r="A1871" s="3">
        <v>9582</v>
      </c>
      <c r="B1871" s="3" t="s">
        <v>11</v>
      </c>
      <c r="C1871" s="4">
        <v>45194</v>
      </c>
      <c r="D1871" s="3" t="s">
        <v>34</v>
      </c>
      <c r="E1871" s="3" t="s">
        <v>43</v>
      </c>
      <c r="F1871" s="5">
        <v>1</v>
      </c>
      <c r="G1871" s="6">
        <v>1.1000000000000001</v>
      </c>
      <c r="H1871" s="6">
        <v>1.1000000000000001</v>
      </c>
      <c r="I1871" s="6">
        <v>0.22</v>
      </c>
      <c r="J1871" s="6">
        <v>0.88</v>
      </c>
      <c r="K1871" s="5">
        <v>405</v>
      </c>
    </row>
    <row r="1872" spans="1:11" x14ac:dyDescent="0.3">
      <c r="A1872" s="3">
        <v>5308</v>
      </c>
      <c r="B1872" s="3" t="s">
        <v>31</v>
      </c>
      <c r="C1872" s="4">
        <v>45698</v>
      </c>
      <c r="D1872" s="3" t="s">
        <v>15</v>
      </c>
      <c r="E1872" s="3" t="s">
        <v>32</v>
      </c>
      <c r="F1872" s="5">
        <v>3</v>
      </c>
      <c r="G1872" s="6">
        <v>19.13</v>
      </c>
      <c r="H1872" s="6">
        <v>57.39</v>
      </c>
      <c r="I1872" s="6">
        <v>11.48</v>
      </c>
      <c r="J1872" s="6">
        <v>45.91</v>
      </c>
      <c r="K1872" s="5">
        <v>98</v>
      </c>
    </row>
    <row r="1873" spans="1:11" x14ac:dyDescent="0.3">
      <c r="A1873" s="3">
        <v>2262</v>
      </c>
      <c r="B1873" s="3" t="s">
        <v>26</v>
      </c>
      <c r="C1873" s="4">
        <v>45530</v>
      </c>
      <c r="D1873" s="3" t="s">
        <v>28</v>
      </c>
      <c r="E1873" s="3" t="s">
        <v>29</v>
      </c>
      <c r="F1873" s="5">
        <v>4</v>
      </c>
      <c r="G1873" s="6">
        <v>9.34</v>
      </c>
      <c r="H1873" s="6">
        <v>37.36</v>
      </c>
      <c r="I1873" s="6">
        <v>3.74</v>
      </c>
      <c r="J1873" s="6">
        <v>33.619999999999997</v>
      </c>
      <c r="K1873" s="5">
        <v>346</v>
      </c>
    </row>
    <row r="1874" spans="1:11" x14ac:dyDescent="0.3">
      <c r="A1874" s="3">
        <v>8457</v>
      </c>
      <c r="B1874" s="3" t="s">
        <v>19</v>
      </c>
      <c r="C1874" s="4">
        <v>45541</v>
      </c>
      <c r="D1874" s="3" t="s">
        <v>38</v>
      </c>
      <c r="E1874" s="3" t="s">
        <v>39</v>
      </c>
      <c r="F1874" s="5">
        <v>1</v>
      </c>
      <c r="G1874" s="6">
        <v>6.09</v>
      </c>
      <c r="H1874" s="6">
        <v>6.09</v>
      </c>
      <c r="I1874" s="6">
        <v>1.22</v>
      </c>
      <c r="J1874" s="6">
        <v>4.87</v>
      </c>
      <c r="K1874" s="5">
        <v>101</v>
      </c>
    </row>
    <row r="1875" spans="1:11" x14ac:dyDescent="0.3">
      <c r="A1875" s="3">
        <v>6900</v>
      </c>
      <c r="B1875" s="3" t="s">
        <v>14</v>
      </c>
      <c r="C1875" s="4">
        <v>45188</v>
      </c>
      <c r="D1875" s="3" t="s">
        <v>28</v>
      </c>
      <c r="E1875" s="3" t="s">
        <v>44</v>
      </c>
      <c r="F1875" s="5">
        <v>1</v>
      </c>
      <c r="G1875" s="6">
        <v>21.37</v>
      </c>
      <c r="H1875" s="6">
        <v>21.37</v>
      </c>
      <c r="I1875" s="6">
        <v>4.2699999999999996</v>
      </c>
      <c r="J1875" s="6">
        <v>17.100000000000001</v>
      </c>
      <c r="K1875" s="5">
        <v>38</v>
      </c>
    </row>
    <row r="1876" spans="1:11" x14ac:dyDescent="0.3">
      <c r="A1876" s="3">
        <v>9185</v>
      </c>
      <c r="B1876" s="3" t="s">
        <v>36</v>
      </c>
      <c r="C1876" s="4">
        <v>45812</v>
      </c>
      <c r="D1876" s="3" t="s">
        <v>17</v>
      </c>
      <c r="E1876" s="3" t="s">
        <v>29</v>
      </c>
      <c r="F1876" s="5">
        <v>4</v>
      </c>
      <c r="G1876" s="6">
        <v>19.41</v>
      </c>
      <c r="H1876" s="6">
        <v>77.64</v>
      </c>
      <c r="I1876" s="6">
        <v>2.65</v>
      </c>
      <c r="J1876" s="6">
        <v>74.989999999999995</v>
      </c>
      <c r="K1876" s="5">
        <v>303</v>
      </c>
    </row>
    <row r="1877" spans="1:11" x14ac:dyDescent="0.3">
      <c r="A1877" s="3">
        <v>3734</v>
      </c>
      <c r="B1877" s="3" t="s">
        <v>30</v>
      </c>
      <c r="C1877" s="4">
        <v>45430</v>
      </c>
      <c r="D1877" s="3" t="s">
        <v>17</v>
      </c>
      <c r="E1877" s="3" t="s">
        <v>16</v>
      </c>
      <c r="F1877" s="5">
        <v>3</v>
      </c>
      <c r="G1877" s="6">
        <v>24.9</v>
      </c>
      <c r="H1877" s="6">
        <v>74.7</v>
      </c>
      <c r="I1877" s="6">
        <v>1.03</v>
      </c>
      <c r="J1877" s="6">
        <v>73.67</v>
      </c>
      <c r="K1877" s="5">
        <v>376</v>
      </c>
    </row>
    <row r="1878" spans="1:11" x14ac:dyDescent="0.3">
      <c r="A1878" s="3">
        <v>3577</v>
      </c>
      <c r="B1878" s="3" t="s">
        <v>30</v>
      </c>
      <c r="C1878" s="4">
        <v>45343</v>
      </c>
      <c r="D1878" s="3" t="s">
        <v>35</v>
      </c>
      <c r="E1878" s="3" t="s">
        <v>29</v>
      </c>
      <c r="F1878" s="5">
        <v>1</v>
      </c>
      <c r="G1878" s="6">
        <v>2.78</v>
      </c>
      <c r="H1878" s="6">
        <v>2.78</v>
      </c>
      <c r="I1878" s="6">
        <v>0</v>
      </c>
      <c r="J1878" s="6">
        <v>2.78</v>
      </c>
      <c r="K1878" s="5">
        <v>252</v>
      </c>
    </row>
    <row r="1879" spans="1:11" x14ac:dyDescent="0.3">
      <c r="A1879" s="3">
        <v>2685</v>
      </c>
      <c r="B1879" s="3" t="s">
        <v>31</v>
      </c>
      <c r="C1879" s="4">
        <v>45839</v>
      </c>
      <c r="D1879" s="3" t="s">
        <v>28</v>
      </c>
      <c r="E1879" s="3" t="s">
        <v>16</v>
      </c>
      <c r="F1879" s="5">
        <v>1</v>
      </c>
      <c r="G1879" s="6">
        <v>20.54</v>
      </c>
      <c r="H1879" s="6">
        <v>20.54</v>
      </c>
      <c r="I1879" s="6">
        <v>4.91</v>
      </c>
      <c r="J1879" s="6">
        <v>15.63</v>
      </c>
      <c r="K1879" s="5">
        <v>460</v>
      </c>
    </row>
    <row r="1880" spans="1:11" x14ac:dyDescent="0.3">
      <c r="A1880" s="3">
        <v>2889</v>
      </c>
      <c r="B1880" s="3" t="s">
        <v>11</v>
      </c>
      <c r="C1880" s="4">
        <v>45322</v>
      </c>
      <c r="D1880" s="3" t="s">
        <v>22</v>
      </c>
      <c r="E1880" s="3" t="s">
        <v>23</v>
      </c>
      <c r="F1880" s="5">
        <v>5</v>
      </c>
      <c r="G1880" s="6">
        <v>20.66</v>
      </c>
      <c r="H1880" s="6">
        <v>103.3</v>
      </c>
      <c r="I1880" s="6">
        <v>0</v>
      </c>
      <c r="J1880" s="6">
        <v>103.3</v>
      </c>
      <c r="K1880" s="5">
        <v>33</v>
      </c>
    </row>
    <row r="1881" spans="1:11" x14ac:dyDescent="0.3">
      <c r="A1881" s="3">
        <v>9336</v>
      </c>
      <c r="B1881" s="3" t="s">
        <v>36</v>
      </c>
      <c r="C1881" s="4">
        <v>45146</v>
      </c>
      <c r="D1881" s="3" t="s">
        <v>45</v>
      </c>
      <c r="E1881" s="3" t="s">
        <v>23</v>
      </c>
      <c r="F1881" s="5">
        <v>4</v>
      </c>
      <c r="G1881" s="6">
        <v>11.73</v>
      </c>
      <c r="H1881" s="6">
        <v>46.92</v>
      </c>
      <c r="I1881" s="6">
        <v>7.04</v>
      </c>
      <c r="J1881" s="6">
        <v>39.880000000000003</v>
      </c>
      <c r="K1881" s="5">
        <v>153</v>
      </c>
    </row>
    <row r="1882" spans="1:11" x14ac:dyDescent="0.3">
      <c r="A1882" s="3">
        <v>1721</v>
      </c>
      <c r="B1882" s="3" t="s">
        <v>14</v>
      </c>
      <c r="C1882" s="4">
        <v>45811</v>
      </c>
      <c r="D1882" s="3" t="s">
        <v>17</v>
      </c>
      <c r="E1882" s="3" t="s">
        <v>25</v>
      </c>
      <c r="F1882" s="5">
        <v>5</v>
      </c>
      <c r="G1882" s="6">
        <v>5.94</v>
      </c>
      <c r="H1882" s="6">
        <v>29.7</v>
      </c>
      <c r="I1882" s="6">
        <v>2.97</v>
      </c>
      <c r="J1882" s="6">
        <v>26.73</v>
      </c>
      <c r="K1882" s="5">
        <v>353</v>
      </c>
    </row>
    <row r="1883" spans="1:11" x14ac:dyDescent="0.3">
      <c r="A1883" s="3">
        <v>1201</v>
      </c>
      <c r="B1883" s="3" t="s">
        <v>26</v>
      </c>
      <c r="C1883" s="4">
        <v>45334</v>
      </c>
      <c r="D1883" s="3" t="s">
        <v>45</v>
      </c>
      <c r="E1883" s="3" t="s">
        <v>21</v>
      </c>
      <c r="F1883" s="5">
        <v>4</v>
      </c>
      <c r="G1883" s="6">
        <v>14.44</v>
      </c>
      <c r="H1883" s="6">
        <v>57.76</v>
      </c>
      <c r="I1883" s="6">
        <v>5.78</v>
      </c>
      <c r="J1883" s="6">
        <v>51.98</v>
      </c>
      <c r="K1883" s="5">
        <v>460</v>
      </c>
    </row>
    <row r="1884" spans="1:11" x14ac:dyDescent="0.3">
      <c r="A1884" s="3">
        <v>1753</v>
      </c>
      <c r="B1884" s="3" t="s">
        <v>19</v>
      </c>
      <c r="C1884" s="4">
        <v>45511</v>
      </c>
      <c r="D1884" s="3" t="s">
        <v>34</v>
      </c>
      <c r="E1884" s="3" t="s">
        <v>32</v>
      </c>
      <c r="F1884" s="5">
        <v>4</v>
      </c>
      <c r="G1884" s="6">
        <v>28.53</v>
      </c>
      <c r="H1884" s="6">
        <v>114.12</v>
      </c>
      <c r="I1884" s="6">
        <v>17.12</v>
      </c>
      <c r="J1884" s="6">
        <v>97</v>
      </c>
      <c r="K1884" s="5">
        <v>447</v>
      </c>
    </row>
    <row r="1885" spans="1:11" x14ac:dyDescent="0.3">
      <c r="A1885" s="3">
        <v>6963</v>
      </c>
      <c r="B1885" s="3" t="s">
        <v>24</v>
      </c>
      <c r="C1885" s="4">
        <v>45442</v>
      </c>
      <c r="D1885" s="3" t="s">
        <v>27</v>
      </c>
      <c r="E1885" s="3" t="s">
        <v>41</v>
      </c>
      <c r="F1885" s="5">
        <v>4</v>
      </c>
      <c r="G1885" s="6">
        <v>11.6</v>
      </c>
      <c r="H1885" s="6">
        <v>46.4</v>
      </c>
      <c r="I1885" s="6">
        <v>9.2799999999999994</v>
      </c>
      <c r="J1885" s="6">
        <v>37.119999999999997</v>
      </c>
      <c r="K1885" s="5">
        <v>222</v>
      </c>
    </row>
    <row r="1886" spans="1:11" x14ac:dyDescent="0.3">
      <c r="A1886" s="3">
        <v>3458</v>
      </c>
      <c r="B1886" s="3" t="s">
        <v>19</v>
      </c>
      <c r="C1886" s="4">
        <v>45284</v>
      </c>
      <c r="D1886" s="3" t="s">
        <v>17</v>
      </c>
      <c r="E1886" s="3" t="s">
        <v>48</v>
      </c>
      <c r="F1886" s="5">
        <v>1</v>
      </c>
      <c r="G1886" s="6">
        <v>12.34</v>
      </c>
      <c r="H1886" s="6">
        <v>12.34</v>
      </c>
      <c r="I1886" s="6">
        <v>1.85</v>
      </c>
      <c r="J1886" s="6">
        <v>10.49</v>
      </c>
      <c r="K1886" s="5">
        <v>76</v>
      </c>
    </row>
    <row r="1887" spans="1:11" x14ac:dyDescent="0.3">
      <c r="A1887" s="3">
        <v>1579</v>
      </c>
      <c r="B1887" s="3" t="s">
        <v>42</v>
      </c>
      <c r="C1887" s="4">
        <v>45574</v>
      </c>
      <c r="D1887" s="3" t="s">
        <v>12</v>
      </c>
      <c r="E1887" s="3" t="s">
        <v>47</v>
      </c>
      <c r="F1887" s="5">
        <v>4</v>
      </c>
      <c r="G1887" s="6">
        <v>5.58</v>
      </c>
      <c r="H1887" s="6">
        <v>22.32</v>
      </c>
      <c r="I1887" s="6">
        <v>4.46</v>
      </c>
      <c r="J1887" s="6">
        <v>17.86</v>
      </c>
      <c r="K1887" s="5">
        <v>424</v>
      </c>
    </row>
    <row r="1888" spans="1:11" x14ac:dyDescent="0.3">
      <c r="A1888" s="3">
        <v>7870</v>
      </c>
      <c r="B1888" s="3" t="s">
        <v>42</v>
      </c>
      <c r="C1888" s="4">
        <v>45319</v>
      </c>
      <c r="D1888" s="3" t="s">
        <v>45</v>
      </c>
      <c r="E1888" s="3" t="s">
        <v>47</v>
      </c>
      <c r="F1888" s="5">
        <v>4</v>
      </c>
      <c r="G1888" s="6">
        <v>13.61</v>
      </c>
      <c r="H1888" s="6">
        <v>54.44</v>
      </c>
      <c r="I1888" s="6">
        <v>5.44</v>
      </c>
      <c r="J1888" s="6">
        <v>49</v>
      </c>
      <c r="K1888" s="5">
        <v>436</v>
      </c>
    </row>
    <row r="1889" spans="1:11" x14ac:dyDescent="0.3">
      <c r="A1889" s="3">
        <v>6272</v>
      </c>
      <c r="B1889" s="3" t="s">
        <v>31</v>
      </c>
      <c r="C1889" s="4">
        <v>45337</v>
      </c>
      <c r="D1889" s="3" t="s">
        <v>22</v>
      </c>
      <c r="E1889" s="3" t="s">
        <v>48</v>
      </c>
      <c r="F1889" s="5">
        <v>1</v>
      </c>
      <c r="G1889" s="6">
        <v>28.63</v>
      </c>
      <c r="H1889" s="6">
        <v>28.63</v>
      </c>
      <c r="I1889" s="6">
        <v>2.16</v>
      </c>
      <c r="J1889" s="6">
        <v>26.47</v>
      </c>
      <c r="K1889" s="5">
        <v>361</v>
      </c>
    </row>
    <row r="1890" spans="1:11" x14ac:dyDescent="0.3">
      <c r="A1890" s="3">
        <v>7819</v>
      </c>
      <c r="B1890" s="3" t="s">
        <v>42</v>
      </c>
      <c r="C1890" s="4">
        <v>45856</v>
      </c>
      <c r="D1890" s="3" t="s">
        <v>38</v>
      </c>
      <c r="E1890" s="3" t="s">
        <v>47</v>
      </c>
      <c r="F1890" s="5">
        <v>2</v>
      </c>
      <c r="G1890" s="6">
        <v>13.06</v>
      </c>
      <c r="H1890" s="6">
        <v>26.12</v>
      </c>
      <c r="I1890" s="6">
        <v>0</v>
      </c>
      <c r="J1890" s="6">
        <v>26.12</v>
      </c>
      <c r="K1890" s="5">
        <v>6</v>
      </c>
    </row>
    <row r="1891" spans="1:11" x14ac:dyDescent="0.3">
      <c r="A1891" s="3">
        <v>6241</v>
      </c>
      <c r="B1891" s="3" t="s">
        <v>19</v>
      </c>
      <c r="C1891" s="4">
        <v>45355</v>
      </c>
      <c r="D1891" s="3" t="s">
        <v>22</v>
      </c>
      <c r="E1891" s="3" t="s">
        <v>37</v>
      </c>
      <c r="F1891" s="5">
        <v>5</v>
      </c>
      <c r="G1891" s="6">
        <v>13.43</v>
      </c>
      <c r="H1891" s="6">
        <v>67.150000000000006</v>
      </c>
      <c r="I1891" s="6">
        <v>2.13</v>
      </c>
      <c r="J1891" s="6">
        <v>65.02</v>
      </c>
      <c r="K1891" s="5">
        <v>62</v>
      </c>
    </row>
    <row r="1892" spans="1:11" x14ac:dyDescent="0.3">
      <c r="A1892" s="3">
        <v>2276</v>
      </c>
      <c r="B1892" s="3" t="s">
        <v>36</v>
      </c>
      <c r="C1892" s="4">
        <v>45588</v>
      </c>
      <c r="D1892" s="3" t="s">
        <v>34</v>
      </c>
      <c r="E1892" s="3" t="s">
        <v>23</v>
      </c>
      <c r="F1892" s="5">
        <v>5</v>
      </c>
      <c r="G1892" s="6">
        <v>29.13</v>
      </c>
      <c r="H1892" s="6">
        <v>145.65</v>
      </c>
      <c r="I1892" s="6">
        <v>14.57</v>
      </c>
      <c r="J1892" s="6">
        <v>131.08000000000001</v>
      </c>
      <c r="K1892" s="5">
        <v>32</v>
      </c>
    </row>
    <row r="1893" spans="1:11" x14ac:dyDescent="0.3">
      <c r="A1893" s="3">
        <v>7108</v>
      </c>
      <c r="B1893" s="3" t="s">
        <v>36</v>
      </c>
      <c r="C1893" s="4">
        <v>45237</v>
      </c>
      <c r="D1893" s="3" t="s">
        <v>20</v>
      </c>
      <c r="E1893" s="3" t="s">
        <v>25</v>
      </c>
      <c r="F1893" s="5">
        <v>2</v>
      </c>
      <c r="G1893" s="6">
        <v>28.38</v>
      </c>
      <c r="H1893" s="6">
        <v>56.76</v>
      </c>
      <c r="I1893" s="6">
        <v>8.51</v>
      </c>
      <c r="J1893" s="6">
        <v>48.25</v>
      </c>
      <c r="K1893" s="5">
        <v>352</v>
      </c>
    </row>
    <row r="1894" spans="1:11" x14ac:dyDescent="0.3">
      <c r="A1894" s="3">
        <v>9225</v>
      </c>
      <c r="B1894" s="3" t="s">
        <v>26</v>
      </c>
      <c r="C1894" s="4">
        <v>45667</v>
      </c>
      <c r="D1894" s="3" t="s">
        <v>35</v>
      </c>
      <c r="E1894" s="3" t="s">
        <v>18</v>
      </c>
      <c r="F1894" s="5">
        <v>3</v>
      </c>
      <c r="G1894" s="6">
        <v>17.73</v>
      </c>
      <c r="H1894" s="6">
        <v>53.19</v>
      </c>
      <c r="I1894" s="6">
        <v>10.64</v>
      </c>
      <c r="J1894" s="6">
        <v>42.55</v>
      </c>
      <c r="K1894" s="5">
        <v>169</v>
      </c>
    </row>
    <row r="1895" spans="1:11" x14ac:dyDescent="0.3">
      <c r="A1895" s="3">
        <v>1862</v>
      </c>
      <c r="B1895" s="3" t="s">
        <v>36</v>
      </c>
      <c r="C1895" s="4">
        <v>45284</v>
      </c>
      <c r="D1895" s="3" t="s">
        <v>27</v>
      </c>
      <c r="E1895" s="3" t="s">
        <v>25</v>
      </c>
      <c r="F1895" s="5">
        <v>5</v>
      </c>
      <c r="G1895" s="6">
        <v>18.66</v>
      </c>
      <c r="H1895" s="6">
        <v>93.3</v>
      </c>
      <c r="I1895" s="6">
        <v>9.33</v>
      </c>
      <c r="J1895" s="6">
        <v>83.97</v>
      </c>
      <c r="K1895" s="5">
        <v>416</v>
      </c>
    </row>
    <row r="1896" spans="1:11" x14ac:dyDescent="0.3">
      <c r="A1896" s="3">
        <v>4656</v>
      </c>
      <c r="B1896" s="3" t="s">
        <v>26</v>
      </c>
      <c r="C1896" s="4">
        <v>45769</v>
      </c>
      <c r="D1896" s="3" t="s">
        <v>12</v>
      </c>
      <c r="E1896" s="3" t="s">
        <v>21</v>
      </c>
      <c r="F1896" s="5">
        <v>5</v>
      </c>
      <c r="G1896" s="6">
        <v>26.53</v>
      </c>
      <c r="H1896" s="6">
        <v>132.65</v>
      </c>
      <c r="I1896" s="6">
        <v>2.29</v>
      </c>
      <c r="J1896" s="6">
        <v>130.36000000000001</v>
      </c>
      <c r="K1896" s="5">
        <v>196</v>
      </c>
    </row>
    <row r="1897" spans="1:11" x14ac:dyDescent="0.3">
      <c r="A1897" s="3">
        <v>9450</v>
      </c>
      <c r="B1897" s="3" t="s">
        <v>14</v>
      </c>
      <c r="C1897" s="4">
        <v>45180</v>
      </c>
      <c r="D1897" s="3" t="s">
        <v>45</v>
      </c>
      <c r="E1897" s="3" t="s">
        <v>33</v>
      </c>
      <c r="F1897" s="5">
        <v>5</v>
      </c>
      <c r="G1897" s="6">
        <v>27.1</v>
      </c>
      <c r="H1897" s="6">
        <v>135.5</v>
      </c>
      <c r="I1897" s="6">
        <v>2.8</v>
      </c>
      <c r="J1897" s="6">
        <v>132.69999999999999</v>
      </c>
      <c r="K1897" s="5">
        <v>484</v>
      </c>
    </row>
    <row r="1898" spans="1:11" x14ac:dyDescent="0.3">
      <c r="A1898" s="3">
        <v>7568</v>
      </c>
      <c r="B1898" s="3" t="s">
        <v>42</v>
      </c>
      <c r="C1898" s="4">
        <v>45198</v>
      </c>
      <c r="D1898" s="3" t="s">
        <v>35</v>
      </c>
      <c r="E1898" s="3" t="s">
        <v>41</v>
      </c>
      <c r="F1898" s="5">
        <v>3</v>
      </c>
      <c r="G1898" s="6">
        <v>25.58</v>
      </c>
      <c r="H1898" s="6">
        <v>76.739999999999995</v>
      </c>
      <c r="I1898" s="6">
        <v>15.35</v>
      </c>
      <c r="J1898" s="6">
        <v>61.39</v>
      </c>
      <c r="K1898" s="5">
        <v>30</v>
      </c>
    </row>
    <row r="1899" spans="1:11" x14ac:dyDescent="0.3">
      <c r="A1899" s="3">
        <v>8620</v>
      </c>
      <c r="B1899" s="3" t="s">
        <v>42</v>
      </c>
      <c r="C1899" s="4">
        <v>45817</v>
      </c>
      <c r="D1899" s="3" t="s">
        <v>27</v>
      </c>
      <c r="E1899" s="3" t="s">
        <v>39</v>
      </c>
      <c r="F1899" s="5">
        <v>3</v>
      </c>
      <c r="G1899" s="6">
        <v>11.32</v>
      </c>
      <c r="H1899" s="6">
        <v>33.96</v>
      </c>
      <c r="I1899" s="6">
        <v>1.58</v>
      </c>
      <c r="J1899" s="6">
        <v>32.380000000000003</v>
      </c>
      <c r="K1899" s="5">
        <v>317</v>
      </c>
    </row>
    <row r="1900" spans="1:11" x14ac:dyDescent="0.3">
      <c r="A1900" s="3">
        <v>5625</v>
      </c>
      <c r="B1900" s="3" t="s">
        <v>30</v>
      </c>
      <c r="C1900" s="4">
        <v>45745</v>
      </c>
      <c r="D1900" s="3" t="s">
        <v>22</v>
      </c>
      <c r="E1900" s="3" t="s">
        <v>47</v>
      </c>
      <c r="F1900" s="5">
        <v>3</v>
      </c>
      <c r="G1900" s="6">
        <v>18.53</v>
      </c>
      <c r="H1900" s="6">
        <v>55.59</v>
      </c>
      <c r="I1900" s="6">
        <v>0</v>
      </c>
      <c r="J1900" s="6">
        <v>55.59</v>
      </c>
      <c r="K1900" s="5">
        <v>274</v>
      </c>
    </row>
    <row r="1901" spans="1:11" x14ac:dyDescent="0.3">
      <c r="A1901" s="3">
        <v>6090</v>
      </c>
      <c r="B1901" s="3" t="s">
        <v>42</v>
      </c>
      <c r="C1901" s="4">
        <v>45399</v>
      </c>
      <c r="D1901" s="3" t="s">
        <v>28</v>
      </c>
      <c r="E1901" s="3" t="s">
        <v>48</v>
      </c>
      <c r="F1901" s="5">
        <v>3</v>
      </c>
      <c r="G1901" s="6">
        <v>22.26</v>
      </c>
      <c r="H1901" s="6">
        <v>66.78</v>
      </c>
      <c r="I1901" s="6">
        <v>4.2</v>
      </c>
      <c r="J1901" s="6">
        <v>62.58</v>
      </c>
      <c r="K1901" s="5">
        <v>376</v>
      </c>
    </row>
    <row r="1902" spans="1:11" x14ac:dyDescent="0.3">
      <c r="A1902" s="3">
        <v>2415</v>
      </c>
      <c r="B1902" s="3" t="s">
        <v>30</v>
      </c>
      <c r="C1902" s="4">
        <v>45574</v>
      </c>
      <c r="D1902" s="3" t="s">
        <v>17</v>
      </c>
      <c r="E1902" s="3" t="s">
        <v>32</v>
      </c>
      <c r="F1902" s="5">
        <v>4</v>
      </c>
      <c r="G1902" s="6">
        <v>21.31</v>
      </c>
      <c r="H1902" s="6">
        <v>85.24</v>
      </c>
      <c r="I1902" s="6">
        <v>12.79</v>
      </c>
      <c r="J1902" s="6">
        <v>72.45</v>
      </c>
      <c r="K1902" s="5">
        <v>436</v>
      </c>
    </row>
    <row r="1903" spans="1:11" x14ac:dyDescent="0.3">
      <c r="A1903" s="3">
        <v>8483</v>
      </c>
      <c r="B1903" s="3" t="s">
        <v>30</v>
      </c>
      <c r="C1903" s="4">
        <v>45151</v>
      </c>
      <c r="D1903" s="3" t="s">
        <v>17</v>
      </c>
      <c r="E1903" s="3" t="s">
        <v>41</v>
      </c>
      <c r="F1903" s="5">
        <v>3</v>
      </c>
      <c r="G1903" s="6">
        <v>1.72</v>
      </c>
      <c r="H1903" s="6">
        <v>5.16</v>
      </c>
      <c r="I1903" s="6">
        <v>2.4700000000000002</v>
      </c>
      <c r="J1903" s="6">
        <v>2.69</v>
      </c>
      <c r="K1903" s="5">
        <v>333</v>
      </c>
    </row>
    <row r="1904" spans="1:11" x14ac:dyDescent="0.3">
      <c r="A1904" s="3">
        <v>7044</v>
      </c>
      <c r="B1904" s="3" t="s">
        <v>19</v>
      </c>
      <c r="C1904" s="4">
        <v>45300</v>
      </c>
      <c r="D1904" s="3" t="s">
        <v>45</v>
      </c>
      <c r="E1904" s="3" t="s">
        <v>32</v>
      </c>
      <c r="F1904" s="5">
        <v>5</v>
      </c>
      <c r="G1904" s="6">
        <v>5.54</v>
      </c>
      <c r="H1904" s="6">
        <v>27.7</v>
      </c>
      <c r="I1904" s="6">
        <v>4.75</v>
      </c>
      <c r="J1904" s="6">
        <v>22.95</v>
      </c>
      <c r="K1904" s="5">
        <v>227</v>
      </c>
    </row>
    <row r="1905" spans="1:11" x14ac:dyDescent="0.3">
      <c r="A1905" s="3">
        <v>5777</v>
      </c>
      <c r="B1905" s="3" t="s">
        <v>26</v>
      </c>
      <c r="C1905" s="4">
        <v>45582</v>
      </c>
      <c r="D1905" s="3" t="s">
        <v>35</v>
      </c>
      <c r="E1905" s="3" t="s">
        <v>44</v>
      </c>
      <c r="F1905" s="5">
        <v>5</v>
      </c>
      <c r="G1905" s="6">
        <v>14.14</v>
      </c>
      <c r="H1905" s="6">
        <v>70.7</v>
      </c>
      <c r="I1905" s="6">
        <v>10.61</v>
      </c>
      <c r="J1905" s="6">
        <v>60.09</v>
      </c>
      <c r="K1905" s="5">
        <v>83</v>
      </c>
    </row>
    <row r="1906" spans="1:11" x14ac:dyDescent="0.3">
      <c r="A1906" s="3">
        <v>5979</v>
      </c>
      <c r="B1906" s="3" t="s">
        <v>31</v>
      </c>
      <c r="C1906" s="4">
        <v>45719</v>
      </c>
      <c r="D1906" s="3" t="s">
        <v>15</v>
      </c>
      <c r="E1906" s="3" t="s">
        <v>40</v>
      </c>
      <c r="F1906" s="5">
        <v>3</v>
      </c>
      <c r="G1906" s="6">
        <v>17.010000000000002</v>
      </c>
      <c r="H1906" s="6">
        <v>51.03</v>
      </c>
      <c r="I1906" s="6">
        <v>7.65</v>
      </c>
      <c r="J1906" s="6">
        <v>43.38</v>
      </c>
      <c r="K1906" s="5">
        <v>188</v>
      </c>
    </row>
    <row r="1907" spans="1:11" x14ac:dyDescent="0.3">
      <c r="A1907" s="3">
        <v>4974</v>
      </c>
      <c r="B1907" s="3" t="s">
        <v>24</v>
      </c>
      <c r="C1907" s="4">
        <v>45505</v>
      </c>
      <c r="D1907" s="3" t="s">
        <v>38</v>
      </c>
      <c r="E1907" s="3" t="s">
        <v>39</v>
      </c>
      <c r="F1907" s="5">
        <v>4</v>
      </c>
      <c r="G1907" s="6">
        <v>19.73</v>
      </c>
      <c r="H1907" s="6">
        <v>78.92</v>
      </c>
      <c r="I1907" s="6">
        <v>11.84</v>
      </c>
      <c r="J1907" s="6">
        <v>67.08</v>
      </c>
      <c r="K1907" s="5">
        <v>202</v>
      </c>
    </row>
    <row r="1908" spans="1:11" x14ac:dyDescent="0.3">
      <c r="A1908" s="3">
        <v>7033</v>
      </c>
      <c r="B1908" s="3" t="s">
        <v>31</v>
      </c>
      <c r="C1908" s="4">
        <v>45604</v>
      </c>
      <c r="D1908" s="3" t="s">
        <v>27</v>
      </c>
      <c r="E1908" s="3" t="s">
        <v>37</v>
      </c>
      <c r="F1908" s="5">
        <v>3</v>
      </c>
      <c r="G1908" s="6">
        <v>17.39</v>
      </c>
      <c r="H1908" s="6">
        <v>52.17</v>
      </c>
      <c r="I1908" s="6">
        <v>1.22</v>
      </c>
      <c r="J1908" s="6">
        <v>50.95</v>
      </c>
      <c r="K1908" s="5">
        <v>291</v>
      </c>
    </row>
    <row r="1909" spans="1:11" x14ac:dyDescent="0.3">
      <c r="A1909" s="3">
        <v>9083</v>
      </c>
      <c r="B1909" s="3" t="s">
        <v>19</v>
      </c>
      <c r="C1909" s="4">
        <v>45745</v>
      </c>
      <c r="D1909" s="3" t="s">
        <v>45</v>
      </c>
      <c r="E1909" s="3" t="s">
        <v>43</v>
      </c>
      <c r="F1909" s="5">
        <v>1</v>
      </c>
      <c r="G1909" s="6">
        <v>5.05</v>
      </c>
      <c r="H1909" s="6">
        <v>5.05</v>
      </c>
      <c r="I1909" s="6">
        <v>0</v>
      </c>
      <c r="J1909" s="6">
        <v>5.05</v>
      </c>
      <c r="K1909" s="5">
        <v>52</v>
      </c>
    </row>
    <row r="1910" spans="1:11" x14ac:dyDescent="0.3">
      <c r="A1910" s="3">
        <v>4201</v>
      </c>
      <c r="B1910" s="3" t="s">
        <v>42</v>
      </c>
      <c r="C1910" s="4">
        <v>45713</v>
      </c>
      <c r="D1910" s="3" t="s">
        <v>15</v>
      </c>
      <c r="E1910" s="3" t="s">
        <v>23</v>
      </c>
      <c r="F1910" s="5">
        <v>3</v>
      </c>
      <c r="G1910" s="6">
        <v>10.8</v>
      </c>
      <c r="H1910" s="6">
        <v>32.4</v>
      </c>
      <c r="I1910" s="6">
        <v>2.97</v>
      </c>
      <c r="J1910" s="6">
        <v>29.43</v>
      </c>
      <c r="K1910" s="5">
        <v>211</v>
      </c>
    </row>
    <row r="1911" spans="1:11" x14ac:dyDescent="0.3">
      <c r="A1911" s="3">
        <v>9954</v>
      </c>
      <c r="B1911" s="3" t="s">
        <v>14</v>
      </c>
      <c r="C1911" s="4">
        <v>45735</v>
      </c>
      <c r="D1911" s="3" t="s">
        <v>12</v>
      </c>
      <c r="E1911" s="3" t="s">
        <v>46</v>
      </c>
      <c r="F1911" s="5">
        <v>4</v>
      </c>
      <c r="G1911" s="6">
        <v>19.600000000000001</v>
      </c>
      <c r="H1911" s="6">
        <v>78.400000000000006</v>
      </c>
      <c r="I1911" s="6">
        <v>4.29</v>
      </c>
      <c r="J1911" s="6">
        <v>74.11</v>
      </c>
      <c r="K1911" s="5">
        <v>202</v>
      </c>
    </row>
    <row r="1912" spans="1:11" x14ac:dyDescent="0.3">
      <c r="A1912" s="3">
        <v>5016</v>
      </c>
      <c r="B1912" s="3" t="s">
        <v>42</v>
      </c>
      <c r="C1912" s="4">
        <v>45261</v>
      </c>
      <c r="D1912" s="3" t="s">
        <v>45</v>
      </c>
      <c r="E1912" s="3" t="s">
        <v>29</v>
      </c>
      <c r="F1912" s="5">
        <v>1</v>
      </c>
      <c r="G1912" s="6">
        <v>23.11</v>
      </c>
      <c r="H1912" s="6">
        <v>23.11</v>
      </c>
      <c r="I1912" s="6">
        <v>4.62</v>
      </c>
      <c r="J1912" s="6">
        <v>18.489999999999998</v>
      </c>
      <c r="K1912" s="5">
        <v>444</v>
      </c>
    </row>
    <row r="1913" spans="1:11" x14ac:dyDescent="0.3">
      <c r="A1913" s="3">
        <v>1104</v>
      </c>
      <c r="B1913" s="3" t="s">
        <v>42</v>
      </c>
      <c r="C1913" s="4">
        <v>45869</v>
      </c>
      <c r="D1913" s="3" t="s">
        <v>12</v>
      </c>
      <c r="E1913" s="3" t="s">
        <v>18</v>
      </c>
      <c r="F1913" s="5">
        <v>1</v>
      </c>
      <c r="G1913" s="6">
        <v>2.5099999999999998</v>
      </c>
      <c r="H1913" s="6">
        <v>2.5099999999999998</v>
      </c>
      <c r="I1913" s="6">
        <v>0.25</v>
      </c>
      <c r="J1913" s="6">
        <v>2.2599999999999998</v>
      </c>
      <c r="K1913" s="5">
        <v>431</v>
      </c>
    </row>
    <row r="1914" spans="1:11" x14ac:dyDescent="0.3">
      <c r="A1914" s="3">
        <v>7718</v>
      </c>
      <c r="B1914" s="3" t="s">
        <v>31</v>
      </c>
      <c r="C1914" s="4">
        <v>45163</v>
      </c>
      <c r="D1914" s="3" t="s">
        <v>12</v>
      </c>
      <c r="E1914" s="3" t="s">
        <v>25</v>
      </c>
      <c r="F1914" s="5">
        <v>2</v>
      </c>
      <c r="G1914" s="6">
        <v>28.54</v>
      </c>
      <c r="H1914" s="6">
        <v>57.08</v>
      </c>
      <c r="I1914" s="6">
        <v>2.2799999999999998</v>
      </c>
      <c r="J1914" s="6">
        <v>54.8</v>
      </c>
      <c r="K1914" s="5">
        <v>488</v>
      </c>
    </row>
    <row r="1915" spans="1:11" x14ac:dyDescent="0.3">
      <c r="A1915" s="3">
        <v>4817</v>
      </c>
      <c r="B1915" s="3" t="s">
        <v>24</v>
      </c>
      <c r="C1915" s="4">
        <v>45565</v>
      </c>
      <c r="D1915" s="3" t="s">
        <v>27</v>
      </c>
      <c r="E1915" s="3" t="s">
        <v>32</v>
      </c>
      <c r="F1915" s="5">
        <v>1</v>
      </c>
      <c r="G1915" s="6">
        <v>15.79</v>
      </c>
      <c r="H1915" s="6">
        <v>15.79</v>
      </c>
      <c r="I1915" s="6">
        <v>3.68</v>
      </c>
      <c r="J1915" s="6">
        <v>12.11</v>
      </c>
      <c r="K1915" s="5">
        <v>148</v>
      </c>
    </row>
    <row r="1916" spans="1:11" x14ac:dyDescent="0.3">
      <c r="A1916" s="3">
        <v>6675</v>
      </c>
      <c r="B1916" s="3" t="s">
        <v>24</v>
      </c>
      <c r="C1916" s="4">
        <v>45638</v>
      </c>
      <c r="D1916" s="3" t="s">
        <v>38</v>
      </c>
      <c r="E1916" s="3" t="s">
        <v>43</v>
      </c>
      <c r="F1916" s="5">
        <v>1</v>
      </c>
      <c r="G1916" s="6">
        <v>6.79</v>
      </c>
      <c r="H1916" s="6">
        <v>6.79</v>
      </c>
      <c r="I1916" s="6">
        <v>1.36</v>
      </c>
      <c r="J1916" s="6">
        <v>5.43</v>
      </c>
      <c r="K1916" s="5">
        <v>18</v>
      </c>
    </row>
    <row r="1917" spans="1:11" x14ac:dyDescent="0.3">
      <c r="A1917" s="3">
        <v>1157</v>
      </c>
      <c r="B1917" s="3" t="s">
        <v>26</v>
      </c>
      <c r="C1917" s="4">
        <v>45405</v>
      </c>
      <c r="D1917" s="3" t="s">
        <v>12</v>
      </c>
      <c r="E1917" s="3" t="s">
        <v>23</v>
      </c>
      <c r="F1917" s="5">
        <v>1</v>
      </c>
      <c r="G1917" s="6">
        <v>17.86</v>
      </c>
      <c r="H1917" s="6">
        <v>17.86</v>
      </c>
      <c r="I1917" s="6">
        <v>1.79</v>
      </c>
      <c r="J1917" s="6">
        <v>16.07</v>
      </c>
      <c r="K1917" s="5">
        <v>188</v>
      </c>
    </row>
    <row r="1918" spans="1:11" x14ac:dyDescent="0.3">
      <c r="A1918" s="3">
        <v>1023</v>
      </c>
      <c r="B1918" s="3" t="s">
        <v>42</v>
      </c>
      <c r="C1918" s="4">
        <v>45734</v>
      </c>
      <c r="D1918" s="3" t="s">
        <v>34</v>
      </c>
      <c r="E1918" s="3" t="s">
        <v>18</v>
      </c>
      <c r="F1918" s="5">
        <v>1</v>
      </c>
      <c r="G1918" s="6">
        <v>27.53</v>
      </c>
      <c r="H1918" s="6">
        <v>27.53</v>
      </c>
      <c r="I1918" s="6">
        <v>4.13</v>
      </c>
      <c r="J1918" s="6">
        <v>23.4</v>
      </c>
      <c r="K1918" s="5">
        <v>381</v>
      </c>
    </row>
    <row r="1919" spans="1:11" x14ac:dyDescent="0.3">
      <c r="A1919" s="3">
        <v>7164</v>
      </c>
      <c r="B1919" s="3" t="s">
        <v>14</v>
      </c>
      <c r="C1919" s="4">
        <v>45804</v>
      </c>
      <c r="D1919" s="3" t="s">
        <v>22</v>
      </c>
      <c r="E1919" s="3" t="s">
        <v>46</v>
      </c>
      <c r="F1919" s="5">
        <v>4</v>
      </c>
      <c r="G1919" s="6">
        <v>5.63</v>
      </c>
      <c r="H1919" s="6">
        <v>22.52</v>
      </c>
      <c r="I1919" s="6">
        <v>3.38</v>
      </c>
      <c r="J1919" s="6">
        <v>19.14</v>
      </c>
      <c r="K1919" s="5">
        <v>103</v>
      </c>
    </row>
    <row r="1920" spans="1:11" x14ac:dyDescent="0.3">
      <c r="A1920" s="3">
        <v>6038</v>
      </c>
      <c r="B1920" s="3" t="s">
        <v>42</v>
      </c>
      <c r="C1920" s="4">
        <v>45225</v>
      </c>
      <c r="D1920" s="3" t="s">
        <v>22</v>
      </c>
      <c r="E1920" s="3" t="s">
        <v>13</v>
      </c>
      <c r="F1920" s="5">
        <v>4</v>
      </c>
      <c r="G1920" s="6">
        <v>4.45</v>
      </c>
      <c r="H1920" s="6">
        <v>17.8</v>
      </c>
      <c r="I1920" s="6">
        <v>2.78</v>
      </c>
      <c r="J1920" s="6">
        <v>15.02</v>
      </c>
      <c r="K1920" s="5">
        <v>146</v>
      </c>
    </row>
    <row r="1921" spans="1:11" x14ac:dyDescent="0.3">
      <c r="A1921" s="3">
        <v>4361</v>
      </c>
      <c r="B1921" s="3" t="s">
        <v>14</v>
      </c>
      <c r="C1921" s="4">
        <v>45556</v>
      </c>
      <c r="D1921" s="3" t="s">
        <v>20</v>
      </c>
      <c r="E1921" s="3" t="s">
        <v>44</v>
      </c>
      <c r="F1921" s="5">
        <v>2</v>
      </c>
      <c r="G1921" s="6">
        <v>4.26</v>
      </c>
      <c r="H1921" s="6">
        <v>8.52</v>
      </c>
      <c r="I1921" s="6">
        <v>0</v>
      </c>
      <c r="J1921" s="6">
        <v>8.52</v>
      </c>
      <c r="K1921" s="5">
        <v>198</v>
      </c>
    </row>
    <row r="1922" spans="1:11" x14ac:dyDescent="0.3">
      <c r="A1922" s="3">
        <v>4902</v>
      </c>
      <c r="B1922" s="3" t="s">
        <v>42</v>
      </c>
      <c r="C1922" s="4">
        <v>45471</v>
      </c>
      <c r="D1922" s="3" t="s">
        <v>17</v>
      </c>
      <c r="E1922" s="3" t="s">
        <v>37</v>
      </c>
      <c r="F1922" s="5">
        <v>2</v>
      </c>
      <c r="G1922" s="6">
        <v>26.7</v>
      </c>
      <c r="H1922" s="6">
        <v>53.4</v>
      </c>
      <c r="I1922" s="6">
        <v>8.01</v>
      </c>
      <c r="J1922" s="6">
        <v>45.39</v>
      </c>
      <c r="K1922" s="5">
        <v>418</v>
      </c>
    </row>
    <row r="1923" spans="1:11" x14ac:dyDescent="0.3">
      <c r="A1923" s="3">
        <v>9061</v>
      </c>
      <c r="B1923" s="3" t="s">
        <v>26</v>
      </c>
      <c r="C1923" s="4">
        <v>45191</v>
      </c>
      <c r="D1923" s="3" t="s">
        <v>12</v>
      </c>
      <c r="E1923" s="3" t="s">
        <v>25</v>
      </c>
      <c r="F1923" s="5">
        <v>5</v>
      </c>
      <c r="G1923" s="6">
        <v>26.81</v>
      </c>
      <c r="H1923" s="6">
        <v>134.05000000000001</v>
      </c>
      <c r="I1923" s="6">
        <v>26.81</v>
      </c>
      <c r="J1923" s="6">
        <v>107.24</v>
      </c>
      <c r="K1923" s="5">
        <v>431</v>
      </c>
    </row>
    <row r="1924" spans="1:11" x14ac:dyDescent="0.3">
      <c r="A1924" s="3">
        <v>3332</v>
      </c>
      <c r="B1924" s="3" t="s">
        <v>14</v>
      </c>
      <c r="C1924" s="4">
        <v>45697</v>
      </c>
      <c r="D1924" s="3" t="s">
        <v>12</v>
      </c>
      <c r="E1924" s="3" t="s">
        <v>37</v>
      </c>
      <c r="F1924" s="5">
        <v>1</v>
      </c>
      <c r="G1924" s="6">
        <v>7.27</v>
      </c>
      <c r="H1924" s="6">
        <v>7.27</v>
      </c>
      <c r="I1924" s="6">
        <v>1.45</v>
      </c>
      <c r="J1924" s="6">
        <v>5.82</v>
      </c>
      <c r="K1924" s="5">
        <v>92</v>
      </c>
    </row>
    <row r="1925" spans="1:11" x14ac:dyDescent="0.3">
      <c r="A1925" s="3">
        <v>5584</v>
      </c>
      <c r="B1925" s="3" t="s">
        <v>26</v>
      </c>
      <c r="C1925" s="4">
        <v>45217</v>
      </c>
      <c r="D1925" s="3" t="s">
        <v>20</v>
      </c>
      <c r="E1925" s="3" t="s">
        <v>21</v>
      </c>
      <c r="F1925" s="5">
        <v>4</v>
      </c>
      <c r="G1925" s="6">
        <v>29.53</v>
      </c>
      <c r="H1925" s="6">
        <v>118.12</v>
      </c>
      <c r="I1925" s="6">
        <v>11.81</v>
      </c>
      <c r="J1925" s="6">
        <v>106.31</v>
      </c>
      <c r="K1925" s="5">
        <v>308</v>
      </c>
    </row>
    <row r="1926" spans="1:11" x14ac:dyDescent="0.3">
      <c r="A1926" s="3">
        <v>1719</v>
      </c>
      <c r="B1926" s="3" t="s">
        <v>26</v>
      </c>
      <c r="C1926" s="4">
        <v>45860</v>
      </c>
      <c r="D1926" s="3" t="s">
        <v>38</v>
      </c>
      <c r="E1926" s="3" t="s">
        <v>37</v>
      </c>
      <c r="F1926" s="5">
        <v>2</v>
      </c>
      <c r="G1926" s="6">
        <v>3.24</v>
      </c>
      <c r="H1926" s="6">
        <v>6.48</v>
      </c>
      <c r="I1926" s="6">
        <v>3.48</v>
      </c>
      <c r="J1926" s="6">
        <v>3</v>
      </c>
      <c r="K1926" s="5">
        <v>54</v>
      </c>
    </row>
    <row r="1927" spans="1:11" x14ac:dyDescent="0.3">
      <c r="A1927" s="3">
        <v>4792</v>
      </c>
      <c r="B1927" s="3" t="s">
        <v>31</v>
      </c>
      <c r="C1927" s="4">
        <v>45841</v>
      </c>
      <c r="D1927" s="3" t="s">
        <v>35</v>
      </c>
      <c r="E1927" s="3" t="s">
        <v>39</v>
      </c>
      <c r="F1927" s="5">
        <v>3</v>
      </c>
      <c r="G1927" s="6">
        <v>13.9</v>
      </c>
      <c r="H1927" s="6">
        <v>41.7</v>
      </c>
      <c r="I1927" s="6">
        <v>1.21</v>
      </c>
      <c r="J1927" s="6">
        <v>40.49</v>
      </c>
      <c r="K1927" s="5">
        <v>373</v>
      </c>
    </row>
    <row r="1928" spans="1:11" x14ac:dyDescent="0.3">
      <c r="A1928" s="3">
        <v>9515</v>
      </c>
      <c r="B1928" s="3" t="s">
        <v>42</v>
      </c>
      <c r="C1928" s="4">
        <v>45465</v>
      </c>
      <c r="D1928" s="3" t="s">
        <v>27</v>
      </c>
      <c r="E1928" s="3" t="s">
        <v>44</v>
      </c>
      <c r="F1928" s="5">
        <v>4</v>
      </c>
      <c r="G1928" s="6">
        <v>22.5</v>
      </c>
      <c r="H1928" s="6">
        <v>90</v>
      </c>
      <c r="I1928" s="6">
        <v>13.5</v>
      </c>
      <c r="J1928" s="6">
        <v>76.5</v>
      </c>
      <c r="K1928" s="5">
        <v>190</v>
      </c>
    </row>
    <row r="1929" spans="1:11" x14ac:dyDescent="0.3">
      <c r="A1929" s="3">
        <v>7102</v>
      </c>
      <c r="B1929" s="3" t="s">
        <v>24</v>
      </c>
      <c r="C1929" s="4">
        <v>45501</v>
      </c>
      <c r="D1929" s="3" t="s">
        <v>27</v>
      </c>
      <c r="E1929" s="3" t="s">
        <v>39</v>
      </c>
      <c r="F1929" s="5">
        <v>3</v>
      </c>
      <c r="G1929" s="6">
        <v>23.33</v>
      </c>
      <c r="H1929" s="6">
        <v>69.989999999999995</v>
      </c>
      <c r="I1929" s="6">
        <v>10.5</v>
      </c>
      <c r="J1929" s="6">
        <v>59.49</v>
      </c>
      <c r="K1929" s="5">
        <v>460</v>
      </c>
    </row>
    <row r="1930" spans="1:11" x14ac:dyDescent="0.3">
      <c r="A1930" s="3">
        <v>2391</v>
      </c>
      <c r="B1930" s="3" t="s">
        <v>19</v>
      </c>
      <c r="C1930" s="4">
        <v>45596</v>
      </c>
      <c r="D1930" s="3" t="s">
        <v>35</v>
      </c>
      <c r="E1930" s="3" t="s">
        <v>33</v>
      </c>
      <c r="F1930" s="5">
        <v>2</v>
      </c>
      <c r="G1930" s="6">
        <v>4.4800000000000004</v>
      </c>
      <c r="H1930" s="6">
        <v>8.9600000000000009</v>
      </c>
      <c r="I1930" s="6">
        <v>0.9</v>
      </c>
      <c r="J1930" s="6">
        <v>8.06</v>
      </c>
      <c r="K1930" s="5">
        <v>325</v>
      </c>
    </row>
    <row r="1931" spans="1:11" x14ac:dyDescent="0.3">
      <c r="A1931" s="3">
        <v>2565</v>
      </c>
      <c r="B1931" s="3" t="s">
        <v>19</v>
      </c>
      <c r="C1931" s="4">
        <v>45537</v>
      </c>
      <c r="D1931" s="3" t="s">
        <v>12</v>
      </c>
      <c r="E1931" s="3" t="s">
        <v>48</v>
      </c>
      <c r="F1931" s="5">
        <v>1</v>
      </c>
      <c r="G1931" s="6">
        <v>22.01</v>
      </c>
      <c r="H1931" s="6">
        <v>22.01</v>
      </c>
      <c r="I1931" s="6">
        <v>3.3</v>
      </c>
      <c r="J1931" s="6">
        <v>18.71</v>
      </c>
      <c r="K1931" s="5">
        <v>233</v>
      </c>
    </row>
    <row r="1932" spans="1:11" x14ac:dyDescent="0.3">
      <c r="A1932" s="3">
        <v>3187</v>
      </c>
      <c r="B1932" s="3" t="s">
        <v>31</v>
      </c>
      <c r="C1932" s="4">
        <v>45639</v>
      </c>
      <c r="D1932" s="3" t="s">
        <v>28</v>
      </c>
      <c r="E1932" s="3" t="s">
        <v>47</v>
      </c>
      <c r="F1932" s="5">
        <v>1</v>
      </c>
      <c r="G1932" s="6">
        <v>22.2</v>
      </c>
      <c r="H1932" s="6">
        <v>22.2</v>
      </c>
      <c r="I1932" s="6">
        <v>2.59</v>
      </c>
      <c r="J1932" s="6">
        <v>19.61</v>
      </c>
      <c r="K1932" s="5">
        <v>78</v>
      </c>
    </row>
    <row r="1933" spans="1:11" x14ac:dyDescent="0.3">
      <c r="A1933" s="3">
        <v>7461</v>
      </c>
      <c r="B1933" s="3" t="s">
        <v>24</v>
      </c>
      <c r="C1933" s="4">
        <v>45203</v>
      </c>
      <c r="D1933" s="3" t="s">
        <v>12</v>
      </c>
      <c r="E1933" s="3" t="s">
        <v>40</v>
      </c>
      <c r="F1933" s="5">
        <v>4</v>
      </c>
      <c r="G1933" s="6">
        <v>13.53</v>
      </c>
      <c r="H1933" s="6">
        <v>54.12</v>
      </c>
      <c r="I1933" s="6">
        <v>10.82</v>
      </c>
      <c r="J1933" s="6">
        <v>43.3</v>
      </c>
      <c r="K1933" s="5">
        <v>238</v>
      </c>
    </row>
    <row r="1934" spans="1:11" x14ac:dyDescent="0.3">
      <c r="A1934" s="3">
        <v>2020</v>
      </c>
      <c r="B1934" s="3" t="s">
        <v>31</v>
      </c>
      <c r="C1934" s="4">
        <v>45482</v>
      </c>
      <c r="D1934" s="3" t="s">
        <v>28</v>
      </c>
      <c r="E1934" s="3" t="s">
        <v>40</v>
      </c>
      <c r="F1934" s="5">
        <v>1</v>
      </c>
      <c r="G1934" s="6">
        <v>28.81</v>
      </c>
      <c r="H1934" s="6">
        <v>28.81</v>
      </c>
      <c r="I1934" s="6">
        <v>0</v>
      </c>
      <c r="J1934" s="6">
        <v>28.81</v>
      </c>
      <c r="K1934" s="5">
        <v>448</v>
      </c>
    </row>
    <row r="1935" spans="1:11" x14ac:dyDescent="0.3">
      <c r="A1935" s="3">
        <v>3141</v>
      </c>
      <c r="B1935" s="3" t="s">
        <v>30</v>
      </c>
      <c r="C1935" s="4">
        <v>45328</v>
      </c>
      <c r="D1935" s="3" t="s">
        <v>45</v>
      </c>
      <c r="E1935" s="3" t="s">
        <v>44</v>
      </c>
      <c r="F1935" s="5">
        <v>3</v>
      </c>
      <c r="G1935" s="6">
        <v>1.7</v>
      </c>
      <c r="H1935" s="6">
        <v>5.0999999999999996</v>
      </c>
      <c r="I1935" s="6">
        <v>1.02</v>
      </c>
      <c r="J1935" s="6">
        <v>4.08</v>
      </c>
      <c r="K1935" s="5">
        <v>139</v>
      </c>
    </row>
    <row r="1936" spans="1:11" x14ac:dyDescent="0.3">
      <c r="A1936" s="3">
        <v>5778</v>
      </c>
      <c r="B1936" s="3" t="s">
        <v>26</v>
      </c>
      <c r="C1936" s="4">
        <v>45347</v>
      </c>
      <c r="D1936" s="3" t="s">
        <v>12</v>
      </c>
      <c r="E1936" s="3" t="s">
        <v>40</v>
      </c>
      <c r="F1936" s="5">
        <v>5</v>
      </c>
      <c r="G1936" s="6">
        <v>25.22</v>
      </c>
      <c r="H1936" s="6">
        <v>126.1</v>
      </c>
      <c r="I1936" s="6">
        <v>25.22</v>
      </c>
      <c r="J1936" s="6">
        <v>100.88</v>
      </c>
      <c r="K1936" s="5">
        <v>222</v>
      </c>
    </row>
    <row r="1937" spans="1:11" x14ac:dyDescent="0.3">
      <c r="A1937" s="3">
        <v>6161</v>
      </c>
      <c r="B1937" s="3" t="s">
        <v>31</v>
      </c>
      <c r="C1937" s="4">
        <v>45864</v>
      </c>
      <c r="D1937" s="3" t="s">
        <v>35</v>
      </c>
      <c r="E1937" s="3" t="s">
        <v>23</v>
      </c>
      <c r="F1937" s="5">
        <v>1</v>
      </c>
      <c r="G1937" s="6">
        <v>18.329999999999998</v>
      </c>
      <c r="H1937" s="6">
        <v>18.329999999999998</v>
      </c>
      <c r="I1937" s="6">
        <v>1.66</v>
      </c>
      <c r="J1937" s="6">
        <v>16.670000000000002</v>
      </c>
      <c r="K1937" s="5">
        <v>233</v>
      </c>
    </row>
    <row r="1938" spans="1:11" x14ac:dyDescent="0.3">
      <c r="A1938" s="3">
        <v>7438</v>
      </c>
      <c r="B1938" s="3" t="s">
        <v>36</v>
      </c>
      <c r="C1938" s="4">
        <v>45689</v>
      </c>
      <c r="D1938" s="3" t="s">
        <v>38</v>
      </c>
      <c r="E1938" s="3" t="s">
        <v>18</v>
      </c>
      <c r="F1938" s="5">
        <v>2</v>
      </c>
      <c r="G1938" s="6">
        <v>10.29</v>
      </c>
      <c r="H1938" s="6">
        <v>20.58</v>
      </c>
      <c r="I1938" s="6">
        <v>2.06</v>
      </c>
      <c r="J1938" s="6">
        <v>18.52</v>
      </c>
      <c r="K1938" s="5">
        <v>327</v>
      </c>
    </row>
    <row r="1939" spans="1:11" x14ac:dyDescent="0.3">
      <c r="A1939" s="3">
        <v>6345</v>
      </c>
      <c r="B1939" s="3" t="s">
        <v>19</v>
      </c>
      <c r="C1939" s="4">
        <v>45392</v>
      </c>
      <c r="D1939" s="3" t="s">
        <v>28</v>
      </c>
      <c r="E1939" s="3" t="s">
        <v>32</v>
      </c>
      <c r="F1939" s="5">
        <v>3</v>
      </c>
      <c r="G1939" s="6">
        <v>14.55</v>
      </c>
      <c r="H1939" s="6">
        <v>43.65</v>
      </c>
      <c r="I1939" s="6">
        <v>8.73</v>
      </c>
      <c r="J1939" s="6">
        <v>34.92</v>
      </c>
      <c r="K1939" s="5">
        <v>177</v>
      </c>
    </row>
    <row r="1940" spans="1:11" x14ac:dyDescent="0.3">
      <c r="A1940" s="3">
        <v>8417</v>
      </c>
      <c r="B1940" s="3" t="s">
        <v>26</v>
      </c>
      <c r="C1940" s="4">
        <v>45356</v>
      </c>
      <c r="D1940" s="3" t="s">
        <v>27</v>
      </c>
      <c r="E1940" s="3" t="s">
        <v>18</v>
      </c>
      <c r="F1940" s="5">
        <v>4</v>
      </c>
      <c r="G1940" s="6">
        <v>11.44</v>
      </c>
      <c r="H1940" s="6">
        <v>45.76</v>
      </c>
      <c r="I1940" s="6">
        <v>2.0099999999999998</v>
      </c>
      <c r="J1940" s="6">
        <v>43.75</v>
      </c>
      <c r="K1940" s="5">
        <v>221</v>
      </c>
    </row>
    <row r="1941" spans="1:11" x14ac:dyDescent="0.3">
      <c r="A1941" s="3">
        <v>4827</v>
      </c>
      <c r="B1941" s="3" t="s">
        <v>19</v>
      </c>
      <c r="C1941" s="4">
        <v>45203</v>
      </c>
      <c r="D1941" s="3" t="s">
        <v>22</v>
      </c>
      <c r="E1941" s="3" t="s">
        <v>23</v>
      </c>
      <c r="F1941" s="5">
        <v>4</v>
      </c>
      <c r="G1941" s="6">
        <v>14.06</v>
      </c>
      <c r="H1941" s="6">
        <v>56.24</v>
      </c>
      <c r="I1941" s="6">
        <v>2.37</v>
      </c>
      <c r="J1941" s="6">
        <v>53.87</v>
      </c>
      <c r="K1941" s="5">
        <v>276</v>
      </c>
    </row>
    <row r="1942" spans="1:11" x14ac:dyDescent="0.3">
      <c r="A1942" s="3">
        <v>4321</v>
      </c>
      <c r="B1942" s="3" t="s">
        <v>19</v>
      </c>
      <c r="C1942" s="4">
        <v>45250</v>
      </c>
      <c r="D1942" s="3" t="s">
        <v>28</v>
      </c>
      <c r="E1942" s="3" t="s">
        <v>21</v>
      </c>
      <c r="F1942" s="5">
        <v>5</v>
      </c>
      <c r="G1942" s="6">
        <v>19.34</v>
      </c>
      <c r="H1942" s="6">
        <v>96.7</v>
      </c>
      <c r="I1942" s="6">
        <v>1.56</v>
      </c>
      <c r="J1942" s="6">
        <v>95.14</v>
      </c>
      <c r="K1942" s="5">
        <v>381</v>
      </c>
    </row>
    <row r="1943" spans="1:11" x14ac:dyDescent="0.3">
      <c r="A1943" s="3">
        <v>2785</v>
      </c>
      <c r="B1943" s="3" t="s">
        <v>42</v>
      </c>
      <c r="C1943" s="4">
        <v>45265</v>
      </c>
      <c r="D1943" s="3" t="s">
        <v>20</v>
      </c>
      <c r="E1943" s="3" t="s">
        <v>43</v>
      </c>
      <c r="F1943" s="5">
        <v>4</v>
      </c>
      <c r="G1943" s="6">
        <v>26.53</v>
      </c>
      <c r="H1943" s="6">
        <v>106.12</v>
      </c>
      <c r="I1943" s="6">
        <v>1.42</v>
      </c>
      <c r="J1943" s="6">
        <v>104.7</v>
      </c>
      <c r="K1943" s="5">
        <v>256</v>
      </c>
    </row>
    <row r="1944" spans="1:11" x14ac:dyDescent="0.3">
      <c r="A1944" s="3">
        <v>2731</v>
      </c>
      <c r="B1944" s="3" t="s">
        <v>31</v>
      </c>
      <c r="C1944" s="4">
        <v>45272</v>
      </c>
      <c r="D1944" s="3" t="s">
        <v>35</v>
      </c>
      <c r="E1944" s="3" t="s">
        <v>18</v>
      </c>
      <c r="F1944" s="5">
        <v>2</v>
      </c>
      <c r="G1944" s="6">
        <v>22.44</v>
      </c>
      <c r="H1944" s="6">
        <v>44.88</v>
      </c>
      <c r="I1944" s="6">
        <v>4.49</v>
      </c>
      <c r="J1944" s="6">
        <v>40.39</v>
      </c>
      <c r="K1944" s="5">
        <v>350</v>
      </c>
    </row>
    <row r="1945" spans="1:11" x14ac:dyDescent="0.3">
      <c r="A1945" s="3">
        <v>8365</v>
      </c>
      <c r="B1945" s="3" t="s">
        <v>11</v>
      </c>
      <c r="C1945" s="4">
        <v>45506</v>
      </c>
      <c r="D1945" s="3" t="s">
        <v>22</v>
      </c>
      <c r="E1945" s="3" t="s">
        <v>23</v>
      </c>
      <c r="F1945" s="5">
        <v>5</v>
      </c>
      <c r="G1945" s="6">
        <v>28.16</v>
      </c>
      <c r="H1945" s="6">
        <v>140.80000000000001</v>
      </c>
      <c r="I1945" s="6">
        <v>28.16</v>
      </c>
      <c r="J1945" s="6">
        <v>112.64</v>
      </c>
      <c r="K1945" s="5">
        <v>267</v>
      </c>
    </row>
    <row r="1946" spans="1:11" x14ac:dyDescent="0.3">
      <c r="A1946" s="3">
        <v>6145</v>
      </c>
      <c r="B1946" s="3" t="s">
        <v>36</v>
      </c>
      <c r="C1946" s="4">
        <v>45460</v>
      </c>
      <c r="D1946" s="3" t="s">
        <v>20</v>
      </c>
      <c r="E1946" s="3" t="s">
        <v>48</v>
      </c>
      <c r="F1946" s="5">
        <v>2</v>
      </c>
      <c r="G1946" s="6">
        <v>19.559999999999999</v>
      </c>
      <c r="H1946" s="6">
        <v>39.119999999999997</v>
      </c>
      <c r="I1946" s="6">
        <v>0</v>
      </c>
      <c r="J1946" s="6">
        <v>39.119999999999997</v>
      </c>
      <c r="K1946" s="5">
        <v>232</v>
      </c>
    </row>
    <row r="1947" spans="1:11" x14ac:dyDescent="0.3">
      <c r="A1947" s="3">
        <v>2978</v>
      </c>
      <c r="B1947" s="3" t="s">
        <v>42</v>
      </c>
      <c r="C1947" s="4">
        <v>45561</v>
      </c>
      <c r="D1947" s="3" t="s">
        <v>12</v>
      </c>
      <c r="E1947" s="3" t="s">
        <v>46</v>
      </c>
      <c r="F1947" s="5">
        <v>1</v>
      </c>
      <c r="G1947" s="6">
        <v>15.35</v>
      </c>
      <c r="H1947" s="6">
        <v>15.35</v>
      </c>
      <c r="I1947" s="6">
        <v>0</v>
      </c>
      <c r="J1947" s="6">
        <v>15.35</v>
      </c>
      <c r="K1947" s="5">
        <v>468</v>
      </c>
    </row>
    <row r="1948" spans="1:11" x14ac:dyDescent="0.3">
      <c r="A1948" s="3">
        <v>6870</v>
      </c>
      <c r="B1948" s="3" t="s">
        <v>30</v>
      </c>
      <c r="C1948" s="4">
        <v>45743</v>
      </c>
      <c r="D1948" s="3" t="s">
        <v>17</v>
      </c>
      <c r="E1948" s="3" t="s">
        <v>32</v>
      </c>
      <c r="F1948" s="5">
        <v>3</v>
      </c>
      <c r="G1948" s="6">
        <v>24.92</v>
      </c>
      <c r="H1948" s="6">
        <v>74.760000000000005</v>
      </c>
      <c r="I1948" s="6">
        <v>14.95</v>
      </c>
      <c r="J1948" s="6">
        <v>59.81</v>
      </c>
      <c r="K1948" s="5">
        <v>277</v>
      </c>
    </row>
    <row r="1949" spans="1:11" x14ac:dyDescent="0.3">
      <c r="A1949" s="3">
        <v>4401</v>
      </c>
      <c r="B1949" s="3" t="s">
        <v>31</v>
      </c>
      <c r="C1949" s="4">
        <v>45496</v>
      </c>
      <c r="D1949" s="3" t="s">
        <v>12</v>
      </c>
      <c r="E1949" s="3" t="s">
        <v>39</v>
      </c>
      <c r="F1949" s="5">
        <v>3</v>
      </c>
      <c r="G1949" s="6">
        <v>4.5</v>
      </c>
      <c r="H1949" s="6">
        <v>13.5</v>
      </c>
      <c r="I1949" s="6">
        <v>2.0099999999999998</v>
      </c>
      <c r="J1949" s="6">
        <v>11.49</v>
      </c>
      <c r="K1949" s="5">
        <v>95</v>
      </c>
    </row>
    <row r="1950" spans="1:11" x14ac:dyDescent="0.3">
      <c r="A1950" s="3">
        <v>6051</v>
      </c>
      <c r="B1950" s="3" t="s">
        <v>11</v>
      </c>
      <c r="C1950" s="4">
        <v>45504</v>
      </c>
      <c r="D1950" s="3" t="s">
        <v>20</v>
      </c>
      <c r="E1950" s="3" t="s">
        <v>23</v>
      </c>
      <c r="F1950" s="5">
        <v>4</v>
      </c>
      <c r="G1950" s="6">
        <v>1.3</v>
      </c>
      <c r="H1950" s="6">
        <v>5.2</v>
      </c>
      <c r="I1950" s="6">
        <v>0.78</v>
      </c>
      <c r="J1950" s="6">
        <v>4.42</v>
      </c>
      <c r="K1950" s="5">
        <v>305</v>
      </c>
    </row>
    <row r="1951" spans="1:11" x14ac:dyDescent="0.3">
      <c r="A1951" s="3">
        <v>5341</v>
      </c>
      <c r="B1951" s="3" t="s">
        <v>24</v>
      </c>
      <c r="C1951" s="4">
        <v>45807</v>
      </c>
      <c r="D1951" s="3" t="s">
        <v>22</v>
      </c>
      <c r="E1951" s="3" t="s">
        <v>44</v>
      </c>
      <c r="F1951" s="5">
        <v>3</v>
      </c>
      <c r="G1951" s="6">
        <v>13.42</v>
      </c>
      <c r="H1951" s="6">
        <v>40.26</v>
      </c>
      <c r="I1951" s="6">
        <v>0</v>
      </c>
      <c r="J1951" s="6">
        <v>40.26</v>
      </c>
      <c r="K1951" s="5">
        <v>301</v>
      </c>
    </row>
    <row r="1952" spans="1:11" x14ac:dyDescent="0.3">
      <c r="A1952" s="3">
        <v>2964</v>
      </c>
      <c r="B1952" s="3" t="s">
        <v>31</v>
      </c>
      <c r="C1952" s="4">
        <v>45215</v>
      </c>
      <c r="D1952" s="3" t="s">
        <v>27</v>
      </c>
      <c r="E1952" s="3" t="s">
        <v>47</v>
      </c>
      <c r="F1952" s="5">
        <v>1</v>
      </c>
      <c r="G1952" s="6">
        <v>15.49</v>
      </c>
      <c r="H1952" s="6">
        <v>15.49</v>
      </c>
      <c r="I1952" s="6">
        <v>2.3199999999999998</v>
      </c>
      <c r="J1952" s="6">
        <v>13.17</v>
      </c>
      <c r="K1952" s="5">
        <v>179</v>
      </c>
    </row>
    <row r="1953" spans="1:11" x14ac:dyDescent="0.3">
      <c r="A1953" s="3">
        <v>3582</v>
      </c>
      <c r="B1953" s="3" t="s">
        <v>26</v>
      </c>
      <c r="C1953" s="4">
        <v>45772</v>
      </c>
      <c r="D1953" s="3" t="s">
        <v>20</v>
      </c>
      <c r="E1953" s="3" t="s">
        <v>18</v>
      </c>
      <c r="F1953" s="5">
        <v>1</v>
      </c>
      <c r="G1953" s="6">
        <v>13.25</v>
      </c>
      <c r="H1953" s="6">
        <v>13.25</v>
      </c>
      <c r="I1953" s="6">
        <v>0</v>
      </c>
      <c r="J1953" s="6">
        <v>13.25</v>
      </c>
      <c r="K1953" s="5">
        <v>300</v>
      </c>
    </row>
    <row r="1954" spans="1:11" x14ac:dyDescent="0.3">
      <c r="A1954" s="3">
        <v>5984</v>
      </c>
      <c r="B1954" s="3" t="s">
        <v>26</v>
      </c>
      <c r="C1954" s="4">
        <v>45786</v>
      </c>
      <c r="D1954" s="3" t="s">
        <v>12</v>
      </c>
      <c r="E1954" s="3" t="s">
        <v>32</v>
      </c>
      <c r="F1954" s="5">
        <v>1</v>
      </c>
      <c r="G1954" s="6">
        <v>28.91</v>
      </c>
      <c r="H1954" s="6">
        <v>28.91</v>
      </c>
      <c r="I1954" s="6">
        <v>2.89</v>
      </c>
      <c r="J1954" s="6">
        <v>26.02</v>
      </c>
      <c r="K1954" s="5">
        <v>388</v>
      </c>
    </row>
    <row r="1955" spans="1:11" x14ac:dyDescent="0.3">
      <c r="A1955" s="3">
        <v>1660</v>
      </c>
      <c r="B1955" s="3" t="s">
        <v>30</v>
      </c>
      <c r="C1955" s="4">
        <v>45312</v>
      </c>
      <c r="D1955" s="3" t="s">
        <v>38</v>
      </c>
      <c r="E1955" s="3" t="s">
        <v>43</v>
      </c>
      <c r="F1955" s="5">
        <v>1</v>
      </c>
      <c r="G1955" s="6">
        <v>8.11</v>
      </c>
      <c r="H1955" s="6">
        <v>8.11</v>
      </c>
      <c r="I1955" s="6">
        <v>0.81</v>
      </c>
      <c r="J1955" s="6">
        <v>7.3</v>
      </c>
      <c r="K1955" s="5">
        <v>425</v>
      </c>
    </row>
    <row r="1956" spans="1:11" x14ac:dyDescent="0.3">
      <c r="A1956" s="3">
        <v>6370</v>
      </c>
      <c r="B1956" s="3" t="s">
        <v>24</v>
      </c>
      <c r="C1956" s="4">
        <v>45260</v>
      </c>
      <c r="D1956" s="3" t="s">
        <v>22</v>
      </c>
      <c r="E1956" s="3" t="s">
        <v>25</v>
      </c>
      <c r="F1956" s="5">
        <v>5</v>
      </c>
      <c r="G1956" s="6">
        <v>29.53</v>
      </c>
      <c r="H1956" s="6">
        <v>147.65</v>
      </c>
      <c r="I1956" s="6">
        <v>22.15</v>
      </c>
      <c r="J1956" s="6">
        <v>125.5</v>
      </c>
      <c r="K1956" s="5">
        <v>17</v>
      </c>
    </row>
    <row r="1957" spans="1:11" x14ac:dyDescent="0.3">
      <c r="A1957" s="3">
        <v>2494</v>
      </c>
      <c r="B1957" s="3" t="s">
        <v>14</v>
      </c>
      <c r="C1957" s="4">
        <v>45697</v>
      </c>
      <c r="D1957" s="3" t="s">
        <v>45</v>
      </c>
      <c r="E1957" s="3" t="s">
        <v>44</v>
      </c>
      <c r="F1957" s="5">
        <v>5</v>
      </c>
      <c r="G1957" s="6">
        <v>12.9</v>
      </c>
      <c r="H1957" s="6">
        <v>64.5</v>
      </c>
      <c r="I1957" s="6">
        <v>4.45</v>
      </c>
      <c r="J1957" s="6">
        <v>60.05</v>
      </c>
      <c r="K1957" s="5">
        <v>5</v>
      </c>
    </row>
    <row r="1958" spans="1:11" x14ac:dyDescent="0.3">
      <c r="A1958" s="3">
        <v>5066</v>
      </c>
      <c r="B1958" s="3" t="s">
        <v>31</v>
      </c>
      <c r="C1958" s="4">
        <v>45421</v>
      </c>
      <c r="D1958" s="3" t="s">
        <v>38</v>
      </c>
      <c r="E1958" s="3" t="s">
        <v>33</v>
      </c>
      <c r="F1958" s="5">
        <v>1</v>
      </c>
      <c r="G1958" s="6">
        <v>15.55</v>
      </c>
      <c r="H1958" s="6">
        <v>15.55</v>
      </c>
      <c r="I1958" s="6">
        <v>0</v>
      </c>
      <c r="J1958" s="6">
        <v>15.55</v>
      </c>
      <c r="K1958" s="5">
        <v>237</v>
      </c>
    </row>
    <row r="1959" spans="1:11" x14ac:dyDescent="0.3">
      <c r="A1959" s="3">
        <v>7492</v>
      </c>
      <c r="B1959" s="3" t="s">
        <v>24</v>
      </c>
      <c r="C1959" s="4">
        <v>45543</v>
      </c>
      <c r="D1959" s="3" t="s">
        <v>38</v>
      </c>
      <c r="E1959" s="3" t="s">
        <v>40</v>
      </c>
      <c r="F1959" s="5">
        <v>3</v>
      </c>
      <c r="G1959" s="6">
        <v>17.97</v>
      </c>
      <c r="H1959" s="6">
        <v>53.91</v>
      </c>
      <c r="I1959" s="6">
        <v>10.78</v>
      </c>
      <c r="J1959" s="6">
        <v>43.13</v>
      </c>
      <c r="K1959" s="5">
        <v>357</v>
      </c>
    </row>
    <row r="1960" spans="1:11" x14ac:dyDescent="0.3">
      <c r="A1960" s="3">
        <v>1802</v>
      </c>
      <c r="B1960" s="3" t="s">
        <v>26</v>
      </c>
      <c r="C1960" s="4">
        <v>45670</v>
      </c>
      <c r="D1960" s="3" t="s">
        <v>35</v>
      </c>
      <c r="E1960" s="3" t="s">
        <v>29</v>
      </c>
      <c r="F1960" s="5">
        <v>1</v>
      </c>
      <c r="G1960" s="6">
        <v>9.41</v>
      </c>
      <c r="H1960" s="6">
        <v>9.41</v>
      </c>
      <c r="I1960" s="6">
        <v>3.75</v>
      </c>
      <c r="J1960" s="6">
        <v>5.66</v>
      </c>
      <c r="K1960" s="5">
        <v>169</v>
      </c>
    </row>
    <row r="1961" spans="1:11" x14ac:dyDescent="0.3">
      <c r="A1961" s="3">
        <v>5896</v>
      </c>
      <c r="B1961" s="3" t="s">
        <v>11</v>
      </c>
      <c r="C1961" s="4">
        <v>45347</v>
      </c>
      <c r="D1961" s="3" t="s">
        <v>17</v>
      </c>
      <c r="E1961" s="3" t="s">
        <v>47</v>
      </c>
      <c r="F1961" s="5">
        <v>4</v>
      </c>
      <c r="G1961" s="6">
        <v>8.2100000000000009</v>
      </c>
      <c r="H1961" s="6">
        <v>32.840000000000003</v>
      </c>
      <c r="I1961" s="6">
        <v>3.28</v>
      </c>
      <c r="J1961" s="6">
        <v>29.56</v>
      </c>
      <c r="K1961" s="5">
        <v>198</v>
      </c>
    </row>
    <row r="1962" spans="1:11" x14ac:dyDescent="0.3">
      <c r="A1962" s="3">
        <v>3848</v>
      </c>
      <c r="B1962" s="3" t="s">
        <v>31</v>
      </c>
      <c r="C1962" s="4">
        <v>45169</v>
      </c>
      <c r="D1962" s="3" t="s">
        <v>35</v>
      </c>
      <c r="E1962" s="3" t="s">
        <v>29</v>
      </c>
      <c r="F1962" s="5">
        <v>2</v>
      </c>
      <c r="G1962" s="6">
        <v>10.85</v>
      </c>
      <c r="H1962" s="6">
        <v>21.7</v>
      </c>
      <c r="I1962" s="6">
        <v>4.34</v>
      </c>
      <c r="J1962" s="6">
        <v>17.36</v>
      </c>
      <c r="K1962" s="5">
        <v>349</v>
      </c>
    </row>
    <row r="1963" spans="1:11" x14ac:dyDescent="0.3">
      <c r="A1963" s="3">
        <v>7625</v>
      </c>
      <c r="B1963" s="3" t="s">
        <v>26</v>
      </c>
      <c r="C1963" s="4">
        <v>45808</v>
      </c>
      <c r="D1963" s="3" t="s">
        <v>15</v>
      </c>
      <c r="E1963" s="3" t="s">
        <v>48</v>
      </c>
      <c r="F1963" s="5">
        <v>2</v>
      </c>
      <c r="G1963" s="6">
        <v>5.03</v>
      </c>
      <c r="H1963" s="6">
        <v>10.06</v>
      </c>
      <c r="I1963" s="6">
        <v>1.01</v>
      </c>
      <c r="J1963" s="6">
        <v>9.0500000000000007</v>
      </c>
      <c r="K1963" s="5">
        <v>379</v>
      </c>
    </row>
    <row r="1964" spans="1:11" x14ac:dyDescent="0.3">
      <c r="A1964" s="3">
        <v>8408</v>
      </c>
      <c r="B1964" s="3" t="s">
        <v>26</v>
      </c>
      <c r="C1964" s="4">
        <v>45576</v>
      </c>
      <c r="D1964" s="3" t="s">
        <v>22</v>
      </c>
      <c r="E1964" s="3" t="s">
        <v>16</v>
      </c>
      <c r="F1964" s="5">
        <v>1</v>
      </c>
      <c r="G1964" s="6">
        <v>21.53</v>
      </c>
      <c r="H1964" s="6">
        <v>21.53</v>
      </c>
      <c r="I1964" s="6">
        <v>0</v>
      </c>
      <c r="J1964" s="6">
        <v>21.53</v>
      </c>
      <c r="K1964" s="5">
        <v>459</v>
      </c>
    </row>
    <row r="1965" spans="1:11" x14ac:dyDescent="0.3">
      <c r="A1965" s="3">
        <v>5093</v>
      </c>
      <c r="B1965" s="3" t="s">
        <v>14</v>
      </c>
      <c r="C1965" s="4">
        <v>45218</v>
      </c>
      <c r="D1965" s="3" t="s">
        <v>15</v>
      </c>
      <c r="E1965" s="3" t="s">
        <v>16</v>
      </c>
      <c r="F1965" s="5">
        <v>4</v>
      </c>
      <c r="G1965" s="6">
        <v>1.96</v>
      </c>
      <c r="H1965" s="6">
        <v>7.84</v>
      </c>
      <c r="I1965" s="6">
        <v>1.26</v>
      </c>
      <c r="J1965" s="6">
        <v>6.58</v>
      </c>
      <c r="K1965" s="5">
        <v>223</v>
      </c>
    </row>
    <row r="1966" spans="1:11" x14ac:dyDescent="0.3">
      <c r="A1966" s="3">
        <v>8570</v>
      </c>
      <c r="B1966" s="3" t="s">
        <v>30</v>
      </c>
      <c r="C1966" s="4">
        <v>45224</v>
      </c>
      <c r="D1966" s="3" t="s">
        <v>27</v>
      </c>
      <c r="E1966" s="3" t="s">
        <v>23</v>
      </c>
      <c r="F1966" s="5">
        <v>4</v>
      </c>
      <c r="G1966" s="6">
        <v>12.63</v>
      </c>
      <c r="H1966" s="6">
        <v>50.52</v>
      </c>
      <c r="I1966" s="6">
        <v>10.1</v>
      </c>
      <c r="J1966" s="6">
        <v>40.42</v>
      </c>
      <c r="K1966" s="5">
        <v>470</v>
      </c>
    </row>
    <row r="1967" spans="1:11" x14ac:dyDescent="0.3">
      <c r="A1967" s="3">
        <v>3290</v>
      </c>
      <c r="B1967" s="3" t="s">
        <v>11</v>
      </c>
      <c r="C1967" s="4">
        <v>45239</v>
      </c>
      <c r="D1967" s="3" t="s">
        <v>12</v>
      </c>
      <c r="E1967" s="3" t="s">
        <v>29</v>
      </c>
      <c r="F1967" s="5">
        <v>1</v>
      </c>
      <c r="G1967" s="6">
        <v>17.53</v>
      </c>
      <c r="H1967" s="6">
        <v>17.53</v>
      </c>
      <c r="I1967" s="6">
        <v>1.75</v>
      </c>
      <c r="J1967" s="6">
        <v>15.78</v>
      </c>
      <c r="K1967" s="5">
        <v>340</v>
      </c>
    </row>
    <row r="1968" spans="1:11" x14ac:dyDescent="0.3">
      <c r="A1968" s="3">
        <v>1195</v>
      </c>
      <c r="B1968" s="3" t="s">
        <v>14</v>
      </c>
      <c r="C1968" s="4">
        <v>45192</v>
      </c>
      <c r="D1968" s="3" t="s">
        <v>22</v>
      </c>
      <c r="E1968" s="3" t="s">
        <v>18</v>
      </c>
      <c r="F1968" s="5">
        <v>3</v>
      </c>
      <c r="G1968" s="6">
        <v>14.85</v>
      </c>
      <c r="H1968" s="6">
        <v>44.55</v>
      </c>
      <c r="I1968" s="6">
        <v>2.65</v>
      </c>
      <c r="J1968" s="6">
        <v>41.9</v>
      </c>
      <c r="K1968" s="5">
        <v>497</v>
      </c>
    </row>
    <row r="1969" spans="1:11" x14ac:dyDescent="0.3">
      <c r="A1969" s="3">
        <v>4641</v>
      </c>
      <c r="B1969" s="3" t="s">
        <v>14</v>
      </c>
      <c r="C1969" s="4">
        <v>45246</v>
      </c>
      <c r="D1969" s="3" t="s">
        <v>12</v>
      </c>
      <c r="E1969" s="3" t="s">
        <v>25</v>
      </c>
      <c r="F1969" s="5">
        <v>2</v>
      </c>
      <c r="G1969" s="6">
        <v>5.26</v>
      </c>
      <c r="H1969" s="6">
        <v>10.52</v>
      </c>
      <c r="I1969" s="6">
        <v>2.4900000000000002</v>
      </c>
      <c r="J1969" s="6">
        <v>8.0299999999999994</v>
      </c>
      <c r="K1969" s="5">
        <v>68</v>
      </c>
    </row>
    <row r="1970" spans="1:11" x14ac:dyDescent="0.3">
      <c r="A1970" s="3">
        <v>4246</v>
      </c>
      <c r="B1970" s="3" t="s">
        <v>14</v>
      </c>
      <c r="C1970" s="4">
        <v>45784</v>
      </c>
      <c r="D1970" s="3" t="s">
        <v>12</v>
      </c>
      <c r="E1970" s="3" t="s">
        <v>48</v>
      </c>
      <c r="F1970" s="5">
        <v>5</v>
      </c>
      <c r="G1970" s="6">
        <v>20.3</v>
      </c>
      <c r="H1970" s="6">
        <v>101.5</v>
      </c>
      <c r="I1970" s="6">
        <v>15.22</v>
      </c>
      <c r="J1970" s="6">
        <v>86.28</v>
      </c>
      <c r="K1970" s="5">
        <v>299</v>
      </c>
    </row>
    <row r="1971" spans="1:11" x14ac:dyDescent="0.3">
      <c r="A1971" s="3">
        <v>7563</v>
      </c>
      <c r="B1971" s="3" t="s">
        <v>19</v>
      </c>
      <c r="C1971" s="4">
        <v>45434</v>
      </c>
      <c r="D1971" s="3" t="s">
        <v>22</v>
      </c>
      <c r="E1971" s="3" t="s">
        <v>25</v>
      </c>
      <c r="F1971" s="5">
        <v>4</v>
      </c>
      <c r="G1971" s="6">
        <v>24.23</v>
      </c>
      <c r="H1971" s="6">
        <v>96.92</v>
      </c>
      <c r="I1971" s="6">
        <v>9.69</v>
      </c>
      <c r="J1971" s="6">
        <v>87.23</v>
      </c>
      <c r="K1971" s="5">
        <v>96</v>
      </c>
    </row>
    <row r="1972" spans="1:11" x14ac:dyDescent="0.3">
      <c r="A1972" s="3">
        <v>2376</v>
      </c>
      <c r="B1972" s="3" t="s">
        <v>26</v>
      </c>
      <c r="C1972" s="4">
        <v>45597</v>
      </c>
      <c r="D1972" s="3" t="s">
        <v>17</v>
      </c>
      <c r="E1972" s="3" t="s">
        <v>48</v>
      </c>
      <c r="F1972" s="5">
        <v>2</v>
      </c>
      <c r="G1972" s="6">
        <v>12.24</v>
      </c>
      <c r="H1972" s="6">
        <v>24.48</v>
      </c>
      <c r="I1972" s="6">
        <v>4.9000000000000004</v>
      </c>
      <c r="J1972" s="6">
        <v>19.579999999999998</v>
      </c>
      <c r="K1972" s="5">
        <v>324</v>
      </c>
    </row>
    <row r="1973" spans="1:11" x14ac:dyDescent="0.3">
      <c r="A1973" s="3">
        <v>5240</v>
      </c>
      <c r="B1973" s="3" t="s">
        <v>19</v>
      </c>
      <c r="C1973" s="4">
        <v>45857</v>
      </c>
      <c r="D1973" s="3" t="s">
        <v>38</v>
      </c>
      <c r="E1973" s="3" t="s">
        <v>41</v>
      </c>
      <c r="F1973" s="5">
        <v>1</v>
      </c>
      <c r="G1973" s="6">
        <v>14.84</v>
      </c>
      <c r="H1973" s="6">
        <v>14.84</v>
      </c>
      <c r="I1973" s="6">
        <v>2.97</v>
      </c>
      <c r="J1973" s="6">
        <v>11.87</v>
      </c>
      <c r="K1973" s="5">
        <v>37</v>
      </c>
    </row>
    <row r="1974" spans="1:11" x14ac:dyDescent="0.3">
      <c r="A1974" s="3">
        <v>2228</v>
      </c>
      <c r="B1974" s="3" t="s">
        <v>24</v>
      </c>
      <c r="C1974" s="4">
        <v>45161</v>
      </c>
      <c r="D1974" s="3" t="s">
        <v>27</v>
      </c>
      <c r="E1974" s="3" t="s">
        <v>23</v>
      </c>
      <c r="F1974" s="5">
        <v>2</v>
      </c>
      <c r="G1974" s="6">
        <v>25</v>
      </c>
      <c r="H1974" s="6">
        <v>50</v>
      </c>
      <c r="I1974" s="6">
        <v>5</v>
      </c>
      <c r="J1974" s="6">
        <v>45</v>
      </c>
      <c r="K1974" s="5">
        <v>208</v>
      </c>
    </row>
    <row r="1975" spans="1:11" x14ac:dyDescent="0.3">
      <c r="A1975" s="3">
        <v>2056</v>
      </c>
      <c r="B1975" s="3" t="s">
        <v>31</v>
      </c>
      <c r="C1975" s="4">
        <v>45298</v>
      </c>
      <c r="D1975" s="3" t="s">
        <v>22</v>
      </c>
      <c r="E1975" s="3" t="s">
        <v>32</v>
      </c>
      <c r="F1975" s="5">
        <v>1</v>
      </c>
      <c r="G1975" s="6">
        <v>6.58</v>
      </c>
      <c r="H1975" s="6">
        <v>6.58</v>
      </c>
      <c r="I1975" s="6">
        <v>0.66</v>
      </c>
      <c r="J1975" s="6">
        <v>5.92</v>
      </c>
      <c r="K1975" s="5">
        <v>371</v>
      </c>
    </row>
    <row r="1976" spans="1:11" x14ac:dyDescent="0.3">
      <c r="A1976" s="3">
        <v>8265</v>
      </c>
      <c r="B1976" s="3" t="s">
        <v>26</v>
      </c>
      <c r="C1976" s="4">
        <v>45773</v>
      </c>
      <c r="D1976" s="3" t="s">
        <v>28</v>
      </c>
      <c r="E1976" s="3" t="s">
        <v>25</v>
      </c>
      <c r="F1976" s="5">
        <v>2</v>
      </c>
      <c r="G1976" s="6">
        <v>14.89</v>
      </c>
      <c r="H1976" s="6">
        <v>29.78</v>
      </c>
      <c r="I1976" s="6">
        <v>0</v>
      </c>
      <c r="J1976" s="6">
        <v>29.78</v>
      </c>
      <c r="K1976" s="5">
        <v>486</v>
      </c>
    </row>
    <row r="1977" spans="1:11" x14ac:dyDescent="0.3">
      <c r="A1977" s="3">
        <v>3110</v>
      </c>
      <c r="B1977" s="3" t="s">
        <v>19</v>
      </c>
      <c r="C1977" s="4">
        <v>45216</v>
      </c>
      <c r="D1977" s="3" t="s">
        <v>17</v>
      </c>
      <c r="E1977" s="3" t="s">
        <v>46</v>
      </c>
      <c r="F1977" s="5">
        <v>3</v>
      </c>
      <c r="G1977" s="6">
        <v>15.41</v>
      </c>
      <c r="H1977" s="6">
        <v>46.23</v>
      </c>
      <c r="I1977" s="6">
        <v>1.1200000000000001</v>
      </c>
      <c r="J1977" s="6">
        <v>45.11</v>
      </c>
      <c r="K1977" s="5">
        <v>38</v>
      </c>
    </row>
    <row r="1978" spans="1:11" x14ac:dyDescent="0.3">
      <c r="A1978" s="3">
        <v>6432</v>
      </c>
      <c r="B1978" s="3" t="s">
        <v>11</v>
      </c>
      <c r="C1978" s="4">
        <v>45240</v>
      </c>
      <c r="D1978" s="3" t="s">
        <v>38</v>
      </c>
      <c r="E1978" s="3" t="s">
        <v>43</v>
      </c>
      <c r="F1978" s="5">
        <v>2</v>
      </c>
      <c r="G1978" s="6">
        <v>23.4</v>
      </c>
      <c r="H1978" s="6">
        <v>46.8</v>
      </c>
      <c r="I1978" s="6">
        <v>7.02</v>
      </c>
      <c r="J1978" s="6">
        <v>39.78</v>
      </c>
      <c r="K1978" s="5">
        <v>20</v>
      </c>
    </row>
    <row r="1979" spans="1:11" x14ac:dyDescent="0.3">
      <c r="A1979" s="3">
        <v>1699</v>
      </c>
      <c r="B1979" s="3" t="s">
        <v>24</v>
      </c>
      <c r="C1979" s="4">
        <v>45503</v>
      </c>
      <c r="D1979" s="3" t="s">
        <v>35</v>
      </c>
      <c r="E1979" s="3" t="s">
        <v>33</v>
      </c>
      <c r="F1979" s="5">
        <v>3</v>
      </c>
      <c r="G1979" s="6">
        <v>9.7899999999999991</v>
      </c>
      <c r="H1979" s="6">
        <v>29.37</v>
      </c>
      <c r="I1979" s="6">
        <v>4.41</v>
      </c>
      <c r="J1979" s="6">
        <v>24.96</v>
      </c>
      <c r="K1979" s="5">
        <v>274</v>
      </c>
    </row>
    <row r="1980" spans="1:11" x14ac:dyDescent="0.3">
      <c r="A1980" s="3">
        <v>1829</v>
      </c>
      <c r="B1980" s="3" t="s">
        <v>26</v>
      </c>
      <c r="C1980" s="4">
        <v>45275</v>
      </c>
      <c r="D1980" s="3" t="s">
        <v>38</v>
      </c>
      <c r="E1980" s="3" t="s">
        <v>47</v>
      </c>
      <c r="F1980" s="5">
        <v>4</v>
      </c>
      <c r="G1980" s="6">
        <v>22.96</v>
      </c>
      <c r="H1980" s="6">
        <v>91.84</v>
      </c>
      <c r="I1980" s="6">
        <v>9.18</v>
      </c>
      <c r="J1980" s="6">
        <v>82.66</v>
      </c>
      <c r="K1980" s="5">
        <v>429</v>
      </c>
    </row>
    <row r="1981" spans="1:11" x14ac:dyDescent="0.3">
      <c r="A1981" s="3">
        <v>8096</v>
      </c>
      <c r="B1981" s="3" t="s">
        <v>36</v>
      </c>
      <c r="C1981" s="4">
        <v>45783</v>
      </c>
      <c r="D1981" s="3" t="s">
        <v>15</v>
      </c>
      <c r="E1981" s="3" t="s">
        <v>47</v>
      </c>
      <c r="F1981" s="5">
        <v>3</v>
      </c>
      <c r="G1981" s="6">
        <v>16.440000000000001</v>
      </c>
      <c r="H1981" s="6">
        <v>49.32</v>
      </c>
      <c r="I1981" s="6">
        <v>7.4</v>
      </c>
      <c r="J1981" s="6">
        <v>41.92</v>
      </c>
      <c r="K1981" s="5">
        <v>315</v>
      </c>
    </row>
    <row r="1982" spans="1:11" x14ac:dyDescent="0.3">
      <c r="A1982" s="3">
        <v>7471</v>
      </c>
      <c r="B1982" s="3" t="s">
        <v>30</v>
      </c>
      <c r="C1982" s="4">
        <v>45530</v>
      </c>
      <c r="D1982" s="3" t="s">
        <v>35</v>
      </c>
      <c r="E1982" s="3" t="s">
        <v>37</v>
      </c>
      <c r="F1982" s="5">
        <v>5</v>
      </c>
      <c r="G1982" s="6">
        <v>15.88</v>
      </c>
      <c r="H1982" s="6">
        <v>79.400000000000006</v>
      </c>
      <c r="I1982" s="6">
        <v>15.88</v>
      </c>
      <c r="J1982" s="6">
        <v>63.52</v>
      </c>
      <c r="K1982" s="5">
        <v>160</v>
      </c>
    </row>
    <row r="1983" spans="1:11" x14ac:dyDescent="0.3">
      <c r="A1983" s="3">
        <v>1483</v>
      </c>
      <c r="B1983" s="3" t="s">
        <v>42</v>
      </c>
      <c r="C1983" s="4">
        <v>45442</v>
      </c>
      <c r="D1983" s="3" t="s">
        <v>22</v>
      </c>
      <c r="E1983" s="3" t="s">
        <v>37</v>
      </c>
      <c r="F1983" s="5">
        <v>2</v>
      </c>
      <c r="G1983" s="6">
        <v>24.94</v>
      </c>
      <c r="H1983" s="6">
        <v>49.88</v>
      </c>
      <c r="I1983" s="6">
        <v>7.48</v>
      </c>
      <c r="J1983" s="6">
        <v>42.4</v>
      </c>
      <c r="K1983" s="5">
        <v>265</v>
      </c>
    </row>
  </sheetData>
  <mergeCells count="1">
    <mergeCell ref="A1:K2"/>
  </mergeCells>
  <conditionalFormatting sqref="J4:J1983">
    <cfRule type="top10" dxfId="0" priority="1" percent="1" rank="10"/>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39DBD-5101-4F98-9667-562661F2AAF9}">
  <dimension ref="A1:N30"/>
  <sheetViews>
    <sheetView topLeftCell="B1" workbookViewId="0">
      <selection activeCell="I10" sqref="I10"/>
    </sheetView>
  </sheetViews>
  <sheetFormatPr defaultRowHeight="14.4" x14ac:dyDescent="0.3"/>
  <cols>
    <col min="1" max="1" width="19" bestFit="1" customWidth="1"/>
    <col min="2" max="2" width="18.88671875" bestFit="1" customWidth="1"/>
    <col min="4" max="4" width="13.109375" bestFit="1" customWidth="1"/>
    <col min="5" max="6" width="14.88671875" bestFit="1" customWidth="1"/>
    <col min="7" max="7" width="15.88671875" bestFit="1" customWidth="1"/>
    <col min="8" max="8" width="18.88671875" bestFit="1" customWidth="1"/>
    <col min="10" max="10" width="12.5546875" bestFit="1" customWidth="1"/>
    <col min="11" max="11" width="18.88671875" bestFit="1" customWidth="1"/>
    <col min="13" max="13" width="13.109375" bestFit="1" customWidth="1"/>
    <col min="14" max="14" width="25.6640625" bestFit="1" customWidth="1"/>
  </cols>
  <sheetData>
    <row r="1" spans="1:14" x14ac:dyDescent="0.3">
      <c r="A1" s="8" t="s">
        <v>61</v>
      </c>
      <c r="B1" t="s">
        <v>60</v>
      </c>
      <c r="D1" s="8" t="s">
        <v>61</v>
      </c>
      <c r="E1" t="s">
        <v>64</v>
      </c>
      <c r="G1" s="8" t="s">
        <v>61</v>
      </c>
      <c r="H1" t="s">
        <v>60</v>
      </c>
      <c r="J1" s="8" t="s">
        <v>61</v>
      </c>
      <c r="K1" t="s">
        <v>60</v>
      </c>
      <c r="M1" s="8" t="s">
        <v>61</v>
      </c>
      <c r="N1" t="s">
        <v>80</v>
      </c>
    </row>
    <row r="2" spans="1:14" x14ac:dyDescent="0.3">
      <c r="A2" s="9" t="s">
        <v>26</v>
      </c>
      <c r="B2" s="7">
        <v>9788.7000000000025</v>
      </c>
      <c r="D2" s="9" t="s">
        <v>29</v>
      </c>
      <c r="E2" s="11">
        <v>322</v>
      </c>
      <c r="G2" s="9" t="s">
        <v>17</v>
      </c>
      <c r="H2" s="7">
        <v>7561.25</v>
      </c>
      <c r="J2" s="9" t="s">
        <v>65</v>
      </c>
      <c r="K2" s="7">
        <v>16292.490000000003</v>
      </c>
      <c r="M2" s="9" t="s">
        <v>29</v>
      </c>
      <c r="N2" s="7">
        <v>4.480291262135923</v>
      </c>
    </row>
    <row r="3" spans="1:14" x14ac:dyDescent="0.3">
      <c r="A3" s="9" t="s">
        <v>24</v>
      </c>
      <c r="B3" s="7">
        <v>9285.5000000000018</v>
      </c>
      <c r="D3" s="9" t="s">
        <v>39</v>
      </c>
      <c r="E3" s="11">
        <v>317</v>
      </c>
      <c r="G3" s="9" t="s">
        <v>45</v>
      </c>
      <c r="H3" s="7">
        <v>7820.2500000000036</v>
      </c>
      <c r="J3" s="10" t="s">
        <v>68</v>
      </c>
      <c r="K3" s="7">
        <v>2897.6400000000012</v>
      </c>
      <c r="M3" s="9" t="s">
        <v>39</v>
      </c>
      <c r="N3" s="7">
        <v>4.8536274509803938</v>
      </c>
    </row>
    <row r="4" spans="1:14" x14ac:dyDescent="0.3">
      <c r="A4" s="9" t="s">
        <v>42</v>
      </c>
      <c r="B4" s="7">
        <v>7719.49</v>
      </c>
      <c r="D4" s="9" t="s">
        <v>43</v>
      </c>
      <c r="E4" s="11">
        <v>359</v>
      </c>
      <c r="G4" s="9" t="s">
        <v>22</v>
      </c>
      <c r="H4" s="7">
        <v>8046.5800000000054</v>
      </c>
      <c r="J4" s="10" t="s">
        <v>69</v>
      </c>
      <c r="K4" s="7">
        <v>3144.36</v>
      </c>
      <c r="M4" s="9" t="s">
        <v>43</v>
      </c>
      <c r="N4" s="7">
        <v>4.7568595041322315</v>
      </c>
    </row>
    <row r="5" spans="1:14" x14ac:dyDescent="0.3">
      <c r="A5" s="9" t="s">
        <v>31</v>
      </c>
      <c r="B5" s="7">
        <v>8206.8700000000026</v>
      </c>
      <c r="D5" s="9" t="s">
        <v>46</v>
      </c>
      <c r="E5" s="11">
        <v>270</v>
      </c>
      <c r="G5" s="9" t="s">
        <v>15</v>
      </c>
      <c r="H5" s="7">
        <v>7383.2000000000016</v>
      </c>
      <c r="J5" s="10" t="s">
        <v>70</v>
      </c>
      <c r="K5" s="7">
        <v>3768.1800000000003</v>
      </c>
      <c r="M5" s="9" t="s">
        <v>46</v>
      </c>
      <c r="N5" s="7">
        <v>4.1520652173913053</v>
      </c>
    </row>
    <row r="6" spans="1:14" x14ac:dyDescent="0.3">
      <c r="A6" s="9" t="s">
        <v>11</v>
      </c>
      <c r="B6" s="7">
        <v>9880.7599999999984</v>
      </c>
      <c r="D6" s="9" t="s">
        <v>21</v>
      </c>
      <c r="E6" s="11">
        <v>336</v>
      </c>
      <c r="G6" s="9" t="s">
        <v>35</v>
      </c>
      <c r="H6" s="7">
        <v>7177.8499999999985</v>
      </c>
      <c r="J6" s="10" t="s">
        <v>71</v>
      </c>
      <c r="K6" s="7">
        <v>3589.9600000000019</v>
      </c>
      <c r="M6" s="9" t="s">
        <v>21</v>
      </c>
      <c r="N6" s="7">
        <v>4.0823893805309748</v>
      </c>
    </row>
    <row r="7" spans="1:14" x14ac:dyDescent="0.3">
      <c r="A7" s="9" t="s">
        <v>36</v>
      </c>
      <c r="B7" s="7">
        <v>9295.7900000000027</v>
      </c>
      <c r="D7" s="9" t="s">
        <v>16</v>
      </c>
      <c r="E7" s="11">
        <v>324</v>
      </c>
      <c r="G7" s="9" t="s">
        <v>27</v>
      </c>
      <c r="H7" s="7">
        <v>7905.4400000000014</v>
      </c>
      <c r="J7" s="10" t="s">
        <v>72</v>
      </c>
      <c r="K7" s="7">
        <v>2892.3500000000004</v>
      </c>
      <c r="M7" s="9" t="s">
        <v>16</v>
      </c>
      <c r="N7" s="7">
        <v>4.1550476190476218</v>
      </c>
    </row>
    <row r="8" spans="1:14" x14ac:dyDescent="0.3">
      <c r="A8" s="9" t="s">
        <v>30</v>
      </c>
      <c r="B8" s="7">
        <v>8182.8900000000049</v>
      </c>
      <c r="D8" s="9" t="s">
        <v>48</v>
      </c>
      <c r="E8" s="11">
        <v>379</v>
      </c>
      <c r="G8" s="9" t="s">
        <v>28</v>
      </c>
      <c r="H8" s="7">
        <v>6900.28</v>
      </c>
      <c r="J8" s="9" t="s">
        <v>66</v>
      </c>
      <c r="K8" s="7">
        <v>41219.069999999992</v>
      </c>
      <c r="M8" s="9" t="s">
        <v>48</v>
      </c>
      <c r="N8" s="7">
        <v>3.7359541984732827</v>
      </c>
    </row>
    <row r="9" spans="1:14" x14ac:dyDescent="0.3">
      <c r="A9" s="9" t="s">
        <v>19</v>
      </c>
      <c r="B9" s="7">
        <v>9859.8900000000012</v>
      </c>
      <c r="D9" s="9" t="s">
        <v>41</v>
      </c>
      <c r="E9" s="11">
        <v>333</v>
      </c>
      <c r="G9" s="9" t="s">
        <v>34</v>
      </c>
      <c r="H9" s="7">
        <v>6791.21</v>
      </c>
      <c r="J9" s="10" t="s">
        <v>73</v>
      </c>
      <c r="K9" s="7">
        <v>2715.54</v>
      </c>
      <c r="M9" s="9" t="s">
        <v>41</v>
      </c>
      <c r="N9" s="7">
        <v>5.2673684210526304</v>
      </c>
    </row>
    <row r="10" spans="1:14" x14ac:dyDescent="0.3">
      <c r="A10" s="9" t="s">
        <v>14</v>
      </c>
      <c r="B10" s="7">
        <v>8661.2400000000016</v>
      </c>
      <c r="D10" s="9" t="s">
        <v>25</v>
      </c>
      <c r="E10" s="11">
        <v>258</v>
      </c>
      <c r="G10" s="9" t="s">
        <v>38</v>
      </c>
      <c r="H10" s="7">
        <v>8289.1200000000008</v>
      </c>
      <c r="J10" s="10" t="s">
        <v>74</v>
      </c>
      <c r="K10" s="7">
        <v>3486.8599999999997</v>
      </c>
      <c r="M10" s="9" t="s">
        <v>25</v>
      </c>
      <c r="N10" s="7">
        <v>4.4076404494382029</v>
      </c>
    </row>
    <row r="11" spans="1:14" x14ac:dyDescent="0.3">
      <c r="A11" s="9" t="s">
        <v>62</v>
      </c>
      <c r="B11" s="7">
        <v>1156.18</v>
      </c>
      <c r="D11" s="9" t="s">
        <v>40</v>
      </c>
      <c r="E11" s="11">
        <v>294</v>
      </c>
      <c r="G11" s="9" t="s">
        <v>12</v>
      </c>
      <c r="H11" s="7">
        <v>6095.1800000000012</v>
      </c>
      <c r="J11" s="10" t="s">
        <v>75</v>
      </c>
      <c r="K11" s="7">
        <v>3644.5</v>
      </c>
      <c r="M11" s="9" t="s">
        <v>40</v>
      </c>
      <c r="N11" s="7">
        <v>4.7081481481481475</v>
      </c>
    </row>
    <row r="12" spans="1:14" x14ac:dyDescent="0.3">
      <c r="A12" s="9" t="s">
        <v>63</v>
      </c>
      <c r="B12" s="7">
        <v>82037.310000000012</v>
      </c>
      <c r="D12" s="9" t="s">
        <v>18</v>
      </c>
      <c r="E12" s="11">
        <v>342</v>
      </c>
      <c r="G12" s="9" t="s">
        <v>20</v>
      </c>
      <c r="H12" s="7">
        <v>8066.9500000000007</v>
      </c>
      <c r="J12" s="10" t="s">
        <v>76</v>
      </c>
      <c r="K12" s="7">
        <v>2945.2900000000013</v>
      </c>
      <c r="M12" s="9" t="s">
        <v>18</v>
      </c>
      <c r="N12" s="7">
        <v>4.4015748031496056</v>
      </c>
    </row>
    <row r="13" spans="1:14" x14ac:dyDescent="0.3">
      <c r="D13" s="9" t="s">
        <v>23</v>
      </c>
      <c r="E13" s="11">
        <v>331</v>
      </c>
      <c r="G13" s="9" t="s">
        <v>63</v>
      </c>
      <c r="H13" s="7">
        <v>82037.310000000012</v>
      </c>
      <c r="J13" s="10" t="s">
        <v>77</v>
      </c>
      <c r="K13" s="7">
        <v>3954.7200000000003</v>
      </c>
      <c r="M13" s="9" t="s">
        <v>23</v>
      </c>
      <c r="N13" s="7">
        <v>4.8800892857142859</v>
      </c>
    </row>
    <row r="14" spans="1:14" x14ac:dyDescent="0.3">
      <c r="D14" s="9" t="s">
        <v>13</v>
      </c>
      <c r="E14" s="11">
        <v>304</v>
      </c>
      <c r="J14" s="10" t="s">
        <v>78</v>
      </c>
      <c r="K14" s="7">
        <v>3063.1299999999997</v>
      </c>
      <c r="M14" s="9" t="s">
        <v>13</v>
      </c>
      <c r="N14" s="7">
        <v>4.4342424242424237</v>
      </c>
    </row>
    <row r="15" spans="1:14" x14ac:dyDescent="0.3">
      <c r="D15" s="9" t="s">
        <v>47</v>
      </c>
      <c r="E15" s="11">
        <v>353</v>
      </c>
      <c r="J15" s="10" t="s">
        <v>79</v>
      </c>
      <c r="K15" s="7">
        <v>3684.6599999999994</v>
      </c>
      <c r="M15" s="9" t="s">
        <v>47</v>
      </c>
      <c r="N15" s="7">
        <v>4.1068644067796605</v>
      </c>
    </row>
    <row r="16" spans="1:14" x14ac:dyDescent="0.3">
      <c r="D16" s="9" t="s">
        <v>37</v>
      </c>
      <c r="E16" s="11">
        <v>312</v>
      </c>
      <c r="J16" s="10" t="s">
        <v>68</v>
      </c>
      <c r="K16" s="7">
        <v>3373.2699999999991</v>
      </c>
      <c r="M16" s="9" t="s">
        <v>37</v>
      </c>
      <c r="N16" s="7">
        <v>4.7130612244897963</v>
      </c>
    </row>
    <row r="17" spans="4:14" x14ac:dyDescent="0.3">
      <c r="D17" s="9" t="s">
        <v>33</v>
      </c>
      <c r="E17" s="11">
        <v>336</v>
      </c>
      <c r="J17" s="10" t="s">
        <v>69</v>
      </c>
      <c r="K17" s="7">
        <v>3182.1800000000003</v>
      </c>
      <c r="M17" s="9" t="s">
        <v>33</v>
      </c>
      <c r="N17" s="7">
        <v>4.4069026548672561</v>
      </c>
    </row>
    <row r="18" spans="4:14" x14ac:dyDescent="0.3">
      <c r="D18" s="9" t="s">
        <v>32</v>
      </c>
      <c r="E18" s="11">
        <v>366</v>
      </c>
      <c r="J18" s="10" t="s">
        <v>70</v>
      </c>
      <c r="K18" s="7">
        <v>4098.3100000000004</v>
      </c>
      <c r="M18" s="9" t="s">
        <v>32</v>
      </c>
      <c r="N18" s="7">
        <v>4.6517460317460291</v>
      </c>
    </row>
    <row r="19" spans="4:14" x14ac:dyDescent="0.3">
      <c r="D19" s="9" t="s">
        <v>44</v>
      </c>
      <c r="E19" s="11">
        <v>341</v>
      </c>
      <c r="J19" s="10" t="s">
        <v>71</v>
      </c>
      <c r="K19" s="7">
        <v>3816.0899999999997</v>
      </c>
      <c r="M19" s="9" t="s">
        <v>44</v>
      </c>
      <c r="N19" s="7">
        <v>4.3329357798165136</v>
      </c>
    </row>
    <row r="20" spans="4:14" x14ac:dyDescent="0.3">
      <c r="D20" s="9" t="s">
        <v>63</v>
      </c>
      <c r="E20" s="11">
        <v>5877</v>
      </c>
      <c r="J20" s="10" t="s">
        <v>72</v>
      </c>
      <c r="K20" s="7">
        <v>3254.52</v>
      </c>
      <c r="M20" s="9" t="s">
        <v>63</v>
      </c>
      <c r="N20" s="7">
        <v>4.4695909090909129</v>
      </c>
    </row>
    <row r="21" spans="4:14" x14ac:dyDescent="0.3">
      <c r="J21" s="9" t="s">
        <v>67</v>
      </c>
      <c r="K21" s="7">
        <v>24525.750000000004</v>
      </c>
    </row>
    <row r="22" spans="4:14" x14ac:dyDescent="0.3">
      <c r="J22" s="10" t="s">
        <v>73</v>
      </c>
      <c r="K22" s="7">
        <v>3694.0000000000005</v>
      </c>
    </row>
    <row r="23" spans="4:14" x14ac:dyDescent="0.3">
      <c r="J23" s="10" t="s">
        <v>74</v>
      </c>
      <c r="K23" s="7">
        <v>2975.4700000000012</v>
      </c>
    </row>
    <row r="24" spans="4:14" x14ac:dyDescent="0.3">
      <c r="J24" s="10" t="s">
        <v>75</v>
      </c>
      <c r="K24" s="7">
        <v>4560.01</v>
      </c>
    </row>
    <row r="25" spans="4:14" x14ac:dyDescent="0.3">
      <c r="J25" s="10" t="s">
        <v>76</v>
      </c>
      <c r="K25" s="7">
        <v>3835.2199999999993</v>
      </c>
    </row>
    <row r="26" spans="4:14" x14ac:dyDescent="0.3">
      <c r="J26" s="10" t="s">
        <v>77</v>
      </c>
      <c r="K26" s="7">
        <v>3170.9200000000019</v>
      </c>
    </row>
    <row r="27" spans="4:14" x14ac:dyDescent="0.3">
      <c r="J27" s="10" t="s">
        <v>78</v>
      </c>
      <c r="K27" s="7">
        <v>2900.0499999999997</v>
      </c>
    </row>
    <row r="28" spans="4:14" x14ac:dyDescent="0.3">
      <c r="J28" s="10" t="s">
        <v>79</v>
      </c>
      <c r="K28" s="7">
        <v>3036.56</v>
      </c>
    </row>
    <row r="29" spans="4:14" x14ac:dyDescent="0.3">
      <c r="J29" s="10" t="s">
        <v>68</v>
      </c>
      <c r="K29" s="7">
        <v>353.52</v>
      </c>
    </row>
    <row r="30" spans="4:14" x14ac:dyDescent="0.3">
      <c r="J30" s="9" t="s">
        <v>63</v>
      </c>
      <c r="K30" s="7">
        <v>82037.309999999983</v>
      </c>
    </row>
  </sheetData>
  <conditionalFormatting pivot="1" sqref="E2:E19">
    <cfRule type="dataBar" priority="1">
      <dataBar>
        <cfvo type="min"/>
        <cfvo type="max"/>
        <color rgb="FF638EC6"/>
      </dataBar>
      <extLst>
        <ext xmlns:x14="http://schemas.microsoft.com/office/spreadsheetml/2009/9/main" uri="{B025F937-C7B1-47D3-B67F-A62EFF666E3E}">
          <x14:id>{6F48D168-42C4-4B76-B8A0-32F05A688EBA}</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6F48D168-42C4-4B76-B8A0-32F05A688EBA}">
            <x14:dataBar minLength="0" maxLength="100" border="1" negativeBarBorderColorSameAsPositive="0">
              <x14:cfvo type="autoMin"/>
              <x14:cfvo type="autoMax"/>
              <x14:borderColor rgb="FF638EC6"/>
              <x14:negativeFillColor rgb="FFFF0000"/>
              <x14:negativeBorderColor rgb="FFFF0000"/>
              <x14:axisColor rgb="FF000000"/>
            </x14:dataBar>
          </x14:cfRule>
          <xm:sqref>E2:E19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11DF5-99A7-413B-85A1-5A1C61E80236}">
  <dimension ref="A1"/>
  <sheetViews>
    <sheetView workbookViewId="0">
      <selection activeCell="K18" sqref="K1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DEA03-0B95-48B9-83DE-74295E8779CD}">
  <dimension ref="A1:AB81"/>
  <sheetViews>
    <sheetView tabSelected="1" workbookViewId="0">
      <selection activeCell="R5" sqref="R5"/>
    </sheetView>
  </sheetViews>
  <sheetFormatPr defaultRowHeight="14.4" x14ac:dyDescent="0.3"/>
  <cols>
    <col min="9" max="9" width="6.5546875" customWidth="1"/>
    <col min="23" max="23" width="6.5546875" customWidth="1"/>
    <col min="24" max="24" width="8.88671875" customWidth="1"/>
  </cols>
  <sheetData>
    <row r="1" spans="1:28" x14ac:dyDescent="0.3">
      <c r="A1" s="19" t="s">
        <v>87</v>
      </c>
      <c r="B1" s="19"/>
      <c r="C1" s="19"/>
      <c r="D1" s="19"/>
      <c r="E1" s="19"/>
      <c r="F1" s="19"/>
      <c r="G1" s="19"/>
      <c r="H1" s="19"/>
      <c r="I1" s="19"/>
      <c r="J1" s="19"/>
      <c r="K1" s="19"/>
      <c r="L1" s="19"/>
      <c r="M1" s="19"/>
      <c r="N1" s="19"/>
      <c r="O1" s="19"/>
      <c r="P1" s="19"/>
      <c r="Q1" s="19"/>
      <c r="R1" s="19"/>
      <c r="S1" s="19"/>
      <c r="T1" s="19"/>
      <c r="U1" s="19"/>
      <c r="V1" s="19"/>
      <c r="W1" s="19"/>
      <c r="X1" s="19"/>
      <c r="Y1" s="20"/>
      <c r="Z1" s="20"/>
      <c r="AA1" s="20"/>
      <c r="AB1" s="20"/>
    </row>
    <row r="2" spans="1:28" x14ac:dyDescent="0.3">
      <c r="A2" s="19"/>
      <c r="B2" s="19"/>
      <c r="C2" s="19"/>
      <c r="D2" s="19"/>
      <c r="E2" s="19"/>
      <c r="F2" s="19"/>
      <c r="G2" s="19"/>
      <c r="H2" s="19"/>
      <c r="I2" s="19"/>
      <c r="J2" s="19"/>
      <c r="K2" s="19"/>
      <c r="L2" s="19"/>
      <c r="M2" s="19"/>
      <c r="N2" s="19"/>
      <c r="O2" s="19"/>
      <c r="P2" s="19"/>
      <c r="Q2" s="19"/>
      <c r="R2" s="19"/>
      <c r="S2" s="19"/>
      <c r="T2" s="19"/>
      <c r="U2" s="19"/>
      <c r="V2" s="19"/>
      <c r="W2" s="19"/>
      <c r="X2" s="19"/>
      <c r="Y2" s="20"/>
      <c r="Z2" s="20"/>
      <c r="AA2" s="20"/>
      <c r="AB2" s="20"/>
    </row>
    <row r="3" spans="1:28" ht="25.8" x14ac:dyDescent="0.5">
      <c r="A3" s="25" t="s">
        <v>90</v>
      </c>
      <c r="B3" s="25"/>
      <c r="C3" s="25"/>
      <c r="D3" s="25"/>
      <c r="E3" s="25"/>
      <c r="F3" s="25"/>
      <c r="G3" s="25"/>
      <c r="H3" s="25"/>
      <c r="I3" s="20"/>
      <c r="J3" s="20"/>
      <c r="K3" s="20"/>
      <c r="L3" s="20"/>
      <c r="M3" s="20"/>
      <c r="N3" s="20"/>
      <c r="O3" s="20"/>
      <c r="P3" s="20"/>
      <c r="Q3" s="20"/>
      <c r="R3" s="20"/>
      <c r="S3" s="20"/>
      <c r="T3" s="20"/>
      <c r="U3" s="20"/>
      <c r="V3" s="20"/>
      <c r="W3" s="20"/>
      <c r="X3" s="20"/>
      <c r="Y3" s="20"/>
      <c r="Z3" s="20"/>
      <c r="AA3" s="20"/>
      <c r="AB3" s="20"/>
    </row>
    <row r="4" spans="1:28" x14ac:dyDescent="0.3">
      <c r="I4" s="20"/>
      <c r="J4" s="20"/>
      <c r="K4" s="20"/>
      <c r="L4" s="20"/>
      <c r="M4" s="20"/>
      <c r="N4" s="20"/>
      <c r="O4" s="20"/>
      <c r="P4" s="20"/>
      <c r="Q4" s="20"/>
      <c r="R4" s="20"/>
      <c r="S4" s="22" t="s">
        <v>91</v>
      </c>
      <c r="T4" s="22"/>
      <c r="U4" s="22"/>
      <c r="V4" s="22"/>
      <c r="W4" s="22"/>
      <c r="X4" s="22"/>
      <c r="Y4" s="20"/>
      <c r="Z4" s="20"/>
      <c r="AA4" s="20"/>
      <c r="AB4" s="20"/>
    </row>
    <row r="5" spans="1:28" x14ac:dyDescent="0.3">
      <c r="I5" s="20"/>
      <c r="J5" s="20"/>
      <c r="K5" s="20"/>
      <c r="L5" s="20"/>
      <c r="M5" s="20"/>
      <c r="N5" s="20"/>
      <c r="O5" s="20"/>
      <c r="P5" s="20"/>
      <c r="Q5" s="20"/>
      <c r="R5" s="20"/>
      <c r="S5" s="22"/>
      <c r="T5" s="22"/>
      <c r="U5" s="22"/>
      <c r="V5" s="22"/>
      <c r="W5" s="22"/>
      <c r="X5" s="22"/>
      <c r="Y5" s="20"/>
      <c r="Z5" s="20"/>
      <c r="AA5" s="20"/>
      <c r="AB5" s="20"/>
    </row>
    <row r="6" spans="1:28" x14ac:dyDescent="0.3">
      <c r="I6" s="20"/>
      <c r="J6" s="20"/>
      <c r="K6" s="20"/>
      <c r="L6" s="20"/>
      <c r="M6" s="20"/>
      <c r="N6" s="20"/>
      <c r="O6" s="20"/>
      <c r="P6" s="20"/>
      <c r="Q6" s="20"/>
      <c r="R6" s="20"/>
      <c r="S6" s="24">
        <f>GETPIVOTDATA("Final Amount",'Pivot Tables'!$G$1)</f>
        <v>82037.310000000012</v>
      </c>
      <c r="T6" s="24"/>
      <c r="U6" s="24"/>
      <c r="V6" s="24"/>
      <c r="W6" s="24"/>
      <c r="X6" s="24"/>
      <c r="Y6" s="20"/>
      <c r="Z6" s="20"/>
      <c r="AA6" s="20"/>
      <c r="AB6" s="20"/>
    </row>
    <row r="7" spans="1:28" x14ac:dyDescent="0.3">
      <c r="I7" s="20"/>
      <c r="J7" s="20"/>
      <c r="K7" s="20"/>
      <c r="L7" s="20"/>
      <c r="M7" s="20"/>
      <c r="N7" s="20"/>
      <c r="O7" s="20"/>
      <c r="P7" s="20"/>
      <c r="Q7" s="20"/>
      <c r="R7" s="20"/>
      <c r="S7" s="24"/>
      <c r="T7" s="24"/>
      <c r="U7" s="24"/>
      <c r="V7" s="24"/>
      <c r="W7" s="24"/>
      <c r="X7" s="24"/>
      <c r="Y7" s="20"/>
      <c r="Z7" s="20"/>
      <c r="AA7" s="20"/>
      <c r="AB7" s="20"/>
    </row>
    <row r="8" spans="1:28" x14ac:dyDescent="0.3">
      <c r="I8" s="20"/>
      <c r="J8" s="20"/>
      <c r="K8" s="20"/>
      <c r="L8" s="20"/>
      <c r="M8" s="20"/>
      <c r="N8" s="20"/>
      <c r="O8" s="20"/>
      <c r="P8" s="20"/>
      <c r="Q8" s="20"/>
      <c r="R8" s="20"/>
      <c r="S8" s="24"/>
      <c r="T8" s="24"/>
      <c r="U8" s="24"/>
      <c r="V8" s="24"/>
      <c r="W8" s="24"/>
      <c r="X8" s="24"/>
      <c r="Y8" s="20"/>
      <c r="Z8" s="20"/>
      <c r="AA8" s="20"/>
      <c r="AB8" s="20"/>
    </row>
    <row r="9" spans="1:28" x14ac:dyDescent="0.3">
      <c r="I9" s="20"/>
      <c r="J9" s="20"/>
      <c r="K9" s="20"/>
      <c r="L9" s="20"/>
      <c r="M9" s="20"/>
      <c r="N9" s="20"/>
      <c r="O9" s="20"/>
      <c r="P9" s="20"/>
      <c r="Q9" s="20"/>
      <c r="R9" s="20"/>
      <c r="S9" s="20"/>
      <c r="T9" s="20"/>
      <c r="U9" s="20"/>
      <c r="V9" s="20"/>
      <c r="W9" s="20"/>
      <c r="X9" s="20"/>
      <c r="Y9" s="20"/>
      <c r="Z9" s="20"/>
      <c r="AA9" s="20"/>
      <c r="AB9" s="20"/>
    </row>
    <row r="10" spans="1:28" x14ac:dyDescent="0.3">
      <c r="I10" s="20"/>
      <c r="J10" s="20"/>
      <c r="K10" s="20"/>
      <c r="L10" s="20"/>
      <c r="M10" s="20"/>
      <c r="N10" s="20"/>
      <c r="O10" s="20"/>
      <c r="P10" s="20"/>
      <c r="Q10" s="20"/>
      <c r="R10" s="20"/>
      <c r="S10" s="20"/>
      <c r="T10" s="20"/>
      <c r="U10" s="20"/>
      <c r="V10" s="20"/>
      <c r="W10" s="20"/>
      <c r="X10" s="20"/>
      <c r="Y10" s="20"/>
      <c r="Z10" s="20"/>
      <c r="AA10" s="20"/>
      <c r="AB10" s="20"/>
    </row>
    <row r="11" spans="1:28" x14ac:dyDescent="0.3">
      <c r="I11" s="20"/>
      <c r="J11" s="20"/>
      <c r="K11" s="20"/>
      <c r="L11" s="20"/>
      <c r="M11" s="20"/>
      <c r="N11" s="20"/>
      <c r="O11" s="20"/>
      <c r="P11" s="20"/>
      <c r="Q11" s="20"/>
      <c r="R11" s="20"/>
      <c r="S11" s="21" t="s">
        <v>92</v>
      </c>
      <c r="T11" s="23"/>
      <c r="U11" s="23"/>
      <c r="V11" s="23"/>
      <c r="W11" s="23"/>
      <c r="X11" s="23"/>
      <c r="Y11" s="20"/>
      <c r="Z11" s="20"/>
      <c r="AA11" s="20"/>
      <c r="AB11" s="20"/>
    </row>
    <row r="12" spans="1:28" x14ac:dyDescent="0.3">
      <c r="I12" s="20"/>
      <c r="J12" s="20"/>
      <c r="K12" s="20"/>
      <c r="L12" s="20"/>
      <c r="M12" s="20"/>
      <c r="N12" s="20"/>
      <c r="O12" s="20"/>
      <c r="P12" s="20"/>
      <c r="Q12" s="20"/>
      <c r="R12" s="20"/>
      <c r="S12" s="23"/>
      <c r="T12" s="23"/>
      <c r="U12" s="23"/>
      <c r="V12" s="23"/>
      <c r="W12" s="23"/>
      <c r="X12" s="23"/>
      <c r="Y12" s="20"/>
      <c r="Z12" s="20"/>
      <c r="AA12" s="20"/>
      <c r="AB12" s="20"/>
    </row>
    <row r="13" spans="1:28" x14ac:dyDescent="0.3">
      <c r="I13" s="20"/>
      <c r="J13" s="20"/>
      <c r="K13" s="20"/>
      <c r="L13" s="20"/>
      <c r="M13" s="20"/>
      <c r="N13" s="20"/>
      <c r="O13" s="20"/>
      <c r="P13" s="20"/>
      <c r="Q13" s="20"/>
      <c r="R13" s="20"/>
      <c r="S13" s="26">
        <f>GETPIVOTDATA("Quantity",'Pivot Tables'!$D$1)</f>
        <v>5877</v>
      </c>
      <c r="T13" s="26"/>
      <c r="U13" s="26"/>
      <c r="V13" s="26"/>
      <c r="W13" s="26"/>
      <c r="X13" s="26"/>
      <c r="Y13" s="20"/>
      <c r="Z13" s="20"/>
      <c r="AA13" s="20"/>
      <c r="AB13" s="20"/>
    </row>
    <row r="14" spans="1:28" x14ac:dyDescent="0.3">
      <c r="I14" s="20"/>
      <c r="J14" s="20"/>
      <c r="K14" s="20"/>
      <c r="L14" s="20"/>
      <c r="M14" s="20"/>
      <c r="N14" s="20"/>
      <c r="O14" s="20"/>
      <c r="P14" s="20"/>
      <c r="Q14" s="20"/>
      <c r="R14" s="20"/>
      <c r="S14" s="26"/>
      <c r="T14" s="26"/>
      <c r="U14" s="26"/>
      <c r="V14" s="26"/>
      <c r="W14" s="26"/>
      <c r="X14" s="26"/>
      <c r="Y14" s="20"/>
      <c r="Z14" s="20"/>
      <c r="AA14" s="20"/>
      <c r="AB14" s="20"/>
    </row>
    <row r="15" spans="1:28" x14ac:dyDescent="0.3">
      <c r="A15" s="20"/>
      <c r="B15" s="20"/>
      <c r="C15" s="20"/>
      <c r="D15" s="20"/>
      <c r="E15" s="20"/>
      <c r="F15" s="20"/>
      <c r="G15" s="20"/>
      <c r="H15" s="20"/>
      <c r="I15" s="20"/>
      <c r="J15" s="20"/>
      <c r="K15" s="20"/>
      <c r="L15" s="20"/>
      <c r="M15" s="20"/>
      <c r="N15" s="20"/>
      <c r="O15" s="20"/>
      <c r="P15" s="20"/>
      <c r="Q15" s="20"/>
      <c r="R15" s="20"/>
      <c r="S15" s="26"/>
      <c r="T15" s="26"/>
      <c r="U15" s="26"/>
      <c r="V15" s="26"/>
      <c r="W15" s="26"/>
      <c r="X15" s="26"/>
      <c r="Y15" s="20"/>
      <c r="Z15" s="20"/>
      <c r="AA15" s="20"/>
      <c r="AB15" s="20"/>
    </row>
    <row r="16" spans="1:28" x14ac:dyDescent="0.3">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row>
    <row r="17" spans="1:28" x14ac:dyDescent="0.3">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c r="AA17" s="20"/>
      <c r="AB17" s="20"/>
    </row>
    <row r="18" spans="1:28" x14ac:dyDescent="0.3">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c r="AA18" s="20"/>
      <c r="AB18" s="20"/>
    </row>
    <row r="19" spans="1:28" x14ac:dyDescent="0.3">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c r="AA19" s="20"/>
      <c r="AB19" s="20"/>
    </row>
    <row r="20" spans="1:28" x14ac:dyDescent="0.3">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c r="AA20" s="20"/>
      <c r="AB20" s="20"/>
    </row>
    <row r="21" spans="1:28" x14ac:dyDescent="0.3">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c r="AA21" s="20"/>
      <c r="AB21" s="20"/>
    </row>
    <row r="22" spans="1:28" x14ac:dyDescent="0.3">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c r="AA22" s="20"/>
      <c r="AB22" s="20"/>
    </row>
    <row r="23" spans="1:28" x14ac:dyDescent="0.3">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c r="AA23" s="20"/>
      <c r="AB23" s="20"/>
    </row>
    <row r="24" spans="1:28" x14ac:dyDescent="0.3">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c r="AA24" s="20"/>
      <c r="AB24" s="20"/>
    </row>
    <row r="25" spans="1:28" x14ac:dyDescent="0.3">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c r="AA25" s="20"/>
      <c r="AB25" s="20"/>
    </row>
    <row r="26" spans="1:28" x14ac:dyDescent="0.3">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c r="AA26" s="20"/>
      <c r="AB26" s="20"/>
    </row>
    <row r="27" spans="1:28" x14ac:dyDescent="0.3">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20"/>
      <c r="AB27" s="20"/>
    </row>
    <row r="28" spans="1:28" x14ac:dyDescent="0.3">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20"/>
      <c r="AB28" s="20"/>
    </row>
    <row r="29" spans="1:28" x14ac:dyDescent="0.3">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c r="AA29" s="20"/>
      <c r="AB29" s="20"/>
    </row>
    <row r="30" spans="1:28" x14ac:dyDescent="0.3">
      <c r="Y30" s="20"/>
      <c r="Z30" s="20"/>
      <c r="AA30" s="20"/>
      <c r="AB30" s="20"/>
    </row>
    <row r="31" spans="1:28" x14ac:dyDescent="0.3">
      <c r="Y31" s="20"/>
      <c r="Z31" s="20"/>
      <c r="AA31" s="20"/>
      <c r="AB31" s="20"/>
    </row>
    <row r="32" spans="1:28" x14ac:dyDescent="0.3">
      <c r="Y32" s="20"/>
      <c r="Z32" s="20"/>
      <c r="AA32" s="20"/>
      <c r="AB32" s="20"/>
    </row>
    <row r="33" spans="25:28" x14ac:dyDescent="0.3">
      <c r="Y33" s="20"/>
      <c r="Z33" s="20"/>
      <c r="AA33" s="20"/>
      <c r="AB33" s="20"/>
    </row>
    <row r="34" spans="25:28" x14ac:dyDescent="0.3">
      <c r="Y34" s="20"/>
      <c r="Z34" s="20"/>
      <c r="AA34" s="20"/>
      <c r="AB34" s="20"/>
    </row>
    <row r="35" spans="25:28" x14ac:dyDescent="0.3">
      <c r="Y35" s="20"/>
      <c r="Z35" s="20"/>
      <c r="AA35" s="20"/>
      <c r="AB35" s="20"/>
    </row>
    <row r="36" spans="25:28" x14ac:dyDescent="0.3">
      <c r="Y36" s="20"/>
      <c r="Z36" s="20"/>
      <c r="AA36" s="20"/>
      <c r="AB36" s="20"/>
    </row>
    <row r="37" spans="25:28" x14ac:dyDescent="0.3">
      <c r="Y37" s="20"/>
      <c r="Z37" s="20"/>
      <c r="AA37" s="20"/>
      <c r="AB37" s="20"/>
    </row>
    <row r="38" spans="25:28" x14ac:dyDescent="0.3">
      <c r="Y38" s="20"/>
      <c r="Z38" s="20"/>
      <c r="AA38" s="20"/>
      <c r="AB38" s="20"/>
    </row>
    <row r="39" spans="25:28" x14ac:dyDescent="0.3">
      <c r="Y39" s="20"/>
      <c r="Z39" s="20"/>
      <c r="AA39" s="20"/>
      <c r="AB39" s="20"/>
    </row>
    <row r="40" spans="25:28" x14ac:dyDescent="0.3">
      <c r="Y40" s="20"/>
      <c r="Z40" s="20"/>
      <c r="AA40" s="20"/>
      <c r="AB40" s="20"/>
    </row>
    <row r="41" spans="25:28" x14ac:dyDescent="0.3">
      <c r="Y41" s="20"/>
      <c r="Z41" s="20"/>
      <c r="AA41" s="20"/>
      <c r="AB41" s="20"/>
    </row>
    <row r="42" spans="25:28" x14ac:dyDescent="0.3">
      <c r="Y42" s="20"/>
      <c r="Z42" s="20"/>
      <c r="AA42" s="20"/>
      <c r="AB42" s="20"/>
    </row>
    <row r="43" spans="25:28" x14ac:dyDescent="0.3">
      <c r="Y43" s="20"/>
      <c r="Z43" s="20"/>
      <c r="AA43" s="20"/>
      <c r="AB43" s="20"/>
    </row>
    <row r="44" spans="25:28" x14ac:dyDescent="0.3">
      <c r="Y44" s="20"/>
      <c r="Z44" s="20"/>
      <c r="AA44" s="20"/>
      <c r="AB44" s="20"/>
    </row>
    <row r="45" spans="25:28" x14ac:dyDescent="0.3">
      <c r="Y45" s="20"/>
      <c r="Z45" s="20"/>
      <c r="AA45" s="20"/>
      <c r="AB45" s="20"/>
    </row>
    <row r="46" spans="25:28" x14ac:dyDescent="0.3">
      <c r="Y46" s="20"/>
      <c r="Z46" s="20"/>
      <c r="AA46" s="20"/>
      <c r="AB46" s="20"/>
    </row>
    <row r="47" spans="25:28" x14ac:dyDescent="0.3">
      <c r="Y47" s="20"/>
      <c r="Z47" s="20"/>
      <c r="AA47" s="20"/>
      <c r="AB47" s="20"/>
    </row>
    <row r="48" spans="25:28" x14ac:dyDescent="0.3">
      <c r="Y48" s="20"/>
      <c r="Z48" s="20"/>
      <c r="AA48" s="20"/>
      <c r="AB48" s="20"/>
    </row>
    <row r="49" spans="25:28" x14ac:dyDescent="0.3">
      <c r="Y49" s="20"/>
      <c r="Z49" s="20"/>
      <c r="AA49" s="20"/>
      <c r="AB49" s="20"/>
    </row>
    <row r="50" spans="25:28" x14ac:dyDescent="0.3">
      <c r="Y50" s="20"/>
      <c r="Z50" s="20"/>
      <c r="AA50" s="20"/>
      <c r="AB50" s="20"/>
    </row>
    <row r="51" spans="25:28" x14ac:dyDescent="0.3">
      <c r="Y51" s="20"/>
      <c r="Z51" s="20"/>
      <c r="AA51" s="20"/>
      <c r="AB51" s="20"/>
    </row>
    <row r="52" spans="25:28" x14ac:dyDescent="0.3">
      <c r="Y52" s="20"/>
      <c r="Z52" s="20"/>
      <c r="AA52" s="20"/>
      <c r="AB52" s="20"/>
    </row>
    <row r="53" spans="25:28" x14ac:dyDescent="0.3">
      <c r="Y53" s="20"/>
      <c r="Z53" s="20"/>
      <c r="AA53" s="20"/>
      <c r="AB53" s="20"/>
    </row>
    <row r="54" spans="25:28" x14ac:dyDescent="0.3">
      <c r="Y54" s="20"/>
      <c r="Z54" s="20"/>
      <c r="AA54" s="20"/>
      <c r="AB54" s="20"/>
    </row>
    <row r="55" spans="25:28" x14ac:dyDescent="0.3">
      <c r="Y55" s="20"/>
      <c r="Z55" s="20"/>
      <c r="AA55" s="20"/>
      <c r="AB55" s="20"/>
    </row>
    <row r="56" spans="25:28" x14ac:dyDescent="0.3">
      <c r="Y56" s="20"/>
      <c r="Z56" s="20"/>
      <c r="AA56" s="20"/>
      <c r="AB56" s="20"/>
    </row>
    <row r="57" spans="25:28" x14ac:dyDescent="0.3">
      <c r="Y57" s="20"/>
      <c r="Z57" s="20"/>
      <c r="AA57" s="20"/>
      <c r="AB57" s="20"/>
    </row>
    <row r="58" spans="25:28" x14ac:dyDescent="0.3">
      <c r="Y58" s="20"/>
      <c r="Z58" s="20"/>
      <c r="AA58" s="20"/>
      <c r="AB58" s="20"/>
    </row>
    <row r="59" spans="25:28" x14ac:dyDescent="0.3">
      <c r="Y59" s="20"/>
      <c r="Z59" s="20"/>
      <c r="AA59" s="20"/>
      <c r="AB59" s="20"/>
    </row>
    <row r="60" spans="25:28" x14ac:dyDescent="0.3">
      <c r="Y60" s="20"/>
      <c r="Z60" s="20"/>
      <c r="AA60" s="20"/>
      <c r="AB60" s="20"/>
    </row>
    <row r="61" spans="25:28" x14ac:dyDescent="0.3">
      <c r="Y61" s="20"/>
      <c r="Z61" s="20"/>
      <c r="AA61" s="20"/>
      <c r="AB61" s="20"/>
    </row>
    <row r="62" spans="25:28" x14ac:dyDescent="0.3">
      <c r="Y62" s="20"/>
      <c r="Z62" s="20"/>
      <c r="AA62" s="20"/>
      <c r="AB62" s="20"/>
    </row>
    <row r="63" spans="25:28" x14ac:dyDescent="0.3">
      <c r="Y63" s="20"/>
      <c r="Z63" s="20"/>
      <c r="AA63" s="20"/>
      <c r="AB63" s="20"/>
    </row>
    <row r="64" spans="25:28" x14ac:dyDescent="0.3">
      <c r="Y64" s="20"/>
      <c r="Z64" s="20"/>
      <c r="AA64" s="20"/>
      <c r="AB64" s="20"/>
    </row>
    <row r="65" spans="25:28" x14ac:dyDescent="0.3">
      <c r="Y65" s="20"/>
      <c r="Z65" s="20"/>
      <c r="AA65" s="20"/>
      <c r="AB65" s="20"/>
    </row>
    <row r="66" spans="25:28" x14ac:dyDescent="0.3">
      <c r="Y66" s="20"/>
      <c r="Z66" s="20"/>
      <c r="AA66" s="20"/>
      <c r="AB66" s="20"/>
    </row>
    <row r="67" spans="25:28" x14ac:dyDescent="0.3">
      <c r="Y67" s="20"/>
      <c r="Z67" s="20"/>
      <c r="AA67" s="20"/>
      <c r="AB67" s="20"/>
    </row>
    <row r="68" spans="25:28" x14ac:dyDescent="0.3">
      <c r="Y68" s="20"/>
      <c r="Z68" s="20"/>
      <c r="AA68" s="20"/>
      <c r="AB68" s="20"/>
    </row>
    <row r="69" spans="25:28" x14ac:dyDescent="0.3">
      <c r="Y69" s="20"/>
      <c r="Z69" s="20"/>
      <c r="AA69" s="20"/>
      <c r="AB69" s="20"/>
    </row>
    <row r="70" spans="25:28" x14ac:dyDescent="0.3">
      <c r="Y70" s="20"/>
      <c r="Z70" s="20"/>
      <c r="AA70" s="20"/>
      <c r="AB70" s="20"/>
    </row>
    <row r="71" spans="25:28" x14ac:dyDescent="0.3">
      <c r="Y71" s="20"/>
      <c r="Z71" s="20"/>
      <c r="AA71" s="20"/>
      <c r="AB71" s="20"/>
    </row>
    <row r="72" spans="25:28" x14ac:dyDescent="0.3">
      <c r="Y72" s="20"/>
      <c r="Z72" s="20"/>
      <c r="AA72" s="20"/>
      <c r="AB72" s="20"/>
    </row>
    <row r="73" spans="25:28" x14ac:dyDescent="0.3">
      <c r="Y73" s="20"/>
      <c r="Z73" s="20"/>
      <c r="AA73" s="20"/>
      <c r="AB73" s="20"/>
    </row>
    <row r="74" spans="25:28" x14ac:dyDescent="0.3">
      <c r="Y74" s="20"/>
      <c r="Z74" s="20"/>
      <c r="AA74" s="20"/>
      <c r="AB74" s="20"/>
    </row>
    <row r="75" spans="25:28" x14ac:dyDescent="0.3">
      <c r="Y75" s="20"/>
      <c r="Z75" s="20"/>
      <c r="AA75" s="20"/>
      <c r="AB75" s="20"/>
    </row>
    <row r="76" spans="25:28" x14ac:dyDescent="0.3">
      <c r="Y76" s="20"/>
      <c r="Z76" s="20"/>
      <c r="AA76" s="20"/>
      <c r="AB76" s="20"/>
    </row>
    <row r="77" spans="25:28" x14ac:dyDescent="0.3">
      <c r="Y77" s="20"/>
      <c r="Z77" s="20"/>
      <c r="AA77" s="20"/>
      <c r="AB77" s="20"/>
    </row>
    <row r="78" spans="25:28" x14ac:dyDescent="0.3">
      <c r="Y78" s="20"/>
      <c r="Z78" s="20"/>
      <c r="AA78" s="20"/>
      <c r="AB78" s="20"/>
    </row>
    <row r="79" spans="25:28" x14ac:dyDescent="0.3">
      <c r="Y79" s="20"/>
      <c r="Z79" s="20"/>
      <c r="AA79" s="20"/>
      <c r="AB79" s="20"/>
    </row>
    <row r="80" spans="25:28" x14ac:dyDescent="0.3">
      <c r="Y80" s="20"/>
      <c r="Z80" s="20"/>
      <c r="AA80" s="20"/>
      <c r="AB80" s="20"/>
    </row>
    <row r="81" spans="25:28" x14ac:dyDescent="0.3">
      <c r="Y81" s="20"/>
      <c r="Z81" s="20"/>
      <c r="AA81" s="20"/>
      <c r="AB81" s="20"/>
    </row>
  </sheetData>
  <mergeCells count="6">
    <mergeCell ref="A1:X2"/>
    <mergeCell ref="A3:H3"/>
    <mergeCell ref="S4:X5"/>
    <mergeCell ref="S6:X8"/>
    <mergeCell ref="S11:X12"/>
    <mergeCell ref="S13:X1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DATASET</vt:lpstr>
      <vt:lpstr>Clean Data</vt:lpstr>
      <vt:lpstr>Advanced Formulas</vt:lpstr>
      <vt:lpstr>10% Customers</vt:lpstr>
      <vt:lpstr>Pivot Tables</vt:lpstr>
      <vt:lpstr>Charts And Slicers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prince sompura</dc:creator>
  <cp:lastModifiedBy>Rushi</cp:lastModifiedBy>
  <dcterms:created xsi:type="dcterms:W3CDTF">2026-01-12T11:37:39Z</dcterms:created>
  <dcterms:modified xsi:type="dcterms:W3CDTF">2026-01-12T13:53:25Z</dcterms:modified>
</cp:coreProperties>
</file>